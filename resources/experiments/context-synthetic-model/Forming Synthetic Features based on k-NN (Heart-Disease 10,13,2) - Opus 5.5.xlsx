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C162303-0059-4F93-A33A-F81BB651929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Overview" sheetId="31" r:id="rId1"/>
    <sheet name="Dataset" sheetId="1" r:id="rId2"/>
    <sheet name="Quantitative" sheetId="3" r:id="rId3"/>
    <sheet name="Nominal" sheetId="17" r:id="rId4"/>
    <sheet name="Normalized Dataset" sheetId="32" r:id="rId5"/>
    <sheet name="Zhuravlev Distances" sheetId="33" r:id="rId6"/>
    <sheet name="Sorted Neighbors" sheetId="34" r:id="rId7"/>
    <sheet name="Synthetic Features (k-NN)" sheetId="3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35" l="1"/>
  <c r="C14" i="35"/>
  <c r="B14" i="35"/>
  <c r="G13" i="35"/>
  <c r="D13" i="35"/>
  <c r="C13" i="35"/>
  <c r="B13" i="35"/>
  <c r="G12" i="35"/>
  <c r="D12" i="35"/>
  <c r="C12" i="35"/>
  <c r="B12" i="35"/>
  <c r="G11" i="35"/>
  <c r="D11" i="35"/>
  <c r="C11" i="35"/>
  <c r="B11" i="35"/>
  <c r="G10" i="35"/>
  <c r="D10" i="35"/>
  <c r="C10" i="35"/>
  <c r="B10" i="35"/>
  <c r="D9" i="35"/>
  <c r="C9" i="35"/>
  <c r="B9" i="35"/>
  <c r="G8" i="35"/>
  <c r="D8" i="35"/>
  <c r="C8" i="35"/>
  <c r="B8" i="35"/>
  <c r="G7" i="35"/>
  <c r="D7" i="35"/>
  <c r="C7" i="35"/>
  <c r="B7" i="35"/>
  <c r="G6" i="35"/>
  <c r="D6" i="35"/>
  <c r="C6" i="35"/>
  <c r="B6" i="35"/>
  <c r="G5" i="35"/>
  <c r="D5" i="35"/>
  <c r="C5" i="35"/>
  <c r="B5" i="35"/>
  <c r="G4" i="35"/>
  <c r="C4" i="35"/>
  <c r="B4" i="35"/>
  <c r="J114" i="34"/>
  <c r="I114" i="34"/>
  <c r="H114" i="34"/>
  <c r="G114" i="34"/>
  <c r="F114" i="34"/>
  <c r="E114" i="34"/>
  <c r="D114" i="34"/>
  <c r="C114" i="34"/>
  <c r="B114" i="34"/>
  <c r="J113" i="34"/>
  <c r="I113" i="34"/>
  <c r="H113" i="34"/>
  <c r="G113" i="34"/>
  <c r="F113" i="34"/>
  <c r="E113" i="34"/>
  <c r="D113" i="34"/>
  <c r="C113" i="34"/>
  <c r="B113" i="34"/>
  <c r="J112" i="34"/>
  <c r="I112" i="34"/>
  <c r="H112" i="34"/>
  <c r="G112" i="34"/>
  <c r="F112" i="34"/>
  <c r="E112" i="34"/>
  <c r="D112" i="34"/>
  <c r="C112" i="34"/>
  <c r="B112" i="34"/>
  <c r="J111" i="34"/>
  <c r="I111" i="34"/>
  <c r="H111" i="34"/>
  <c r="G111" i="34"/>
  <c r="F111" i="34"/>
  <c r="E111" i="34"/>
  <c r="D111" i="34"/>
  <c r="C111" i="34"/>
  <c r="B111" i="34"/>
  <c r="J110" i="34"/>
  <c r="I110" i="34"/>
  <c r="H110" i="34"/>
  <c r="G110" i="34"/>
  <c r="F110" i="34"/>
  <c r="E110" i="34"/>
  <c r="D110" i="34"/>
  <c r="C110" i="34"/>
  <c r="B110" i="34"/>
  <c r="J109" i="34"/>
  <c r="I109" i="34"/>
  <c r="H109" i="34"/>
  <c r="G109" i="34"/>
  <c r="F109" i="34"/>
  <c r="E109" i="34"/>
  <c r="D109" i="34"/>
  <c r="C109" i="34"/>
  <c r="B109" i="34"/>
  <c r="J108" i="34"/>
  <c r="I108" i="34"/>
  <c r="H108" i="34"/>
  <c r="G108" i="34"/>
  <c r="F108" i="34"/>
  <c r="E108" i="34"/>
  <c r="D108" i="34"/>
  <c r="C108" i="34"/>
  <c r="B108" i="34"/>
  <c r="J104" i="34"/>
  <c r="I104" i="34"/>
  <c r="H104" i="34"/>
  <c r="G104" i="34"/>
  <c r="F104" i="34"/>
  <c r="E104" i="34"/>
  <c r="D104" i="34"/>
  <c r="C104" i="34"/>
  <c r="B104" i="34"/>
  <c r="J103" i="34"/>
  <c r="I103" i="34"/>
  <c r="H103" i="34"/>
  <c r="G103" i="34"/>
  <c r="F103" i="34"/>
  <c r="E103" i="34"/>
  <c r="D103" i="34"/>
  <c r="C103" i="34"/>
  <c r="B103" i="34"/>
  <c r="J102" i="34"/>
  <c r="I102" i="34"/>
  <c r="H102" i="34"/>
  <c r="G102" i="34"/>
  <c r="F102" i="34"/>
  <c r="E102" i="34"/>
  <c r="D102" i="34"/>
  <c r="C102" i="34"/>
  <c r="B102" i="34"/>
  <c r="J101" i="34"/>
  <c r="I101" i="34"/>
  <c r="H101" i="34"/>
  <c r="G101" i="34"/>
  <c r="F101" i="34"/>
  <c r="E101" i="34"/>
  <c r="D101" i="34"/>
  <c r="C101" i="34"/>
  <c r="B101" i="34"/>
  <c r="J100" i="34"/>
  <c r="I100" i="34"/>
  <c r="H100" i="34"/>
  <c r="G100" i="34"/>
  <c r="F100" i="34"/>
  <c r="E100" i="34"/>
  <c r="D100" i="34"/>
  <c r="C100" i="34"/>
  <c r="B100" i="34"/>
  <c r="J99" i="34"/>
  <c r="I99" i="34"/>
  <c r="H99" i="34"/>
  <c r="G99" i="34"/>
  <c r="F99" i="34"/>
  <c r="E99" i="34"/>
  <c r="D99" i="34"/>
  <c r="C99" i="34"/>
  <c r="B99" i="34"/>
  <c r="J98" i="34"/>
  <c r="I98" i="34"/>
  <c r="H98" i="34"/>
  <c r="G98" i="34"/>
  <c r="F98" i="34"/>
  <c r="E98" i="34"/>
  <c r="D98" i="34"/>
  <c r="C98" i="34"/>
  <c r="B98" i="34"/>
  <c r="J94" i="34"/>
  <c r="I94" i="34"/>
  <c r="H94" i="34"/>
  <c r="G94" i="34"/>
  <c r="F94" i="34"/>
  <c r="E94" i="34"/>
  <c r="D94" i="34"/>
  <c r="C94" i="34"/>
  <c r="B94" i="34"/>
  <c r="J93" i="34"/>
  <c r="I93" i="34"/>
  <c r="H93" i="34"/>
  <c r="G93" i="34"/>
  <c r="F93" i="34"/>
  <c r="E93" i="34"/>
  <c r="D93" i="34"/>
  <c r="C93" i="34"/>
  <c r="B93" i="34"/>
  <c r="J92" i="34"/>
  <c r="I92" i="34"/>
  <c r="H92" i="34"/>
  <c r="G92" i="34"/>
  <c r="F92" i="34"/>
  <c r="E92" i="34"/>
  <c r="D92" i="34"/>
  <c r="C92" i="34"/>
  <c r="B92" i="34"/>
  <c r="J91" i="34"/>
  <c r="I91" i="34"/>
  <c r="H91" i="34"/>
  <c r="G91" i="34"/>
  <c r="F91" i="34"/>
  <c r="E91" i="34"/>
  <c r="D91" i="34"/>
  <c r="C91" i="34"/>
  <c r="B91" i="34"/>
  <c r="J90" i="34"/>
  <c r="I90" i="34"/>
  <c r="H90" i="34"/>
  <c r="G90" i="34"/>
  <c r="F90" i="34"/>
  <c r="E90" i="34"/>
  <c r="D90" i="34"/>
  <c r="C90" i="34"/>
  <c r="B90" i="34"/>
  <c r="J89" i="34"/>
  <c r="I89" i="34"/>
  <c r="H89" i="34"/>
  <c r="G89" i="34"/>
  <c r="F89" i="34"/>
  <c r="E89" i="34"/>
  <c r="D89" i="34"/>
  <c r="C89" i="34"/>
  <c r="B89" i="34"/>
  <c r="J88" i="34"/>
  <c r="I88" i="34"/>
  <c r="H88" i="34"/>
  <c r="G88" i="34"/>
  <c r="F88" i="34"/>
  <c r="E88" i="34"/>
  <c r="D88" i="34"/>
  <c r="C88" i="34"/>
  <c r="B88" i="34"/>
  <c r="J84" i="34"/>
  <c r="I84" i="34"/>
  <c r="H84" i="34"/>
  <c r="G84" i="34"/>
  <c r="F84" i="34"/>
  <c r="E84" i="34"/>
  <c r="D84" i="34"/>
  <c r="C84" i="34"/>
  <c r="B84" i="34"/>
  <c r="J83" i="34"/>
  <c r="I83" i="34"/>
  <c r="H83" i="34"/>
  <c r="G83" i="34"/>
  <c r="F83" i="34"/>
  <c r="E83" i="34"/>
  <c r="D83" i="34"/>
  <c r="C83" i="34"/>
  <c r="B83" i="34"/>
  <c r="J82" i="34"/>
  <c r="I82" i="34"/>
  <c r="H82" i="34"/>
  <c r="G82" i="34"/>
  <c r="F82" i="34"/>
  <c r="E82" i="34"/>
  <c r="D82" i="34"/>
  <c r="C82" i="34"/>
  <c r="B82" i="34"/>
  <c r="J81" i="34"/>
  <c r="I81" i="34"/>
  <c r="H81" i="34"/>
  <c r="G81" i="34"/>
  <c r="F81" i="34"/>
  <c r="E81" i="34"/>
  <c r="D81" i="34"/>
  <c r="C81" i="34"/>
  <c r="B81" i="34"/>
  <c r="J80" i="34"/>
  <c r="I80" i="34"/>
  <c r="H80" i="34"/>
  <c r="G80" i="34"/>
  <c r="F80" i="34"/>
  <c r="E80" i="34"/>
  <c r="D80" i="34"/>
  <c r="C80" i="34"/>
  <c r="B80" i="34"/>
  <c r="J79" i="34"/>
  <c r="I79" i="34"/>
  <c r="H79" i="34"/>
  <c r="G79" i="34"/>
  <c r="F79" i="34"/>
  <c r="E79" i="34"/>
  <c r="D79" i="34"/>
  <c r="C79" i="34"/>
  <c r="B79" i="34"/>
  <c r="J78" i="34"/>
  <c r="I78" i="34"/>
  <c r="H78" i="34"/>
  <c r="G78" i="34"/>
  <c r="F78" i="34"/>
  <c r="E78" i="34"/>
  <c r="D78" i="34"/>
  <c r="C78" i="34"/>
  <c r="B78" i="34"/>
  <c r="J74" i="34"/>
  <c r="I74" i="34"/>
  <c r="H74" i="34"/>
  <c r="G74" i="34"/>
  <c r="F74" i="34"/>
  <c r="E74" i="34"/>
  <c r="D74" i="34"/>
  <c r="C74" i="34"/>
  <c r="B74" i="34"/>
  <c r="J73" i="34"/>
  <c r="I73" i="34"/>
  <c r="H73" i="34"/>
  <c r="G73" i="34"/>
  <c r="F73" i="34"/>
  <c r="E73" i="34"/>
  <c r="D73" i="34"/>
  <c r="C73" i="34"/>
  <c r="B73" i="34"/>
  <c r="J72" i="34"/>
  <c r="I72" i="34"/>
  <c r="H72" i="34"/>
  <c r="G72" i="34"/>
  <c r="F72" i="34"/>
  <c r="E72" i="34"/>
  <c r="D72" i="34"/>
  <c r="C72" i="34"/>
  <c r="B72" i="34"/>
  <c r="J71" i="34"/>
  <c r="I71" i="34"/>
  <c r="H71" i="34"/>
  <c r="G71" i="34"/>
  <c r="F71" i="34"/>
  <c r="E71" i="34"/>
  <c r="D71" i="34"/>
  <c r="C71" i="34"/>
  <c r="B71" i="34"/>
  <c r="J70" i="34"/>
  <c r="I70" i="34"/>
  <c r="H70" i="34"/>
  <c r="G70" i="34"/>
  <c r="F70" i="34"/>
  <c r="E70" i="34"/>
  <c r="D70" i="34"/>
  <c r="C70" i="34"/>
  <c r="B70" i="34"/>
  <c r="J69" i="34"/>
  <c r="I69" i="34"/>
  <c r="H69" i="34"/>
  <c r="G69" i="34"/>
  <c r="F69" i="34"/>
  <c r="E69" i="34"/>
  <c r="D69" i="34"/>
  <c r="C69" i="34"/>
  <c r="B69" i="34"/>
  <c r="J68" i="34"/>
  <c r="I68" i="34"/>
  <c r="H68" i="34"/>
  <c r="G68" i="34"/>
  <c r="F68" i="34"/>
  <c r="E68" i="34"/>
  <c r="D68" i="34"/>
  <c r="C68" i="34"/>
  <c r="B68" i="34"/>
  <c r="J64" i="34"/>
  <c r="I64" i="34"/>
  <c r="H64" i="34"/>
  <c r="G64" i="34"/>
  <c r="F64" i="34"/>
  <c r="E64" i="34"/>
  <c r="D64" i="34"/>
  <c r="C64" i="34"/>
  <c r="B64" i="34"/>
  <c r="J63" i="34"/>
  <c r="I63" i="34"/>
  <c r="H63" i="34"/>
  <c r="G63" i="34"/>
  <c r="F63" i="34"/>
  <c r="E63" i="34"/>
  <c r="D63" i="34"/>
  <c r="C63" i="34"/>
  <c r="B63" i="34"/>
  <c r="J62" i="34"/>
  <c r="I62" i="34"/>
  <c r="H62" i="34"/>
  <c r="G62" i="34"/>
  <c r="F62" i="34"/>
  <c r="E62" i="34"/>
  <c r="D62" i="34"/>
  <c r="C62" i="34"/>
  <c r="B62" i="34"/>
  <c r="J61" i="34"/>
  <c r="I61" i="34"/>
  <c r="H61" i="34"/>
  <c r="G61" i="34"/>
  <c r="F61" i="34"/>
  <c r="E61" i="34"/>
  <c r="D61" i="34"/>
  <c r="C61" i="34"/>
  <c r="B61" i="34"/>
  <c r="J60" i="34"/>
  <c r="I60" i="34"/>
  <c r="H60" i="34"/>
  <c r="G60" i="34"/>
  <c r="F60" i="34"/>
  <c r="E60" i="34"/>
  <c r="D60" i="34"/>
  <c r="C60" i="34"/>
  <c r="B60" i="34"/>
  <c r="J59" i="34"/>
  <c r="I59" i="34"/>
  <c r="H59" i="34"/>
  <c r="G59" i="34"/>
  <c r="F59" i="34"/>
  <c r="E59" i="34"/>
  <c r="D59" i="34"/>
  <c r="C59" i="34"/>
  <c r="B59" i="34"/>
  <c r="J58" i="34"/>
  <c r="I58" i="34"/>
  <c r="H58" i="34"/>
  <c r="G58" i="34"/>
  <c r="F58" i="34"/>
  <c r="E58" i="34"/>
  <c r="D58" i="34"/>
  <c r="C58" i="34"/>
  <c r="B58" i="34"/>
  <c r="J54" i="34"/>
  <c r="I54" i="34"/>
  <c r="H54" i="34"/>
  <c r="G54" i="34"/>
  <c r="F54" i="34"/>
  <c r="E54" i="34"/>
  <c r="D54" i="34"/>
  <c r="C54" i="34"/>
  <c r="B54" i="34"/>
  <c r="J53" i="34"/>
  <c r="I53" i="34"/>
  <c r="H53" i="34"/>
  <c r="G53" i="34"/>
  <c r="F53" i="34"/>
  <c r="E53" i="34"/>
  <c r="D53" i="34"/>
  <c r="C53" i="34"/>
  <c r="B53" i="34"/>
  <c r="J52" i="34"/>
  <c r="I52" i="34"/>
  <c r="H52" i="34"/>
  <c r="G52" i="34"/>
  <c r="F52" i="34"/>
  <c r="E52" i="34"/>
  <c r="D52" i="34"/>
  <c r="C52" i="34"/>
  <c r="B52" i="34"/>
  <c r="J51" i="34"/>
  <c r="I51" i="34"/>
  <c r="H51" i="34"/>
  <c r="G51" i="34"/>
  <c r="F51" i="34"/>
  <c r="E51" i="34"/>
  <c r="D51" i="34"/>
  <c r="C51" i="34"/>
  <c r="B51" i="34"/>
  <c r="J50" i="34"/>
  <c r="I50" i="34"/>
  <c r="H50" i="34"/>
  <c r="G50" i="34"/>
  <c r="F50" i="34"/>
  <c r="E50" i="34"/>
  <c r="D50" i="34"/>
  <c r="C50" i="34"/>
  <c r="B50" i="34"/>
  <c r="J49" i="34"/>
  <c r="I49" i="34"/>
  <c r="H49" i="34"/>
  <c r="G49" i="34"/>
  <c r="F49" i="34"/>
  <c r="E49" i="34"/>
  <c r="D49" i="34"/>
  <c r="C49" i="34"/>
  <c r="B49" i="34"/>
  <c r="J48" i="34"/>
  <c r="I48" i="34"/>
  <c r="H48" i="34"/>
  <c r="G48" i="34"/>
  <c r="F48" i="34"/>
  <c r="E48" i="34"/>
  <c r="D48" i="34"/>
  <c r="C48" i="34"/>
  <c r="B48" i="34"/>
  <c r="J44" i="34"/>
  <c r="I44" i="34"/>
  <c r="H44" i="34"/>
  <c r="G44" i="34"/>
  <c r="F44" i="34"/>
  <c r="E44" i="34"/>
  <c r="D44" i="34"/>
  <c r="C44" i="34"/>
  <c r="B44" i="34"/>
  <c r="J43" i="34"/>
  <c r="I43" i="34"/>
  <c r="H43" i="34"/>
  <c r="G43" i="34"/>
  <c r="F43" i="34"/>
  <c r="E43" i="34"/>
  <c r="D43" i="34"/>
  <c r="C43" i="34"/>
  <c r="B43" i="34"/>
  <c r="J42" i="34"/>
  <c r="I42" i="34"/>
  <c r="H42" i="34"/>
  <c r="G42" i="34"/>
  <c r="F42" i="34"/>
  <c r="E42" i="34"/>
  <c r="D42" i="34"/>
  <c r="C42" i="34"/>
  <c r="B42" i="34"/>
  <c r="J41" i="34"/>
  <c r="I41" i="34"/>
  <c r="H41" i="34"/>
  <c r="G41" i="34"/>
  <c r="F41" i="34"/>
  <c r="E41" i="34"/>
  <c r="D41" i="34"/>
  <c r="C41" i="34"/>
  <c r="B41" i="34"/>
  <c r="J40" i="34"/>
  <c r="I40" i="34"/>
  <c r="H40" i="34"/>
  <c r="G40" i="34"/>
  <c r="F40" i="34"/>
  <c r="E40" i="34"/>
  <c r="D40" i="34"/>
  <c r="C40" i="34"/>
  <c r="B40" i="34"/>
  <c r="J39" i="34"/>
  <c r="I39" i="34"/>
  <c r="H39" i="34"/>
  <c r="G39" i="34"/>
  <c r="F39" i="34"/>
  <c r="E39" i="34"/>
  <c r="D39" i="34"/>
  <c r="C39" i="34"/>
  <c r="B39" i="34"/>
  <c r="J38" i="34"/>
  <c r="I38" i="34"/>
  <c r="H38" i="34"/>
  <c r="G38" i="34"/>
  <c r="F38" i="34"/>
  <c r="E38" i="34"/>
  <c r="D38" i="34"/>
  <c r="C38" i="34"/>
  <c r="B38" i="34"/>
  <c r="J34" i="34"/>
  <c r="I34" i="34"/>
  <c r="H34" i="34"/>
  <c r="G34" i="34"/>
  <c r="F34" i="34"/>
  <c r="E34" i="34"/>
  <c r="D34" i="34"/>
  <c r="C34" i="34"/>
  <c r="B34" i="34"/>
  <c r="J33" i="34"/>
  <c r="I33" i="34"/>
  <c r="H33" i="34"/>
  <c r="G33" i="34"/>
  <c r="F33" i="34"/>
  <c r="E33" i="34"/>
  <c r="D33" i="34"/>
  <c r="C33" i="34"/>
  <c r="B33" i="34"/>
  <c r="J32" i="34"/>
  <c r="I32" i="34"/>
  <c r="H32" i="34"/>
  <c r="G32" i="34"/>
  <c r="F32" i="34"/>
  <c r="E32" i="34"/>
  <c r="D32" i="34"/>
  <c r="C32" i="34"/>
  <c r="B32" i="34"/>
  <c r="J31" i="34"/>
  <c r="I31" i="34"/>
  <c r="H31" i="34"/>
  <c r="G31" i="34"/>
  <c r="F31" i="34"/>
  <c r="E31" i="34"/>
  <c r="D31" i="34"/>
  <c r="C31" i="34"/>
  <c r="B31" i="34"/>
  <c r="J30" i="34"/>
  <c r="I30" i="34"/>
  <c r="H30" i="34"/>
  <c r="G30" i="34"/>
  <c r="F30" i="34"/>
  <c r="E30" i="34"/>
  <c r="D30" i="34"/>
  <c r="C30" i="34"/>
  <c r="B30" i="34"/>
  <c r="J29" i="34"/>
  <c r="I29" i="34"/>
  <c r="H29" i="34"/>
  <c r="G29" i="34"/>
  <c r="F29" i="34"/>
  <c r="E29" i="34"/>
  <c r="D29" i="34"/>
  <c r="C29" i="34"/>
  <c r="B29" i="34"/>
  <c r="J28" i="34"/>
  <c r="I28" i="34"/>
  <c r="H28" i="34"/>
  <c r="G28" i="34"/>
  <c r="F28" i="34"/>
  <c r="E28" i="34"/>
  <c r="D28" i="34"/>
  <c r="C28" i="34"/>
  <c r="B28" i="34"/>
  <c r="J24" i="34"/>
  <c r="I24" i="34"/>
  <c r="H24" i="34"/>
  <c r="G24" i="34"/>
  <c r="F24" i="34"/>
  <c r="E24" i="34"/>
  <c r="D24" i="34"/>
  <c r="C24" i="34"/>
  <c r="B24" i="34"/>
  <c r="J23" i="34"/>
  <c r="I23" i="34"/>
  <c r="H23" i="34"/>
  <c r="G23" i="34"/>
  <c r="F23" i="34"/>
  <c r="E23" i="34"/>
  <c r="D23" i="34"/>
  <c r="C23" i="34"/>
  <c r="B23" i="34"/>
  <c r="J22" i="34"/>
  <c r="I22" i="34"/>
  <c r="H22" i="34"/>
  <c r="G22" i="34"/>
  <c r="F22" i="34"/>
  <c r="E22" i="34"/>
  <c r="D22" i="34"/>
  <c r="C22" i="34"/>
  <c r="B22" i="34"/>
  <c r="J21" i="34"/>
  <c r="I21" i="34"/>
  <c r="H21" i="34"/>
  <c r="G21" i="34"/>
  <c r="F21" i="34"/>
  <c r="E21" i="34"/>
  <c r="D21" i="34"/>
  <c r="C21" i="34"/>
  <c r="B21" i="34"/>
  <c r="J20" i="34"/>
  <c r="I20" i="34"/>
  <c r="H20" i="34"/>
  <c r="G20" i="34"/>
  <c r="F20" i="34"/>
  <c r="E20" i="34"/>
  <c r="D20" i="34"/>
  <c r="C20" i="34"/>
  <c r="B20" i="34"/>
  <c r="J19" i="34"/>
  <c r="I19" i="34"/>
  <c r="H19" i="34"/>
  <c r="G19" i="34"/>
  <c r="F19" i="34"/>
  <c r="E19" i="34"/>
  <c r="D19" i="34"/>
  <c r="C19" i="34"/>
  <c r="B19" i="34"/>
  <c r="J18" i="34"/>
  <c r="I18" i="34"/>
  <c r="H18" i="34"/>
  <c r="G18" i="34"/>
  <c r="F18" i="34"/>
  <c r="E18" i="34"/>
  <c r="D18" i="34"/>
  <c r="C18" i="34"/>
  <c r="B18" i="34"/>
  <c r="J14" i="34"/>
  <c r="I14" i="34"/>
  <c r="H14" i="34"/>
  <c r="G14" i="34"/>
  <c r="F14" i="34"/>
  <c r="E14" i="34"/>
  <c r="D14" i="34"/>
  <c r="C14" i="34"/>
  <c r="B14" i="34"/>
  <c r="K13" i="34"/>
  <c r="I13" i="34"/>
  <c r="H13" i="34"/>
  <c r="G13" i="34"/>
  <c r="F13" i="34"/>
  <c r="E13" i="34"/>
  <c r="D13" i="34"/>
  <c r="C13" i="34"/>
  <c r="B13" i="34"/>
  <c r="K12" i="34"/>
  <c r="J12" i="34"/>
  <c r="H12" i="34"/>
  <c r="G12" i="34"/>
  <c r="F12" i="34"/>
  <c r="E12" i="34"/>
  <c r="D12" i="34"/>
  <c r="C12" i="34"/>
  <c r="B12" i="34"/>
  <c r="K11" i="34"/>
  <c r="J11" i="34"/>
  <c r="I11" i="34"/>
  <c r="G11" i="34"/>
  <c r="F11" i="34"/>
  <c r="E11" i="34"/>
  <c r="D11" i="34"/>
  <c r="C11" i="34"/>
  <c r="B11" i="34"/>
  <c r="K10" i="34"/>
  <c r="J10" i="34"/>
  <c r="I10" i="34"/>
  <c r="H10" i="34"/>
  <c r="F10" i="34"/>
  <c r="E10" i="34"/>
  <c r="D10" i="34"/>
  <c r="C10" i="34"/>
  <c r="B10" i="34"/>
  <c r="K9" i="34"/>
  <c r="J9" i="34"/>
  <c r="I9" i="34"/>
  <c r="H9" i="34"/>
  <c r="G9" i="34"/>
  <c r="E9" i="34"/>
  <c r="D9" i="34"/>
  <c r="C9" i="34"/>
  <c r="B9" i="34"/>
  <c r="K8" i="34"/>
  <c r="J8" i="34"/>
  <c r="I8" i="34"/>
  <c r="H8" i="34"/>
  <c r="G8" i="34"/>
  <c r="F8" i="34"/>
  <c r="D8" i="34"/>
  <c r="C8" i="34"/>
  <c r="B8" i="34"/>
  <c r="K7" i="34"/>
  <c r="J7" i="34"/>
  <c r="I7" i="34"/>
  <c r="H7" i="34"/>
  <c r="G7" i="34"/>
  <c r="F7" i="34"/>
  <c r="E7" i="34"/>
  <c r="C7" i="34"/>
  <c r="B7" i="34"/>
  <c r="K6" i="34"/>
  <c r="J6" i="34"/>
  <c r="I6" i="34"/>
  <c r="H6" i="34"/>
  <c r="G6" i="34"/>
  <c r="F6" i="34"/>
  <c r="E6" i="34"/>
  <c r="D6" i="34"/>
  <c r="B6" i="34"/>
  <c r="K5" i="34"/>
  <c r="J5" i="34"/>
  <c r="I5" i="34"/>
  <c r="H5" i="34"/>
  <c r="G5" i="34"/>
  <c r="F5" i="34"/>
  <c r="E5" i="34"/>
  <c r="D5" i="34"/>
  <c r="C5" i="34"/>
  <c r="K40" i="33"/>
  <c r="J40" i="33"/>
  <c r="I40" i="33"/>
  <c r="H40" i="33"/>
  <c r="G40" i="33"/>
  <c r="F40" i="33"/>
  <c r="E40" i="33"/>
  <c r="D40" i="33"/>
  <c r="C40" i="33"/>
  <c r="B40" i="33"/>
  <c r="K39" i="33"/>
  <c r="J39" i="33"/>
  <c r="I39" i="33"/>
  <c r="H39" i="33"/>
  <c r="G39" i="33"/>
  <c r="F39" i="33"/>
  <c r="E39" i="33"/>
  <c r="D39" i="33"/>
  <c r="C39" i="33"/>
  <c r="B39" i="33"/>
  <c r="K38" i="33"/>
  <c r="J38" i="33"/>
  <c r="I38" i="33"/>
  <c r="H38" i="33"/>
  <c r="G38" i="33"/>
  <c r="F38" i="33"/>
  <c r="E38" i="33"/>
  <c r="D38" i="33"/>
  <c r="C38" i="33"/>
  <c r="B38" i="33"/>
  <c r="K37" i="33"/>
  <c r="J37" i="33"/>
  <c r="I37" i="33"/>
  <c r="H37" i="33"/>
  <c r="G37" i="33"/>
  <c r="F37" i="33"/>
  <c r="E37" i="33"/>
  <c r="D37" i="33"/>
  <c r="C37" i="33"/>
  <c r="B37" i="33"/>
  <c r="K36" i="33"/>
  <c r="J36" i="33"/>
  <c r="I36" i="33"/>
  <c r="H36" i="33"/>
  <c r="G36" i="33"/>
  <c r="F36" i="33"/>
  <c r="E36" i="33"/>
  <c r="D36" i="33"/>
  <c r="C36" i="33"/>
  <c r="B36" i="33"/>
  <c r="K35" i="33"/>
  <c r="J35" i="33"/>
  <c r="I35" i="33"/>
  <c r="H35" i="33"/>
  <c r="G35" i="33"/>
  <c r="F35" i="33"/>
  <c r="E35" i="33"/>
  <c r="D35" i="33"/>
  <c r="C35" i="33"/>
  <c r="B35" i="33"/>
  <c r="K34" i="33"/>
  <c r="J34" i="33"/>
  <c r="I34" i="33"/>
  <c r="H34" i="33"/>
  <c r="G34" i="33"/>
  <c r="F34" i="33"/>
  <c r="E34" i="33"/>
  <c r="D34" i="33"/>
  <c r="C34" i="33"/>
  <c r="B34" i="33"/>
  <c r="K33" i="33"/>
  <c r="J33" i="33"/>
  <c r="I33" i="33"/>
  <c r="H33" i="33"/>
  <c r="G33" i="33"/>
  <c r="F33" i="33"/>
  <c r="E33" i="33"/>
  <c r="D33" i="33"/>
  <c r="C33" i="33"/>
  <c r="B33" i="33"/>
  <c r="K32" i="33"/>
  <c r="J32" i="33"/>
  <c r="I32" i="33"/>
  <c r="H32" i="33"/>
  <c r="G32" i="33"/>
  <c r="F32" i="33"/>
  <c r="E32" i="33"/>
  <c r="D32" i="33"/>
  <c r="C32" i="33"/>
  <c r="B32" i="33"/>
  <c r="K31" i="33"/>
  <c r="J31" i="33"/>
  <c r="I31" i="33"/>
  <c r="H31" i="33"/>
  <c r="G31" i="33"/>
  <c r="F31" i="33"/>
  <c r="E31" i="33"/>
  <c r="D31" i="33"/>
  <c r="C31" i="33"/>
  <c r="B31" i="33"/>
  <c r="K27" i="33"/>
  <c r="J27" i="33"/>
  <c r="I27" i="33"/>
  <c r="H27" i="33"/>
  <c r="G27" i="33"/>
  <c r="F27" i="33"/>
  <c r="E27" i="33"/>
  <c r="D27" i="33"/>
  <c r="C27" i="33"/>
  <c r="B27" i="33"/>
  <c r="K26" i="33"/>
  <c r="J26" i="33"/>
  <c r="I26" i="33"/>
  <c r="H26" i="33"/>
  <c r="G26" i="33"/>
  <c r="F26" i="33"/>
  <c r="E26" i="33"/>
  <c r="D26" i="33"/>
  <c r="C26" i="33"/>
  <c r="B26" i="33"/>
  <c r="K25" i="33"/>
  <c r="J25" i="33"/>
  <c r="I25" i="33"/>
  <c r="H25" i="33"/>
  <c r="G25" i="33"/>
  <c r="F25" i="33"/>
  <c r="E25" i="33"/>
  <c r="D25" i="33"/>
  <c r="C25" i="33"/>
  <c r="B25" i="33"/>
  <c r="K24" i="33"/>
  <c r="J24" i="33"/>
  <c r="I24" i="33"/>
  <c r="H24" i="33"/>
  <c r="G24" i="33"/>
  <c r="F24" i="33"/>
  <c r="E24" i="33"/>
  <c r="D24" i="33"/>
  <c r="C24" i="33"/>
  <c r="B24" i="33"/>
  <c r="K23" i="33"/>
  <c r="J23" i="33"/>
  <c r="I23" i="33"/>
  <c r="H23" i="33"/>
  <c r="G23" i="33"/>
  <c r="F23" i="33"/>
  <c r="E23" i="33"/>
  <c r="D23" i="33"/>
  <c r="C23" i="33"/>
  <c r="B23" i="33"/>
  <c r="K22" i="33"/>
  <c r="J22" i="33"/>
  <c r="I22" i="33"/>
  <c r="H22" i="33"/>
  <c r="G22" i="33"/>
  <c r="F22" i="33"/>
  <c r="E22" i="33"/>
  <c r="D22" i="33"/>
  <c r="C22" i="33"/>
  <c r="B22" i="33"/>
  <c r="K21" i="33"/>
  <c r="J21" i="33"/>
  <c r="I21" i="33"/>
  <c r="H21" i="33"/>
  <c r="G21" i="33"/>
  <c r="F21" i="33"/>
  <c r="E21" i="33"/>
  <c r="D21" i="33"/>
  <c r="C21" i="33"/>
  <c r="B21" i="33"/>
  <c r="K20" i="33"/>
  <c r="J20" i="33"/>
  <c r="I20" i="33"/>
  <c r="H20" i="33"/>
  <c r="G20" i="33"/>
  <c r="F20" i="33"/>
  <c r="E20" i="33"/>
  <c r="D20" i="33"/>
  <c r="C20" i="33"/>
  <c r="B20" i="33"/>
  <c r="K19" i="33"/>
  <c r="J19" i="33"/>
  <c r="I19" i="33"/>
  <c r="H19" i="33"/>
  <c r="G19" i="33"/>
  <c r="F19" i="33"/>
  <c r="E19" i="33"/>
  <c r="D19" i="33"/>
  <c r="C19" i="33"/>
  <c r="B19" i="33"/>
  <c r="K18" i="33"/>
  <c r="J18" i="33"/>
  <c r="I18" i="33"/>
  <c r="H18" i="33"/>
  <c r="G18" i="33"/>
  <c r="F18" i="33"/>
  <c r="E18" i="33"/>
  <c r="D18" i="33"/>
  <c r="C18" i="33"/>
  <c r="B18" i="33"/>
  <c r="K14" i="33"/>
  <c r="J14" i="33"/>
  <c r="I14" i="33"/>
  <c r="H14" i="33"/>
  <c r="G14" i="33"/>
  <c r="F14" i="33"/>
  <c r="E14" i="33"/>
  <c r="D14" i="33"/>
  <c r="C14" i="33"/>
  <c r="B14" i="33"/>
  <c r="K13" i="33"/>
  <c r="J13" i="33"/>
  <c r="I13" i="33"/>
  <c r="H13" i="33"/>
  <c r="G13" i="33"/>
  <c r="F13" i="33"/>
  <c r="E13" i="33"/>
  <c r="D13" i="33"/>
  <c r="C13" i="33"/>
  <c r="B13" i="33"/>
  <c r="K12" i="33"/>
  <c r="J12" i="33"/>
  <c r="I12" i="33"/>
  <c r="H12" i="33"/>
  <c r="G12" i="33"/>
  <c r="F12" i="33"/>
  <c r="E12" i="33"/>
  <c r="D12" i="33"/>
  <c r="C12" i="33"/>
  <c r="B12" i="33"/>
  <c r="K11" i="33"/>
  <c r="J11" i="33"/>
  <c r="I11" i="33"/>
  <c r="H11" i="33"/>
  <c r="G11" i="33"/>
  <c r="F11" i="33"/>
  <c r="E11" i="33"/>
  <c r="D11" i="33"/>
  <c r="C11" i="33"/>
  <c r="B11" i="33"/>
  <c r="K10" i="33"/>
  <c r="J10" i="33"/>
  <c r="I10" i="33"/>
  <c r="H10" i="33"/>
  <c r="G10" i="33"/>
  <c r="F10" i="33"/>
  <c r="E10" i="33"/>
  <c r="D10" i="33"/>
  <c r="C10" i="33"/>
  <c r="B10" i="33"/>
  <c r="K9" i="33"/>
  <c r="J9" i="33"/>
  <c r="I9" i="33"/>
  <c r="H9" i="33"/>
  <c r="G9" i="33"/>
  <c r="F9" i="33"/>
  <c r="E9" i="33"/>
  <c r="D9" i="33"/>
  <c r="C9" i="33"/>
  <c r="B9" i="33"/>
  <c r="K8" i="33"/>
  <c r="J8" i="33"/>
  <c r="I8" i="33"/>
  <c r="H8" i="33"/>
  <c r="G8" i="33"/>
  <c r="F8" i="33"/>
  <c r="E8" i="33"/>
  <c r="D8" i="33"/>
  <c r="C8" i="33"/>
  <c r="B8" i="33"/>
  <c r="K7" i="33"/>
  <c r="J7" i="33"/>
  <c r="I7" i="33"/>
  <c r="H7" i="33"/>
  <c r="G7" i="33"/>
  <c r="F7" i="33"/>
  <c r="E7" i="33"/>
  <c r="D7" i="33"/>
  <c r="C7" i="33"/>
  <c r="B7" i="33"/>
  <c r="K6" i="33"/>
  <c r="J6" i="33"/>
  <c r="I6" i="33"/>
  <c r="H6" i="33"/>
  <c r="G6" i="33"/>
  <c r="F6" i="33"/>
  <c r="E6" i="33"/>
  <c r="D6" i="33"/>
  <c r="C6" i="33"/>
  <c r="B6" i="33"/>
  <c r="K5" i="33"/>
  <c r="J5" i="33"/>
  <c r="I5" i="33"/>
  <c r="H5" i="33"/>
  <c r="G5" i="33"/>
  <c r="F5" i="33"/>
  <c r="E5" i="33"/>
  <c r="D5" i="33"/>
  <c r="C5" i="33"/>
  <c r="B5" i="33"/>
  <c r="M17" i="32"/>
  <c r="K17" i="32"/>
  <c r="I17" i="32"/>
  <c r="F17" i="32"/>
  <c r="E17" i="32"/>
  <c r="B17" i="32"/>
  <c r="M16" i="32"/>
  <c r="K16" i="32"/>
  <c r="I16" i="32"/>
  <c r="F16" i="32"/>
  <c r="E16" i="32"/>
  <c r="B16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B8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B7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B6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B5" i="32"/>
  <c r="D34" i="31"/>
  <c r="D33" i="31"/>
  <c r="D32" i="31"/>
  <c r="D31" i="31"/>
  <c r="D30" i="31"/>
  <c r="D29" i="31"/>
  <c r="D28" i="31"/>
  <c r="D27" i="31"/>
  <c r="D26" i="31"/>
  <c r="D25" i="31"/>
</calcChain>
</file>

<file path=xl/sharedStrings.xml><?xml version="1.0" encoding="utf-8"?>
<sst xmlns="http://schemas.openxmlformats.org/spreadsheetml/2006/main" count="410" uniqueCount="194">
  <si>
    <t>№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</si>
  <si>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</si>
  <si>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</si>
  <si>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</si>
  <si>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</si>
  <si>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</si>
  <si>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</si>
  <si>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</si>
  <si>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</si>
  <si>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</si>
  <si>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</si>
  <si>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 xml:space="preserve">Color and Sign of Quantitative Features - </t>
  </si>
  <si>
    <t xml:space="preserve">Color and Sign of Nominal Features - </t>
  </si>
  <si>
    <t>Workbook map</t>
  </si>
  <si>
    <t>#</t>
  </si>
  <si>
    <t>Sheet</t>
  </si>
  <si>
    <t>Stage</t>
  </si>
  <si>
    <t>What it contains</t>
  </si>
  <si>
    <t>Dataset</t>
  </si>
  <si>
    <t>Quantitative</t>
  </si>
  <si>
    <t>Nominal</t>
  </si>
  <si>
    <t>Key figures</t>
  </si>
  <si>
    <t>Figure</t>
  </si>
  <si>
    <t>Value</t>
  </si>
  <si>
    <t>Linked to</t>
  </si>
  <si>
    <t>Objects (samples)</t>
  </si>
  <si>
    <t>Dataset · O3:O12</t>
  </si>
  <si>
    <t>Dataset · B3:N3</t>
  </si>
  <si>
    <t>Objects in class 1 (K1)</t>
  </si>
  <si>
    <t>Objects in class 2 (K2)</t>
  </si>
  <si>
    <t>Colour legend</t>
  </si>
  <si>
    <t>Aa</t>
  </si>
  <si>
    <t>Class label (1 / 2)</t>
  </si>
  <si>
    <t>Notes</t>
  </si>
  <si>
    <t>•  Every sheet is set up to print landscape on A4, one page wide, with the workbook name, sheet name and page numbers in the header / footer.</t>
  </si>
  <si>
    <t>Forming Synthetic Features using k-NN</t>
  </si>
  <si>
    <t>Experiment on the Heart-Disease dataset  ·  10 objects  ·  13 features (6 quantitative, 7 nominal)  ·  2 classes  ·  Zhuravlev metric</t>
  </si>
  <si>
    <t>Input data</t>
  </si>
  <si>
    <t>Original sample: 10 objects (S₁–S₁₀) × 13 features (x₁–x₁₃) with class labels (K1 = 4, K2 = 6); feature-type flags in row 13 (1 = quantitative, 0 = nominal) and the split into 6 quantitative and 7 nominal features.</t>
  </si>
  <si>
    <t>The 6 quantitative features (x₁, x₄, x₅, x₈, x₁₀, x₁₂) with class labels.</t>
  </si>
  <si>
    <t>The 7 nominal features (x₂, x₃, x₆, x₇, x₉, x₁₁, x₁₃) with class labels.</t>
  </si>
  <si>
    <t>Normalized Dataset</t>
  </si>
  <si>
    <t>Step 1 · Scale unification</t>
  </si>
  <si>
    <t>Quantitative features mapped to [0, 1] by (x − min) / (max − min); nominal codes unchanged; type, min and max rows.</t>
  </si>
  <si>
    <t>Zhuravlev Distances</t>
  </si>
  <si>
    <t>Step 2 · Distances</t>
  </si>
  <si>
    <t>Zhuravlev distance ρ(Sᵢ, Sⱼ) for all pairs, with its quantitative part and its nominal (mismatch-count) part.</t>
  </si>
  <si>
    <t>Sorted Neighbors</t>
  </si>
  <si>
    <t>Step 3 · Sorting</t>
  </si>
  <si>
    <t>Rank matrix, then one block per object: neighbours in ascending ρ with original index, distance, class, same-class flag and running count; the permitted k are marked.</t>
  </si>
  <si>
    <t>Synthetic Features (k-NN)</t>
  </si>
  <si>
    <t>Step 4 · Synthetic features</t>
  </si>
  <si>
    <t>For each Sᵢ and each permitted k (odd, k_min … k_max, k_max = 2·min|Kᵢ| − 3): the number of its k nearest neighbours that share its class — the synthetic features based on k-NN — with the experiment parameters.</t>
  </si>
  <si>
    <t>Algorithm — pipeline specification (same steps and names as the planned Python project)</t>
  </si>
  <si>
    <t>Step</t>
  </si>
  <si>
    <t>Output sheet</t>
  </si>
  <si>
    <t>Definition  →  planned Python function</t>
  </si>
  <si>
    <t>Load the dataset</t>
  </si>
  <si>
    <t>Objects S₁…Sₘ, features x₁…xₙ, feature type tⱼ (1 = quantitative ∈ I, 0 = nominal ∈ J), class labels.   →   io.load_dataset(path) -&gt; (names, X, y, types)</t>
  </si>
  <si>
    <t>Unify measurement scales</t>
  </si>
  <si>
    <t>x′ = (x − min) / (max − min) for j ∈ I (0 if max = min); nominal values unchanged.   →   preprocessing.unify_scales(X, types)</t>
  </si>
  <si>
    <t>Zhuravlev distances</t>
  </si>
  <si>
    <t>ρ(x, y) = Σ(j∈I) |x′ⱼ − y′ⱼ| + Σ(j∈J) [xⱼ ≠ yⱼ], rounded to 10 decimals.   →   metrics.zhuravlev(x, y, types), metrics.distance_matrix(...)</t>
  </si>
  <si>
    <t>Sort neighbours</t>
  </si>
  <si>
    <t>For each Sᵢ: all Sⱼ ≠ Sᵢ ordered by (ρ(Sᵢ, Sⱼ), j); each neighbour keeps its original index j and class.   →   neighbours.sorted_neighbours(D, y)</t>
  </si>
  <si>
    <t>Synthetic Features based on k-NN</t>
  </si>
  <si>
    <t>k = 3, 5, …, k_max with k_min = 3 fixed and k_max = 2·min|Kᵢ| − 3 (class sizes from the data): count of same-class objects among the first k neighbours.   →   features.permitted_k(y), features.same_class_counts(neigh, y, ks)</t>
  </si>
  <si>
    <t>Features</t>
  </si>
  <si>
    <t>Quantitative features (set I)</t>
  </si>
  <si>
    <t>Dataset · B13:N13</t>
  </si>
  <si>
    <t>Nominal features (set J)</t>
  </si>
  <si>
    <t>Smallest class  min |Kᵢ|</t>
  </si>
  <si>
    <t>Synthetic Features (k-NN) · parameters</t>
  </si>
  <si>
    <t>k_max = 2 · min |Kᵢ| − 3</t>
  </si>
  <si>
    <t>Permitted k values</t>
  </si>
  <si>
    <t>Nearest neighbour of S₁</t>
  </si>
  <si>
    <t>Sorted Neighbors · S₁ block, rank 1</t>
  </si>
  <si>
    <t>Sheet title bar</t>
  </si>
  <si>
    <t>Table / block title bar</t>
  </si>
  <si>
    <t>Column header (x₁ … x₁₃, S₁ … S₁₀, rank, k)</t>
  </si>
  <si>
    <t>Object label S₁ … S₁₀, neighbour names and row captions</t>
  </si>
  <si>
    <t>Quantitative feature values (original or normalized)</t>
  </si>
  <si>
    <t>Nominal feature values</t>
  </si>
  <si>
    <t>Feature-type flag (1 = quantitative, 0 = nominal)</t>
  </si>
  <si>
    <t>Neighbour of the same class as the target (Step 3)</t>
  </si>
  <si>
    <t>Nested neighbourhood of a permitted k (Step 3)</t>
  </si>
  <si>
    <t>Synthetic feature value based on k-NN (Step 4)</t>
  </si>
  <si>
    <t>Key label / parameter</t>
  </si>
  <si>
    <t>•  Symbols such as x₁ and S₁ on the Dataset, Quantitative and Nominal sheets are Office-Math equation objects placed over the cells; the new sheets use cell text with subscripts.</t>
  </si>
  <si>
    <t>•  Every Step 1–4 cell is a live formula linked to the Dataset sheet: change a value, a class or a type flag there and all four steps recalculate.</t>
  </si>
  <si>
    <t>•  Only the k permitted by k_max = 2·min|Kᵢ| − 3 are used (odd k from k_min = 3, fixed for every dataset); |K1| and |K2| are counted from the Dataset, so k_max follows the data.</t>
  </si>
  <si>
    <t>•  Distances are rounded to 10 decimals so that equal distances tie exactly; ties are broken by the smaller original index — the same rule as the Python reference implementation.</t>
  </si>
  <si>
    <t>Step 1 · Normalized dataset — quantitative features mapped to [0, 1], nominal features unchanged</t>
  </si>
  <si>
    <t>Heart + Disease (10, 13, 2) after scale unification:  x′ = (x − min) / (max − min)  for j ∈ I</t>
  </si>
  <si>
    <t>x₁</t>
  </si>
  <si>
    <t>x₂</t>
  </si>
  <si>
    <t>x₃</t>
  </si>
  <si>
    <t>x₄</t>
  </si>
  <si>
    <t>x₅</t>
  </si>
  <si>
    <t>x₆</t>
  </si>
  <si>
    <t>x₇</t>
  </si>
  <si>
    <t>x₈</t>
  </si>
  <si>
    <t>x₉</t>
  </si>
  <si>
    <t>x₁₀</t>
  </si>
  <si>
    <t>x₁₁</t>
  </si>
  <si>
    <t>x₁₂</t>
  </si>
  <si>
    <t>x₁₃</t>
  </si>
  <si>
    <t>S₁</t>
  </si>
  <si>
    <t>S₂</t>
  </si>
  <si>
    <t>S₃</t>
  </si>
  <si>
    <t>S₄</t>
  </si>
  <si>
    <t>S₅</t>
  </si>
  <si>
    <t>S₆</t>
  </si>
  <si>
    <t>S₇</t>
  </si>
  <si>
    <t>S₈</t>
  </si>
  <si>
    <t>S₉</t>
  </si>
  <si>
    <t>S₁₀</t>
  </si>
  <si>
    <t>Type</t>
  </si>
  <si>
    <t>1 = I</t>
  </si>
  <si>
    <t>min</t>
  </si>
  <si>
    <t>—</t>
  </si>
  <si>
    <t/>
  </si>
  <si>
    <t>max</t>
  </si>
  <si>
    <t>Type 1 = quantitative feature (set I): the value is rescaled to [0, 1] with the fractional-linear (min–max) transform; min and max are taken over S₁ … S₁₀.</t>
  </si>
  <si>
    <t>Type 0 = nominal feature (set J): the original code is kept, because the metric only asks whether two codes are equal.</t>
  </si>
  <si>
    <t>All cells are formulas linked to the Dataset sheet (values B3:N12, classes O3:O12, type flags B13:N13).</t>
  </si>
  <si>
    <t>Step 2 · Pairwise distances — Zhuravlev metric  ρ(x, y) = Σ(j∈I) |x′ⱼ − y′ⱼ| + Σ(j∈J) [xⱼ ≠ yⱼ]</t>
  </si>
  <si>
    <t>Zhuravlev distance  ρ(Sᵢ, Sⱼ)  —  row = target object Sᵢ, column = object Sⱼ in original order</t>
  </si>
  <si>
    <t>ρ</t>
  </si>
  <si>
    <t>Quantitative part  Σ(j∈I) |x′ⱼ − y′ⱼ|  (normalized values from Step 1)</t>
  </si>
  <si>
    <t>Nominal part  Σ(j∈J) [xⱼ ≠ yⱼ]  (number of nominal features with different codes)</t>
  </si>
  <si>
    <t>Each row lists the distances from the target object Sᵢ to S₁ … S₁₀ in their original order (image 1: S₁ → S₂, S₃, …, S₁₀).</t>
  </si>
  <si>
    <t>ρ = quantitative part + nominal part, rounded to 10 decimals so that mathematically equal distances tie exactly. Diagonal ρ(Sᵢ, Sᵢ) = 0 is shown in grey and never used as a neighbour.</t>
  </si>
  <si>
    <t>Number format shows 4 decimals; full precision is stored in the cells.</t>
  </si>
  <si>
    <t>Step 3 · Neighbours of every object sorted by ascending ρ — original index and class kept</t>
  </si>
  <si>
    <t>Rank of Sⱼ in the neighbour list of Sᵢ  (self excluded; equal distances → smaller original index first)</t>
  </si>
  <si>
    <t>Sᵢ \ Sⱼ</t>
  </si>
  <si>
    <t>S₁  ·  class 2  —  neighbours in ascending distance  (target row 5 of the rank matrix)</t>
  </si>
  <si>
    <t>Rank</t>
  </si>
  <si>
    <t>k-neighbourhood</t>
  </si>
  <si>
    <t>Neighbour</t>
  </si>
  <si>
    <t>Original index</t>
  </si>
  <si>
    <t>ρ(S₁, neighbour)</t>
  </si>
  <si>
    <t>Same class as S₁</t>
  </si>
  <si>
    <t>Same-class count (1 … rank)</t>
  </si>
  <si>
    <t>S₂  ·  class 1  —  neighbours in ascending distance  (target row 6 of the rank matrix)</t>
  </si>
  <si>
    <t>ρ(S₂, neighbour)</t>
  </si>
  <si>
    <t>Same class as S₂</t>
  </si>
  <si>
    <t>S₃  ·  class 2  —  neighbours in ascending distance  (target row 7 of the rank matrix)</t>
  </si>
  <si>
    <t>ρ(S₃, neighbour)</t>
  </si>
  <si>
    <t>Same class as S₃</t>
  </si>
  <si>
    <t>S₄  ·  class 1  —  neighbours in ascending distance  (target row 8 of the rank matrix)</t>
  </si>
  <si>
    <t>ρ(S₄, neighbour)</t>
  </si>
  <si>
    <t>Same class as S₄</t>
  </si>
  <si>
    <t>S₅  ·  class 1  —  neighbours in ascending distance  (target row 9 of the rank matrix)</t>
  </si>
  <si>
    <t>ρ(S₅, neighbour)</t>
  </si>
  <si>
    <t>Same class as S₅</t>
  </si>
  <si>
    <t>S₆  ·  class 1  —  neighbours in ascending distance  (target row 10 of the rank matrix)</t>
  </si>
  <si>
    <t>ρ(S₆, neighbour)</t>
  </si>
  <si>
    <t>Same class as S₆</t>
  </si>
  <si>
    <t>S₇  ·  class 2  —  neighbours in ascending distance  (target row 11 of the rank matrix)</t>
  </si>
  <si>
    <t>ρ(S₇, neighbour)</t>
  </si>
  <si>
    <t>Same class as S₇</t>
  </si>
  <si>
    <t>S₈  ·  class 2  —  neighbours in ascending distance  (target row 12 of the rank matrix)</t>
  </si>
  <si>
    <t>ρ(S₈, neighbour)</t>
  </si>
  <si>
    <t>Same class as S₈</t>
  </si>
  <si>
    <t>S₉  ·  class 2  —  neighbours in ascending distance  (target row 13 of the rank matrix)</t>
  </si>
  <si>
    <t>ρ(S₉, neighbour)</t>
  </si>
  <si>
    <t>Same class as S₉</t>
  </si>
  <si>
    <t>S₁₀  ·  class 2  —  neighbours in ascending distance  (target row 14 of the rank matrix)</t>
  </si>
  <si>
    <t>ρ(S₁₀, neighbour)</t>
  </si>
  <si>
    <t>Same class as S₁₀</t>
  </si>
  <si>
    <t>Ranks use the distances of Step 2: rank = 1 + #{objects closer than Sⱼ} + #{objects at the same distance with a smaller original index}; the target itself is excluded.</t>
  </si>
  <si>
    <t>Each block follows image 2: neighbour, its original index and class stay attached; yellow cells mark the nested neighbourhoods of the permitted k (odd, k_min … k_max, k_max = 2·min|Kᵢ| − 3 — see the Step 4 parameters).</t>
  </si>
  <si>
    <t>Green “1” = the neighbour belongs to the same class as the target; the last row is the running count used by Step 4.</t>
  </si>
  <si>
    <t>Step 4 · Synthetic Features based on k-NN — same-class neighbours of Sᵢ for k = k_min … k_max</t>
  </si>
  <si>
    <t>Experiment parameters</t>
  </si>
  <si>
    <t>Objects m</t>
  </si>
  <si>
    <t>Neighbours per object (m − 1)</t>
  </si>
  <si>
    <t>|K1|  (objects of class 1)</t>
  </si>
  <si>
    <t>|K2|  (objects of class 2)</t>
  </si>
  <si>
    <t>min |Kᵢ|  (smallest class)</t>
  </si>
  <si>
    <t>k_min  (fixed for every dataset)</t>
  </si>
  <si>
    <t>Permitted k  (odd, k_min … k_max)</t>
  </si>
  <si>
    <t>Number of permitted k</t>
  </si>
  <si>
    <t>Table check</t>
  </si>
  <si>
    <t>Metric</t>
  </si>
  <si>
    <t>Zhuravlev</t>
  </si>
  <si>
    <t>Tie rule</t>
  </si>
  <si>
    <t>smaller original index first</t>
  </si>
  <si>
    <t>Cell value = number of the k nearest neighbours (Step 3 order) whose class equals the class of Sᵢ.</t>
  </si>
  <si>
    <t>Only the k permitted by k_max = 2 · min |Kᵢ| − 3 are used: odd k from k_min = 3 (fixed for every dataset) up to k_max. |K1| and |K2| are counted from the Dataset classes, so k_max follows the data.</t>
  </si>
  <si>
    <t>At k = k_max a same-class majority needs (k + 1) / 2 = min |Kᵢ| − 1 neighbours, i.e. all other objects of the smallest class.</t>
  </si>
  <si>
    <t>Headers are formulas k_min + 2t shown as “k = …”; a column shows “—” if its k leaves the range, and the check row reports when the class sizes call for a different number of columns. If min |Kᵢ| &lt; 3, no k is permitted.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</si>
</sst>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k = &quot;0"/>
  </numFmts>
  <fonts count="2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15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17" fillId="13" borderId="1" xfId="0" applyNumberFormat="1" applyFon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18" fillId="13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/>
    </xf>
    <xf numFmtId="0" fontId="18" fillId="13" borderId="1" xfId="0" applyNumberFormat="1" applyFont="1" applyFill="1" applyBorder="1" applyAlignment="1">
      <alignment horizontal="center" vertical="center"/>
    </xf>
    <xf numFmtId="0" fontId="19" fillId="14" borderId="1" xfId="0" applyNumberFormat="1" applyFont="1" applyFill="1" applyBorder="1" applyAlignment="1">
      <alignment horizontal="center" vertical="center"/>
    </xf>
    <xf numFmtId="0" fontId="4" fillId="15" borderId="1" xfId="0" applyNumberFormat="1" applyFont="1" applyFill="1" applyBorder="1" applyAlignment="1">
      <alignment horizontal="center" vertical="center"/>
    </xf>
    <xf numFmtId="0" fontId="0" fillId="14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left" vertical="center" indent="1"/>
    </xf>
    <xf numFmtId="0" fontId="4" fillId="9" borderId="1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left" vertical="center"/>
    </xf>
    <xf numFmtId="0" fontId="12" fillId="0" borderId="4" xfId="0" applyNumberFormat="1" applyFont="1" applyFill="1" applyBorder="1" applyAlignment="1">
      <alignment horizontal="left" vertical="center"/>
    </xf>
    <xf numFmtId="0" fontId="9" fillId="10" borderId="3" xfId="0" applyNumberFormat="1" applyFont="1" applyFill="1" applyBorder="1" applyAlignment="1">
      <alignment horizontal="left" vertical="center" indent="1"/>
    </xf>
    <xf numFmtId="0" fontId="9" fillId="1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left" vertical="center" wrapText="1" indent="1"/>
    </xf>
    <xf numFmtId="0" fontId="6" fillId="0" borderId="3" xfId="0" applyNumberFormat="1" applyFont="1" applyFill="1" applyBorder="1" applyAlignment="1">
      <alignment horizontal="left" vertical="center" wrapText="1" indent="1"/>
    </xf>
    <xf numFmtId="0" fontId="13" fillId="0" borderId="3" xfId="0" applyNumberFormat="1" applyFont="1" applyFill="1" applyBorder="1" applyAlignment="1">
      <alignment horizontal="left" vertical="center" indent="1"/>
    </xf>
    <xf numFmtId="0" fontId="15" fillId="13" borderId="3" xfId="0" applyNumberFormat="1" applyFont="1" applyFill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left" vertical="center" indent="1"/>
    </xf>
    <xf numFmtId="0" fontId="22" fillId="16" borderId="3" xfId="0" applyNumberFormat="1" applyFont="1" applyFill="1" applyBorder="1" applyAlignment="1">
      <alignment horizontal="left" vertical="center" wrapText="1" indent="1"/>
    </xf>
    <xf numFmtId="0" fontId="9" fillId="2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6" fillId="6" borderId="3" xfId="0" applyNumberFormat="1" applyFont="1" applyFill="1" applyBorder="1" applyAlignment="1">
      <alignment horizontal="center" vertical="center"/>
    </xf>
    <xf numFmtId="0" fontId="6" fillId="7" borderId="3" xfId="0" applyNumberFormat="1" applyFont="1" applyFill="1" applyBorder="1" applyAlignment="1">
      <alignment horizontal="center" vertical="center"/>
    </xf>
    <xf numFmtId="0" fontId="23" fillId="8" borderId="3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24" fillId="12" borderId="3" xfId="0" applyNumberFormat="1" applyFont="1" applyFill="1" applyBorder="1" applyAlignment="1">
      <alignment horizontal="center" vertical="center"/>
    </xf>
    <xf numFmtId="0" fontId="20" fillId="11" borderId="3" xfId="0" applyNumberFormat="1" applyFont="1" applyFill="1" applyBorder="1" applyAlignment="1">
      <alignment horizontal="center" vertical="center"/>
    </xf>
    <xf numFmtId="0" fontId="6" fillId="15" borderId="3" xfId="0" applyNumberFormat="1" applyFont="1" applyFill="1" applyBorder="1" applyAlignment="1">
      <alignment horizontal="center" vertical="center"/>
    </xf>
    <xf numFmtId="0" fontId="25" fillId="9" borderId="3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 wrapText="1" indent="1"/>
    </xf>
    <xf numFmtId="0" fontId="0" fillId="0" borderId="0" xfId="0"/>
    <xf numFmtId="0" fontId="0" fillId="0" borderId="3" xfId="0" applyNumberFormat="1" applyFont="1" applyFill="1" applyBorder="1" applyAlignment="1">
      <alignment horizontal="left" vertical="center" wrapText="1" indent="1"/>
    </xf>
    <xf numFmtId="0" fontId="10" fillId="2" borderId="0" xfId="0" applyNumberFormat="1" applyFont="1" applyFill="1" applyBorder="1" applyAlignment="1">
      <alignment horizontal="left" vertical="center" indent="1"/>
    </xf>
    <xf numFmtId="0" fontId="11" fillId="0" borderId="0" xfId="0" applyNumberFormat="1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30"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4040"/>
    <pageSetUpPr fitToPage="1"/>
  </sheetPr>
  <dimension ref="B1:E55"/>
  <sheetViews>
    <sheetView showGridLines="0" topLeftCell="A43" zoomScaleNormal="100" workbookViewId="0">
      <selection activeCell="C7" sqref="C7"/>
    </sheetView>
  </sheetViews>
  <sheetFormatPr defaultRowHeight="14.4" x14ac:dyDescent="0.3"/>
  <cols>
    <col min="1" max="1" width="2.77734375" customWidth="1"/>
    <col min="2" max="2" width="6.77734375" customWidth="1"/>
    <col min="3" max="3" width="40.77734375" customWidth="1"/>
    <col min="4" max="4" width="24.77734375" customWidth="1"/>
    <col min="5" max="5" width="110.77734375" customWidth="1"/>
  </cols>
  <sheetData>
    <row r="1" spans="2:5" ht="9" customHeight="1" x14ac:dyDescent="0.3"/>
    <row r="2" spans="2:5" ht="40.049999999999997" customHeight="1" x14ac:dyDescent="0.3">
      <c r="B2" s="60" t="s">
        <v>35</v>
      </c>
      <c r="C2" s="60"/>
      <c r="D2" s="60"/>
      <c r="E2" s="60"/>
    </row>
    <row r="3" spans="2:5" ht="22.05" customHeight="1" x14ac:dyDescent="0.3">
      <c r="B3" s="61" t="s">
        <v>36</v>
      </c>
      <c r="C3" s="58"/>
      <c r="D3" s="58"/>
      <c r="E3" s="58"/>
    </row>
    <row r="4" spans="2:5" ht="10.050000000000001" customHeight="1" x14ac:dyDescent="0.3"/>
    <row r="5" spans="2:5" ht="24" customHeight="1" x14ac:dyDescent="0.3">
      <c r="B5" s="36" t="s">
        <v>13</v>
      </c>
      <c r="C5" s="36"/>
      <c r="D5" s="36"/>
      <c r="E5" s="36"/>
    </row>
    <row r="6" spans="2:5" ht="19.95" customHeight="1" x14ac:dyDescent="0.3">
      <c r="B6" s="38" t="s">
        <v>14</v>
      </c>
      <c r="C6" s="37" t="s">
        <v>15</v>
      </c>
      <c r="D6" s="37" t="s">
        <v>16</v>
      </c>
      <c r="E6" s="37" t="s">
        <v>17</v>
      </c>
    </row>
    <row r="7" spans="2:5" ht="33" customHeight="1" x14ac:dyDescent="0.3">
      <c r="B7" s="39">
        <v>1</v>
      </c>
      <c r="C7" s="42" t="s">
        <v>18</v>
      </c>
      <c r="D7" s="40" t="s">
        <v>37</v>
      </c>
      <c r="E7" s="40" t="s">
        <v>38</v>
      </c>
    </row>
    <row r="8" spans="2:5" ht="33" customHeight="1" x14ac:dyDescent="0.3">
      <c r="B8" s="39">
        <v>2</v>
      </c>
      <c r="C8" s="42" t="s">
        <v>19</v>
      </c>
      <c r="D8" s="40" t="s">
        <v>37</v>
      </c>
      <c r="E8" s="40" t="s">
        <v>39</v>
      </c>
    </row>
    <row r="9" spans="2:5" ht="33" customHeight="1" x14ac:dyDescent="0.3">
      <c r="B9" s="39">
        <v>3</v>
      </c>
      <c r="C9" s="42" t="s">
        <v>20</v>
      </c>
      <c r="D9" s="40" t="s">
        <v>37</v>
      </c>
      <c r="E9" s="40" t="s">
        <v>40</v>
      </c>
    </row>
    <row r="10" spans="2:5" ht="33" customHeight="1" x14ac:dyDescent="0.3">
      <c r="B10" s="39">
        <v>4</v>
      </c>
      <c r="C10" s="42" t="s">
        <v>41</v>
      </c>
      <c r="D10" s="40" t="s">
        <v>42</v>
      </c>
      <c r="E10" s="40" t="s">
        <v>43</v>
      </c>
    </row>
    <row r="11" spans="2:5" ht="33" customHeight="1" x14ac:dyDescent="0.3">
      <c r="B11" s="39">
        <v>5</v>
      </c>
      <c r="C11" s="42" t="s">
        <v>44</v>
      </c>
      <c r="D11" s="40" t="s">
        <v>45</v>
      </c>
      <c r="E11" s="40" t="s">
        <v>46</v>
      </c>
    </row>
    <row r="12" spans="2:5" ht="33" customHeight="1" x14ac:dyDescent="0.3">
      <c r="B12" s="39">
        <v>6</v>
      </c>
      <c r="C12" s="42" t="s">
        <v>47</v>
      </c>
      <c r="D12" s="40" t="s">
        <v>48</v>
      </c>
      <c r="E12" s="40" t="s">
        <v>49</v>
      </c>
    </row>
    <row r="13" spans="2:5" ht="33" customHeight="1" x14ac:dyDescent="0.3">
      <c r="B13" s="39">
        <v>7</v>
      </c>
      <c r="C13" s="42" t="s">
        <v>50</v>
      </c>
      <c r="D13" s="40" t="s">
        <v>51</v>
      </c>
      <c r="E13" s="40" t="s">
        <v>52</v>
      </c>
    </row>
    <row r="14" spans="2:5" ht="10.050000000000001" customHeight="1" x14ac:dyDescent="0.3"/>
    <row r="15" spans="2:5" ht="24" customHeight="1" x14ac:dyDescent="0.3">
      <c r="B15" s="36" t="s">
        <v>53</v>
      </c>
      <c r="C15" s="36"/>
      <c r="D15" s="36"/>
      <c r="E15" s="36"/>
    </row>
    <row r="16" spans="2:5" ht="19.95" customHeight="1" x14ac:dyDescent="0.3">
      <c r="B16" s="38" t="s">
        <v>14</v>
      </c>
      <c r="C16" s="37" t="s">
        <v>54</v>
      </c>
      <c r="D16" s="37" t="s">
        <v>55</v>
      </c>
      <c r="E16" s="37" t="s">
        <v>56</v>
      </c>
    </row>
    <row r="17" spans="2:5" ht="33" customHeight="1" x14ac:dyDescent="0.3">
      <c r="B17" s="39">
        <v>1</v>
      </c>
      <c r="C17" s="41" t="s">
        <v>57</v>
      </c>
      <c r="D17" s="40" t="s">
        <v>18</v>
      </c>
      <c r="E17" s="45" t="s">
        <v>58</v>
      </c>
    </row>
    <row r="18" spans="2:5" ht="33" customHeight="1" x14ac:dyDescent="0.3">
      <c r="B18" s="39">
        <v>2</v>
      </c>
      <c r="C18" s="41" t="s">
        <v>59</v>
      </c>
      <c r="D18" s="40" t="s">
        <v>41</v>
      </c>
      <c r="E18" s="45" t="s">
        <v>60</v>
      </c>
    </row>
    <row r="19" spans="2:5" ht="33" customHeight="1" x14ac:dyDescent="0.3">
      <c r="B19" s="39">
        <v>3</v>
      </c>
      <c r="C19" s="41" t="s">
        <v>61</v>
      </c>
      <c r="D19" s="40" t="s">
        <v>44</v>
      </c>
      <c r="E19" s="45" t="s">
        <v>62</v>
      </c>
    </row>
    <row r="20" spans="2:5" ht="33" customHeight="1" x14ac:dyDescent="0.3">
      <c r="B20" s="39">
        <v>4</v>
      </c>
      <c r="C20" s="41" t="s">
        <v>63</v>
      </c>
      <c r="D20" s="40" t="s">
        <v>47</v>
      </c>
      <c r="E20" s="45" t="s">
        <v>64</v>
      </c>
    </row>
    <row r="21" spans="2:5" ht="33" customHeight="1" x14ac:dyDescent="0.3">
      <c r="B21" s="39">
        <v>5</v>
      </c>
      <c r="C21" s="41" t="s">
        <v>65</v>
      </c>
      <c r="D21" s="40" t="s">
        <v>50</v>
      </c>
      <c r="E21" s="45" t="s">
        <v>66</v>
      </c>
    </row>
    <row r="22" spans="2:5" ht="10.050000000000001" customHeight="1" x14ac:dyDescent="0.3"/>
    <row r="23" spans="2:5" ht="24" customHeight="1" x14ac:dyDescent="0.3">
      <c r="B23" s="36" t="s">
        <v>21</v>
      </c>
      <c r="C23" s="36"/>
      <c r="D23" s="36"/>
      <c r="E23" s="36"/>
    </row>
    <row r="24" spans="2:5" ht="19.95" customHeight="1" x14ac:dyDescent="0.3">
      <c r="B24" s="38" t="s">
        <v>14</v>
      </c>
      <c r="C24" s="37" t="s">
        <v>22</v>
      </c>
      <c r="D24" s="38" t="s">
        <v>23</v>
      </c>
      <c r="E24" s="37" t="s">
        <v>24</v>
      </c>
    </row>
    <row r="25" spans="2:5" ht="19.05" customHeight="1" x14ac:dyDescent="0.3">
      <c r="B25" s="39">
        <v>1</v>
      </c>
      <c r="C25" s="41" t="s">
        <v>25</v>
      </c>
      <c r="D25" s="43">
        <f>COUNT(Dataset!O3:O12)</f>
        <v>10</v>
      </c>
      <c r="E25" s="44" t="s">
        <v>26</v>
      </c>
    </row>
    <row r="26" spans="2:5" ht="19.05" customHeight="1" x14ac:dyDescent="0.3">
      <c r="B26" s="39">
        <v>2</v>
      </c>
      <c r="C26" s="41" t="s">
        <v>67</v>
      </c>
      <c r="D26" s="43">
        <f>COUNT(Dataset!B3:N3)</f>
        <v>13</v>
      </c>
      <c r="E26" s="44" t="s">
        <v>27</v>
      </c>
    </row>
    <row r="27" spans="2:5" ht="19.05" customHeight="1" x14ac:dyDescent="0.3">
      <c r="B27" s="39">
        <v>3</v>
      </c>
      <c r="C27" s="41" t="s">
        <v>68</v>
      </c>
      <c r="D27" s="43">
        <f>SUM(Dataset!B13:N13)</f>
        <v>6</v>
      </c>
      <c r="E27" s="44" t="s">
        <v>69</v>
      </c>
    </row>
    <row r="28" spans="2:5" ht="19.05" customHeight="1" x14ac:dyDescent="0.3">
      <c r="B28" s="39">
        <v>4</v>
      </c>
      <c r="C28" s="41" t="s">
        <v>70</v>
      </c>
      <c r="D28" s="43">
        <f>COUNTIF(Dataset!B13:N13,0)</f>
        <v>7</v>
      </c>
      <c r="E28" s="44" t="s">
        <v>69</v>
      </c>
    </row>
    <row r="29" spans="2:5" ht="19.05" customHeight="1" x14ac:dyDescent="0.3">
      <c r="B29" s="39">
        <v>5</v>
      </c>
      <c r="C29" s="41" t="s">
        <v>28</v>
      </c>
      <c r="D29" s="43">
        <f>COUNTIF(Dataset!O3:O12,1)</f>
        <v>4</v>
      </c>
      <c r="E29" s="44" t="s">
        <v>26</v>
      </c>
    </row>
    <row r="30" spans="2:5" ht="19.05" customHeight="1" x14ac:dyDescent="0.3">
      <c r="B30" s="39">
        <v>6</v>
      </c>
      <c r="C30" s="41" t="s">
        <v>29</v>
      </c>
      <c r="D30" s="43">
        <f>COUNTIF(Dataset!O3:O12,2)</f>
        <v>6</v>
      </c>
      <c r="E30" s="44" t="s">
        <v>26</v>
      </c>
    </row>
    <row r="31" spans="2:5" ht="19.05" customHeight="1" x14ac:dyDescent="0.3">
      <c r="B31" s="39">
        <v>7</v>
      </c>
      <c r="C31" s="41" t="s">
        <v>71</v>
      </c>
      <c r="D31" s="43">
        <f>'Synthetic Features (k-NN)'!G8</f>
        <v>4</v>
      </c>
      <c r="E31" s="44" t="s">
        <v>72</v>
      </c>
    </row>
    <row r="32" spans="2:5" ht="19.05" customHeight="1" x14ac:dyDescent="0.3">
      <c r="B32" s="39">
        <v>8</v>
      </c>
      <c r="C32" s="41" t="s">
        <v>73</v>
      </c>
      <c r="D32" s="43">
        <f>'Synthetic Features (k-NN)'!G10</f>
        <v>5</v>
      </c>
      <c r="E32" s="44" t="s">
        <v>72</v>
      </c>
    </row>
    <row r="33" spans="2:5" ht="19.05" customHeight="1" x14ac:dyDescent="0.3">
      <c r="B33" s="39">
        <v>9</v>
      </c>
      <c r="C33" s="41" t="s">
        <v>74</v>
      </c>
      <c r="D33" s="43" t="str">
        <f>'Synthetic Features (k-NN)'!G11</f>
        <v>3, 5</v>
      </c>
      <c r="E33" s="44" t="s">
        <v>72</v>
      </c>
    </row>
    <row r="34" spans="2:5" ht="19.05" customHeight="1" x14ac:dyDescent="0.3">
      <c r="B34" s="39">
        <v>10</v>
      </c>
      <c r="C34" s="41" t="s">
        <v>75</v>
      </c>
      <c r="D34" s="43" t="str">
        <f>'Sorted Neighbors'!B19</f>
        <v>S₉</v>
      </c>
      <c r="E34" s="44" t="s">
        <v>76</v>
      </c>
    </row>
    <row r="35" spans="2:5" ht="10.050000000000001" customHeight="1" x14ac:dyDescent="0.3"/>
    <row r="36" spans="2:5" ht="24" customHeight="1" x14ac:dyDescent="0.3">
      <c r="B36" s="36" t="s">
        <v>30</v>
      </c>
      <c r="C36" s="36"/>
      <c r="D36" s="36"/>
      <c r="E36" s="36"/>
    </row>
    <row r="37" spans="2:5" ht="19.05" customHeight="1" x14ac:dyDescent="0.3">
      <c r="B37" s="46" t="s">
        <v>31</v>
      </c>
      <c r="C37" s="59" t="s">
        <v>77</v>
      </c>
      <c r="D37" s="59"/>
      <c r="E37" s="59"/>
    </row>
    <row r="38" spans="2:5" ht="19.05" customHeight="1" x14ac:dyDescent="0.3">
      <c r="B38" s="38" t="s">
        <v>31</v>
      </c>
      <c r="C38" s="59" t="s">
        <v>78</v>
      </c>
      <c r="D38" s="59"/>
      <c r="E38" s="59"/>
    </row>
    <row r="39" spans="2:5" ht="19.05" customHeight="1" x14ac:dyDescent="0.3">
      <c r="B39" s="47" t="s">
        <v>31</v>
      </c>
      <c r="C39" s="59" t="s">
        <v>79</v>
      </c>
      <c r="D39" s="59"/>
      <c r="E39" s="59"/>
    </row>
    <row r="40" spans="2:5" ht="19.05" customHeight="1" x14ac:dyDescent="0.3">
      <c r="B40" s="48" t="s">
        <v>31</v>
      </c>
      <c r="C40" s="59" t="s">
        <v>80</v>
      </c>
      <c r="D40" s="59"/>
      <c r="E40" s="59"/>
    </row>
    <row r="41" spans="2:5" ht="19.05" customHeight="1" x14ac:dyDescent="0.3">
      <c r="B41" s="49" t="s">
        <v>31</v>
      </c>
      <c r="C41" s="59" t="s">
        <v>81</v>
      </c>
      <c r="D41" s="59"/>
      <c r="E41" s="59"/>
    </row>
    <row r="42" spans="2:5" ht="19.05" customHeight="1" x14ac:dyDescent="0.3">
      <c r="B42" s="50" t="s">
        <v>31</v>
      </c>
      <c r="C42" s="59" t="s">
        <v>82</v>
      </c>
      <c r="D42" s="59"/>
      <c r="E42" s="59"/>
    </row>
    <row r="43" spans="2:5" ht="19.05" customHeight="1" x14ac:dyDescent="0.3">
      <c r="B43" s="51" t="s">
        <v>31</v>
      </c>
      <c r="C43" s="59" t="s">
        <v>32</v>
      </c>
      <c r="D43" s="59"/>
      <c r="E43" s="59"/>
    </row>
    <row r="44" spans="2:5" ht="19.05" customHeight="1" x14ac:dyDescent="0.3">
      <c r="B44" s="52" t="s">
        <v>31</v>
      </c>
      <c r="C44" s="59" t="s">
        <v>83</v>
      </c>
      <c r="D44" s="59"/>
      <c r="E44" s="59"/>
    </row>
    <row r="45" spans="2:5" ht="19.05" customHeight="1" x14ac:dyDescent="0.3">
      <c r="B45" s="53" t="s">
        <v>31</v>
      </c>
      <c r="C45" s="59" t="s">
        <v>84</v>
      </c>
      <c r="D45" s="59"/>
      <c r="E45" s="59"/>
    </row>
    <row r="46" spans="2:5" ht="19.05" customHeight="1" x14ac:dyDescent="0.3">
      <c r="B46" s="54" t="s">
        <v>31</v>
      </c>
      <c r="C46" s="59" t="s">
        <v>85</v>
      </c>
      <c r="D46" s="59"/>
      <c r="E46" s="59"/>
    </row>
    <row r="47" spans="2:5" ht="19.05" customHeight="1" x14ac:dyDescent="0.3">
      <c r="B47" s="55" t="s">
        <v>31</v>
      </c>
      <c r="C47" s="59" t="s">
        <v>86</v>
      </c>
      <c r="D47" s="59"/>
      <c r="E47" s="59"/>
    </row>
    <row r="48" spans="2:5" ht="19.05" customHeight="1" x14ac:dyDescent="0.3">
      <c r="B48" s="56" t="s">
        <v>31</v>
      </c>
      <c r="C48" s="59" t="s">
        <v>87</v>
      </c>
      <c r="D48" s="59"/>
      <c r="E48" s="59"/>
    </row>
    <row r="49" spans="2:5" ht="10.050000000000001" customHeight="1" x14ac:dyDescent="0.3"/>
    <row r="50" spans="2:5" ht="24" customHeight="1" x14ac:dyDescent="0.3">
      <c r="B50" s="36" t="s">
        <v>33</v>
      </c>
      <c r="C50" s="36"/>
      <c r="D50" s="36"/>
      <c r="E50" s="36"/>
    </row>
    <row r="51" spans="2:5" ht="19.95" customHeight="1" x14ac:dyDescent="0.3">
      <c r="B51" s="57" t="s">
        <v>88</v>
      </c>
      <c r="C51" s="58"/>
      <c r="D51" s="58"/>
      <c r="E51" s="58"/>
    </row>
    <row r="52" spans="2:5" ht="19.95" customHeight="1" x14ac:dyDescent="0.3">
      <c r="B52" s="57" t="s">
        <v>89</v>
      </c>
      <c r="C52" s="58"/>
      <c r="D52" s="58"/>
      <c r="E52" s="58"/>
    </row>
    <row r="53" spans="2:5" ht="19.95" customHeight="1" x14ac:dyDescent="0.3">
      <c r="B53" s="57" t="s">
        <v>90</v>
      </c>
      <c r="C53" s="58"/>
      <c r="D53" s="58"/>
      <c r="E53" s="58"/>
    </row>
    <row r="54" spans="2:5" ht="19.95" customHeight="1" x14ac:dyDescent="0.3">
      <c r="B54" s="57" t="s">
        <v>91</v>
      </c>
      <c r="C54" s="58"/>
      <c r="D54" s="58"/>
      <c r="E54" s="58"/>
    </row>
    <row r="55" spans="2:5" ht="19.95" customHeight="1" x14ac:dyDescent="0.3">
      <c r="B55" s="57" t="s">
        <v>34</v>
      </c>
      <c r="C55" s="58"/>
      <c r="D55" s="58"/>
      <c r="E55" s="58"/>
    </row>
  </sheetData>
  <mergeCells count="19">
    <mergeCell ref="B2:E2"/>
    <mergeCell ref="B3:E3"/>
    <mergeCell ref="C37:E37"/>
    <mergeCell ref="C38:E38"/>
    <mergeCell ref="C39:E39"/>
    <mergeCell ref="C40:E40"/>
    <mergeCell ref="C41:E41"/>
    <mergeCell ref="C42:E42"/>
    <mergeCell ref="C43:E43"/>
    <mergeCell ref="C44:E44"/>
    <mergeCell ref="B52:E52"/>
    <mergeCell ref="B53:E53"/>
    <mergeCell ref="B54:E54"/>
    <mergeCell ref="B55:E55"/>
    <mergeCell ref="C45:E45"/>
    <mergeCell ref="C46:E46"/>
    <mergeCell ref="C47:E47"/>
    <mergeCell ref="C48:E48"/>
    <mergeCell ref="B51:E51"/>
  </mergeCells>
  <hyperlinks>
    <hyperlink ref="C7" location="'Dataset'!A1" tooltip="Go to Dataset" display="Dataset" xr:uid="{00000000-0004-0000-0000-000000000000}"/>
    <hyperlink ref="C8" location="'Quantitative'!A1" tooltip="Go to Quantitative" display="Quantitative" xr:uid="{00000000-0004-0000-0000-000001000000}"/>
    <hyperlink ref="C9" location="'Nominal'!A1" tooltip="Go to Nominal" display="Nominal" xr:uid="{00000000-0004-0000-0000-000002000000}"/>
    <hyperlink ref="C10" location="'Normalized Dataset'!A1" tooltip="Go to Normalized Dataset" display="Normalized Dataset" xr:uid="{00000000-0004-0000-0000-000003000000}"/>
    <hyperlink ref="C11" location="'Zhuravlev Distances'!A1" tooltip="Go to Zhuravlev Distances" display="Zhuravlev Distances" xr:uid="{00000000-0004-0000-0000-000004000000}"/>
    <hyperlink ref="C12" location="'Sorted Neighbors'!A1" tooltip="Go to Sorted Neighbors" display="Sorted Neighbors" xr:uid="{00000000-0004-0000-0000-000005000000}"/>
    <hyperlink ref="C13" location="'Synthetic Features (k-NN)'!A1" tooltip="Go to Synthetic Features (k-NN)" display="Synthetic Features (k-NN)" xr:uid="{00000000-0004-0000-0000-000006000000}"/>
  </hyperlinks>
  <printOptions horizontalCentered="1"/>
  <pageMargins left="0.4" right="0.4" top="0.7" bottom="0.6" header="0.3" footer="0.3"/>
  <pageSetup paperSize="9" fitToHeight="0" orientation="landscape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3E6C-79AF-4D4D-BBE0-1CDA64BB8567}">
  <sheetPr>
    <tabColor rgb="FF1F4E78"/>
    <pageSetUpPr fitToPage="1"/>
  </sheetPr>
  <dimension ref="A1:Y31"/>
  <sheetViews>
    <sheetView showGridLines="0" tabSelected="1" zoomScaleNormal="100" workbookViewId="0">
      <selection activeCell="J16" sqref="J16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62" t="s">
        <v>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25" ht="15.6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 t="s">
        <v>1</v>
      </c>
      <c r="Q2" s="3" t="s">
        <v>5</v>
      </c>
      <c r="R2" s="4"/>
      <c r="S2" s="5"/>
      <c r="T2" s="5"/>
      <c r="Y2" s="6"/>
    </row>
    <row r="3" spans="1:25" ht="15.6" x14ac:dyDescent="0.3">
      <c r="A3" s="7"/>
      <c r="B3" s="8">
        <v>70</v>
      </c>
      <c r="C3" s="9">
        <v>1</v>
      </c>
      <c r="D3" s="9">
        <v>4</v>
      </c>
      <c r="E3" s="8">
        <v>130</v>
      </c>
      <c r="F3" s="8">
        <v>322</v>
      </c>
      <c r="G3" s="9">
        <v>0</v>
      </c>
      <c r="H3" s="9">
        <v>2</v>
      </c>
      <c r="I3" s="8">
        <v>109</v>
      </c>
      <c r="J3" s="9">
        <v>0</v>
      </c>
      <c r="K3" s="8">
        <v>2.4</v>
      </c>
      <c r="L3" s="9">
        <v>2</v>
      </c>
      <c r="M3" s="8">
        <v>3</v>
      </c>
      <c r="N3" s="9">
        <v>3</v>
      </c>
      <c r="O3" s="10">
        <v>2</v>
      </c>
      <c r="Q3" s="3" t="s">
        <v>2</v>
      </c>
      <c r="R3" s="5"/>
      <c r="S3" s="5"/>
      <c r="T3" s="5"/>
    </row>
    <row r="4" spans="1:25" ht="15.6" x14ac:dyDescent="0.3">
      <c r="A4" s="7"/>
      <c r="B4" s="8">
        <v>67</v>
      </c>
      <c r="C4" s="9">
        <v>0</v>
      </c>
      <c r="D4" s="9">
        <v>3</v>
      </c>
      <c r="E4" s="8">
        <v>115</v>
      </c>
      <c r="F4" s="8">
        <v>564</v>
      </c>
      <c r="G4" s="9">
        <v>0</v>
      </c>
      <c r="H4" s="9">
        <v>2</v>
      </c>
      <c r="I4" s="8">
        <v>160</v>
      </c>
      <c r="J4" s="9">
        <v>0</v>
      </c>
      <c r="K4" s="8">
        <v>1.6</v>
      </c>
      <c r="L4" s="9">
        <v>2</v>
      </c>
      <c r="M4" s="8">
        <v>0</v>
      </c>
      <c r="N4" s="9">
        <v>7</v>
      </c>
      <c r="O4" s="10">
        <v>1</v>
      </c>
      <c r="Q4" s="5"/>
      <c r="R4" s="5"/>
      <c r="S4" s="5"/>
      <c r="T4" s="5"/>
    </row>
    <row r="5" spans="1:25" ht="15.6" x14ac:dyDescent="0.3">
      <c r="A5" s="7"/>
      <c r="B5" s="8">
        <v>57</v>
      </c>
      <c r="C5" s="9">
        <v>1</v>
      </c>
      <c r="D5" s="9">
        <v>2</v>
      </c>
      <c r="E5" s="8">
        <v>124</v>
      </c>
      <c r="F5" s="8">
        <v>261</v>
      </c>
      <c r="G5" s="9">
        <v>0</v>
      </c>
      <c r="H5" s="9">
        <v>0</v>
      </c>
      <c r="I5" s="8">
        <v>141</v>
      </c>
      <c r="J5" s="9">
        <v>0</v>
      </c>
      <c r="K5" s="8">
        <v>0.3</v>
      </c>
      <c r="L5" s="9">
        <v>1</v>
      </c>
      <c r="M5" s="8">
        <v>0</v>
      </c>
      <c r="N5" s="9">
        <v>7</v>
      </c>
      <c r="O5" s="10">
        <v>2</v>
      </c>
      <c r="Q5" s="63" t="s">
        <v>9</v>
      </c>
      <c r="R5" s="63"/>
      <c r="S5" s="63"/>
      <c r="T5" s="11">
        <v>1</v>
      </c>
    </row>
    <row r="6" spans="1:25" ht="15.6" x14ac:dyDescent="0.3">
      <c r="A6" s="7"/>
      <c r="B6" s="8">
        <v>64</v>
      </c>
      <c r="C6" s="9">
        <v>1</v>
      </c>
      <c r="D6" s="9">
        <v>4</v>
      </c>
      <c r="E6" s="8">
        <v>128</v>
      </c>
      <c r="F6" s="8">
        <v>263</v>
      </c>
      <c r="G6" s="9">
        <v>0</v>
      </c>
      <c r="H6" s="9">
        <v>0</v>
      </c>
      <c r="I6" s="8">
        <v>105</v>
      </c>
      <c r="J6" s="9">
        <v>1</v>
      </c>
      <c r="K6" s="8">
        <v>0.2</v>
      </c>
      <c r="L6" s="9">
        <v>2</v>
      </c>
      <c r="M6" s="8">
        <v>1</v>
      </c>
      <c r="N6" s="9">
        <v>7</v>
      </c>
      <c r="O6" s="10">
        <v>1</v>
      </c>
      <c r="Q6" s="63" t="s">
        <v>10</v>
      </c>
      <c r="R6" s="63"/>
      <c r="S6" s="63"/>
      <c r="T6" s="12">
        <v>0</v>
      </c>
    </row>
    <row r="7" spans="1:25" ht="15.6" x14ac:dyDescent="0.3">
      <c r="A7" s="7"/>
      <c r="B7" s="8">
        <v>74</v>
      </c>
      <c r="C7" s="9">
        <v>0</v>
      </c>
      <c r="D7" s="9">
        <v>2</v>
      </c>
      <c r="E7" s="8">
        <v>120</v>
      </c>
      <c r="F7" s="8">
        <v>269</v>
      </c>
      <c r="G7" s="9">
        <v>0</v>
      </c>
      <c r="H7" s="9">
        <v>2</v>
      </c>
      <c r="I7" s="8">
        <v>121</v>
      </c>
      <c r="J7" s="9">
        <v>1</v>
      </c>
      <c r="K7" s="8">
        <v>0.2</v>
      </c>
      <c r="L7" s="9">
        <v>1</v>
      </c>
      <c r="M7" s="8">
        <v>1</v>
      </c>
      <c r="N7" s="9">
        <v>3</v>
      </c>
      <c r="O7" s="10">
        <v>1</v>
      </c>
    </row>
    <row r="8" spans="1:25" ht="15.6" x14ac:dyDescent="0.3">
      <c r="A8" s="7"/>
      <c r="B8" s="8">
        <v>65</v>
      </c>
      <c r="C8" s="9">
        <v>1</v>
      </c>
      <c r="D8" s="9">
        <v>4</v>
      </c>
      <c r="E8" s="8">
        <v>120</v>
      </c>
      <c r="F8" s="8">
        <v>177</v>
      </c>
      <c r="G8" s="9">
        <v>0</v>
      </c>
      <c r="H8" s="9">
        <v>0</v>
      </c>
      <c r="I8" s="8">
        <v>140</v>
      </c>
      <c r="J8" s="9">
        <v>0</v>
      </c>
      <c r="K8" s="8">
        <v>0.4</v>
      </c>
      <c r="L8" s="9">
        <v>1</v>
      </c>
      <c r="M8" s="8">
        <v>0</v>
      </c>
      <c r="N8" s="9">
        <v>7</v>
      </c>
      <c r="O8" s="10">
        <v>1</v>
      </c>
    </row>
    <row r="9" spans="1:25" ht="15.6" x14ac:dyDescent="0.3">
      <c r="A9" s="7"/>
      <c r="B9" s="8">
        <v>56</v>
      </c>
      <c r="C9" s="9">
        <v>1</v>
      </c>
      <c r="D9" s="9">
        <v>3</v>
      </c>
      <c r="E9" s="8">
        <v>130</v>
      </c>
      <c r="F9" s="8">
        <v>256</v>
      </c>
      <c r="G9" s="9">
        <v>1</v>
      </c>
      <c r="H9" s="9">
        <v>2</v>
      </c>
      <c r="I9" s="8">
        <v>142</v>
      </c>
      <c r="J9" s="9">
        <v>1</v>
      </c>
      <c r="K9" s="8">
        <v>0.6</v>
      </c>
      <c r="L9" s="9">
        <v>2</v>
      </c>
      <c r="M9" s="8">
        <v>1</v>
      </c>
      <c r="N9" s="9">
        <v>6</v>
      </c>
      <c r="O9" s="10">
        <v>2</v>
      </c>
    </row>
    <row r="10" spans="1:25" ht="15.6" x14ac:dyDescent="0.3">
      <c r="A10" s="7"/>
      <c r="B10" s="8">
        <v>59</v>
      </c>
      <c r="C10" s="9">
        <v>1</v>
      </c>
      <c r="D10" s="9">
        <v>4</v>
      </c>
      <c r="E10" s="8">
        <v>110</v>
      </c>
      <c r="F10" s="8">
        <v>239</v>
      </c>
      <c r="G10" s="9">
        <v>0</v>
      </c>
      <c r="H10" s="9">
        <v>2</v>
      </c>
      <c r="I10" s="8">
        <v>142</v>
      </c>
      <c r="J10" s="9">
        <v>1</v>
      </c>
      <c r="K10" s="8">
        <v>1.2</v>
      </c>
      <c r="L10" s="9">
        <v>2</v>
      </c>
      <c r="M10" s="8">
        <v>1</v>
      </c>
      <c r="N10" s="9">
        <v>7</v>
      </c>
      <c r="O10" s="10">
        <v>2</v>
      </c>
    </row>
    <row r="11" spans="1:25" ht="15.6" x14ac:dyDescent="0.3">
      <c r="A11" s="7"/>
      <c r="B11" s="8">
        <v>60</v>
      </c>
      <c r="C11" s="9">
        <v>1</v>
      </c>
      <c r="D11" s="9">
        <v>4</v>
      </c>
      <c r="E11" s="8">
        <v>140</v>
      </c>
      <c r="F11" s="8">
        <v>293</v>
      </c>
      <c r="G11" s="9">
        <v>0</v>
      </c>
      <c r="H11" s="9">
        <v>2</v>
      </c>
      <c r="I11" s="8">
        <v>170</v>
      </c>
      <c r="J11" s="9">
        <v>0</v>
      </c>
      <c r="K11" s="8">
        <v>1.2</v>
      </c>
      <c r="L11" s="9">
        <v>2</v>
      </c>
      <c r="M11" s="8">
        <v>2</v>
      </c>
      <c r="N11" s="9">
        <v>7</v>
      </c>
      <c r="O11" s="10">
        <v>2</v>
      </c>
    </row>
    <row r="12" spans="1:25" ht="15.6" x14ac:dyDescent="0.3">
      <c r="A12" s="7"/>
      <c r="B12" s="8">
        <v>63</v>
      </c>
      <c r="C12" s="9">
        <v>0</v>
      </c>
      <c r="D12" s="9">
        <v>4</v>
      </c>
      <c r="E12" s="8">
        <v>150</v>
      </c>
      <c r="F12" s="8">
        <v>407</v>
      </c>
      <c r="G12" s="9">
        <v>0</v>
      </c>
      <c r="H12" s="9">
        <v>2</v>
      </c>
      <c r="I12" s="8">
        <v>154</v>
      </c>
      <c r="J12" s="9">
        <v>0</v>
      </c>
      <c r="K12" s="8">
        <v>4</v>
      </c>
      <c r="L12" s="9">
        <v>2</v>
      </c>
      <c r="M12" s="8">
        <v>3</v>
      </c>
      <c r="N12" s="9">
        <v>7</v>
      </c>
      <c r="O12" s="10">
        <v>2</v>
      </c>
    </row>
    <row r="13" spans="1:25" ht="15.6" x14ac:dyDescent="0.3">
      <c r="A13" s="5"/>
      <c r="B13" s="13">
        <v>1</v>
      </c>
      <c r="C13" s="13">
        <v>0</v>
      </c>
      <c r="D13" s="13">
        <v>0</v>
      </c>
      <c r="E13" s="13">
        <v>1</v>
      </c>
      <c r="F13" s="13">
        <v>1</v>
      </c>
      <c r="G13" s="13">
        <v>0</v>
      </c>
      <c r="H13" s="13">
        <v>0</v>
      </c>
      <c r="I13" s="13">
        <v>1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5"/>
    </row>
    <row r="17" spans="1:19" ht="15.6" x14ac:dyDescent="0.3">
      <c r="A17" s="5"/>
      <c r="B17" s="63" t="s">
        <v>7</v>
      </c>
      <c r="C17" s="63"/>
      <c r="D17" s="63"/>
      <c r="E17" s="63"/>
      <c r="F17" s="11">
        <v>6</v>
      </c>
      <c r="G17" s="5"/>
      <c r="H17" s="5"/>
      <c r="I17" s="5"/>
      <c r="J17" s="5"/>
      <c r="K17" s="5"/>
      <c r="L17" s="63" t="s">
        <v>8</v>
      </c>
      <c r="M17" s="63"/>
      <c r="N17" s="63"/>
      <c r="O17" s="63"/>
      <c r="P17" s="12">
        <v>7</v>
      </c>
      <c r="Q17" s="5"/>
      <c r="R17" s="5"/>
      <c r="S17" s="5"/>
    </row>
    <row r="18" spans="1:19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15.6" x14ac:dyDescent="0.3">
      <c r="A19" s="64" t="s">
        <v>4</v>
      </c>
      <c r="B19" s="64"/>
      <c r="C19" s="64"/>
      <c r="D19" s="64"/>
      <c r="E19" s="64"/>
      <c r="F19" s="64"/>
      <c r="G19" s="64"/>
      <c r="H19" s="64"/>
      <c r="I19" s="5"/>
      <c r="J19" s="5"/>
      <c r="K19" s="64" t="s">
        <v>3</v>
      </c>
      <c r="L19" s="64"/>
      <c r="M19" s="64"/>
      <c r="N19" s="64"/>
      <c r="O19" s="64"/>
      <c r="P19" s="64"/>
      <c r="Q19" s="64"/>
      <c r="R19" s="64"/>
      <c r="S19" s="64"/>
    </row>
    <row r="20" spans="1:19" ht="15.6" x14ac:dyDescent="0.3">
      <c r="A20" s="1" t="s">
        <v>0</v>
      </c>
      <c r="B20" s="2"/>
      <c r="C20" s="2"/>
      <c r="D20" s="2"/>
      <c r="E20" s="2"/>
      <c r="F20" s="2"/>
      <c r="G20" s="2"/>
      <c r="H20" s="2" t="s">
        <v>1</v>
      </c>
      <c r="I20" s="5"/>
      <c r="J20" s="5"/>
      <c r="K20" s="1" t="s">
        <v>0</v>
      </c>
      <c r="L20" s="2"/>
      <c r="M20" s="2"/>
      <c r="N20" s="2"/>
      <c r="O20" s="2"/>
      <c r="P20" s="2"/>
      <c r="Q20" s="2"/>
      <c r="R20" s="2"/>
      <c r="S20" s="1" t="s">
        <v>1</v>
      </c>
    </row>
    <row r="21" spans="1:19" ht="15.6" x14ac:dyDescent="0.3">
      <c r="A21" s="7"/>
      <c r="B21" s="8">
        <v>70</v>
      </c>
      <c r="C21" s="8">
        <v>130</v>
      </c>
      <c r="D21" s="8">
        <v>322</v>
      </c>
      <c r="E21" s="8">
        <v>109</v>
      </c>
      <c r="F21" s="8">
        <v>2.4</v>
      </c>
      <c r="G21" s="8">
        <v>3</v>
      </c>
      <c r="H21" s="10">
        <v>2</v>
      </c>
      <c r="I21" s="5"/>
      <c r="J21" s="5"/>
      <c r="K21" s="7"/>
      <c r="L21" s="9">
        <v>1</v>
      </c>
      <c r="M21" s="9">
        <v>4</v>
      </c>
      <c r="N21" s="9">
        <v>0</v>
      </c>
      <c r="O21" s="9">
        <v>2</v>
      </c>
      <c r="P21" s="9">
        <v>0</v>
      </c>
      <c r="Q21" s="9">
        <v>2</v>
      </c>
      <c r="R21" s="9">
        <v>3</v>
      </c>
      <c r="S21" s="10">
        <v>2</v>
      </c>
    </row>
    <row r="22" spans="1:19" ht="15.6" x14ac:dyDescent="0.3">
      <c r="A22" s="7"/>
      <c r="B22" s="8">
        <v>67</v>
      </c>
      <c r="C22" s="8">
        <v>115</v>
      </c>
      <c r="D22" s="8">
        <v>564</v>
      </c>
      <c r="E22" s="8">
        <v>160</v>
      </c>
      <c r="F22" s="8">
        <v>1.6</v>
      </c>
      <c r="G22" s="8">
        <v>0</v>
      </c>
      <c r="H22" s="10">
        <v>1</v>
      </c>
      <c r="I22" s="5"/>
      <c r="J22" s="5"/>
      <c r="K22" s="7"/>
      <c r="L22" s="9">
        <v>0</v>
      </c>
      <c r="M22" s="9">
        <v>3</v>
      </c>
      <c r="N22" s="9">
        <v>0</v>
      </c>
      <c r="O22" s="9">
        <v>2</v>
      </c>
      <c r="P22" s="9">
        <v>0</v>
      </c>
      <c r="Q22" s="9">
        <v>2</v>
      </c>
      <c r="R22" s="9">
        <v>7</v>
      </c>
      <c r="S22" s="10">
        <v>1</v>
      </c>
    </row>
    <row r="23" spans="1:19" ht="15.6" x14ac:dyDescent="0.3">
      <c r="A23" s="7"/>
      <c r="B23" s="8">
        <v>57</v>
      </c>
      <c r="C23" s="8">
        <v>124</v>
      </c>
      <c r="D23" s="8">
        <v>261</v>
      </c>
      <c r="E23" s="8">
        <v>141</v>
      </c>
      <c r="F23" s="8">
        <v>0.3</v>
      </c>
      <c r="G23" s="8">
        <v>0</v>
      </c>
      <c r="H23" s="10">
        <v>2</v>
      </c>
      <c r="I23" s="5"/>
      <c r="J23" s="5"/>
      <c r="K23" s="7"/>
      <c r="L23" s="9">
        <v>1</v>
      </c>
      <c r="M23" s="9">
        <v>2</v>
      </c>
      <c r="N23" s="9">
        <v>0</v>
      </c>
      <c r="O23" s="9">
        <v>0</v>
      </c>
      <c r="P23" s="9">
        <v>0</v>
      </c>
      <c r="Q23" s="9">
        <v>1</v>
      </c>
      <c r="R23" s="9">
        <v>7</v>
      </c>
      <c r="S23" s="10">
        <v>2</v>
      </c>
    </row>
    <row r="24" spans="1:19" ht="15.6" x14ac:dyDescent="0.3">
      <c r="A24" s="7"/>
      <c r="B24" s="8">
        <v>64</v>
      </c>
      <c r="C24" s="8">
        <v>128</v>
      </c>
      <c r="D24" s="8">
        <v>263</v>
      </c>
      <c r="E24" s="8">
        <v>105</v>
      </c>
      <c r="F24" s="8">
        <v>0.2</v>
      </c>
      <c r="G24" s="8">
        <v>1</v>
      </c>
      <c r="H24" s="10">
        <v>1</v>
      </c>
      <c r="I24" s="5"/>
      <c r="J24" s="5"/>
      <c r="K24" s="7"/>
      <c r="L24" s="9">
        <v>1</v>
      </c>
      <c r="M24" s="9">
        <v>4</v>
      </c>
      <c r="N24" s="9">
        <v>0</v>
      </c>
      <c r="O24" s="9">
        <v>0</v>
      </c>
      <c r="P24" s="9">
        <v>1</v>
      </c>
      <c r="Q24" s="9">
        <v>2</v>
      </c>
      <c r="R24" s="9">
        <v>7</v>
      </c>
      <c r="S24" s="10">
        <v>1</v>
      </c>
    </row>
    <row r="25" spans="1:19" ht="15.6" x14ac:dyDescent="0.3">
      <c r="A25" s="7"/>
      <c r="B25" s="8">
        <v>74</v>
      </c>
      <c r="C25" s="8">
        <v>120</v>
      </c>
      <c r="D25" s="8">
        <v>269</v>
      </c>
      <c r="E25" s="8">
        <v>121</v>
      </c>
      <c r="F25" s="8">
        <v>0.2</v>
      </c>
      <c r="G25" s="8">
        <v>1</v>
      </c>
      <c r="H25" s="10">
        <v>1</v>
      </c>
      <c r="I25" s="5"/>
      <c r="J25" s="5"/>
      <c r="K25" s="7"/>
      <c r="L25" s="9">
        <v>0</v>
      </c>
      <c r="M25" s="9">
        <v>2</v>
      </c>
      <c r="N25" s="9">
        <v>0</v>
      </c>
      <c r="O25" s="9">
        <v>2</v>
      </c>
      <c r="P25" s="9">
        <v>1</v>
      </c>
      <c r="Q25" s="9">
        <v>1</v>
      </c>
      <c r="R25" s="9">
        <v>3</v>
      </c>
      <c r="S25" s="10">
        <v>1</v>
      </c>
    </row>
    <row r="26" spans="1:19" ht="15.6" x14ac:dyDescent="0.3">
      <c r="A26" s="7"/>
      <c r="B26" s="8">
        <v>65</v>
      </c>
      <c r="C26" s="8">
        <v>120</v>
      </c>
      <c r="D26" s="8">
        <v>177</v>
      </c>
      <c r="E26" s="8">
        <v>140</v>
      </c>
      <c r="F26" s="8">
        <v>0.4</v>
      </c>
      <c r="G26" s="8">
        <v>0</v>
      </c>
      <c r="H26" s="10">
        <v>1</v>
      </c>
      <c r="I26" s="5"/>
      <c r="J26" s="5"/>
      <c r="K26" s="7"/>
      <c r="L26" s="9">
        <v>1</v>
      </c>
      <c r="M26" s="9">
        <v>4</v>
      </c>
      <c r="N26" s="9">
        <v>0</v>
      </c>
      <c r="O26" s="9">
        <v>0</v>
      </c>
      <c r="P26" s="9">
        <v>0</v>
      </c>
      <c r="Q26" s="9">
        <v>1</v>
      </c>
      <c r="R26" s="9">
        <v>7</v>
      </c>
      <c r="S26" s="10">
        <v>1</v>
      </c>
    </row>
    <row r="27" spans="1:19" ht="15.6" x14ac:dyDescent="0.3">
      <c r="A27" s="7"/>
      <c r="B27" s="8">
        <v>56</v>
      </c>
      <c r="C27" s="8">
        <v>130</v>
      </c>
      <c r="D27" s="8">
        <v>256</v>
      </c>
      <c r="E27" s="8">
        <v>142</v>
      </c>
      <c r="F27" s="8">
        <v>0.6</v>
      </c>
      <c r="G27" s="8">
        <v>1</v>
      </c>
      <c r="H27" s="10">
        <v>2</v>
      </c>
      <c r="I27" s="5"/>
      <c r="J27" s="5"/>
      <c r="K27" s="7"/>
      <c r="L27" s="9">
        <v>1</v>
      </c>
      <c r="M27" s="9">
        <v>3</v>
      </c>
      <c r="N27" s="9">
        <v>1</v>
      </c>
      <c r="O27" s="9">
        <v>2</v>
      </c>
      <c r="P27" s="9">
        <v>1</v>
      </c>
      <c r="Q27" s="9">
        <v>2</v>
      </c>
      <c r="R27" s="9">
        <v>6</v>
      </c>
      <c r="S27" s="10">
        <v>2</v>
      </c>
    </row>
    <row r="28" spans="1:19" ht="15.6" x14ac:dyDescent="0.3">
      <c r="A28" s="7"/>
      <c r="B28" s="8">
        <v>59</v>
      </c>
      <c r="C28" s="8">
        <v>110</v>
      </c>
      <c r="D28" s="8">
        <v>239</v>
      </c>
      <c r="E28" s="8">
        <v>142</v>
      </c>
      <c r="F28" s="8">
        <v>1.2</v>
      </c>
      <c r="G28" s="8">
        <v>1</v>
      </c>
      <c r="H28" s="10">
        <v>2</v>
      </c>
      <c r="I28" s="5"/>
      <c r="J28" s="5"/>
      <c r="K28" s="7"/>
      <c r="L28" s="9">
        <v>1</v>
      </c>
      <c r="M28" s="9">
        <v>4</v>
      </c>
      <c r="N28" s="9">
        <v>0</v>
      </c>
      <c r="O28" s="9">
        <v>2</v>
      </c>
      <c r="P28" s="9">
        <v>1</v>
      </c>
      <c r="Q28" s="9">
        <v>2</v>
      </c>
      <c r="R28" s="9">
        <v>7</v>
      </c>
      <c r="S28" s="10">
        <v>2</v>
      </c>
    </row>
    <row r="29" spans="1:19" ht="15.6" x14ac:dyDescent="0.3">
      <c r="A29" s="7"/>
      <c r="B29" s="8">
        <v>60</v>
      </c>
      <c r="C29" s="8">
        <v>140</v>
      </c>
      <c r="D29" s="8">
        <v>293</v>
      </c>
      <c r="E29" s="8">
        <v>170</v>
      </c>
      <c r="F29" s="8">
        <v>1.2</v>
      </c>
      <c r="G29" s="8">
        <v>2</v>
      </c>
      <c r="H29" s="10">
        <v>2</v>
      </c>
      <c r="I29" s="5"/>
      <c r="J29" s="5"/>
      <c r="K29" s="7"/>
      <c r="L29" s="9">
        <v>1</v>
      </c>
      <c r="M29" s="9">
        <v>4</v>
      </c>
      <c r="N29" s="9">
        <v>0</v>
      </c>
      <c r="O29" s="9">
        <v>2</v>
      </c>
      <c r="P29" s="9">
        <v>0</v>
      </c>
      <c r="Q29" s="9">
        <v>2</v>
      </c>
      <c r="R29" s="9">
        <v>7</v>
      </c>
      <c r="S29" s="10">
        <v>2</v>
      </c>
    </row>
    <row r="30" spans="1:19" ht="15.6" x14ac:dyDescent="0.3">
      <c r="A30" s="7"/>
      <c r="B30" s="8">
        <v>63</v>
      </c>
      <c r="C30" s="8">
        <v>150</v>
      </c>
      <c r="D30" s="8">
        <v>407</v>
      </c>
      <c r="E30" s="8">
        <v>154</v>
      </c>
      <c r="F30" s="8">
        <v>4</v>
      </c>
      <c r="G30" s="8">
        <v>3</v>
      </c>
      <c r="H30" s="10">
        <v>2</v>
      </c>
      <c r="I30" s="5"/>
      <c r="J30" s="5"/>
      <c r="K30" s="7"/>
      <c r="L30" s="9">
        <v>0</v>
      </c>
      <c r="M30" s="9">
        <v>4</v>
      </c>
      <c r="N30" s="9">
        <v>0</v>
      </c>
      <c r="O30" s="9">
        <v>2</v>
      </c>
      <c r="P30" s="9">
        <v>0</v>
      </c>
      <c r="Q30" s="9">
        <v>2</v>
      </c>
      <c r="R30" s="9">
        <v>7</v>
      </c>
      <c r="S30" s="10">
        <v>2</v>
      </c>
    </row>
    <row r="31" spans="1:19" ht="15.6" x14ac:dyDescent="0.3">
      <c r="A31" s="5"/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5"/>
      <c r="I31" s="5"/>
      <c r="J31" s="5"/>
      <c r="K31" s="5"/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5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2691-5BC5-4118-8902-02827AD2DA19}">
  <sheetPr>
    <tabColor rgb="FF2E75B6"/>
    <pageSetUpPr fitToPage="1"/>
  </sheetPr>
  <dimension ref="A1:Q79"/>
  <sheetViews>
    <sheetView showGridLines="0" zoomScaleNormal="100" workbookViewId="0">
      <selection sqref="A1:H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62" t="s">
        <v>4</v>
      </c>
      <c r="B1" s="62"/>
      <c r="C1" s="62"/>
      <c r="D1" s="62"/>
      <c r="E1" s="62"/>
      <c r="F1" s="62"/>
      <c r="G1" s="62"/>
      <c r="H1" s="62"/>
      <c r="I1" s="5"/>
      <c r="J1" s="5"/>
      <c r="K1" s="5"/>
      <c r="L1" s="5"/>
      <c r="M1" s="5"/>
      <c r="N1" s="5"/>
      <c r="O1" s="5"/>
      <c r="P1" s="5"/>
    </row>
    <row r="2" spans="1:17" ht="15.6" x14ac:dyDescent="0.3">
      <c r="A2" s="1" t="s">
        <v>0</v>
      </c>
      <c r="B2" s="2"/>
      <c r="C2" s="2"/>
      <c r="D2" s="2"/>
      <c r="E2" s="2"/>
      <c r="F2" s="2"/>
      <c r="G2" s="2"/>
      <c r="H2" s="2" t="s">
        <v>1</v>
      </c>
      <c r="I2" s="5"/>
      <c r="J2" s="5"/>
      <c r="K2" s="14" t="s">
        <v>5</v>
      </c>
      <c r="P2" s="5"/>
    </row>
    <row r="3" spans="1:17" ht="15.6" x14ac:dyDescent="0.3">
      <c r="A3" s="7"/>
      <c r="B3" s="8">
        <v>70</v>
      </c>
      <c r="C3" s="8">
        <v>130</v>
      </c>
      <c r="D3" s="8">
        <v>322</v>
      </c>
      <c r="E3" s="8">
        <v>109</v>
      </c>
      <c r="F3" s="8">
        <v>2.4</v>
      </c>
      <c r="G3" s="8">
        <v>3</v>
      </c>
      <c r="H3" s="10">
        <v>2</v>
      </c>
      <c r="I3" s="5"/>
      <c r="J3" s="5"/>
      <c r="K3" s="14" t="s">
        <v>2</v>
      </c>
      <c r="M3" s="63" t="s">
        <v>11</v>
      </c>
      <c r="N3" s="63"/>
      <c r="O3" s="63"/>
      <c r="P3" s="63"/>
      <c r="Q3" s="11">
        <v>1</v>
      </c>
    </row>
    <row r="4" spans="1:17" ht="15.6" x14ac:dyDescent="0.3">
      <c r="A4" s="7"/>
      <c r="B4" s="8">
        <v>67</v>
      </c>
      <c r="C4" s="8">
        <v>115</v>
      </c>
      <c r="D4" s="8">
        <v>564</v>
      </c>
      <c r="E4" s="8">
        <v>160</v>
      </c>
      <c r="F4" s="8">
        <v>1.6</v>
      </c>
      <c r="G4" s="8">
        <v>0</v>
      </c>
      <c r="H4" s="10">
        <v>1</v>
      </c>
      <c r="I4" s="5"/>
      <c r="J4" s="5"/>
      <c r="P4" s="5"/>
    </row>
    <row r="5" spans="1:17" ht="15.6" x14ac:dyDescent="0.3">
      <c r="A5" s="7"/>
      <c r="B5" s="8">
        <v>57</v>
      </c>
      <c r="C5" s="8">
        <v>124</v>
      </c>
      <c r="D5" s="8">
        <v>261</v>
      </c>
      <c r="E5" s="8">
        <v>141</v>
      </c>
      <c r="F5" s="8">
        <v>0.3</v>
      </c>
      <c r="G5" s="8">
        <v>0</v>
      </c>
      <c r="H5" s="10">
        <v>2</v>
      </c>
      <c r="I5" s="5"/>
      <c r="J5" s="5"/>
      <c r="P5" s="5"/>
    </row>
    <row r="6" spans="1:17" ht="15.6" x14ac:dyDescent="0.3">
      <c r="A6" s="7"/>
      <c r="B6" s="8">
        <v>64</v>
      </c>
      <c r="C6" s="8">
        <v>128</v>
      </c>
      <c r="D6" s="8">
        <v>263</v>
      </c>
      <c r="E6" s="8">
        <v>105</v>
      </c>
      <c r="F6" s="8">
        <v>0.2</v>
      </c>
      <c r="G6" s="8">
        <v>1</v>
      </c>
      <c r="H6" s="10">
        <v>1</v>
      </c>
      <c r="I6" s="5"/>
      <c r="J6" s="5"/>
      <c r="P6" s="5"/>
    </row>
    <row r="7" spans="1:17" ht="15.6" x14ac:dyDescent="0.3">
      <c r="A7" s="7"/>
      <c r="B7" s="8">
        <v>74</v>
      </c>
      <c r="C7" s="8">
        <v>120</v>
      </c>
      <c r="D7" s="8">
        <v>269</v>
      </c>
      <c r="E7" s="8">
        <v>121</v>
      </c>
      <c r="F7" s="8">
        <v>0.2</v>
      </c>
      <c r="G7" s="8">
        <v>1</v>
      </c>
      <c r="H7" s="10">
        <v>1</v>
      </c>
      <c r="I7" s="5"/>
      <c r="J7" s="5"/>
      <c r="P7" s="5"/>
    </row>
    <row r="8" spans="1:17" ht="15.6" x14ac:dyDescent="0.3">
      <c r="A8" s="7"/>
      <c r="B8" s="8">
        <v>65</v>
      </c>
      <c r="C8" s="8">
        <v>120</v>
      </c>
      <c r="D8" s="8">
        <v>177</v>
      </c>
      <c r="E8" s="8">
        <v>140</v>
      </c>
      <c r="F8" s="8">
        <v>0.4</v>
      </c>
      <c r="G8" s="8">
        <v>0</v>
      </c>
      <c r="H8" s="10">
        <v>1</v>
      </c>
      <c r="I8" s="5"/>
      <c r="J8" s="5"/>
      <c r="P8" s="5"/>
    </row>
    <row r="9" spans="1:17" ht="15.6" x14ac:dyDescent="0.3">
      <c r="A9" s="7"/>
      <c r="B9" s="8">
        <v>56</v>
      </c>
      <c r="C9" s="8">
        <v>130</v>
      </c>
      <c r="D9" s="8">
        <v>256</v>
      </c>
      <c r="E9" s="8">
        <v>142</v>
      </c>
      <c r="F9" s="8">
        <v>0.6</v>
      </c>
      <c r="G9" s="8">
        <v>1</v>
      </c>
      <c r="H9" s="10">
        <v>2</v>
      </c>
      <c r="I9" s="5"/>
      <c r="J9" s="5"/>
      <c r="P9" s="5"/>
    </row>
    <row r="10" spans="1:17" ht="15.6" x14ac:dyDescent="0.3">
      <c r="A10" s="7"/>
      <c r="B10" s="8">
        <v>59</v>
      </c>
      <c r="C10" s="8">
        <v>110</v>
      </c>
      <c r="D10" s="8">
        <v>239</v>
      </c>
      <c r="E10" s="8">
        <v>142</v>
      </c>
      <c r="F10" s="8">
        <v>1.2</v>
      </c>
      <c r="G10" s="8">
        <v>1</v>
      </c>
      <c r="H10" s="10">
        <v>2</v>
      </c>
      <c r="I10" s="5"/>
      <c r="J10" s="5"/>
      <c r="P10" s="5"/>
    </row>
    <row r="11" spans="1:17" ht="15.6" x14ac:dyDescent="0.3">
      <c r="A11" s="7"/>
      <c r="B11" s="8">
        <v>60</v>
      </c>
      <c r="C11" s="8">
        <v>140</v>
      </c>
      <c r="D11" s="8">
        <v>293</v>
      </c>
      <c r="E11" s="8">
        <v>170</v>
      </c>
      <c r="F11" s="8">
        <v>1.2</v>
      </c>
      <c r="G11" s="8">
        <v>2</v>
      </c>
      <c r="H11" s="10">
        <v>2</v>
      </c>
      <c r="I11" s="5"/>
      <c r="J11" s="5"/>
      <c r="P11" s="5"/>
    </row>
    <row r="12" spans="1:17" ht="15.6" x14ac:dyDescent="0.3">
      <c r="A12" s="7"/>
      <c r="B12" s="8">
        <v>63</v>
      </c>
      <c r="C12" s="8">
        <v>150</v>
      </c>
      <c r="D12" s="8">
        <v>407</v>
      </c>
      <c r="E12" s="8">
        <v>154</v>
      </c>
      <c r="F12" s="8">
        <v>4</v>
      </c>
      <c r="G12" s="8">
        <v>3</v>
      </c>
      <c r="H12" s="10">
        <v>2</v>
      </c>
      <c r="I12" s="5"/>
      <c r="J12" s="5"/>
      <c r="P12" s="5"/>
    </row>
    <row r="13" spans="1:17" ht="15.6" x14ac:dyDescent="0.3">
      <c r="A13" s="5"/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5"/>
      <c r="I13" s="5"/>
      <c r="J13" s="5"/>
      <c r="P13" s="5"/>
    </row>
    <row r="14" spans="1:17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7" ht="15.6" x14ac:dyDescent="0.3">
      <c r="A15" s="5"/>
      <c r="B15" s="5"/>
      <c r="C15" s="5"/>
      <c r="D15" s="5"/>
      <c r="E15" s="5"/>
      <c r="F15" s="5"/>
      <c r="G15" s="5"/>
      <c r="H15" s="5"/>
      <c r="I15" s="15"/>
      <c r="J15" s="5"/>
      <c r="K15" s="5"/>
      <c r="L15" s="5"/>
      <c r="M15" s="5"/>
      <c r="N15" s="5"/>
      <c r="O15" s="5"/>
      <c r="P15" s="5"/>
    </row>
    <row r="16" spans="1:17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75" ht="34.200000000000003" customHeight="1" x14ac:dyDescent="0.3"/>
    <row r="76" ht="19.95" customHeight="1" x14ac:dyDescent="0.3"/>
    <row r="77" ht="19.95" customHeight="1" x14ac:dyDescent="0.3"/>
    <row r="78" ht="18" customHeight="1" x14ac:dyDescent="0.3"/>
    <row r="79" ht="18" customHeight="1" x14ac:dyDescent="0.3"/>
  </sheetData>
  <mergeCells count="2">
    <mergeCell ref="A1:H1"/>
    <mergeCell ref="M3:P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376-4E5D-46F6-9527-C3A7C569621A}">
  <sheetPr>
    <tabColor rgb="FFBF8F00"/>
    <pageSetUpPr fitToPage="1"/>
  </sheetPr>
  <dimension ref="A1:R64"/>
  <sheetViews>
    <sheetView showGridLines="0" zoomScale="90" zoomScaleNormal="90" workbookViewId="0">
      <selection sqref="A1:I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62" t="s">
        <v>3</v>
      </c>
      <c r="B1" s="62"/>
      <c r="C1" s="62"/>
      <c r="D1" s="62"/>
      <c r="E1" s="62"/>
      <c r="F1" s="62"/>
      <c r="G1" s="62"/>
      <c r="H1" s="62"/>
      <c r="I1" s="62"/>
    </row>
    <row r="2" spans="1:18" ht="15.6" x14ac:dyDescent="0.3">
      <c r="A2" s="1" t="s">
        <v>0</v>
      </c>
      <c r="B2" s="2"/>
      <c r="C2" s="2"/>
      <c r="D2" s="2"/>
      <c r="E2" s="2"/>
      <c r="F2" s="2"/>
      <c r="G2" s="2"/>
      <c r="H2" s="2"/>
      <c r="I2" s="1" t="s">
        <v>1</v>
      </c>
      <c r="L2" s="3" t="s">
        <v>5</v>
      </c>
    </row>
    <row r="3" spans="1:18" ht="15.6" x14ac:dyDescent="0.3">
      <c r="A3" s="7"/>
      <c r="B3" s="9">
        <v>1</v>
      </c>
      <c r="C3" s="9">
        <v>4</v>
      </c>
      <c r="D3" s="9">
        <v>0</v>
      </c>
      <c r="E3" s="9">
        <v>2</v>
      </c>
      <c r="F3" s="9">
        <v>0</v>
      </c>
      <c r="G3" s="9">
        <v>2</v>
      </c>
      <c r="H3" s="9">
        <v>3</v>
      </c>
      <c r="I3" s="10">
        <v>2</v>
      </c>
      <c r="L3" s="3" t="s">
        <v>2</v>
      </c>
      <c r="N3" s="63" t="s">
        <v>12</v>
      </c>
      <c r="O3" s="63"/>
      <c r="P3" s="63"/>
      <c r="Q3" s="63"/>
      <c r="R3" s="12">
        <v>0</v>
      </c>
    </row>
    <row r="4" spans="1:18" ht="15.6" x14ac:dyDescent="0.3">
      <c r="A4" s="7"/>
      <c r="B4" s="9">
        <v>0</v>
      </c>
      <c r="C4" s="9">
        <v>3</v>
      </c>
      <c r="D4" s="9">
        <v>0</v>
      </c>
      <c r="E4" s="9">
        <v>2</v>
      </c>
      <c r="F4" s="9">
        <v>0</v>
      </c>
      <c r="G4" s="9">
        <v>2</v>
      </c>
      <c r="H4" s="9">
        <v>7</v>
      </c>
      <c r="I4" s="10">
        <v>1</v>
      </c>
    </row>
    <row r="5" spans="1:18" ht="15.6" x14ac:dyDescent="0.3">
      <c r="A5" s="7"/>
      <c r="B5" s="9">
        <v>1</v>
      </c>
      <c r="C5" s="9">
        <v>2</v>
      </c>
      <c r="D5" s="9">
        <v>0</v>
      </c>
      <c r="E5" s="9">
        <v>0</v>
      </c>
      <c r="F5" s="9">
        <v>0</v>
      </c>
      <c r="G5" s="9">
        <v>1</v>
      </c>
      <c r="H5" s="9">
        <v>7</v>
      </c>
      <c r="I5" s="10">
        <v>2</v>
      </c>
    </row>
    <row r="6" spans="1:18" ht="15.6" x14ac:dyDescent="0.3">
      <c r="A6" s="7"/>
      <c r="B6" s="9">
        <v>1</v>
      </c>
      <c r="C6" s="9">
        <v>4</v>
      </c>
      <c r="D6" s="9">
        <v>0</v>
      </c>
      <c r="E6" s="9">
        <v>0</v>
      </c>
      <c r="F6" s="9">
        <v>1</v>
      </c>
      <c r="G6" s="9">
        <v>2</v>
      </c>
      <c r="H6" s="9">
        <v>7</v>
      </c>
      <c r="I6" s="10">
        <v>1</v>
      </c>
    </row>
    <row r="7" spans="1:18" ht="15.6" x14ac:dyDescent="0.3">
      <c r="A7" s="7"/>
      <c r="B7" s="9">
        <v>0</v>
      </c>
      <c r="C7" s="9">
        <v>2</v>
      </c>
      <c r="D7" s="9">
        <v>0</v>
      </c>
      <c r="E7" s="9">
        <v>2</v>
      </c>
      <c r="F7" s="9">
        <v>1</v>
      </c>
      <c r="G7" s="9">
        <v>1</v>
      </c>
      <c r="H7" s="9">
        <v>3</v>
      </c>
      <c r="I7" s="10">
        <v>1</v>
      </c>
    </row>
    <row r="8" spans="1:18" ht="15.6" x14ac:dyDescent="0.3">
      <c r="A8" s="7"/>
      <c r="B8" s="9">
        <v>1</v>
      </c>
      <c r="C8" s="9">
        <v>4</v>
      </c>
      <c r="D8" s="9">
        <v>0</v>
      </c>
      <c r="E8" s="9">
        <v>0</v>
      </c>
      <c r="F8" s="9">
        <v>0</v>
      </c>
      <c r="G8" s="9">
        <v>1</v>
      </c>
      <c r="H8" s="9">
        <v>7</v>
      </c>
      <c r="I8" s="10">
        <v>1</v>
      </c>
    </row>
    <row r="9" spans="1:18" ht="15.6" x14ac:dyDescent="0.3">
      <c r="A9" s="7"/>
      <c r="B9" s="9">
        <v>1</v>
      </c>
      <c r="C9" s="9">
        <v>3</v>
      </c>
      <c r="D9" s="9">
        <v>1</v>
      </c>
      <c r="E9" s="9">
        <v>2</v>
      </c>
      <c r="F9" s="9">
        <v>1</v>
      </c>
      <c r="G9" s="9">
        <v>2</v>
      </c>
      <c r="H9" s="9">
        <v>6</v>
      </c>
      <c r="I9" s="10">
        <v>2</v>
      </c>
    </row>
    <row r="10" spans="1:18" ht="15.6" x14ac:dyDescent="0.3">
      <c r="A10" s="7"/>
      <c r="B10" s="9">
        <v>1</v>
      </c>
      <c r="C10" s="9">
        <v>4</v>
      </c>
      <c r="D10" s="9">
        <v>0</v>
      </c>
      <c r="E10" s="9">
        <v>2</v>
      </c>
      <c r="F10" s="9">
        <v>1</v>
      </c>
      <c r="G10" s="9">
        <v>2</v>
      </c>
      <c r="H10" s="9">
        <v>7</v>
      </c>
      <c r="I10" s="10">
        <v>2</v>
      </c>
    </row>
    <row r="11" spans="1:18" ht="15.6" x14ac:dyDescent="0.3">
      <c r="A11" s="7"/>
      <c r="B11" s="9">
        <v>1</v>
      </c>
      <c r="C11" s="9">
        <v>4</v>
      </c>
      <c r="D11" s="9">
        <v>0</v>
      </c>
      <c r="E11" s="9">
        <v>2</v>
      </c>
      <c r="F11" s="9">
        <v>0</v>
      </c>
      <c r="G11" s="9">
        <v>2</v>
      </c>
      <c r="H11" s="9">
        <v>7</v>
      </c>
      <c r="I11" s="10">
        <v>2</v>
      </c>
    </row>
    <row r="12" spans="1:18" ht="15.6" x14ac:dyDescent="0.3">
      <c r="A12" s="7"/>
      <c r="B12" s="9">
        <v>0</v>
      </c>
      <c r="C12" s="9">
        <v>4</v>
      </c>
      <c r="D12" s="9">
        <v>0</v>
      </c>
      <c r="E12" s="9">
        <v>2</v>
      </c>
      <c r="F12" s="9">
        <v>0</v>
      </c>
      <c r="G12" s="9">
        <v>2</v>
      </c>
      <c r="H12" s="9">
        <v>7</v>
      </c>
      <c r="I12" s="10">
        <v>2</v>
      </c>
    </row>
    <row r="13" spans="1:18" ht="15.6" x14ac:dyDescent="0.3">
      <c r="A13" s="5"/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5"/>
    </row>
    <row r="32" ht="19.95" customHeight="1" x14ac:dyDescent="0.3"/>
    <row r="33" ht="19.95" customHeight="1" x14ac:dyDescent="0.3"/>
    <row r="34" ht="22.95" customHeight="1" x14ac:dyDescent="0.3"/>
    <row r="35" ht="22.95" customHeight="1" x14ac:dyDescent="0.3"/>
    <row r="36" ht="22.95" customHeight="1" x14ac:dyDescent="0.3"/>
    <row r="37" ht="22.95" customHeight="1" x14ac:dyDescent="0.3"/>
    <row r="38" ht="22.95" customHeight="1" x14ac:dyDescent="0.3"/>
    <row r="39" ht="22.95" customHeight="1" x14ac:dyDescent="0.3"/>
    <row r="41" ht="14.4" customHeight="1" x14ac:dyDescent="0.3"/>
    <row r="43" ht="18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3.95" customHeight="1" x14ac:dyDescent="0.3"/>
    <row r="50" ht="13.95" customHeight="1" x14ac:dyDescent="0.3"/>
    <row r="51" ht="13.95" customHeight="1" x14ac:dyDescent="0.3"/>
    <row r="52" ht="18" customHeight="1" x14ac:dyDescent="0.3"/>
    <row r="53" ht="18" customHeight="1" x14ac:dyDescent="0.3"/>
    <row r="54" ht="19.95" customHeight="1" x14ac:dyDescent="0.3"/>
    <row r="55" ht="19.95" customHeight="1" x14ac:dyDescent="0.3"/>
    <row r="56" ht="19.95" customHeight="1" x14ac:dyDescent="0.3"/>
    <row r="60" ht="19.95" customHeight="1" x14ac:dyDescent="0.3"/>
    <row r="61" ht="34.799999999999997" customHeight="1" x14ac:dyDescent="0.3"/>
    <row r="62" ht="19.95" customHeight="1" x14ac:dyDescent="0.3"/>
    <row r="63" ht="19.95" customHeight="1" x14ac:dyDescent="0.3"/>
    <row r="64" ht="19.95" customHeight="1" x14ac:dyDescent="0.3"/>
  </sheetData>
  <sortState xmlns:xlrd2="http://schemas.microsoft.com/office/spreadsheetml/2017/richdata2" ref="A19:I28">
    <sortCondition ref="I19:I28"/>
  </sortState>
  <mergeCells count="2">
    <mergeCell ref="A1:I1"/>
    <mergeCell ref="N3:Q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O21"/>
  <sheetViews>
    <sheetView showGridLines="0" zoomScaleNormal="100" workbookViewId="0">
      <pane ySplit="2" topLeftCell="A3" activePane="bottomLeft" state="frozen"/>
      <selection pane="bottomLeft" activeCell="A3" sqref="A3:O3"/>
    </sheetView>
  </sheetViews>
  <sheetFormatPr defaultRowHeight="14.4" x14ac:dyDescent="0.3"/>
  <cols>
    <col min="1" max="1" width="10.77734375" customWidth="1"/>
    <col min="2" max="15" width="11.77734375" customWidth="1"/>
  </cols>
  <sheetData>
    <row r="1" spans="1:15" ht="19.95" customHeight="1" x14ac:dyDescent="0.3">
      <c r="A1" s="65" t="s">
        <v>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6" customHeight="1" x14ac:dyDescent="0.3"/>
    <row r="3" spans="1:15" ht="18" customHeight="1" x14ac:dyDescent="0.3">
      <c r="A3" s="66" t="s">
        <v>93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15.6" customHeight="1" x14ac:dyDescent="0.3">
      <c r="A4" s="16" t="s">
        <v>0</v>
      </c>
      <c r="B4" s="16" t="s">
        <v>94</v>
      </c>
      <c r="C4" s="16" t="s">
        <v>95</v>
      </c>
      <c r="D4" s="16" t="s">
        <v>96</v>
      </c>
      <c r="E4" s="16" t="s">
        <v>97</v>
      </c>
      <c r="F4" s="16" t="s">
        <v>98</v>
      </c>
      <c r="G4" s="16" t="s">
        <v>99</v>
      </c>
      <c r="H4" s="16" t="s">
        <v>100</v>
      </c>
      <c r="I4" s="16" t="s">
        <v>101</v>
      </c>
      <c r="J4" s="16" t="s">
        <v>102</v>
      </c>
      <c r="K4" s="16" t="s">
        <v>103</v>
      </c>
      <c r="L4" s="16" t="s">
        <v>104</v>
      </c>
      <c r="M4" s="16" t="s">
        <v>105</v>
      </c>
      <c r="N4" s="16" t="s">
        <v>106</v>
      </c>
      <c r="O4" s="16" t="s">
        <v>1</v>
      </c>
    </row>
    <row r="5" spans="1:15" ht="15.6" customHeight="1" x14ac:dyDescent="0.3">
      <c r="A5" s="18" t="s">
        <v>107</v>
      </c>
      <c r="B5" s="20">
        <f>IF(MAX(Dataset!B$3:B$12)=MIN(Dataset!B$3:B$12),0,(Dataset!B3-MIN(Dataset!B$3:B$12))/(MAX(Dataset!B$3:B$12)-MIN(Dataset!B$3:B$12)))</f>
        <v>0.77777777777777779</v>
      </c>
      <c r="C5" s="21">
        <f>Dataset!C3</f>
        <v>1</v>
      </c>
      <c r="D5" s="21">
        <f>Dataset!D3</f>
        <v>4</v>
      </c>
      <c r="E5" s="20">
        <f>IF(MAX(Dataset!E$3:E$12)=MIN(Dataset!E$3:E$12),0,(Dataset!E3-MIN(Dataset!E$3:E$12))/(MAX(Dataset!E$3:E$12)-MIN(Dataset!E$3:E$12)))</f>
        <v>0.5</v>
      </c>
      <c r="F5" s="20">
        <f>IF(MAX(Dataset!F$3:F$12)=MIN(Dataset!F$3:F$12),0,(Dataset!F3-MIN(Dataset!F$3:F$12))/(MAX(Dataset!F$3:F$12)-MIN(Dataset!F$3:F$12)))</f>
        <v>0.37467700258397935</v>
      </c>
      <c r="G5" s="21">
        <f>Dataset!G3</f>
        <v>0</v>
      </c>
      <c r="H5" s="21">
        <f>Dataset!H3</f>
        <v>2</v>
      </c>
      <c r="I5" s="20">
        <f>IF(MAX(Dataset!I$3:I$12)=MIN(Dataset!I$3:I$12),0,(Dataset!I3-MIN(Dataset!I$3:I$12))/(MAX(Dataset!I$3:I$12)-MIN(Dataset!I$3:I$12)))</f>
        <v>6.1538461538461542E-2</v>
      </c>
      <c r="J5" s="21">
        <f>Dataset!J3</f>
        <v>0</v>
      </c>
      <c r="K5" s="20">
        <f>IF(MAX(Dataset!K$3:K$12)=MIN(Dataset!K$3:K$12),0,(Dataset!K3-MIN(Dataset!K$3:K$12))/(MAX(Dataset!K$3:K$12)-MIN(Dataset!K$3:K$12)))</f>
        <v>0.57894736842105254</v>
      </c>
      <c r="L5" s="21">
        <f>Dataset!L3</f>
        <v>2</v>
      </c>
      <c r="M5" s="20">
        <f>IF(MAX(Dataset!M$3:M$12)=MIN(Dataset!M$3:M$12),0,(Dataset!M3-MIN(Dataset!M$3:M$12))/(MAX(Dataset!M$3:M$12)-MIN(Dataset!M$3:M$12)))</f>
        <v>1</v>
      </c>
      <c r="N5" s="21">
        <f>Dataset!N3</f>
        <v>3</v>
      </c>
      <c r="O5" s="22">
        <f>Dataset!O3</f>
        <v>2</v>
      </c>
    </row>
    <row r="6" spans="1:15" ht="15.6" customHeight="1" x14ac:dyDescent="0.3">
      <c r="A6" s="18" t="s">
        <v>108</v>
      </c>
      <c r="B6" s="20">
        <f>IF(MAX(Dataset!B$3:B$12)=MIN(Dataset!B$3:B$12),0,(Dataset!B4-MIN(Dataset!B$3:B$12))/(MAX(Dataset!B$3:B$12)-MIN(Dataset!B$3:B$12)))</f>
        <v>0.61111111111111116</v>
      </c>
      <c r="C6" s="21">
        <f>Dataset!C4</f>
        <v>0</v>
      </c>
      <c r="D6" s="21">
        <f>Dataset!D4</f>
        <v>3</v>
      </c>
      <c r="E6" s="20">
        <f>IF(MAX(Dataset!E$3:E$12)=MIN(Dataset!E$3:E$12),0,(Dataset!E4-MIN(Dataset!E$3:E$12))/(MAX(Dataset!E$3:E$12)-MIN(Dataset!E$3:E$12)))</f>
        <v>0.125</v>
      </c>
      <c r="F6" s="20">
        <f>IF(MAX(Dataset!F$3:F$12)=MIN(Dataset!F$3:F$12),0,(Dataset!F4-MIN(Dataset!F$3:F$12))/(MAX(Dataset!F$3:F$12)-MIN(Dataset!F$3:F$12)))</f>
        <v>1</v>
      </c>
      <c r="G6" s="21">
        <f>Dataset!G4</f>
        <v>0</v>
      </c>
      <c r="H6" s="21">
        <f>Dataset!H4</f>
        <v>2</v>
      </c>
      <c r="I6" s="20">
        <f>IF(MAX(Dataset!I$3:I$12)=MIN(Dataset!I$3:I$12),0,(Dataset!I4-MIN(Dataset!I$3:I$12))/(MAX(Dataset!I$3:I$12)-MIN(Dataset!I$3:I$12)))</f>
        <v>0.84615384615384615</v>
      </c>
      <c r="J6" s="21">
        <f>Dataset!J4</f>
        <v>0</v>
      </c>
      <c r="K6" s="20">
        <f>IF(MAX(Dataset!K$3:K$12)=MIN(Dataset!K$3:K$12),0,(Dataset!K4-MIN(Dataset!K$3:K$12))/(MAX(Dataset!K$3:K$12)-MIN(Dataset!K$3:K$12)))</f>
        <v>0.36842105263157898</v>
      </c>
      <c r="L6" s="21">
        <f>Dataset!L4</f>
        <v>2</v>
      </c>
      <c r="M6" s="20">
        <f>IF(MAX(Dataset!M$3:M$12)=MIN(Dataset!M$3:M$12),0,(Dataset!M4-MIN(Dataset!M$3:M$12))/(MAX(Dataset!M$3:M$12)-MIN(Dataset!M$3:M$12)))</f>
        <v>0</v>
      </c>
      <c r="N6" s="21">
        <f>Dataset!N4</f>
        <v>7</v>
      </c>
      <c r="O6" s="22">
        <f>Dataset!O4</f>
        <v>1</v>
      </c>
    </row>
    <row r="7" spans="1:15" ht="15.6" customHeight="1" x14ac:dyDescent="0.3">
      <c r="A7" s="18" t="s">
        <v>109</v>
      </c>
      <c r="B7" s="20">
        <f>IF(MAX(Dataset!B$3:B$12)=MIN(Dataset!B$3:B$12),0,(Dataset!B5-MIN(Dataset!B$3:B$12))/(MAX(Dataset!B$3:B$12)-MIN(Dataset!B$3:B$12)))</f>
        <v>5.5555555555555552E-2</v>
      </c>
      <c r="C7" s="21">
        <f>Dataset!C5</f>
        <v>1</v>
      </c>
      <c r="D7" s="21">
        <f>Dataset!D5</f>
        <v>2</v>
      </c>
      <c r="E7" s="20">
        <f>IF(MAX(Dataset!E$3:E$12)=MIN(Dataset!E$3:E$12),0,(Dataset!E5-MIN(Dataset!E$3:E$12))/(MAX(Dataset!E$3:E$12)-MIN(Dataset!E$3:E$12)))</f>
        <v>0.35</v>
      </c>
      <c r="F7" s="20">
        <f>IF(MAX(Dataset!F$3:F$12)=MIN(Dataset!F$3:F$12),0,(Dataset!F5-MIN(Dataset!F$3:F$12))/(MAX(Dataset!F$3:F$12)-MIN(Dataset!F$3:F$12)))</f>
        <v>0.21705426356589147</v>
      </c>
      <c r="G7" s="21">
        <f>Dataset!G5</f>
        <v>0</v>
      </c>
      <c r="H7" s="21">
        <f>Dataset!H5</f>
        <v>0</v>
      </c>
      <c r="I7" s="20">
        <f>IF(MAX(Dataset!I$3:I$12)=MIN(Dataset!I$3:I$12),0,(Dataset!I5-MIN(Dataset!I$3:I$12))/(MAX(Dataset!I$3:I$12)-MIN(Dataset!I$3:I$12)))</f>
        <v>0.55384615384615388</v>
      </c>
      <c r="J7" s="21">
        <f>Dataset!J5</f>
        <v>0</v>
      </c>
      <c r="K7" s="20">
        <f>IF(MAX(Dataset!K$3:K$12)=MIN(Dataset!K$3:K$12),0,(Dataset!K5-MIN(Dataset!K$3:K$12))/(MAX(Dataset!K$3:K$12)-MIN(Dataset!K$3:K$12)))</f>
        <v>2.6315789473684206E-2</v>
      </c>
      <c r="L7" s="21">
        <f>Dataset!L5</f>
        <v>1</v>
      </c>
      <c r="M7" s="20">
        <f>IF(MAX(Dataset!M$3:M$12)=MIN(Dataset!M$3:M$12),0,(Dataset!M5-MIN(Dataset!M$3:M$12))/(MAX(Dataset!M$3:M$12)-MIN(Dataset!M$3:M$12)))</f>
        <v>0</v>
      </c>
      <c r="N7" s="21">
        <f>Dataset!N5</f>
        <v>7</v>
      </c>
      <c r="O7" s="22">
        <f>Dataset!O5</f>
        <v>2</v>
      </c>
    </row>
    <row r="8" spans="1:15" ht="15.6" customHeight="1" x14ac:dyDescent="0.3">
      <c r="A8" s="18" t="s">
        <v>110</v>
      </c>
      <c r="B8" s="20">
        <f>IF(MAX(Dataset!B$3:B$12)=MIN(Dataset!B$3:B$12),0,(Dataset!B6-MIN(Dataset!B$3:B$12))/(MAX(Dataset!B$3:B$12)-MIN(Dataset!B$3:B$12)))</f>
        <v>0.44444444444444442</v>
      </c>
      <c r="C8" s="21">
        <f>Dataset!C6</f>
        <v>1</v>
      </c>
      <c r="D8" s="21">
        <f>Dataset!D6</f>
        <v>4</v>
      </c>
      <c r="E8" s="20">
        <f>IF(MAX(Dataset!E$3:E$12)=MIN(Dataset!E$3:E$12),0,(Dataset!E6-MIN(Dataset!E$3:E$12))/(MAX(Dataset!E$3:E$12)-MIN(Dataset!E$3:E$12)))</f>
        <v>0.45</v>
      </c>
      <c r="F8" s="20">
        <f>IF(MAX(Dataset!F$3:F$12)=MIN(Dataset!F$3:F$12),0,(Dataset!F6-MIN(Dataset!F$3:F$12))/(MAX(Dataset!F$3:F$12)-MIN(Dataset!F$3:F$12)))</f>
        <v>0.22222222222222221</v>
      </c>
      <c r="G8" s="21">
        <f>Dataset!G6</f>
        <v>0</v>
      </c>
      <c r="H8" s="21">
        <f>Dataset!H6</f>
        <v>0</v>
      </c>
      <c r="I8" s="20">
        <f>IF(MAX(Dataset!I$3:I$12)=MIN(Dataset!I$3:I$12),0,(Dataset!I6-MIN(Dataset!I$3:I$12))/(MAX(Dataset!I$3:I$12)-MIN(Dataset!I$3:I$12)))</f>
        <v>0</v>
      </c>
      <c r="J8" s="21">
        <f>Dataset!J6</f>
        <v>1</v>
      </c>
      <c r="K8" s="20">
        <f>IF(MAX(Dataset!K$3:K$12)=MIN(Dataset!K$3:K$12),0,(Dataset!K6-MIN(Dataset!K$3:K$12))/(MAX(Dataset!K$3:K$12)-MIN(Dataset!K$3:K$12)))</f>
        <v>0</v>
      </c>
      <c r="L8" s="21">
        <f>Dataset!L6</f>
        <v>2</v>
      </c>
      <c r="M8" s="20">
        <f>IF(MAX(Dataset!M$3:M$12)=MIN(Dataset!M$3:M$12),0,(Dataset!M6-MIN(Dataset!M$3:M$12))/(MAX(Dataset!M$3:M$12)-MIN(Dataset!M$3:M$12)))</f>
        <v>0.33333333333333331</v>
      </c>
      <c r="N8" s="21">
        <f>Dataset!N6</f>
        <v>7</v>
      </c>
      <c r="O8" s="22">
        <f>Dataset!O6</f>
        <v>1</v>
      </c>
    </row>
    <row r="9" spans="1:15" ht="15.6" customHeight="1" x14ac:dyDescent="0.3">
      <c r="A9" s="18" t="s">
        <v>111</v>
      </c>
      <c r="B9" s="20">
        <f>IF(MAX(Dataset!B$3:B$12)=MIN(Dataset!B$3:B$12),0,(Dataset!B7-MIN(Dataset!B$3:B$12))/(MAX(Dataset!B$3:B$12)-MIN(Dataset!B$3:B$12)))</f>
        <v>1</v>
      </c>
      <c r="C9" s="21">
        <f>Dataset!C7</f>
        <v>0</v>
      </c>
      <c r="D9" s="21">
        <f>Dataset!D7</f>
        <v>2</v>
      </c>
      <c r="E9" s="20">
        <f>IF(MAX(Dataset!E$3:E$12)=MIN(Dataset!E$3:E$12),0,(Dataset!E7-MIN(Dataset!E$3:E$12))/(MAX(Dataset!E$3:E$12)-MIN(Dataset!E$3:E$12)))</f>
        <v>0.25</v>
      </c>
      <c r="F9" s="20">
        <f>IF(MAX(Dataset!F$3:F$12)=MIN(Dataset!F$3:F$12),0,(Dataset!F7-MIN(Dataset!F$3:F$12))/(MAX(Dataset!F$3:F$12)-MIN(Dataset!F$3:F$12)))</f>
        <v>0.23772609819121446</v>
      </c>
      <c r="G9" s="21">
        <f>Dataset!G7</f>
        <v>0</v>
      </c>
      <c r="H9" s="21">
        <f>Dataset!H7</f>
        <v>2</v>
      </c>
      <c r="I9" s="20">
        <f>IF(MAX(Dataset!I$3:I$12)=MIN(Dataset!I$3:I$12),0,(Dataset!I7-MIN(Dataset!I$3:I$12))/(MAX(Dataset!I$3:I$12)-MIN(Dataset!I$3:I$12)))</f>
        <v>0.24615384615384617</v>
      </c>
      <c r="J9" s="21">
        <f>Dataset!J7</f>
        <v>1</v>
      </c>
      <c r="K9" s="20">
        <f>IF(MAX(Dataset!K$3:K$12)=MIN(Dataset!K$3:K$12),0,(Dataset!K7-MIN(Dataset!K$3:K$12))/(MAX(Dataset!K$3:K$12)-MIN(Dataset!K$3:K$12)))</f>
        <v>0</v>
      </c>
      <c r="L9" s="21">
        <f>Dataset!L7</f>
        <v>1</v>
      </c>
      <c r="M9" s="20">
        <f>IF(MAX(Dataset!M$3:M$12)=MIN(Dataset!M$3:M$12),0,(Dataset!M7-MIN(Dataset!M$3:M$12))/(MAX(Dataset!M$3:M$12)-MIN(Dataset!M$3:M$12)))</f>
        <v>0.33333333333333331</v>
      </c>
      <c r="N9" s="21">
        <f>Dataset!N7</f>
        <v>3</v>
      </c>
      <c r="O9" s="22">
        <f>Dataset!O7</f>
        <v>1</v>
      </c>
    </row>
    <row r="10" spans="1:15" ht="15.6" customHeight="1" x14ac:dyDescent="0.3">
      <c r="A10" s="18" t="s">
        <v>112</v>
      </c>
      <c r="B10" s="20">
        <f>IF(MAX(Dataset!B$3:B$12)=MIN(Dataset!B$3:B$12),0,(Dataset!B8-MIN(Dataset!B$3:B$12))/(MAX(Dataset!B$3:B$12)-MIN(Dataset!B$3:B$12)))</f>
        <v>0.5</v>
      </c>
      <c r="C10" s="21">
        <f>Dataset!C8</f>
        <v>1</v>
      </c>
      <c r="D10" s="21">
        <f>Dataset!D8</f>
        <v>4</v>
      </c>
      <c r="E10" s="20">
        <f>IF(MAX(Dataset!E$3:E$12)=MIN(Dataset!E$3:E$12),0,(Dataset!E8-MIN(Dataset!E$3:E$12))/(MAX(Dataset!E$3:E$12)-MIN(Dataset!E$3:E$12)))</f>
        <v>0.25</v>
      </c>
      <c r="F10" s="20">
        <f>IF(MAX(Dataset!F$3:F$12)=MIN(Dataset!F$3:F$12),0,(Dataset!F8-MIN(Dataset!F$3:F$12))/(MAX(Dataset!F$3:F$12)-MIN(Dataset!F$3:F$12)))</f>
        <v>0</v>
      </c>
      <c r="G10" s="21">
        <f>Dataset!G8</f>
        <v>0</v>
      </c>
      <c r="H10" s="21">
        <f>Dataset!H8</f>
        <v>0</v>
      </c>
      <c r="I10" s="20">
        <f>IF(MAX(Dataset!I$3:I$12)=MIN(Dataset!I$3:I$12),0,(Dataset!I8-MIN(Dataset!I$3:I$12))/(MAX(Dataset!I$3:I$12)-MIN(Dataset!I$3:I$12)))</f>
        <v>0.53846153846153844</v>
      </c>
      <c r="J10" s="21">
        <f>Dataset!J8</f>
        <v>0</v>
      </c>
      <c r="K10" s="20">
        <f>IF(MAX(Dataset!K$3:K$12)=MIN(Dataset!K$3:K$12),0,(Dataset!K8-MIN(Dataset!K$3:K$12))/(MAX(Dataset!K$3:K$12)-MIN(Dataset!K$3:K$12)))</f>
        <v>5.2631578947368425E-2</v>
      </c>
      <c r="L10" s="21">
        <f>Dataset!L8</f>
        <v>1</v>
      </c>
      <c r="M10" s="20">
        <f>IF(MAX(Dataset!M$3:M$12)=MIN(Dataset!M$3:M$12),0,(Dataset!M8-MIN(Dataset!M$3:M$12))/(MAX(Dataset!M$3:M$12)-MIN(Dataset!M$3:M$12)))</f>
        <v>0</v>
      </c>
      <c r="N10" s="21">
        <f>Dataset!N8</f>
        <v>7</v>
      </c>
      <c r="O10" s="22">
        <f>Dataset!O8</f>
        <v>1</v>
      </c>
    </row>
    <row r="11" spans="1:15" ht="15.6" customHeight="1" x14ac:dyDescent="0.3">
      <c r="A11" s="18" t="s">
        <v>113</v>
      </c>
      <c r="B11" s="20">
        <f>IF(MAX(Dataset!B$3:B$12)=MIN(Dataset!B$3:B$12),0,(Dataset!B9-MIN(Dataset!B$3:B$12))/(MAX(Dataset!B$3:B$12)-MIN(Dataset!B$3:B$12)))</f>
        <v>0</v>
      </c>
      <c r="C11" s="21">
        <f>Dataset!C9</f>
        <v>1</v>
      </c>
      <c r="D11" s="21">
        <f>Dataset!D9</f>
        <v>3</v>
      </c>
      <c r="E11" s="20">
        <f>IF(MAX(Dataset!E$3:E$12)=MIN(Dataset!E$3:E$12),0,(Dataset!E9-MIN(Dataset!E$3:E$12))/(MAX(Dataset!E$3:E$12)-MIN(Dataset!E$3:E$12)))</f>
        <v>0.5</v>
      </c>
      <c r="F11" s="20">
        <f>IF(MAX(Dataset!F$3:F$12)=MIN(Dataset!F$3:F$12),0,(Dataset!F9-MIN(Dataset!F$3:F$12))/(MAX(Dataset!F$3:F$12)-MIN(Dataset!F$3:F$12)))</f>
        <v>0.20413436692506459</v>
      </c>
      <c r="G11" s="21">
        <f>Dataset!G9</f>
        <v>1</v>
      </c>
      <c r="H11" s="21">
        <f>Dataset!H9</f>
        <v>2</v>
      </c>
      <c r="I11" s="20">
        <f>IF(MAX(Dataset!I$3:I$12)=MIN(Dataset!I$3:I$12),0,(Dataset!I9-MIN(Dataset!I$3:I$12))/(MAX(Dataset!I$3:I$12)-MIN(Dataset!I$3:I$12)))</f>
        <v>0.56923076923076921</v>
      </c>
      <c r="J11" s="21">
        <f>Dataset!J9</f>
        <v>1</v>
      </c>
      <c r="K11" s="20">
        <f>IF(MAX(Dataset!K$3:K$12)=MIN(Dataset!K$3:K$12),0,(Dataset!K9-MIN(Dataset!K$3:K$12))/(MAX(Dataset!K$3:K$12)-MIN(Dataset!K$3:K$12)))</f>
        <v>0.10526315789473684</v>
      </c>
      <c r="L11" s="21">
        <f>Dataset!L9</f>
        <v>2</v>
      </c>
      <c r="M11" s="20">
        <f>IF(MAX(Dataset!M$3:M$12)=MIN(Dataset!M$3:M$12),0,(Dataset!M9-MIN(Dataset!M$3:M$12))/(MAX(Dataset!M$3:M$12)-MIN(Dataset!M$3:M$12)))</f>
        <v>0.33333333333333331</v>
      </c>
      <c r="N11" s="21">
        <f>Dataset!N9</f>
        <v>6</v>
      </c>
      <c r="O11" s="22">
        <f>Dataset!O9</f>
        <v>2</v>
      </c>
    </row>
    <row r="12" spans="1:15" ht="15.6" customHeight="1" x14ac:dyDescent="0.3">
      <c r="A12" s="18" t="s">
        <v>114</v>
      </c>
      <c r="B12" s="20">
        <f>IF(MAX(Dataset!B$3:B$12)=MIN(Dataset!B$3:B$12),0,(Dataset!B10-MIN(Dataset!B$3:B$12))/(MAX(Dataset!B$3:B$12)-MIN(Dataset!B$3:B$12)))</f>
        <v>0.16666666666666666</v>
      </c>
      <c r="C12" s="21">
        <f>Dataset!C10</f>
        <v>1</v>
      </c>
      <c r="D12" s="21">
        <f>Dataset!D10</f>
        <v>4</v>
      </c>
      <c r="E12" s="20">
        <f>IF(MAX(Dataset!E$3:E$12)=MIN(Dataset!E$3:E$12),0,(Dataset!E10-MIN(Dataset!E$3:E$12))/(MAX(Dataset!E$3:E$12)-MIN(Dataset!E$3:E$12)))</f>
        <v>0</v>
      </c>
      <c r="F12" s="20">
        <f>IF(MAX(Dataset!F$3:F$12)=MIN(Dataset!F$3:F$12),0,(Dataset!F10-MIN(Dataset!F$3:F$12))/(MAX(Dataset!F$3:F$12)-MIN(Dataset!F$3:F$12)))</f>
        <v>0.16020671834625322</v>
      </c>
      <c r="G12" s="21">
        <f>Dataset!G10</f>
        <v>0</v>
      </c>
      <c r="H12" s="21">
        <f>Dataset!H10</f>
        <v>2</v>
      </c>
      <c r="I12" s="20">
        <f>IF(MAX(Dataset!I$3:I$12)=MIN(Dataset!I$3:I$12),0,(Dataset!I10-MIN(Dataset!I$3:I$12))/(MAX(Dataset!I$3:I$12)-MIN(Dataset!I$3:I$12)))</f>
        <v>0.56923076923076921</v>
      </c>
      <c r="J12" s="21">
        <f>Dataset!J10</f>
        <v>1</v>
      </c>
      <c r="K12" s="20">
        <f>IF(MAX(Dataset!K$3:K$12)=MIN(Dataset!K$3:K$12),0,(Dataset!K10-MIN(Dataset!K$3:K$12))/(MAX(Dataset!K$3:K$12)-MIN(Dataset!K$3:K$12)))</f>
        <v>0.26315789473684209</v>
      </c>
      <c r="L12" s="21">
        <f>Dataset!L10</f>
        <v>2</v>
      </c>
      <c r="M12" s="20">
        <f>IF(MAX(Dataset!M$3:M$12)=MIN(Dataset!M$3:M$12),0,(Dataset!M10-MIN(Dataset!M$3:M$12))/(MAX(Dataset!M$3:M$12)-MIN(Dataset!M$3:M$12)))</f>
        <v>0.33333333333333331</v>
      </c>
      <c r="N12" s="21">
        <f>Dataset!N10</f>
        <v>7</v>
      </c>
      <c r="O12" s="22">
        <f>Dataset!O10</f>
        <v>2</v>
      </c>
    </row>
    <row r="13" spans="1:15" ht="15.6" customHeight="1" x14ac:dyDescent="0.3">
      <c r="A13" s="18" t="s">
        <v>115</v>
      </c>
      <c r="B13" s="20">
        <f>IF(MAX(Dataset!B$3:B$12)=MIN(Dataset!B$3:B$12),0,(Dataset!B11-MIN(Dataset!B$3:B$12))/(MAX(Dataset!B$3:B$12)-MIN(Dataset!B$3:B$12)))</f>
        <v>0.22222222222222221</v>
      </c>
      <c r="C13" s="21">
        <f>Dataset!C11</f>
        <v>1</v>
      </c>
      <c r="D13" s="21">
        <f>Dataset!D11</f>
        <v>4</v>
      </c>
      <c r="E13" s="20">
        <f>IF(MAX(Dataset!E$3:E$12)=MIN(Dataset!E$3:E$12),0,(Dataset!E11-MIN(Dataset!E$3:E$12))/(MAX(Dataset!E$3:E$12)-MIN(Dataset!E$3:E$12)))</f>
        <v>0.75</v>
      </c>
      <c r="F13" s="20">
        <f>IF(MAX(Dataset!F$3:F$12)=MIN(Dataset!F$3:F$12),0,(Dataset!F11-MIN(Dataset!F$3:F$12))/(MAX(Dataset!F$3:F$12)-MIN(Dataset!F$3:F$12)))</f>
        <v>0.29974160206718348</v>
      </c>
      <c r="G13" s="21">
        <f>Dataset!G11</f>
        <v>0</v>
      </c>
      <c r="H13" s="21">
        <f>Dataset!H11</f>
        <v>2</v>
      </c>
      <c r="I13" s="20">
        <f>IF(MAX(Dataset!I$3:I$12)=MIN(Dataset!I$3:I$12),0,(Dataset!I11-MIN(Dataset!I$3:I$12))/(MAX(Dataset!I$3:I$12)-MIN(Dataset!I$3:I$12)))</f>
        <v>1</v>
      </c>
      <c r="J13" s="21">
        <f>Dataset!J11</f>
        <v>0</v>
      </c>
      <c r="K13" s="20">
        <f>IF(MAX(Dataset!K$3:K$12)=MIN(Dataset!K$3:K$12),0,(Dataset!K11-MIN(Dataset!K$3:K$12))/(MAX(Dataset!K$3:K$12)-MIN(Dataset!K$3:K$12)))</f>
        <v>0.26315789473684209</v>
      </c>
      <c r="L13" s="21">
        <f>Dataset!L11</f>
        <v>2</v>
      </c>
      <c r="M13" s="20">
        <f>IF(MAX(Dataset!M$3:M$12)=MIN(Dataset!M$3:M$12),0,(Dataset!M11-MIN(Dataset!M$3:M$12))/(MAX(Dataset!M$3:M$12)-MIN(Dataset!M$3:M$12)))</f>
        <v>0.66666666666666663</v>
      </c>
      <c r="N13" s="21">
        <f>Dataset!N11</f>
        <v>7</v>
      </c>
      <c r="O13" s="22">
        <f>Dataset!O11</f>
        <v>2</v>
      </c>
    </row>
    <row r="14" spans="1:15" ht="15.6" customHeight="1" x14ac:dyDescent="0.3">
      <c r="A14" s="18" t="s">
        <v>116</v>
      </c>
      <c r="B14" s="20">
        <f>IF(MAX(Dataset!B$3:B$12)=MIN(Dataset!B$3:B$12),0,(Dataset!B12-MIN(Dataset!B$3:B$12))/(MAX(Dataset!B$3:B$12)-MIN(Dataset!B$3:B$12)))</f>
        <v>0.3888888888888889</v>
      </c>
      <c r="C14" s="21">
        <f>Dataset!C12</f>
        <v>0</v>
      </c>
      <c r="D14" s="21">
        <f>Dataset!D12</f>
        <v>4</v>
      </c>
      <c r="E14" s="20">
        <f>IF(MAX(Dataset!E$3:E$12)=MIN(Dataset!E$3:E$12),0,(Dataset!E12-MIN(Dataset!E$3:E$12))/(MAX(Dataset!E$3:E$12)-MIN(Dataset!E$3:E$12)))</f>
        <v>1</v>
      </c>
      <c r="F14" s="20">
        <f>IF(MAX(Dataset!F$3:F$12)=MIN(Dataset!F$3:F$12),0,(Dataset!F12-MIN(Dataset!F$3:F$12))/(MAX(Dataset!F$3:F$12)-MIN(Dataset!F$3:F$12)))</f>
        <v>0.59431524547803616</v>
      </c>
      <c r="G14" s="21">
        <f>Dataset!G12</f>
        <v>0</v>
      </c>
      <c r="H14" s="21">
        <f>Dataset!H12</f>
        <v>2</v>
      </c>
      <c r="I14" s="20">
        <f>IF(MAX(Dataset!I$3:I$12)=MIN(Dataset!I$3:I$12),0,(Dataset!I12-MIN(Dataset!I$3:I$12))/(MAX(Dataset!I$3:I$12)-MIN(Dataset!I$3:I$12)))</f>
        <v>0.75384615384615383</v>
      </c>
      <c r="J14" s="21">
        <f>Dataset!J12</f>
        <v>0</v>
      </c>
      <c r="K14" s="20">
        <f>IF(MAX(Dataset!K$3:K$12)=MIN(Dataset!K$3:K$12),0,(Dataset!K12-MIN(Dataset!K$3:K$12))/(MAX(Dataset!K$3:K$12)-MIN(Dataset!K$3:K$12)))</f>
        <v>1</v>
      </c>
      <c r="L14" s="21">
        <f>Dataset!L12</f>
        <v>2</v>
      </c>
      <c r="M14" s="20">
        <f>IF(MAX(Dataset!M$3:M$12)=MIN(Dataset!M$3:M$12),0,(Dataset!M12-MIN(Dataset!M$3:M$12))/(MAX(Dataset!M$3:M$12)-MIN(Dataset!M$3:M$12)))</f>
        <v>1</v>
      </c>
      <c r="N14" s="21">
        <f>Dataset!N12</f>
        <v>7</v>
      </c>
      <c r="O14" s="22">
        <f>Dataset!O12</f>
        <v>2</v>
      </c>
    </row>
    <row r="15" spans="1:15" ht="15.6" customHeight="1" x14ac:dyDescent="0.3">
      <c r="A15" s="23" t="s">
        <v>117</v>
      </c>
      <c r="B15" s="23">
        <f>Dataset!B13</f>
        <v>1</v>
      </c>
      <c r="C15" s="23">
        <f>Dataset!C13</f>
        <v>0</v>
      </c>
      <c r="D15" s="23">
        <f>Dataset!D13</f>
        <v>0</v>
      </c>
      <c r="E15" s="23">
        <f>Dataset!E13</f>
        <v>1</v>
      </c>
      <c r="F15" s="23">
        <f>Dataset!F13</f>
        <v>1</v>
      </c>
      <c r="G15" s="23">
        <f>Dataset!G13</f>
        <v>0</v>
      </c>
      <c r="H15" s="23">
        <f>Dataset!H13</f>
        <v>0</v>
      </c>
      <c r="I15" s="23">
        <f>Dataset!I13</f>
        <v>1</v>
      </c>
      <c r="J15" s="23">
        <f>Dataset!J13</f>
        <v>0</v>
      </c>
      <c r="K15" s="23">
        <f>Dataset!K13</f>
        <v>1</v>
      </c>
      <c r="L15" s="23">
        <f>Dataset!L13</f>
        <v>0</v>
      </c>
      <c r="M15" s="23">
        <f>Dataset!M13</f>
        <v>1</v>
      </c>
      <c r="N15" s="23">
        <f>Dataset!N13</f>
        <v>0</v>
      </c>
      <c r="O15" s="23" t="s">
        <v>118</v>
      </c>
    </row>
    <row r="16" spans="1:15" ht="15.6" customHeight="1" x14ac:dyDescent="0.3">
      <c r="A16" s="25" t="s">
        <v>119</v>
      </c>
      <c r="B16" s="24">
        <f>MIN(Dataset!B$3:B$12)</f>
        <v>56</v>
      </c>
      <c r="C16" s="24" t="s">
        <v>120</v>
      </c>
      <c r="D16" s="24" t="s">
        <v>120</v>
      </c>
      <c r="E16" s="24">
        <f>MIN(Dataset!E$3:E$12)</f>
        <v>110</v>
      </c>
      <c r="F16" s="24">
        <f>MIN(Dataset!F$3:F$12)</f>
        <v>177</v>
      </c>
      <c r="G16" s="24" t="s">
        <v>120</v>
      </c>
      <c r="H16" s="24" t="s">
        <v>120</v>
      </c>
      <c r="I16" s="24">
        <f>MIN(Dataset!I$3:I$12)</f>
        <v>105</v>
      </c>
      <c r="J16" s="24" t="s">
        <v>120</v>
      </c>
      <c r="K16" s="24">
        <f>MIN(Dataset!K$3:K$12)</f>
        <v>0.2</v>
      </c>
      <c r="L16" s="24" t="s">
        <v>120</v>
      </c>
      <c r="M16" s="24">
        <f>MIN(Dataset!M$3:M$12)</f>
        <v>0</v>
      </c>
      <c r="N16" s="24" t="s">
        <v>120</v>
      </c>
      <c r="O16" s="24" t="s">
        <v>121</v>
      </c>
    </row>
    <row r="17" spans="1:15" ht="15.6" customHeight="1" x14ac:dyDescent="0.3">
      <c r="A17" s="25" t="s">
        <v>122</v>
      </c>
      <c r="B17" s="24">
        <f>MAX(Dataset!B$3:B$12)</f>
        <v>74</v>
      </c>
      <c r="C17" s="24" t="s">
        <v>120</v>
      </c>
      <c r="D17" s="24" t="s">
        <v>120</v>
      </c>
      <c r="E17" s="24">
        <f>MAX(Dataset!E$3:E$12)</f>
        <v>150</v>
      </c>
      <c r="F17" s="24">
        <f>MAX(Dataset!F$3:F$12)</f>
        <v>564</v>
      </c>
      <c r="G17" s="24" t="s">
        <v>120</v>
      </c>
      <c r="H17" s="24" t="s">
        <v>120</v>
      </c>
      <c r="I17" s="24">
        <f>MAX(Dataset!I$3:I$12)</f>
        <v>170</v>
      </c>
      <c r="J17" s="24" t="s">
        <v>120</v>
      </c>
      <c r="K17" s="24">
        <f>MAX(Dataset!K$3:K$12)</f>
        <v>4</v>
      </c>
      <c r="L17" s="24" t="s">
        <v>120</v>
      </c>
      <c r="M17" s="24">
        <f>MAX(Dataset!M$3:M$12)</f>
        <v>3</v>
      </c>
      <c r="N17" s="24" t="s">
        <v>120</v>
      </c>
      <c r="O17" s="24" t="s">
        <v>121</v>
      </c>
    </row>
    <row r="18" spans="1:15" ht="15.6" customHeight="1" x14ac:dyDescent="0.3"/>
    <row r="19" spans="1:15" ht="15.6" customHeight="1" x14ac:dyDescent="0.3">
      <c r="A19" s="35" t="s">
        <v>123</v>
      </c>
    </row>
    <row r="20" spans="1:15" ht="15.6" customHeight="1" x14ac:dyDescent="0.3">
      <c r="A20" s="35" t="s">
        <v>124</v>
      </c>
    </row>
    <row r="21" spans="1:15" ht="15.6" customHeight="1" x14ac:dyDescent="0.3">
      <c r="A21" s="35" t="s">
        <v>125</v>
      </c>
    </row>
  </sheetData>
  <mergeCells count="2">
    <mergeCell ref="A1:O1"/>
    <mergeCell ref="A3:O3"/>
  </mergeCells>
  <printOptions horizontalCentered="1"/>
  <pageMargins left="0.4" right="0.4" top="0.7" bottom="0.6" header="0.3" footer="0.3"/>
  <pageSetup paperSize="9" fitToHeight="0" orientation="landscape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K44"/>
  <sheetViews>
    <sheetView showGridLines="0" zoomScaleNormal="100" workbookViewId="0">
      <pane ySplit="2" topLeftCell="A21" activePane="bottomLeft" state="frozen"/>
      <selection pane="bottomLeft" activeCell="A3" sqref="A3:K3"/>
    </sheetView>
  </sheetViews>
  <sheetFormatPr defaultRowHeight="14.4" x14ac:dyDescent="0.3"/>
  <cols>
    <col min="1" max="1" width="10.77734375" customWidth="1"/>
    <col min="2" max="11" width="11.77734375" customWidth="1"/>
  </cols>
  <sheetData>
    <row r="1" spans="1:11" ht="19.95" customHeight="1" x14ac:dyDescent="0.3">
      <c r="A1" s="65" t="s">
        <v>126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5.6" customHeight="1" x14ac:dyDescent="0.3"/>
    <row r="3" spans="1:11" ht="18" customHeight="1" x14ac:dyDescent="0.3">
      <c r="A3" s="66" t="s">
        <v>127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15.6" customHeight="1" x14ac:dyDescent="0.3">
      <c r="A4" s="16" t="s">
        <v>128</v>
      </c>
      <c r="B4" s="16" t="s">
        <v>107</v>
      </c>
      <c r="C4" s="16" t="s">
        <v>108</v>
      </c>
      <c r="D4" s="16" t="s">
        <v>109</v>
      </c>
      <c r="E4" s="16" t="s">
        <v>110</v>
      </c>
      <c r="F4" s="16" t="s">
        <v>111</v>
      </c>
      <c r="G4" s="16" t="s">
        <v>112</v>
      </c>
      <c r="H4" s="16" t="s">
        <v>113</v>
      </c>
      <c r="I4" s="16" t="s">
        <v>114</v>
      </c>
      <c r="J4" s="16" t="s">
        <v>115</v>
      </c>
      <c r="K4" s="16" t="s">
        <v>116</v>
      </c>
    </row>
    <row r="5" spans="1:11" ht="15.6" customHeight="1" x14ac:dyDescent="0.3">
      <c r="A5" s="18" t="s">
        <v>107</v>
      </c>
      <c r="B5" s="27">
        <f t="shared" ref="B5:K5" si="0">ROUND(B18+B31,10)</f>
        <v>0</v>
      </c>
      <c r="C5" s="26">
        <f t="shared" si="0"/>
        <v>6.1621313645000004</v>
      </c>
      <c r="D5" s="26">
        <f t="shared" si="0"/>
        <v>7.0747842324999999</v>
      </c>
      <c r="E5" s="26">
        <f t="shared" si="0"/>
        <v>4.8429406103000003</v>
      </c>
      <c r="F5" s="26">
        <f t="shared" si="0"/>
        <v>6.0394025462999998</v>
      </c>
      <c r="G5" s="26">
        <f t="shared" si="0"/>
        <v>5.9056936467999996</v>
      </c>
      <c r="H5" s="26">
        <f t="shared" si="0"/>
        <v>6.5963635983</v>
      </c>
      <c r="I5" s="26">
        <f t="shared" si="0"/>
        <v>4.8157298433999998</v>
      </c>
      <c r="J5" s="26">
        <f t="shared" si="0"/>
        <v>3.4680753015999999</v>
      </c>
      <c r="K5" s="26">
        <f t="shared" si="0"/>
        <v>4.2218874557000001</v>
      </c>
    </row>
    <row r="6" spans="1:11" ht="15.6" customHeight="1" x14ac:dyDescent="0.3">
      <c r="A6" s="18" t="s">
        <v>108</v>
      </c>
      <c r="B6" s="26">
        <f t="shared" ref="B6:K6" si="1">ROUND(B19+B32,10)</f>
        <v>6.1621313645000004</v>
      </c>
      <c r="C6" s="27">
        <f t="shared" si="1"/>
        <v>0</v>
      </c>
      <c r="D6" s="26">
        <f t="shared" si="1"/>
        <v>6.1979142475</v>
      </c>
      <c r="E6" s="26">
        <f t="shared" si="1"/>
        <v>6.8173526765999997</v>
      </c>
      <c r="F6" s="26">
        <f t="shared" si="1"/>
        <v>6.5779171766999998</v>
      </c>
      <c r="G6" s="26">
        <f t="shared" si="1"/>
        <v>5.8595928925000003</v>
      </c>
      <c r="H6" s="26">
        <f t="shared" si="1"/>
        <v>6.6553910492000004</v>
      </c>
      <c r="I6" s="26">
        <f t="shared" si="1"/>
        <v>5.1247572942000001</v>
      </c>
      <c r="J6" s="26">
        <f t="shared" si="1"/>
        <v>4.6399232652000002</v>
      </c>
      <c r="K6" s="26">
        <f t="shared" si="1"/>
        <v>4.2267936164000002</v>
      </c>
    </row>
    <row r="7" spans="1:11" ht="15.6" customHeight="1" x14ac:dyDescent="0.3">
      <c r="A7" s="18" t="s">
        <v>109</v>
      </c>
      <c r="B7" s="26">
        <f t="shared" ref="B7:K7" si="2">ROUND(B20+B33,10)</f>
        <v>7.0747842324999999</v>
      </c>
      <c r="C7" s="26">
        <f t="shared" si="2"/>
        <v>6.1979142475</v>
      </c>
      <c r="D7" s="27">
        <f t="shared" si="2"/>
        <v>0</v>
      </c>
      <c r="E7" s="26">
        <f t="shared" si="2"/>
        <v>4.4075521242000004</v>
      </c>
      <c r="F7" s="26">
        <f t="shared" si="2"/>
        <v>5.7324577096000002</v>
      </c>
      <c r="G7" s="26">
        <f t="shared" si="2"/>
        <v>1.8031991129</v>
      </c>
      <c r="H7" s="26">
        <f t="shared" si="2"/>
        <v>6.6461407692999996</v>
      </c>
      <c r="I7" s="26">
        <f t="shared" si="2"/>
        <v>5.1035187103000004</v>
      </c>
      <c r="J7" s="26">
        <f t="shared" si="2"/>
        <v>4.9990166233000002</v>
      </c>
      <c r="K7" s="26">
        <f t="shared" si="2"/>
        <v>7.5342785257999996</v>
      </c>
    </row>
    <row r="8" spans="1:11" ht="15.6" customHeight="1" x14ac:dyDescent="0.3">
      <c r="A8" s="18" t="s">
        <v>110</v>
      </c>
      <c r="B8" s="26">
        <f t="shared" ref="B8:K8" si="3">ROUND(B21+B34,10)</f>
        <v>4.8429406103000003</v>
      </c>
      <c r="C8" s="26">
        <f t="shared" si="3"/>
        <v>6.8173526765999997</v>
      </c>
      <c r="D8" s="26">
        <f t="shared" si="3"/>
        <v>4.4075521242000004</v>
      </c>
      <c r="E8" s="27">
        <f t="shared" si="3"/>
        <v>0</v>
      </c>
      <c r="F8" s="26">
        <f t="shared" si="3"/>
        <v>6.0172132776999998</v>
      </c>
      <c r="G8" s="26">
        <f t="shared" si="3"/>
        <v>3.4022042285</v>
      </c>
      <c r="H8" s="26">
        <f t="shared" si="3"/>
        <v>5.1870262268999996</v>
      </c>
      <c r="I8" s="26">
        <f t="shared" si="3"/>
        <v>2.6221819456</v>
      </c>
      <c r="J8" s="26">
        <f t="shared" si="3"/>
        <v>4.1962328300999996</v>
      </c>
      <c r="K8" s="26">
        <f t="shared" si="3"/>
        <v>6.3981613993000002</v>
      </c>
    </row>
    <row r="9" spans="1:11" ht="15.6" customHeight="1" x14ac:dyDescent="0.3">
      <c r="A9" s="18" t="s">
        <v>111</v>
      </c>
      <c r="B9" s="26">
        <f t="shared" ref="B9:K9" si="4">ROUND(B22+B35,10)</f>
        <v>6.0394025462999998</v>
      </c>
      <c r="C9" s="26">
        <f t="shared" si="4"/>
        <v>6.5779171766999998</v>
      </c>
      <c r="D9" s="26">
        <f t="shared" si="4"/>
        <v>5.7324577096000002</v>
      </c>
      <c r="E9" s="26">
        <f t="shared" si="4"/>
        <v>6.0172132776999998</v>
      </c>
      <c r="F9" s="27">
        <f t="shared" si="4"/>
        <v>0</v>
      </c>
      <c r="G9" s="26">
        <f t="shared" si="4"/>
        <v>6.4159987027999996</v>
      </c>
      <c r="H9" s="26">
        <f t="shared" si="4"/>
        <v>6.7119318121999996</v>
      </c>
      <c r="I9" s="26">
        <f t="shared" si="4"/>
        <v>5.747087531</v>
      </c>
      <c r="J9" s="26">
        <f t="shared" si="4"/>
        <v>7.6901306635999997</v>
      </c>
      <c r="K9" s="26">
        <f t="shared" si="4"/>
        <v>7.8920592328000003</v>
      </c>
    </row>
    <row r="10" spans="1:11" ht="15.6" customHeight="1" x14ac:dyDescent="0.3">
      <c r="A10" s="18" t="s">
        <v>112</v>
      </c>
      <c r="B10" s="26">
        <f t="shared" ref="B10:K10" si="5">ROUND(B23+B36,10)</f>
        <v>5.9056936467999996</v>
      </c>
      <c r="C10" s="26">
        <f t="shared" si="5"/>
        <v>5.8595928925000003</v>
      </c>
      <c r="D10" s="26">
        <f t="shared" si="5"/>
        <v>1.8031991129</v>
      </c>
      <c r="E10" s="26">
        <f t="shared" si="5"/>
        <v>3.4022042285</v>
      </c>
      <c r="F10" s="26">
        <f t="shared" si="5"/>
        <v>6.4159987027999996</v>
      </c>
      <c r="G10" s="27">
        <f t="shared" si="5"/>
        <v>0</v>
      </c>
      <c r="H10" s="26">
        <f t="shared" si="5"/>
        <v>7.3708685100000002</v>
      </c>
      <c r="I10" s="26">
        <f t="shared" si="5"/>
        <v>4.3181689315999998</v>
      </c>
      <c r="J10" s="26">
        <f t="shared" si="5"/>
        <v>4.4162508237999996</v>
      </c>
      <c r="K10" s="26">
        <f t="shared" si="5"/>
        <v>6.6181793930000001</v>
      </c>
    </row>
    <row r="11" spans="1:11" ht="15.6" customHeight="1" x14ac:dyDescent="0.3">
      <c r="A11" s="18" t="s">
        <v>113</v>
      </c>
      <c r="B11" s="26">
        <f t="shared" ref="B11:K11" si="6">ROUND(B24+B37,10)</f>
        <v>6.5963635983</v>
      </c>
      <c r="C11" s="26">
        <f t="shared" si="6"/>
        <v>6.6553910492000004</v>
      </c>
      <c r="D11" s="26">
        <f t="shared" si="6"/>
        <v>6.6461407692999996</v>
      </c>
      <c r="E11" s="26">
        <f t="shared" si="6"/>
        <v>5.1870262268999996</v>
      </c>
      <c r="F11" s="26">
        <f t="shared" si="6"/>
        <v>6.7119318121999996</v>
      </c>
      <c r="G11" s="26">
        <f t="shared" si="6"/>
        <v>7.3708685100000002</v>
      </c>
      <c r="H11" s="27">
        <f t="shared" si="6"/>
        <v>0</v>
      </c>
      <c r="I11" s="26">
        <f t="shared" si="6"/>
        <v>3.8684890521000002</v>
      </c>
      <c r="J11" s="26">
        <f t="shared" si="6"/>
        <v>5.4898267583000004</v>
      </c>
      <c r="K11" s="26">
        <f t="shared" si="6"/>
        <v>8.0250886607999998</v>
      </c>
    </row>
    <row r="12" spans="1:11" ht="15.6" customHeight="1" x14ac:dyDescent="0.3">
      <c r="A12" s="18" t="s">
        <v>114</v>
      </c>
      <c r="B12" s="26">
        <f t="shared" ref="B12:K12" si="7">ROUND(B25+B38,10)</f>
        <v>4.8157298433999998</v>
      </c>
      <c r="C12" s="26">
        <f t="shared" si="7"/>
        <v>5.1247572942000001</v>
      </c>
      <c r="D12" s="26">
        <f t="shared" si="7"/>
        <v>5.1035187103000004</v>
      </c>
      <c r="E12" s="26">
        <f t="shared" si="7"/>
        <v>2.6221819456</v>
      </c>
      <c r="F12" s="26">
        <f t="shared" si="7"/>
        <v>5.747087531</v>
      </c>
      <c r="G12" s="26">
        <f t="shared" si="7"/>
        <v>4.3181689315999998</v>
      </c>
      <c r="H12" s="26">
        <f t="shared" si="7"/>
        <v>3.8684890521000002</v>
      </c>
      <c r="I12" s="27">
        <f t="shared" si="7"/>
        <v>0</v>
      </c>
      <c r="J12" s="26">
        <f t="shared" si="7"/>
        <v>2.7091930033999998</v>
      </c>
      <c r="K12" s="26">
        <f t="shared" si="7"/>
        <v>5.2444549058999996</v>
      </c>
    </row>
    <row r="13" spans="1:11" ht="15.6" customHeight="1" x14ac:dyDescent="0.3">
      <c r="A13" s="18" t="s">
        <v>115</v>
      </c>
      <c r="B13" s="26">
        <f t="shared" ref="B13:K13" si="8">ROUND(B26+B39,10)</f>
        <v>3.4680753015999999</v>
      </c>
      <c r="C13" s="26">
        <f t="shared" si="8"/>
        <v>4.6399232652000002</v>
      </c>
      <c r="D13" s="26">
        <f t="shared" si="8"/>
        <v>4.9990166233000002</v>
      </c>
      <c r="E13" s="26">
        <f t="shared" si="8"/>
        <v>4.1962328300999996</v>
      </c>
      <c r="F13" s="26">
        <f t="shared" si="8"/>
        <v>7.6901306635999997</v>
      </c>
      <c r="G13" s="26">
        <f t="shared" si="8"/>
        <v>4.4162508237999996</v>
      </c>
      <c r="H13" s="26">
        <f t="shared" si="8"/>
        <v>5.4898267583000004</v>
      </c>
      <c r="I13" s="26">
        <f t="shared" si="8"/>
        <v>2.7091930033999998</v>
      </c>
      <c r="J13" s="27">
        <f t="shared" si="8"/>
        <v>0</v>
      </c>
      <c r="K13" s="26">
        <f t="shared" si="8"/>
        <v>3.0275695948000001</v>
      </c>
    </row>
    <row r="14" spans="1:11" ht="15.6" customHeight="1" x14ac:dyDescent="0.3">
      <c r="A14" s="18" t="s">
        <v>116</v>
      </c>
      <c r="B14" s="26">
        <f t="shared" ref="B14:K14" si="9">ROUND(B27+B40,10)</f>
        <v>4.2218874557000001</v>
      </c>
      <c r="C14" s="26">
        <f t="shared" si="9"/>
        <v>4.2267936164000002</v>
      </c>
      <c r="D14" s="26">
        <f t="shared" si="9"/>
        <v>7.5342785257999996</v>
      </c>
      <c r="E14" s="26">
        <f t="shared" si="9"/>
        <v>6.3981613993000002</v>
      </c>
      <c r="F14" s="26">
        <f t="shared" si="9"/>
        <v>7.8920592328000003</v>
      </c>
      <c r="G14" s="26">
        <f t="shared" si="9"/>
        <v>6.6181793930000001</v>
      </c>
      <c r="H14" s="26">
        <f t="shared" si="9"/>
        <v>8.0250886607999998</v>
      </c>
      <c r="I14" s="26">
        <f t="shared" si="9"/>
        <v>5.2444549058999996</v>
      </c>
      <c r="J14" s="26">
        <f t="shared" si="9"/>
        <v>3.0275695948000001</v>
      </c>
      <c r="K14" s="27">
        <f t="shared" si="9"/>
        <v>0</v>
      </c>
    </row>
    <row r="15" spans="1:11" ht="15.6" customHeight="1" x14ac:dyDescent="0.3"/>
    <row r="16" spans="1:11" ht="18" customHeight="1" x14ac:dyDescent="0.3">
      <c r="A16" s="66" t="s">
        <v>129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</row>
    <row r="17" spans="1:11" ht="15.6" customHeight="1" x14ac:dyDescent="0.3">
      <c r="A17" s="16" t="s">
        <v>0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6" t="s">
        <v>111</v>
      </c>
      <c r="G17" s="16" t="s">
        <v>112</v>
      </c>
      <c r="H17" s="16" t="s">
        <v>113</v>
      </c>
      <c r="I17" s="16" t="s">
        <v>114</v>
      </c>
      <c r="J17" s="16" t="s">
        <v>115</v>
      </c>
      <c r="K17" s="16" t="s">
        <v>116</v>
      </c>
    </row>
    <row r="18" spans="1:11" ht="15.6" customHeight="1" x14ac:dyDescent="0.3">
      <c r="A18" s="18" t="s">
        <v>107</v>
      </c>
      <c r="B18" s="27">
        <f>SUMPRODUCT(Dataset!$B$13:$N$13,ABS('Normalized Dataset'!$B$5:$N$5-'Normalized Dataset'!$B$5:$N$5))</f>
        <v>0</v>
      </c>
      <c r="C18" s="26">
        <f>SUMPRODUCT(Dataset!$B$13:$N$13,ABS('Normalized Dataset'!$B$5:$N$5-'Normalized Dataset'!$B$6:$N$6))</f>
        <v>3.1621313644875451</v>
      </c>
      <c r="D18" s="26">
        <f>SUMPRODUCT(Dataset!$B$13:$N$13,ABS('Normalized Dataset'!$B$5:$N$5-'Normalized Dataset'!$B$7:$N$7))</f>
        <v>3.0747842324953707</v>
      </c>
      <c r="E18" s="26">
        <f>SUMPRODUCT(Dataset!$B$13:$N$13,ABS('Normalized Dataset'!$B$5:$N$5-'Normalized Dataset'!$B$8:$N$8))</f>
        <v>1.8429406103212713</v>
      </c>
      <c r="F18" s="26">
        <f>SUMPRODUCT(Dataset!$B$13:$N$13,ABS('Normalized Dataset'!$B$5:$N$5-'Normalized Dataset'!$B$9:$N$9))</f>
        <v>2.0394025463180911</v>
      </c>
      <c r="G18" s="26">
        <f>SUMPRODUCT(Dataset!$B$13:$N$13,ABS('Normalized Dataset'!$B$5:$N$5-'Normalized Dataset'!$B$10:$N$10))</f>
        <v>2.9056936467585182</v>
      </c>
      <c r="H18" s="26">
        <f>SUMPRODUCT(Dataset!$B$13:$N$13,ABS('Normalized Dataset'!$B$5:$N$5-'Normalized Dataset'!$B$11:$N$11))</f>
        <v>2.5963635983219824</v>
      </c>
      <c r="I18" s="26">
        <f>SUMPRODUCT(Dataset!$B$13:$N$13,ABS('Normalized Dataset'!$B$5:$N$5-'Normalized Dataset'!$B$12:$N$12))</f>
        <v>2.8157298433920221</v>
      </c>
      <c r="J18" s="26">
        <f>SUMPRODUCT(Dataset!$B$13:$N$13,ABS('Normalized Dataset'!$B$5:$N$5-'Normalized Dataset'!$B$13:$N$13))</f>
        <v>2.4680753015514338</v>
      </c>
      <c r="K18" s="26">
        <f>SUMPRODUCT(Dataset!$B$13:$N$13,ABS('Normalized Dataset'!$B$5:$N$5-'Normalized Dataset'!$B$14:$N$14))</f>
        <v>2.2218874556695853</v>
      </c>
    </row>
    <row r="19" spans="1:11" ht="15.6" customHeight="1" x14ac:dyDescent="0.3">
      <c r="A19" s="18" t="s">
        <v>108</v>
      </c>
      <c r="B19" s="26">
        <f>SUMPRODUCT(Dataset!$B$13:$N$13,ABS('Normalized Dataset'!$B$6:$N$6-'Normalized Dataset'!$B$5:$N$5))</f>
        <v>3.1621313644875451</v>
      </c>
      <c r="C19" s="27">
        <f>SUMPRODUCT(Dataset!$B$13:$N$13,ABS('Normalized Dataset'!$B$6:$N$6-'Normalized Dataset'!$B$6:$N$6))</f>
        <v>0</v>
      </c>
      <c r="D19" s="26">
        <f>SUMPRODUCT(Dataset!$B$13:$N$13,ABS('Normalized Dataset'!$B$6:$N$6-'Normalized Dataset'!$B$7:$N$7))</f>
        <v>2.1979142474552509</v>
      </c>
      <c r="E19" s="26">
        <f>SUMPRODUCT(Dataset!$B$13:$N$13,ABS('Normalized Dataset'!$B$6:$N$6-'Normalized Dataset'!$B$8:$N$8))</f>
        <v>2.8173526765632029</v>
      </c>
      <c r="F19" s="26">
        <f>SUMPRODUCT(Dataset!$B$13:$N$13,ABS('Normalized Dataset'!$B$6:$N$6-'Normalized Dataset'!$B$9:$N$9))</f>
        <v>2.5779171766625866</v>
      </c>
      <c r="G19" s="26">
        <f>SUMPRODUCT(Dataset!$B$13:$N$13,ABS('Normalized Dataset'!$B$6:$N$6-'Normalized Dataset'!$B$10:$N$10))</f>
        <v>1.8595928924876295</v>
      </c>
      <c r="H19" s="26">
        <f>SUMPRODUCT(Dataset!$B$13:$N$13,ABS('Normalized Dataset'!$B$6:$N$6-'Normalized Dataset'!$B$11:$N$11))</f>
        <v>2.6553910491792991</v>
      </c>
      <c r="I19" s="26">
        <f>SUMPRODUCT(Dataset!$B$13:$N$13,ABS('Normalized Dataset'!$B$6:$N$6-'Normalized Dataset'!$B$12:$N$12))</f>
        <v>2.1247572942493385</v>
      </c>
      <c r="J19" s="26">
        <f>SUMPRODUCT(Dataset!$B$13:$N$13,ABS('Normalized Dataset'!$B$6:$N$6-'Normalized Dataset'!$B$13:$N$13))</f>
        <v>2.639923265229263</v>
      </c>
      <c r="K19" s="26">
        <f>SUMPRODUCT(Dataset!$B$13:$N$13,ABS('Normalized Dataset'!$B$6:$N$6-'Normalized Dataset'!$B$14:$N$14))</f>
        <v>3.2267936164202995</v>
      </c>
    </row>
    <row r="20" spans="1:11" ht="15.6" customHeight="1" x14ac:dyDescent="0.3">
      <c r="A20" s="18" t="s">
        <v>109</v>
      </c>
      <c r="B20" s="26">
        <f>SUMPRODUCT(Dataset!$B$13:$N$13,ABS('Normalized Dataset'!$B$7:$N$7-'Normalized Dataset'!$B$5:$N$5))</f>
        <v>3.0747842324953707</v>
      </c>
      <c r="C20" s="26">
        <f>SUMPRODUCT(Dataset!$B$13:$N$13,ABS('Normalized Dataset'!$B$7:$N$7-'Normalized Dataset'!$B$6:$N$6))</f>
        <v>2.1979142474552509</v>
      </c>
      <c r="D20" s="27">
        <f>SUMPRODUCT(Dataset!$B$13:$N$13,ABS('Normalized Dataset'!$B$7:$N$7-'Normalized Dataset'!$B$7:$N$7))</f>
        <v>0</v>
      </c>
      <c r="E20" s="26">
        <f>SUMPRODUCT(Dataset!$B$13:$N$13,ABS('Normalized Dataset'!$B$7:$N$7-'Normalized Dataset'!$B$8:$N$8))</f>
        <v>1.407552124198391</v>
      </c>
      <c r="F20" s="26">
        <f>SUMPRODUCT(Dataset!$B$13:$N$13,ABS('Normalized Dataset'!$B$7:$N$7-'Normalized Dataset'!$B$9:$N$9))</f>
        <v>1.7324577095690925</v>
      </c>
      <c r="G20" s="26">
        <f>SUMPRODUCT(Dataset!$B$13:$N$13,ABS('Normalized Dataset'!$B$7:$N$7-'Normalized Dataset'!$B$10:$N$10))</f>
        <v>0.80319911286863555</v>
      </c>
      <c r="H20" s="26">
        <f>SUMPRODUCT(Dataset!$B$13:$N$13,ABS('Normalized Dataset'!$B$7:$N$7-'Normalized Dataset'!$B$11:$N$11))</f>
        <v>0.64614076933538378</v>
      </c>
      <c r="I20" s="26">
        <f>SUMPRODUCT(Dataset!$B$13:$N$13,ABS('Normalized Dataset'!$B$7:$N$7-'Normalized Dataset'!$B$12:$N$12))</f>
        <v>1.1035187103118558</v>
      </c>
      <c r="J20" s="26">
        <f>SUMPRODUCT(Dataset!$B$13:$N$13,ABS('Normalized Dataset'!$B$7:$N$7-'Normalized Dataset'!$B$13:$N$13))</f>
        <v>1.9990166232516295</v>
      </c>
      <c r="K20" s="26">
        <f>SUMPRODUCT(Dataset!$B$13:$N$13,ABS('Normalized Dataset'!$B$7:$N$7-'Normalized Dataset'!$B$14:$N$14))</f>
        <v>3.5342785257717937</v>
      </c>
    </row>
    <row r="21" spans="1:11" ht="15.6" customHeight="1" x14ac:dyDescent="0.3">
      <c r="A21" s="18" t="s">
        <v>110</v>
      </c>
      <c r="B21" s="26">
        <f>SUMPRODUCT(Dataset!$B$13:$N$13,ABS('Normalized Dataset'!$B$8:$N$8-'Normalized Dataset'!$B$5:$N$5))</f>
        <v>1.8429406103212713</v>
      </c>
      <c r="C21" s="26">
        <f>SUMPRODUCT(Dataset!$B$13:$N$13,ABS('Normalized Dataset'!$B$8:$N$8-'Normalized Dataset'!$B$6:$N$6))</f>
        <v>2.8173526765632029</v>
      </c>
      <c r="D21" s="26">
        <f>SUMPRODUCT(Dataset!$B$13:$N$13,ABS('Normalized Dataset'!$B$8:$N$8-'Normalized Dataset'!$B$7:$N$7))</f>
        <v>1.407552124198391</v>
      </c>
      <c r="E21" s="27">
        <f>SUMPRODUCT(Dataset!$B$13:$N$13,ABS('Normalized Dataset'!$B$8:$N$8-'Normalized Dataset'!$B$8:$N$8))</f>
        <v>0</v>
      </c>
      <c r="F21" s="26">
        <f>SUMPRODUCT(Dataset!$B$13:$N$13,ABS('Normalized Dataset'!$B$8:$N$8-'Normalized Dataset'!$B$9:$N$9))</f>
        <v>1.017213277678394</v>
      </c>
      <c r="G21" s="26">
        <f>SUMPRODUCT(Dataset!$B$13:$N$13,ABS('Normalized Dataset'!$B$8:$N$8-'Normalized Dataset'!$B$10:$N$10))</f>
        <v>1.4022042285200178</v>
      </c>
      <c r="H21" s="26">
        <f>SUMPRODUCT(Dataset!$B$13:$N$13,ABS('Normalized Dataset'!$B$8:$N$8-'Normalized Dataset'!$B$11:$N$11))</f>
        <v>1.1870262268671081</v>
      </c>
      <c r="I21" s="26">
        <f>SUMPRODUCT(Dataset!$B$13:$N$13,ABS('Normalized Dataset'!$B$8:$N$8-'Normalized Dataset'!$B$12:$N$12))</f>
        <v>1.622181945621358</v>
      </c>
      <c r="J21" s="26">
        <f>SUMPRODUCT(Dataset!$B$13:$N$13,ABS('Normalized Dataset'!$B$8:$N$8-'Normalized Dataset'!$B$13:$N$13))</f>
        <v>2.196232830137359</v>
      </c>
      <c r="K21" s="26">
        <f>SUMPRODUCT(Dataset!$B$13:$N$13,ABS('Normalized Dataset'!$B$8:$N$8-'Normalized Dataset'!$B$14:$N$14))</f>
        <v>3.3981613993241906</v>
      </c>
    </row>
    <row r="22" spans="1:11" ht="15.6" customHeight="1" x14ac:dyDescent="0.3">
      <c r="A22" s="18" t="s">
        <v>111</v>
      </c>
      <c r="B22" s="26">
        <f>SUMPRODUCT(Dataset!$B$13:$N$13,ABS('Normalized Dataset'!$B$9:$N$9-'Normalized Dataset'!$B$5:$N$5))</f>
        <v>2.0394025463180911</v>
      </c>
      <c r="C22" s="26">
        <f>SUMPRODUCT(Dataset!$B$13:$N$13,ABS('Normalized Dataset'!$B$9:$N$9-'Normalized Dataset'!$B$6:$N$6))</f>
        <v>2.5779171766625866</v>
      </c>
      <c r="D22" s="26">
        <f>SUMPRODUCT(Dataset!$B$13:$N$13,ABS('Normalized Dataset'!$B$9:$N$9-'Normalized Dataset'!$B$7:$N$7))</f>
        <v>1.7324577095690925</v>
      </c>
      <c r="E22" s="26">
        <f>SUMPRODUCT(Dataset!$B$13:$N$13,ABS('Normalized Dataset'!$B$9:$N$9-'Normalized Dataset'!$B$8:$N$8))</f>
        <v>1.017213277678394</v>
      </c>
      <c r="F22" s="27">
        <f>SUMPRODUCT(Dataset!$B$13:$N$13,ABS('Normalized Dataset'!$B$9:$N$9-'Normalized Dataset'!$B$9:$N$9))</f>
        <v>0</v>
      </c>
      <c r="G22" s="26">
        <f>SUMPRODUCT(Dataset!$B$13:$N$13,ABS('Normalized Dataset'!$B$9:$N$9-'Normalized Dataset'!$B$10:$N$10))</f>
        <v>1.4159987027796084</v>
      </c>
      <c r="H22" s="26">
        <f>SUMPRODUCT(Dataset!$B$13:$N$13,ABS('Normalized Dataset'!$B$9:$N$9-'Normalized Dataset'!$B$11:$N$11))</f>
        <v>1.7119318122378098</v>
      </c>
      <c r="I22" s="26">
        <f>SUMPRODUCT(Dataset!$B$13:$N$13,ABS('Normalized Dataset'!$B$9:$N$9-'Normalized Dataset'!$B$12:$N$12))</f>
        <v>1.7470875309920597</v>
      </c>
      <c r="J22" s="26">
        <f>SUMPRODUCT(Dataset!$B$13:$N$13,ABS('Normalized Dataset'!$B$9:$N$9-'Normalized Dataset'!$B$13:$N$13))</f>
        <v>2.6901306635700761</v>
      </c>
      <c r="K22" s="26">
        <f>SUMPRODUCT(Dataset!$B$13:$N$13,ABS('Normalized Dataset'!$B$9:$N$9-'Normalized Dataset'!$B$14:$N$14))</f>
        <v>3.8920592327569077</v>
      </c>
    </row>
    <row r="23" spans="1:11" ht="15.6" customHeight="1" x14ac:dyDescent="0.3">
      <c r="A23" s="18" t="s">
        <v>112</v>
      </c>
      <c r="B23" s="26">
        <f>SUMPRODUCT(Dataset!$B$13:$N$13,ABS('Normalized Dataset'!$B$10:$N$10-'Normalized Dataset'!$B$5:$N$5))</f>
        <v>2.9056936467585182</v>
      </c>
      <c r="C23" s="26">
        <f>SUMPRODUCT(Dataset!$B$13:$N$13,ABS('Normalized Dataset'!$B$10:$N$10-'Normalized Dataset'!$B$6:$N$6))</f>
        <v>1.8595928924876295</v>
      </c>
      <c r="D23" s="26">
        <f>SUMPRODUCT(Dataset!$B$13:$N$13,ABS('Normalized Dataset'!$B$10:$N$10-'Normalized Dataset'!$B$7:$N$7))</f>
        <v>0.80319911286863555</v>
      </c>
      <c r="E23" s="26">
        <f>SUMPRODUCT(Dataset!$B$13:$N$13,ABS('Normalized Dataset'!$B$10:$N$10-'Normalized Dataset'!$B$8:$N$8))</f>
        <v>1.4022042285200178</v>
      </c>
      <c r="F23" s="26">
        <f>SUMPRODUCT(Dataset!$B$13:$N$13,ABS('Normalized Dataset'!$B$10:$N$10-'Normalized Dataset'!$B$9:$N$9))</f>
        <v>1.4159987027796084</v>
      </c>
      <c r="G23" s="27">
        <f>SUMPRODUCT(Dataset!$B$13:$N$13,ABS('Normalized Dataset'!$B$10:$N$10-'Normalized Dataset'!$B$10:$N$10))</f>
        <v>0</v>
      </c>
      <c r="H23" s="26">
        <f>SUMPRODUCT(Dataset!$B$13:$N$13,ABS('Normalized Dataset'!$B$10:$N$10-'Normalized Dataset'!$B$11:$N$11))</f>
        <v>1.3708685099749971</v>
      </c>
      <c r="I23" s="26">
        <f>SUMPRODUCT(Dataset!$B$13:$N$13,ABS('Normalized Dataset'!$B$10:$N$10-'Normalized Dataset'!$B$12:$N$12))</f>
        <v>1.3181689315716243</v>
      </c>
      <c r="J23" s="26">
        <f>SUMPRODUCT(Dataset!$B$13:$N$13,ABS('Normalized Dataset'!$B$10:$N$10-'Normalized Dataset'!$B$13:$N$13))</f>
        <v>2.4162508238395635</v>
      </c>
      <c r="K23" s="26">
        <f>SUMPRODUCT(Dataset!$B$13:$N$13,ABS('Normalized Dataset'!$B$10:$N$10-'Normalized Dataset'!$B$14:$N$14))</f>
        <v>3.6181793930263941</v>
      </c>
    </row>
    <row r="24" spans="1:11" ht="15.6" customHeight="1" x14ac:dyDescent="0.3">
      <c r="A24" s="18" t="s">
        <v>113</v>
      </c>
      <c r="B24" s="26">
        <f>SUMPRODUCT(Dataset!$B$13:$N$13,ABS('Normalized Dataset'!$B$11:$N$11-'Normalized Dataset'!$B$5:$N$5))</f>
        <v>2.5963635983219824</v>
      </c>
      <c r="C24" s="26">
        <f>SUMPRODUCT(Dataset!$B$13:$N$13,ABS('Normalized Dataset'!$B$11:$N$11-'Normalized Dataset'!$B$6:$N$6))</f>
        <v>2.6553910491792991</v>
      </c>
      <c r="D24" s="26">
        <f>SUMPRODUCT(Dataset!$B$13:$N$13,ABS('Normalized Dataset'!$B$11:$N$11-'Normalized Dataset'!$B$7:$N$7))</f>
        <v>0.64614076933538378</v>
      </c>
      <c r="E24" s="26">
        <f>SUMPRODUCT(Dataset!$B$13:$N$13,ABS('Normalized Dataset'!$B$11:$N$11-'Normalized Dataset'!$B$8:$N$8))</f>
        <v>1.1870262268671081</v>
      </c>
      <c r="F24" s="26">
        <f>SUMPRODUCT(Dataset!$B$13:$N$13,ABS('Normalized Dataset'!$B$11:$N$11-'Normalized Dataset'!$B$9:$N$9))</f>
        <v>1.7119318122378098</v>
      </c>
      <c r="G24" s="26">
        <f>SUMPRODUCT(Dataset!$B$13:$N$13,ABS('Normalized Dataset'!$B$11:$N$11-'Normalized Dataset'!$B$10:$N$10))</f>
        <v>1.3708685099749971</v>
      </c>
      <c r="H24" s="27">
        <f>SUMPRODUCT(Dataset!$B$13:$N$13,ABS('Normalized Dataset'!$B$11:$N$11-'Normalized Dataset'!$B$11:$N$11))</f>
        <v>0</v>
      </c>
      <c r="I24" s="26">
        <f>SUMPRODUCT(Dataset!$B$13:$N$13,ABS('Normalized Dataset'!$B$11:$N$11-'Normalized Dataset'!$B$12:$N$12))</f>
        <v>0.8684890520875832</v>
      </c>
      <c r="J24" s="26">
        <f>SUMPRODUCT(Dataset!$B$13:$N$13,ABS('Normalized Dataset'!$B$11:$N$11-'Normalized Dataset'!$B$13:$N$13))</f>
        <v>1.4898267583090103</v>
      </c>
      <c r="K24" s="26">
        <f>SUMPRODUCT(Dataset!$B$13:$N$13,ABS('Normalized Dataset'!$B$11:$N$11-'Normalized Dataset'!$B$14:$N$14))</f>
        <v>3.0250886608291747</v>
      </c>
    </row>
    <row r="25" spans="1:11" ht="15.6" customHeight="1" x14ac:dyDescent="0.3">
      <c r="A25" s="18" t="s">
        <v>114</v>
      </c>
      <c r="B25" s="26">
        <f>SUMPRODUCT(Dataset!$B$13:$N$13,ABS('Normalized Dataset'!$B$12:$N$12-'Normalized Dataset'!$B$5:$N$5))</f>
        <v>2.8157298433920221</v>
      </c>
      <c r="C25" s="26">
        <f>SUMPRODUCT(Dataset!$B$13:$N$13,ABS('Normalized Dataset'!$B$12:$N$12-'Normalized Dataset'!$B$6:$N$6))</f>
        <v>2.1247572942493385</v>
      </c>
      <c r="D25" s="26">
        <f>SUMPRODUCT(Dataset!$B$13:$N$13,ABS('Normalized Dataset'!$B$12:$N$12-'Normalized Dataset'!$B$7:$N$7))</f>
        <v>1.1035187103118558</v>
      </c>
      <c r="E25" s="26">
        <f>SUMPRODUCT(Dataset!$B$13:$N$13,ABS('Normalized Dataset'!$B$12:$N$12-'Normalized Dataset'!$B$8:$N$8))</f>
        <v>1.622181945621358</v>
      </c>
      <c r="F25" s="26">
        <f>SUMPRODUCT(Dataset!$B$13:$N$13,ABS('Normalized Dataset'!$B$12:$N$12-'Normalized Dataset'!$B$9:$N$9))</f>
        <v>1.7470875309920597</v>
      </c>
      <c r="G25" s="26">
        <f>SUMPRODUCT(Dataset!$B$13:$N$13,ABS('Normalized Dataset'!$B$12:$N$12-'Normalized Dataset'!$B$10:$N$10))</f>
        <v>1.3181689315716243</v>
      </c>
      <c r="H25" s="26">
        <f>SUMPRODUCT(Dataset!$B$13:$N$13,ABS('Normalized Dataset'!$B$12:$N$12-'Normalized Dataset'!$B$11:$N$11))</f>
        <v>0.8684890520875832</v>
      </c>
      <c r="I25" s="27">
        <f>SUMPRODUCT(Dataset!$B$13:$N$13,ABS('Normalized Dataset'!$B$12:$N$12-'Normalized Dataset'!$B$12:$N$12))</f>
        <v>0</v>
      </c>
      <c r="J25" s="26">
        <f>SUMPRODUCT(Dataset!$B$13:$N$13,ABS('Normalized Dataset'!$B$12:$N$12-'Normalized Dataset'!$B$13:$N$13))</f>
        <v>1.7091930033790499</v>
      </c>
      <c r="K25" s="26">
        <f>SUMPRODUCT(Dataset!$B$13:$N$13,ABS('Normalized Dataset'!$B$12:$N$12-'Normalized Dataset'!$B$14:$N$14))</f>
        <v>3.2444549058992145</v>
      </c>
    </row>
    <row r="26" spans="1:11" ht="15.6" customHeight="1" x14ac:dyDescent="0.3">
      <c r="A26" s="18" t="s">
        <v>115</v>
      </c>
      <c r="B26" s="26">
        <f>SUMPRODUCT(Dataset!$B$13:$N$13,ABS('Normalized Dataset'!$B$13:$N$13-'Normalized Dataset'!$B$5:$N$5))</f>
        <v>2.4680753015514338</v>
      </c>
      <c r="C26" s="26">
        <f>SUMPRODUCT(Dataset!$B$13:$N$13,ABS('Normalized Dataset'!$B$13:$N$13-'Normalized Dataset'!$B$6:$N$6))</f>
        <v>2.639923265229263</v>
      </c>
      <c r="D26" s="26">
        <f>SUMPRODUCT(Dataset!$B$13:$N$13,ABS('Normalized Dataset'!$B$13:$N$13-'Normalized Dataset'!$B$7:$N$7))</f>
        <v>1.9990166232516295</v>
      </c>
      <c r="E26" s="26">
        <f>SUMPRODUCT(Dataset!$B$13:$N$13,ABS('Normalized Dataset'!$B$13:$N$13-'Normalized Dataset'!$B$8:$N$8))</f>
        <v>2.196232830137359</v>
      </c>
      <c r="F26" s="26">
        <f>SUMPRODUCT(Dataset!$B$13:$N$13,ABS('Normalized Dataset'!$B$13:$N$13-'Normalized Dataset'!$B$9:$N$9))</f>
        <v>2.6901306635700761</v>
      </c>
      <c r="G26" s="26">
        <f>SUMPRODUCT(Dataset!$B$13:$N$13,ABS('Normalized Dataset'!$B$13:$N$13-'Normalized Dataset'!$B$10:$N$10))</f>
        <v>2.4162508238395635</v>
      </c>
      <c r="H26" s="26">
        <f>SUMPRODUCT(Dataset!$B$13:$N$13,ABS('Normalized Dataset'!$B$13:$N$13-'Normalized Dataset'!$B$11:$N$11))</f>
        <v>1.4898267583090103</v>
      </c>
      <c r="I26" s="26">
        <f>SUMPRODUCT(Dataset!$B$13:$N$13,ABS('Normalized Dataset'!$B$13:$N$13-'Normalized Dataset'!$B$12:$N$12))</f>
        <v>1.7091930033790499</v>
      </c>
      <c r="J26" s="27">
        <f>SUMPRODUCT(Dataset!$B$13:$N$13,ABS('Normalized Dataset'!$B$13:$N$13-'Normalized Dataset'!$B$13:$N$13))</f>
        <v>0</v>
      </c>
      <c r="K26" s="26">
        <f>SUMPRODUCT(Dataset!$B$13:$N$13,ABS('Normalized Dataset'!$B$13:$N$13-'Normalized Dataset'!$B$14:$N$14))</f>
        <v>2.0275695948278569</v>
      </c>
    </row>
    <row r="27" spans="1:11" ht="15.6" customHeight="1" x14ac:dyDescent="0.3">
      <c r="A27" s="18" t="s">
        <v>116</v>
      </c>
      <c r="B27" s="26">
        <f>SUMPRODUCT(Dataset!$B$13:$N$13,ABS('Normalized Dataset'!$B$14:$N$14-'Normalized Dataset'!$B$5:$N$5))</f>
        <v>2.2218874556695853</v>
      </c>
      <c r="C27" s="26">
        <f>SUMPRODUCT(Dataset!$B$13:$N$13,ABS('Normalized Dataset'!$B$14:$N$14-'Normalized Dataset'!$B$6:$N$6))</f>
        <v>3.2267936164202995</v>
      </c>
      <c r="D27" s="26">
        <f>SUMPRODUCT(Dataset!$B$13:$N$13,ABS('Normalized Dataset'!$B$14:$N$14-'Normalized Dataset'!$B$7:$N$7))</f>
        <v>3.5342785257717937</v>
      </c>
      <c r="E27" s="26">
        <f>SUMPRODUCT(Dataset!$B$13:$N$13,ABS('Normalized Dataset'!$B$14:$N$14-'Normalized Dataset'!$B$8:$N$8))</f>
        <v>3.3981613993241906</v>
      </c>
      <c r="F27" s="26">
        <f>SUMPRODUCT(Dataset!$B$13:$N$13,ABS('Normalized Dataset'!$B$14:$N$14-'Normalized Dataset'!$B$9:$N$9))</f>
        <v>3.8920592327569077</v>
      </c>
      <c r="G27" s="26">
        <f>SUMPRODUCT(Dataset!$B$13:$N$13,ABS('Normalized Dataset'!$B$14:$N$14-'Normalized Dataset'!$B$10:$N$10))</f>
        <v>3.6181793930263941</v>
      </c>
      <c r="H27" s="26">
        <f>SUMPRODUCT(Dataset!$B$13:$N$13,ABS('Normalized Dataset'!$B$14:$N$14-'Normalized Dataset'!$B$11:$N$11))</f>
        <v>3.0250886608291747</v>
      </c>
      <c r="I27" s="26">
        <f>SUMPRODUCT(Dataset!$B$13:$N$13,ABS('Normalized Dataset'!$B$14:$N$14-'Normalized Dataset'!$B$12:$N$12))</f>
        <v>3.2444549058992145</v>
      </c>
      <c r="J27" s="26">
        <f>SUMPRODUCT(Dataset!$B$13:$N$13,ABS('Normalized Dataset'!$B$14:$N$14-'Normalized Dataset'!$B$13:$N$13))</f>
        <v>2.0275695948278569</v>
      </c>
      <c r="K27" s="27">
        <f>SUMPRODUCT(Dataset!$B$13:$N$13,ABS('Normalized Dataset'!$B$14:$N$14-'Normalized Dataset'!$B$14:$N$14))</f>
        <v>0</v>
      </c>
    </row>
    <row r="28" spans="1:11" ht="15.6" customHeight="1" x14ac:dyDescent="0.3"/>
    <row r="29" spans="1:11" ht="18" customHeight="1" x14ac:dyDescent="0.3">
      <c r="A29" s="66" t="s">
        <v>130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spans="1:11" ht="15.6" customHeight="1" x14ac:dyDescent="0.3">
      <c r="A30" s="16" t="s">
        <v>0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6" t="s">
        <v>111</v>
      </c>
      <c r="G30" s="16" t="s">
        <v>112</v>
      </c>
      <c r="H30" s="16" t="s">
        <v>113</v>
      </c>
      <c r="I30" s="16" t="s">
        <v>114</v>
      </c>
      <c r="J30" s="16" t="s">
        <v>115</v>
      </c>
      <c r="K30" s="16" t="s">
        <v>116</v>
      </c>
    </row>
    <row r="31" spans="1:11" ht="15.6" customHeight="1" x14ac:dyDescent="0.3">
      <c r="A31" s="18" t="s">
        <v>107</v>
      </c>
      <c r="B31" s="29">
        <f>SUMPRODUCT((1-Dataset!$B$13:$N$13)*(Dataset!$B$3:$N$3&lt;&gt;Dataset!$B$3:$N$3))</f>
        <v>0</v>
      </c>
      <c r="C31" s="28">
        <f>SUMPRODUCT((1-Dataset!$B$13:$N$13)*(Dataset!$B$3:$N$3&lt;&gt;Dataset!$B$4:$N$4))</f>
        <v>3</v>
      </c>
      <c r="D31" s="28">
        <f>SUMPRODUCT((1-Dataset!$B$13:$N$13)*(Dataset!$B$3:$N$3&lt;&gt;Dataset!$B$5:$N$5))</f>
        <v>4</v>
      </c>
      <c r="E31" s="28">
        <f>SUMPRODUCT((1-Dataset!$B$13:$N$13)*(Dataset!$B$3:$N$3&lt;&gt;Dataset!$B$6:$N$6))</f>
        <v>3</v>
      </c>
      <c r="F31" s="28">
        <f>SUMPRODUCT((1-Dataset!$B$13:$N$13)*(Dataset!$B$3:$N$3&lt;&gt;Dataset!$B$7:$N$7))</f>
        <v>4</v>
      </c>
      <c r="G31" s="28">
        <f>SUMPRODUCT((1-Dataset!$B$13:$N$13)*(Dataset!$B$3:$N$3&lt;&gt;Dataset!$B$8:$N$8))</f>
        <v>3</v>
      </c>
      <c r="H31" s="28">
        <f>SUMPRODUCT((1-Dataset!$B$13:$N$13)*(Dataset!$B$3:$N$3&lt;&gt;Dataset!$B$9:$N$9))</f>
        <v>4</v>
      </c>
      <c r="I31" s="28">
        <f>SUMPRODUCT((1-Dataset!$B$13:$N$13)*(Dataset!$B$3:$N$3&lt;&gt;Dataset!$B$10:$N$10))</f>
        <v>2</v>
      </c>
      <c r="J31" s="28">
        <f>SUMPRODUCT((1-Dataset!$B$13:$N$13)*(Dataset!$B$3:$N$3&lt;&gt;Dataset!$B$11:$N$11))</f>
        <v>1</v>
      </c>
      <c r="K31" s="28">
        <f>SUMPRODUCT((1-Dataset!$B$13:$N$13)*(Dataset!$B$3:$N$3&lt;&gt;Dataset!$B$12:$N$12))</f>
        <v>2</v>
      </c>
    </row>
    <row r="32" spans="1:11" ht="15.6" customHeight="1" x14ac:dyDescent="0.3">
      <c r="A32" s="18" t="s">
        <v>108</v>
      </c>
      <c r="B32" s="28">
        <f>SUMPRODUCT((1-Dataset!$B$13:$N$13)*(Dataset!$B$4:$N$4&lt;&gt;Dataset!$B$3:$N$3))</f>
        <v>3</v>
      </c>
      <c r="C32" s="29">
        <f>SUMPRODUCT((1-Dataset!$B$13:$N$13)*(Dataset!$B$4:$N$4&lt;&gt;Dataset!$B$4:$N$4))</f>
        <v>0</v>
      </c>
      <c r="D32" s="28">
        <f>SUMPRODUCT((1-Dataset!$B$13:$N$13)*(Dataset!$B$4:$N$4&lt;&gt;Dataset!$B$5:$N$5))</f>
        <v>4</v>
      </c>
      <c r="E32" s="28">
        <f>SUMPRODUCT((1-Dataset!$B$13:$N$13)*(Dataset!$B$4:$N$4&lt;&gt;Dataset!$B$6:$N$6))</f>
        <v>4</v>
      </c>
      <c r="F32" s="28">
        <f>SUMPRODUCT((1-Dataset!$B$13:$N$13)*(Dataset!$B$4:$N$4&lt;&gt;Dataset!$B$7:$N$7))</f>
        <v>4</v>
      </c>
      <c r="G32" s="28">
        <f>SUMPRODUCT((1-Dataset!$B$13:$N$13)*(Dataset!$B$4:$N$4&lt;&gt;Dataset!$B$8:$N$8))</f>
        <v>4</v>
      </c>
      <c r="H32" s="28">
        <f>SUMPRODUCT((1-Dataset!$B$13:$N$13)*(Dataset!$B$4:$N$4&lt;&gt;Dataset!$B$9:$N$9))</f>
        <v>4</v>
      </c>
      <c r="I32" s="28">
        <f>SUMPRODUCT((1-Dataset!$B$13:$N$13)*(Dataset!$B$4:$N$4&lt;&gt;Dataset!$B$10:$N$10))</f>
        <v>3</v>
      </c>
      <c r="J32" s="28">
        <f>SUMPRODUCT((1-Dataset!$B$13:$N$13)*(Dataset!$B$4:$N$4&lt;&gt;Dataset!$B$11:$N$11))</f>
        <v>2</v>
      </c>
      <c r="K32" s="28">
        <f>SUMPRODUCT((1-Dataset!$B$13:$N$13)*(Dataset!$B$4:$N$4&lt;&gt;Dataset!$B$12:$N$12))</f>
        <v>1</v>
      </c>
    </row>
    <row r="33" spans="1:11" ht="15.6" customHeight="1" x14ac:dyDescent="0.3">
      <c r="A33" s="18" t="s">
        <v>109</v>
      </c>
      <c r="B33" s="28">
        <f>SUMPRODUCT((1-Dataset!$B$13:$N$13)*(Dataset!$B$5:$N$5&lt;&gt;Dataset!$B$3:$N$3))</f>
        <v>4</v>
      </c>
      <c r="C33" s="28">
        <f>SUMPRODUCT((1-Dataset!$B$13:$N$13)*(Dataset!$B$5:$N$5&lt;&gt;Dataset!$B$4:$N$4))</f>
        <v>4</v>
      </c>
      <c r="D33" s="29">
        <f>SUMPRODUCT((1-Dataset!$B$13:$N$13)*(Dataset!$B$5:$N$5&lt;&gt;Dataset!$B$5:$N$5))</f>
        <v>0</v>
      </c>
      <c r="E33" s="28">
        <f>SUMPRODUCT((1-Dataset!$B$13:$N$13)*(Dataset!$B$5:$N$5&lt;&gt;Dataset!$B$6:$N$6))</f>
        <v>3</v>
      </c>
      <c r="F33" s="28">
        <f>SUMPRODUCT((1-Dataset!$B$13:$N$13)*(Dataset!$B$5:$N$5&lt;&gt;Dataset!$B$7:$N$7))</f>
        <v>4</v>
      </c>
      <c r="G33" s="28">
        <f>SUMPRODUCT((1-Dataset!$B$13:$N$13)*(Dataset!$B$5:$N$5&lt;&gt;Dataset!$B$8:$N$8))</f>
        <v>1</v>
      </c>
      <c r="H33" s="28">
        <f>SUMPRODUCT((1-Dataset!$B$13:$N$13)*(Dataset!$B$5:$N$5&lt;&gt;Dataset!$B$9:$N$9))</f>
        <v>6</v>
      </c>
      <c r="I33" s="28">
        <f>SUMPRODUCT((1-Dataset!$B$13:$N$13)*(Dataset!$B$5:$N$5&lt;&gt;Dataset!$B$10:$N$10))</f>
        <v>4</v>
      </c>
      <c r="J33" s="28">
        <f>SUMPRODUCT((1-Dataset!$B$13:$N$13)*(Dataset!$B$5:$N$5&lt;&gt;Dataset!$B$11:$N$11))</f>
        <v>3</v>
      </c>
      <c r="K33" s="28">
        <f>SUMPRODUCT((1-Dataset!$B$13:$N$13)*(Dataset!$B$5:$N$5&lt;&gt;Dataset!$B$12:$N$12))</f>
        <v>4</v>
      </c>
    </row>
    <row r="34" spans="1:11" ht="15.6" customHeight="1" x14ac:dyDescent="0.3">
      <c r="A34" s="18" t="s">
        <v>110</v>
      </c>
      <c r="B34" s="28">
        <f>SUMPRODUCT((1-Dataset!$B$13:$N$13)*(Dataset!$B$6:$N$6&lt;&gt;Dataset!$B$3:$N$3))</f>
        <v>3</v>
      </c>
      <c r="C34" s="28">
        <f>SUMPRODUCT((1-Dataset!$B$13:$N$13)*(Dataset!$B$6:$N$6&lt;&gt;Dataset!$B$4:$N$4))</f>
        <v>4</v>
      </c>
      <c r="D34" s="28">
        <f>SUMPRODUCT((1-Dataset!$B$13:$N$13)*(Dataset!$B$6:$N$6&lt;&gt;Dataset!$B$5:$N$5))</f>
        <v>3</v>
      </c>
      <c r="E34" s="29">
        <f>SUMPRODUCT((1-Dataset!$B$13:$N$13)*(Dataset!$B$6:$N$6&lt;&gt;Dataset!$B$6:$N$6))</f>
        <v>0</v>
      </c>
      <c r="F34" s="28">
        <f>SUMPRODUCT((1-Dataset!$B$13:$N$13)*(Dataset!$B$6:$N$6&lt;&gt;Dataset!$B$7:$N$7))</f>
        <v>5</v>
      </c>
      <c r="G34" s="28">
        <f>SUMPRODUCT((1-Dataset!$B$13:$N$13)*(Dataset!$B$6:$N$6&lt;&gt;Dataset!$B$8:$N$8))</f>
        <v>2</v>
      </c>
      <c r="H34" s="28">
        <f>SUMPRODUCT((1-Dataset!$B$13:$N$13)*(Dataset!$B$6:$N$6&lt;&gt;Dataset!$B$9:$N$9))</f>
        <v>4</v>
      </c>
      <c r="I34" s="28">
        <f>SUMPRODUCT((1-Dataset!$B$13:$N$13)*(Dataset!$B$6:$N$6&lt;&gt;Dataset!$B$10:$N$10))</f>
        <v>1</v>
      </c>
      <c r="J34" s="28">
        <f>SUMPRODUCT((1-Dataset!$B$13:$N$13)*(Dataset!$B$6:$N$6&lt;&gt;Dataset!$B$11:$N$11))</f>
        <v>2</v>
      </c>
      <c r="K34" s="28">
        <f>SUMPRODUCT((1-Dataset!$B$13:$N$13)*(Dataset!$B$6:$N$6&lt;&gt;Dataset!$B$12:$N$12))</f>
        <v>3</v>
      </c>
    </row>
    <row r="35" spans="1:11" ht="15.6" customHeight="1" x14ac:dyDescent="0.3">
      <c r="A35" s="18" t="s">
        <v>111</v>
      </c>
      <c r="B35" s="28">
        <f>SUMPRODUCT((1-Dataset!$B$13:$N$13)*(Dataset!$B$7:$N$7&lt;&gt;Dataset!$B$3:$N$3))</f>
        <v>4</v>
      </c>
      <c r="C35" s="28">
        <f>SUMPRODUCT((1-Dataset!$B$13:$N$13)*(Dataset!$B$7:$N$7&lt;&gt;Dataset!$B$4:$N$4))</f>
        <v>4</v>
      </c>
      <c r="D35" s="28">
        <f>SUMPRODUCT((1-Dataset!$B$13:$N$13)*(Dataset!$B$7:$N$7&lt;&gt;Dataset!$B$5:$N$5))</f>
        <v>4</v>
      </c>
      <c r="E35" s="28">
        <f>SUMPRODUCT((1-Dataset!$B$13:$N$13)*(Dataset!$B$7:$N$7&lt;&gt;Dataset!$B$6:$N$6))</f>
        <v>5</v>
      </c>
      <c r="F35" s="29">
        <f>SUMPRODUCT((1-Dataset!$B$13:$N$13)*(Dataset!$B$7:$N$7&lt;&gt;Dataset!$B$7:$N$7))</f>
        <v>0</v>
      </c>
      <c r="G35" s="28">
        <f>SUMPRODUCT((1-Dataset!$B$13:$N$13)*(Dataset!$B$7:$N$7&lt;&gt;Dataset!$B$8:$N$8))</f>
        <v>5</v>
      </c>
      <c r="H35" s="28">
        <f>SUMPRODUCT((1-Dataset!$B$13:$N$13)*(Dataset!$B$7:$N$7&lt;&gt;Dataset!$B$9:$N$9))</f>
        <v>5</v>
      </c>
      <c r="I35" s="28">
        <f>SUMPRODUCT((1-Dataset!$B$13:$N$13)*(Dataset!$B$7:$N$7&lt;&gt;Dataset!$B$10:$N$10))</f>
        <v>4</v>
      </c>
      <c r="J35" s="28">
        <f>SUMPRODUCT((1-Dataset!$B$13:$N$13)*(Dataset!$B$7:$N$7&lt;&gt;Dataset!$B$11:$N$11))</f>
        <v>5</v>
      </c>
      <c r="K35" s="28">
        <f>SUMPRODUCT((1-Dataset!$B$13:$N$13)*(Dataset!$B$7:$N$7&lt;&gt;Dataset!$B$12:$N$12))</f>
        <v>4</v>
      </c>
    </row>
    <row r="36" spans="1:11" ht="15.6" customHeight="1" x14ac:dyDescent="0.3">
      <c r="A36" s="18" t="s">
        <v>112</v>
      </c>
      <c r="B36" s="28">
        <f>SUMPRODUCT((1-Dataset!$B$13:$N$13)*(Dataset!$B$8:$N$8&lt;&gt;Dataset!$B$3:$N$3))</f>
        <v>3</v>
      </c>
      <c r="C36" s="28">
        <f>SUMPRODUCT((1-Dataset!$B$13:$N$13)*(Dataset!$B$8:$N$8&lt;&gt;Dataset!$B$4:$N$4))</f>
        <v>4</v>
      </c>
      <c r="D36" s="28">
        <f>SUMPRODUCT((1-Dataset!$B$13:$N$13)*(Dataset!$B$8:$N$8&lt;&gt;Dataset!$B$5:$N$5))</f>
        <v>1</v>
      </c>
      <c r="E36" s="28">
        <f>SUMPRODUCT((1-Dataset!$B$13:$N$13)*(Dataset!$B$8:$N$8&lt;&gt;Dataset!$B$6:$N$6))</f>
        <v>2</v>
      </c>
      <c r="F36" s="28">
        <f>SUMPRODUCT((1-Dataset!$B$13:$N$13)*(Dataset!$B$8:$N$8&lt;&gt;Dataset!$B$7:$N$7))</f>
        <v>5</v>
      </c>
      <c r="G36" s="29">
        <f>SUMPRODUCT((1-Dataset!$B$13:$N$13)*(Dataset!$B$8:$N$8&lt;&gt;Dataset!$B$8:$N$8))</f>
        <v>0</v>
      </c>
      <c r="H36" s="28">
        <f>SUMPRODUCT((1-Dataset!$B$13:$N$13)*(Dataset!$B$8:$N$8&lt;&gt;Dataset!$B$9:$N$9))</f>
        <v>6</v>
      </c>
      <c r="I36" s="28">
        <f>SUMPRODUCT((1-Dataset!$B$13:$N$13)*(Dataset!$B$8:$N$8&lt;&gt;Dataset!$B$10:$N$10))</f>
        <v>3</v>
      </c>
      <c r="J36" s="28">
        <f>SUMPRODUCT((1-Dataset!$B$13:$N$13)*(Dataset!$B$8:$N$8&lt;&gt;Dataset!$B$11:$N$11))</f>
        <v>2</v>
      </c>
      <c r="K36" s="28">
        <f>SUMPRODUCT((1-Dataset!$B$13:$N$13)*(Dataset!$B$8:$N$8&lt;&gt;Dataset!$B$12:$N$12))</f>
        <v>3</v>
      </c>
    </row>
    <row r="37" spans="1:11" ht="15.6" customHeight="1" x14ac:dyDescent="0.3">
      <c r="A37" s="18" t="s">
        <v>113</v>
      </c>
      <c r="B37" s="28">
        <f>SUMPRODUCT((1-Dataset!$B$13:$N$13)*(Dataset!$B$9:$N$9&lt;&gt;Dataset!$B$3:$N$3))</f>
        <v>4</v>
      </c>
      <c r="C37" s="28">
        <f>SUMPRODUCT((1-Dataset!$B$13:$N$13)*(Dataset!$B$9:$N$9&lt;&gt;Dataset!$B$4:$N$4))</f>
        <v>4</v>
      </c>
      <c r="D37" s="28">
        <f>SUMPRODUCT((1-Dataset!$B$13:$N$13)*(Dataset!$B$9:$N$9&lt;&gt;Dataset!$B$5:$N$5))</f>
        <v>6</v>
      </c>
      <c r="E37" s="28">
        <f>SUMPRODUCT((1-Dataset!$B$13:$N$13)*(Dataset!$B$9:$N$9&lt;&gt;Dataset!$B$6:$N$6))</f>
        <v>4</v>
      </c>
      <c r="F37" s="28">
        <f>SUMPRODUCT((1-Dataset!$B$13:$N$13)*(Dataset!$B$9:$N$9&lt;&gt;Dataset!$B$7:$N$7))</f>
        <v>5</v>
      </c>
      <c r="G37" s="28">
        <f>SUMPRODUCT((1-Dataset!$B$13:$N$13)*(Dataset!$B$9:$N$9&lt;&gt;Dataset!$B$8:$N$8))</f>
        <v>6</v>
      </c>
      <c r="H37" s="29">
        <f>SUMPRODUCT((1-Dataset!$B$13:$N$13)*(Dataset!$B$9:$N$9&lt;&gt;Dataset!$B$9:$N$9))</f>
        <v>0</v>
      </c>
      <c r="I37" s="28">
        <f>SUMPRODUCT((1-Dataset!$B$13:$N$13)*(Dataset!$B$9:$N$9&lt;&gt;Dataset!$B$10:$N$10))</f>
        <v>3</v>
      </c>
      <c r="J37" s="28">
        <f>SUMPRODUCT((1-Dataset!$B$13:$N$13)*(Dataset!$B$9:$N$9&lt;&gt;Dataset!$B$11:$N$11))</f>
        <v>4</v>
      </c>
      <c r="K37" s="28">
        <f>SUMPRODUCT((1-Dataset!$B$13:$N$13)*(Dataset!$B$9:$N$9&lt;&gt;Dataset!$B$12:$N$12))</f>
        <v>5</v>
      </c>
    </row>
    <row r="38" spans="1:11" ht="15.6" customHeight="1" x14ac:dyDescent="0.3">
      <c r="A38" s="18" t="s">
        <v>114</v>
      </c>
      <c r="B38" s="28">
        <f>SUMPRODUCT((1-Dataset!$B$13:$N$13)*(Dataset!$B$10:$N$10&lt;&gt;Dataset!$B$3:$N$3))</f>
        <v>2</v>
      </c>
      <c r="C38" s="28">
        <f>SUMPRODUCT((1-Dataset!$B$13:$N$13)*(Dataset!$B$10:$N$10&lt;&gt;Dataset!$B$4:$N$4))</f>
        <v>3</v>
      </c>
      <c r="D38" s="28">
        <f>SUMPRODUCT((1-Dataset!$B$13:$N$13)*(Dataset!$B$10:$N$10&lt;&gt;Dataset!$B$5:$N$5))</f>
        <v>4</v>
      </c>
      <c r="E38" s="28">
        <f>SUMPRODUCT((1-Dataset!$B$13:$N$13)*(Dataset!$B$10:$N$10&lt;&gt;Dataset!$B$6:$N$6))</f>
        <v>1</v>
      </c>
      <c r="F38" s="28">
        <f>SUMPRODUCT((1-Dataset!$B$13:$N$13)*(Dataset!$B$10:$N$10&lt;&gt;Dataset!$B$7:$N$7))</f>
        <v>4</v>
      </c>
      <c r="G38" s="28">
        <f>SUMPRODUCT((1-Dataset!$B$13:$N$13)*(Dataset!$B$10:$N$10&lt;&gt;Dataset!$B$8:$N$8))</f>
        <v>3</v>
      </c>
      <c r="H38" s="28">
        <f>SUMPRODUCT((1-Dataset!$B$13:$N$13)*(Dataset!$B$10:$N$10&lt;&gt;Dataset!$B$9:$N$9))</f>
        <v>3</v>
      </c>
      <c r="I38" s="29">
        <f>SUMPRODUCT((1-Dataset!$B$13:$N$13)*(Dataset!$B$10:$N$10&lt;&gt;Dataset!$B$10:$N$10))</f>
        <v>0</v>
      </c>
      <c r="J38" s="28">
        <f>SUMPRODUCT((1-Dataset!$B$13:$N$13)*(Dataset!$B$10:$N$10&lt;&gt;Dataset!$B$11:$N$11))</f>
        <v>1</v>
      </c>
      <c r="K38" s="28">
        <f>SUMPRODUCT((1-Dataset!$B$13:$N$13)*(Dataset!$B$10:$N$10&lt;&gt;Dataset!$B$12:$N$12))</f>
        <v>2</v>
      </c>
    </row>
    <row r="39" spans="1:11" ht="15.6" customHeight="1" x14ac:dyDescent="0.3">
      <c r="A39" s="18" t="s">
        <v>115</v>
      </c>
      <c r="B39" s="28">
        <f>SUMPRODUCT((1-Dataset!$B$13:$N$13)*(Dataset!$B$11:$N$11&lt;&gt;Dataset!$B$3:$N$3))</f>
        <v>1</v>
      </c>
      <c r="C39" s="28">
        <f>SUMPRODUCT((1-Dataset!$B$13:$N$13)*(Dataset!$B$11:$N$11&lt;&gt;Dataset!$B$4:$N$4))</f>
        <v>2</v>
      </c>
      <c r="D39" s="28">
        <f>SUMPRODUCT((1-Dataset!$B$13:$N$13)*(Dataset!$B$11:$N$11&lt;&gt;Dataset!$B$5:$N$5))</f>
        <v>3</v>
      </c>
      <c r="E39" s="28">
        <f>SUMPRODUCT((1-Dataset!$B$13:$N$13)*(Dataset!$B$11:$N$11&lt;&gt;Dataset!$B$6:$N$6))</f>
        <v>2</v>
      </c>
      <c r="F39" s="28">
        <f>SUMPRODUCT((1-Dataset!$B$13:$N$13)*(Dataset!$B$11:$N$11&lt;&gt;Dataset!$B$7:$N$7))</f>
        <v>5</v>
      </c>
      <c r="G39" s="28">
        <f>SUMPRODUCT((1-Dataset!$B$13:$N$13)*(Dataset!$B$11:$N$11&lt;&gt;Dataset!$B$8:$N$8))</f>
        <v>2</v>
      </c>
      <c r="H39" s="28">
        <f>SUMPRODUCT((1-Dataset!$B$13:$N$13)*(Dataset!$B$11:$N$11&lt;&gt;Dataset!$B$9:$N$9))</f>
        <v>4</v>
      </c>
      <c r="I39" s="28">
        <f>SUMPRODUCT((1-Dataset!$B$13:$N$13)*(Dataset!$B$11:$N$11&lt;&gt;Dataset!$B$10:$N$10))</f>
        <v>1</v>
      </c>
      <c r="J39" s="29">
        <f>SUMPRODUCT((1-Dataset!$B$13:$N$13)*(Dataset!$B$11:$N$11&lt;&gt;Dataset!$B$11:$N$11))</f>
        <v>0</v>
      </c>
      <c r="K39" s="28">
        <f>SUMPRODUCT((1-Dataset!$B$13:$N$13)*(Dataset!$B$11:$N$11&lt;&gt;Dataset!$B$12:$N$12))</f>
        <v>1</v>
      </c>
    </row>
    <row r="40" spans="1:11" ht="15.6" customHeight="1" x14ac:dyDescent="0.3">
      <c r="A40" s="18" t="s">
        <v>116</v>
      </c>
      <c r="B40" s="28">
        <f>SUMPRODUCT((1-Dataset!$B$13:$N$13)*(Dataset!$B$12:$N$12&lt;&gt;Dataset!$B$3:$N$3))</f>
        <v>2</v>
      </c>
      <c r="C40" s="28">
        <f>SUMPRODUCT((1-Dataset!$B$13:$N$13)*(Dataset!$B$12:$N$12&lt;&gt;Dataset!$B$4:$N$4))</f>
        <v>1</v>
      </c>
      <c r="D40" s="28">
        <f>SUMPRODUCT((1-Dataset!$B$13:$N$13)*(Dataset!$B$12:$N$12&lt;&gt;Dataset!$B$5:$N$5))</f>
        <v>4</v>
      </c>
      <c r="E40" s="28">
        <f>SUMPRODUCT((1-Dataset!$B$13:$N$13)*(Dataset!$B$12:$N$12&lt;&gt;Dataset!$B$6:$N$6))</f>
        <v>3</v>
      </c>
      <c r="F40" s="28">
        <f>SUMPRODUCT((1-Dataset!$B$13:$N$13)*(Dataset!$B$12:$N$12&lt;&gt;Dataset!$B$7:$N$7))</f>
        <v>4</v>
      </c>
      <c r="G40" s="28">
        <f>SUMPRODUCT((1-Dataset!$B$13:$N$13)*(Dataset!$B$12:$N$12&lt;&gt;Dataset!$B$8:$N$8))</f>
        <v>3</v>
      </c>
      <c r="H40" s="28">
        <f>SUMPRODUCT((1-Dataset!$B$13:$N$13)*(Dataset!$B$12:$N$12&lt;&gt;Dataset!$B$9:$N$9))</f>
        <v>5</v>
      </c>
      <c r="I40" s="28">
        <f>SUMPRODUCT((1-Dataset!$B$13:$N$13)*(Dataset!$B$12:$N$12&lt;&gt;Dataset!$B$10:$N$10))</f>
        <v>2</v>
      </c>
      <c r="J40" s="28">
        <f>SUMPRODUCT((1-Dataset!$B$13:$N$13)*(Dataset!$B$12:$N$12&lt;&gt;Dataset!$B$11:$N$11))</f>
        <v>1</v>
      </c>
      <c r="K40" s="29">
        <f>SUMPRODUCT((1-Dataset!$B$13:$N$13)*(Dataset!$B$12:$N$12&lt;&gt;Dataset!$B$12:$N$12))</f>
        <v>0</v>
      </c>
    </row>
    <row r="41" spans="1:11" ht="15.6" customHeight="1" x14ac:dyDescent="0.3"/>
    <row r="42" spans="1:11" ht="15.6" customHeight="1" x14ac:dyDescent="0.3">
      <c r="A42" s="35" t="s">
        <v>131</v>
      </c>
    </row>
    <row r="43" spans="1:11" ht="15.6" customHeight="1" x14ac:dyDescent="0.3">
      <c r="A43" s="35" t="s">
        <v>132</v>
      </c>
    </row>
    <row r="44" spans="1:11" ht="15.6" customHeight="1" x14ac:dyDescent="0.3">
      <c r="A44" s="35" t="s">
        <v>133</v>
      </c>
    </row>
  </sheetData>
  <mergeCells count="4">
    <mergeCell ref="A1:K1"/>
    <mergeCell ref="A3:K3"/>
    <mergeCell ref="A16:K16"/>
    <mergeCell ref="A29:K29"/>
  </mergeCells>
  <printOptions horizontalCentered="1"/>
  <pageMargins left="0.4" right="0.4" top="0.7" bottom="0.6" header="0.3" footer="0.3"/>
  <pageSetup paperSize="9" fitToHeight="0" orientation="landscape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K118"/>
  <sheetViews>
    <sheetView showGridLines="0" zoomScaleNormal="100" workbookViewId="0">
      <pane ySplit="2" topLeftCell="A99" activePane="bottomLeft" state="frozen"/>
      <selection pane="bottomLeft" activeCell="A3" sqref="A3:K3"/>
    </sheetView>
  </sheetViews>
  <sheetFormatPr defaultRowHeight="14.4" x14ac:dyDescent="0.3"/>
  <cols>
    <col min="1" max="1" width="30.77734375" customWidth="1"/>
    <col min="2" max="11" width="11.77734375" customWidth="1"/>
  </cols>
  <sheetData>
    <row r="1" spans="1:11" ht="19.95" customHeight="1" x14ac:dyDescent="0.3">
      <c r="A1" s="65" t="s">
        <v>134</v>
      </c>
      <c r="B1" s="65"/>
      <c r="C1" s="65"/>
      <c r="D1" s="65"/>
      <c r="E1" s="65"/>
      <c r="F1" s="65"/>
      <c r="G1" s="65"/>
      <c r="H1" s="65"/>
      <c r="I1" s="65"/>
      <c r="J1" s="65"/>
    </row>
    <row r="2" spans="1:11" ht="15.6" customHeight="1" x14ac:dyDescent="0.3"/>
    <row r="3" spans="1:11" ht="18" customHeight="1" x14ac:dyDescent="0.3">
      <c r="A3" s="66" t="s">
        <v>135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ht="15.6" customHeight="1" x14ac:dyDescent="0.3">
      <c r="A4" s="16" t="s">
        <v>136</v>
      </c>
      <c r="B4" s="16" t="s">
        <v>107</v>
      </c>
      <c r="C4" s="16" t="s">
        <v>108</v>
      </c>
      <c r="D4" s="16" t="s">
        <v>109</v>
      </c>
      <c r="E4" s="16" t="s">
        <v>110</v>
      </c>
      <c r="F4" s="16" t="s">
        <v>111</v>
      </c>
      <c r="G4" s="16" t="s">
        <v>112</v>
      </c>
      <c r="H4" s="16" t="s">
        <v>113</v>
      </c>
      <c r="I4" s="16" t="s">
        <v>114</v>
      </c>
      <c r="J4" s="16" t="s">
        <v>115</v>
      </c>
      <c r="K4" s="16" t="s">
        <v>116</v>
      </c>
    </row>
    <row r="5" spans="1:11" ht="15.6" customHeight="1" x14ac:dyDescent="0.3">
      <c r="A5" s="18" t="s">
        <v>107</v>
      </c>
      <c r="B5" s="29" t="s">
        <v>120</v>
      </c>
      <c r="C5" s="28">
        <f>1+SUMPRODUCT(('Zhuravlev Distances'!$B$5:$K$5&lt;'Zhuravlev Distances'!C$5)*(COLUMN('Zhuravlev Distances'!$B$5:$K$5)&lt;&gt;COLUMN('Zhuravlev Distances'!B$5)))+SUMPRODUCT(('Zhuravlev Distances'!$B$5:$K$5='Zhuravlev Distances'!C$5)*(COLUMN('Zhuravlev Distances'!$B$5:$K$5)&lt;COLUMN('Zhuravlev Distances'!C$5))*(COLUMN('Zhuravlev Distances'!$B$5:$K$5)&lt;&gt;COLUMN('Zhuravlev Distances'!B$5)))</f>
        <v>7</v>
      </c>
      <c r="D5" s="28">
        <f>1+SUMPRODUCT(('Zhuravlev Distances'!$B$5:$K$5&lt;'Zhuravlev Distances'!D$5)*(COLUMN('Zhuravlev Distances'!$B$5:$K$5)&lt;&gt;COLUMN('Zhuravlev Distances'!B$5)))+SUMPRODUCT(('Zhuravlev Distances'!$B$5:$K$5='Zhuravlev Distances'!D$5)*(COLUMN('Zhuravlev Distances'!$B$5:$K$5)&lt;COLUMN('Zhuravlev Distances'!D$5))*(COLUMN('Zhuravlev Distances'!$B$5:$K$5)&lt;&gt;COLUMN('Zhuravlev Distances'!B$5)))</f>
        <v>9</v>
      </c>
      <c r="E5" s="28">
        <f>1+SUMPRODUCT(('Zhuravlev Distances'!$B$5:$K$5&lt;'Zhuravlev Distances'!E$5)*(COLUMN('Zhuravlev Distances'!$B$5:$K$5)&lt;&gt;COLUMN('Zhuravlev Distances'!B$5)))+SUMPRODUCT(('Zhuravlev Distances'!$B$5:$K$5='Zhuravlev Distances'!E$5)*(COLUMN('Zhuravlev Distances'!$B$5:$K$5)&lt;COLUMN('Zhuravlev Distances'!E$5))*(COLUMN('Zhuravlev Distances'!$B$5:$K$5)&lt;&gt;COLUMN('Zhuravlev Distances'!B$5)))</f>
        <v>4</v>
      </c>
      <c r="F5" s="28">
        <f>1+SUMPRODUCT(('Zhuravlev Distances'!$B$5:$K$5&lt;'Zhuravlev Distances'!F$5)*(COLUMN('Zhuravlev Distances'!$B$5:$K$5)&lt;&gt;COLUMN('Zhuravlev Distances'!B$5)))+SUMPRODUCT(('Zhuravlev Distances'!$B$5:$K$5='Zhuravlev Distances'!F$5)*(COLUMN('Zhuravlev Distances'!$B$5:$K$5)&lt;COLUMN('Zhuravlev Distances'!F$5))*(COLUMN('Zhuravlev Distances'!$B$5:$K$5)&lt;&gt;COLUMN('Zhuravlev Distances'!B$5)))</f>
        <v>6</v>
      </c>
      <c r="G5" s="28">
        <f>1+SUMPRODUCT(('Zhuravlev Distances'!$B$5:$K$5&lt;'Zhuravlev Distances'!G$5)*(COLUMN('Zhuravlev Distances'!$B$5:$K$5)&lt;&gt;COLUMN('Zhuravlev Distances'!B$5)))+SUMPRODUCT(('Zhuravlev Distances'!$B$5:$K$5='Zhuravlev Distances'!G$5)*(COLUMN('Zhuravlev Distances'!$B$5:$K$5)&lt;COLUMN('Zhuravlev Distances'!G$5))*(COLUMN('Zhuravlev Distances'!$B$5:$K$5)&lt;&gt;COLUMN('Zhuravlev Distances'!B$5)))</f>
        <v>5</v>
      </c>
      <c r="H5" s="28">
        <f>1+SUMPRODUCT(('Zhuravlev Distances'!$B$5:$K$5&lt;'Zhuravlev Distances'!H$5)*(COLUMN('Zhuravlev Distances'!$B$5:$K$5)&lt;&gt;COLUMN('Zhuravlev Distances'!B$5)))+SUMPRODUCT(('Zhuravlev Distances'!$B$5:$K$5='Zhuravlev Distances'!H$5)*(COLUMN('Zhuravlev Distances'!$B$5:$K$5)&lt;COLUMN('Zhuravlev Distances'!H$5))*(COLUMN('Zhuravlev Distances'!$B$5:$K$5)&lt;&gt;COLUMN('Zhuravlev Distances'!B$5)))</f>
        <v>8</v>
      </c>
      <c r="I5" s="28">
        <f>1+SUMPRODUCT(('Zhuravlev Distances'!$B$5:$K$5&lt;'Zhuravlev Distances'!I$5)*(COLUMN('Zhuravlev Distances'!$B$5:$K$5)&lt;&gt;COLUMN('Zhuravlev Distances'!B$5)))+SUMPRODUCT(('Zhuravlev Distances'!$B$5:$K$5='Zhuravlev Distances'!I$5)*(COLUMN('Zhuravlev Distances'!$B$5:$K$5)&lt;COLUMN('Zhuravlev Distances'!I$5))*(COLUMN('Zhuravlev Distances'!$B$5:$K$5)&lt;&gt;COLUMN('Zhuravlev Distances'!B$5)))</f>
        <v>3</v>
      </c>
      <c r="J5" s="28">
        <f>1+SUMPRODUCT(('Zhuravlev Distances'!$B$5:$K$5&lt;'Zhuravlev Distances'!J$5)*(COLUMN('Zhuravlev Distances'!$B$5:$K$5)&lt;&gt;COLUMN('Zhuravlev Distances'!B$5)))+SUMPRODUCT(('Zhuravlev Distances'!$B$5:$K$5='Zhuravlev Distances'!J$5)*(COLUMN('Zhuravlev Distances'!$B$5:$K$5)&lt;COLUMN('Zhuravlev Distances'!J$5))*(COLUMN('Zhuravlev Distances'!$B$5:$K$5)&lt;&gt;COLUMN('Zhuravlev Distances'!B$5)))</f>
        <v>1</v>
      </c>
      <c r="K5" s="28">
        <f>1+SUMPRODUCT(('Zhuravlev Distances'!$B$5:$K$5&lt;'Zhuravlev Distances'!K$5)*(COLUMN('Zhuravlev Distances'!$B$5:$K$5)&lt;&gt;COLUMN('Zhuravlev Distances'!B$5)))+SUMPRODUCT(('Zhuravlev Distances'!$B$5:$K$5='Zhuravlev Distances'!K$5)*(COLUMN('Zhuravlev Distances'!$B$5:$K$5)&lt;COLUMN('Zhuravlev Distances'!K$5))*(COLUMN('Zhuravlev Distances'!$B$5:$K$5)&lt;&gt;COLUMN('Zhuravlev Distances'!B$5)))</f>
        <v>2</v>
      </c>
    </row>
    <row r="6" spans="1:11" ht="15.6" customHeight="1" x14ac:dyDescent="0.3">
      <c r="A6" s="18" t="s">
        <v>108</v>
      </c>
      <c r="B6" s="28">
        <f>1+SUMPRODUCT(('Zhuravlev Distances'!$B$6:$K$6&lt;'Zhuravlev Distances'!B$6)*(COLUMN('Zhuravlev Distances'!$B$6:$K$6)&lt;&gt;COLUMN('Zhuravlev Distances'!C$6)))+SUMPRODUCT(('Zhuravlev Distances'!$B$6:$K$6='Zhuravlev Distances'!B$6)*(COLUMN('Zhuravlev Distances'!$B$6:$K$6)&lt;COLUMN('Zhuravlev Distances'!B$6))*(COLUMN('Zhuravlev Distances'!$B$6:$K$6)&lt;&gt;COLUMN('Zhuravlev Distances'!C$6)))</f>
        <v>5</v>
      </c>
      <c r="C6" s="29" t="s">
        <v>120</v>
      </c>
      <c r="D6" s="28">
        <f>1+SUMPRODUCT(('Zhuravlev Distances'!$B$6:$K$6&lt;'Zhuravlev Distances'!D$6)*(COLUMN('Zhuravlev Distances'!$B$6:$K$6)&lt;&gt;COLUMN('Zhuravlev Distances'!C$6)))+SUMPRODUCT(('Zhuravlev Distances'!$B$6:$K$6='Zhuravlev Distances'!D$6)*(COLUMN('Zhuravlev Distances'!$B$6:$K$6)&lt;COLUMN('Zhuravlev Distances'!D$6))*(COLUMN('Zhuravlev Distances'!$B$6:$K$6)&lt;&gt;COLUMN('Zhuravlev Distances'!C$6)))</f>
        <v>6</v>
      </c>
      <c r="E6" s="28">
        <f>1+SUMPRODUCT(('Zhuravlev Distances'!$B$6:$K$6&lt;'Zhuravlev Distances'!E$6)*(COLUMN('Zhuravlev Distances'!$B$6:$K$6)&lt;&gt;COLUMN('Zhuravlev Distances'!C$6)))+SUMPRODUCT(('Zhuravlev Distances'!$B$6:$K$6='Zhuravlev Distances'!E$6)*(COLUMN('Zhuravlev Distances'!$B$6:$K$6)&lt;COLUMN('Zhuravlev Distances'!E$6))*(COLUMN('Zhuravlev Distances'!$B$6:$K$6)&lt;&gt;COLUMN('Zhuravlev Distances'!C$6)))</f>
        <v>9</v>
      </c>
      <c r="F6" s="28">
        <f>1+SUMPRODUCT(('Zhuravlev Distances'!$B$6:$K$6&lt;'Zhuravlev Distances'!F$6)*(COLUMN('Zhuravlev Distances'!$B$6:$K$6)&lt;&gt;COLUMN('Zhuravlev Distances'!C$6)))+SUMPRODUCT(('Zhuravlev Distances'!$B$6:$K$6='Zhuravlev Distances'!F$6)*(COLUMN('Zhuravlev Distances'!$B$6:$K$6)&lt;COLUMN('Zhuravlev Distances'!F$6))*(COLUMN('Zhuravlev Distances'!$B$6:$K$6)&lt;&gt;COLUMN('Zhuravlev Distances'!C$6)))</f>
        <v>7</v>
      </c>
      <c r="G6" s="28">
        <f>1+SUMPRODUCT(('Zhuravlev Distances'!$B$6:$K$6&lt;'Zhuravlev Distances'!G$6)*(COLUMN('Zhuravlev Distances'!$B$6:$K$6)&lt;&gt;COLUMN('Zhuravlev Distances'!C$6)))+SUMPRODUCT(('Zhuravlev Distances'!$B$6:$K$6='Zhuravlev Distances'!G$6)*(COLUMN('Zhuravlev Distances'!$B$6:$K$6)&lt;COLUMN('Zhuravlev Distances'!G$6))*(COLUMN('Zhuravlev Distances'!$B$6:$K$6)&lt;&gt;COLUMN('Zhuravlev Distances'!C$6)))</f>
        <v>4</v>
      </c>
      <c r="H6" s="28">
        <f>1+SUMPRODUCT(('Zhuravlev Distances'!$B$6:$K$6&lt;'Zhuravlev Distances'!H$6)*(COLUMN('Zhuravlev Distances'!$B$6:$K$6)&lt;&gt;COLUMN('Zhuravlev Distances'!C$6)))+SUMPRODUCT(('Zhuravlev Distances'!$B$6:$K$6='Zhuravlev Distances'!H$6)*(COLUMN('Zhuravlev Distances'!$B$6:$K$6)&lt;COLUMN('Zhuravlev Distances'!H$6))*(COLUMN('Zhuravlev Distances'!$B$6:$K$6)&lt;&gt;COLUMN('Zhuravlev Distances'!C$6)))</f>
        <v>8</v>
      </c>
      <c r="I6" s="28">
        <f>1+SUMPRODUCT(('Zhuravlev Distances'!$B$6:$K$6&lt;'Zhuravlev Distances'!I$6)*(COLUMN('Zhuravlev Distances'!$B$6:$K$6)&lt;&gt;COLUMN('Zhuravlev Distances'!C$6)))+SUMPRODUCT(('Zhuravlev Distances'!$B$6:$K$6='Zhuravlev Distances'!I$6)*(COLUMN('Zhuravlev Distances'!$B$6:$K$6)&lt;COLUMN('Zhuravlev Distances'!I$6))*(COLUMN('Zhuravlev Distances'!$B$6:$K$6)&lt;&gt;COLUMN('Zhuravlev Distances'!C$6)))</f>
        <v>3</v>
      </c>
      <c r="J6" s="28">
        <f>1+SUMPRODUCT(('Zhuravlev Distances'!$B$6:$K$6&lt;'Zhuravlev Distances'!J$6)*(COLUMN('Zhuravlev Distances'!$B$6:$K$6)&lt;&gt;COLUMN('Zhuravlev Distances'!C$6)))+SUMPRODUCT(('Zhuravlev Distances'!$B$6:$K$6='Zhuravlev Distances'!J$6)*(COLUMN('Zhuravlev Distances'!$B$6:$K$6)&lt;COLUMN('Zhuravlev Distances'!J$6))*(COLUMN('Zhuravlev Distances'!$B$6:$K$6)&lt;&gt;COLUMN('Zhuravlev Distances'!C$6)))</f>
        <v>2</v>
      </c>
      <c r="K6" s="28">
        <f>1+SUMPRODUCT(('Zhuravlev Distances'!$B$6:$K$6&lt;'Zhuravlev Distances'!K$6)*(COLUMN('Zhuravlev Distances'!$B$6:$K$6)&lt;&gt;COLUMN('Zhuravlev Distances'!C$6)))+SUMPRODUCT(('Zhuravlev Distances'!$B$6:$K$6='Zhuravlev Distances'!K$6)*(COLUMN('Zhuravlev Distances'!$B$6:$K$6)&lt;COLUMN('Zhuravlev Distances'!K$6))*(COLUMN('Zhuravlev Distances'!$B$6:$K$6)&lt;&gt;COLUMN('Zhuravlev Distances'!C$6)))</f>
        <v>1</v>
      </c>
    </row>
    <row r="7" spans="1:11" ht="15.6" customHeight="1" x14ac:dyDescent="0.3">
      <c r="A7" s="18" t="s">
        <v>109</v>
      </c>
      <c r="B7" s="28">
        <f>1+SUMPRODUCT(('Zhuravlev Distances'!$B$7:$K$7&lt;'Zhuravlev Distances'!B$7)*(COLUMN('Zhuravlev Distances'!$B$7:$K$7)&lt;&gt;COLUMN('Zhuravlev Distances'!D$7)))+SUMPRODUCT(('Zhuravlev Distances'!$B$7:$K$7='Zhuravlev Distances'!B$7)*(COLUMN('Zhuravlev Distances'!$B$7:$K$7)&lt;COLUMN('Zhuravlev Distances'!B$7))*(COLUMN('Zhuravlev Distances'!$B$7:$K$7)&lt;&gt;COLUMN('Zhuravlev Distances'!D$7)))</f>
        <v>8</v>
      </c>
      <c r="C7" s="28">
        <f>1+SUMPRODUCT(('Zhuravlev Distances'!$B$7:$K$7&lt;'Zhuravlev Distances'!C$7)*(COLUMN('Zhuravlev Distances'!$B$7:$K$7)&lt;&gt;COLUMN('Zhuravlev Distances'!D$7)))+SUMPRODUCT(('Zhuravlev Distances'!$B$7:$K$7='Zhuravlev Distances'!C$7)*(COLUMN('Zhuravlev Distances'!$B$7:$K$7)&lt;COLUMN('Zhuravlev Distances'!C$7))*(COLUMN('Zhuravlev Distances'!$B$7:$K$7)&lt;&gt;COLUMN('Zhuravlev Distances'!D$7)))</f>
        <v>6</v>
      </c>
      <c r="D7" s="29" t="s">
        <v>120</v>
      </c>
      <c r="E7" s="28">
        <f>1+SUMPRODUCT(('Zhuravlev Distances'!$B$7:$K$7&lt;'Zhuravlev Distances'!E$7)*(COLUMN('Zhuravlev Distances'!$B$7:$K$7)&lt;&gt;COLUMN('Zhuravlev Distances'!D$7)))+SUMPRODUCT(('Zhuravlev Distances'!$B$7:$K$7='Zhuravlev Distances'!E$7)*(COLUMN('Zhuravlev Distances'!$B$7:$K$7)&lt;COLUMN('Zhuravlev Distances'!E$7))*(COLUMN('Zhuravlev Distances'!$B$7:$K$7)&lt;&gt;COLUMN('Zhuravlev Distances'!D$7)))</f>
        <v>2</v>
      </c>
      <c r="F7" s="28">
        <f>1+SUMPRODUCT(('Zhuravlev Distances'!$B$7:$K$7&lt;'Zhuravlev Distances'!F$7)*(COLUMN('Zhuravlev Distances'!$B$7:$K$7)&lt;&gt;COLUMN('Zhuravlev Distances'!D$7)))+SUMPRODUCT(('Zhuravlev Distances'!$B$7:$K$7='Zhuravlev Distances'!F$7)*(COLUMN('Zhuravlev Distances'!$B$7:$K$7)&lt;COLUMN('Zhuravlev Distances'!F$7))*(COLUMN('Zhuravlev Distances'!$B$7:$K$7)&lt;&gt;COLUMN('Zhuravlev Distances'!D$7)))</f>
        <v>5</v>
      </c>
      <c r="G7" s="28">
        <f>1+SUMPRODUCT(('Zhuravlev Distances'!$B$7:$K$7&lt;'Zhuravlev Distances'!G$7)*(COLUMN('Zhuravlev Distances'!$B$7:$K$7)&lt;&gt;COLUMN('Zhuravlev Distances'!D$7)))+SUMPRODUCT(('Zhuravlev Distances'!$B$7:$K$7='Zhuravlev Distances'!G$7)*(COLUMN('Zhuravlev Distances'!$B$7:$K$7)&lt;COLUMN('Zhuravlev Distances'!G$7))*(COLUMN('Zhuravlev Distances'!$B$7:$K$7)&lt;&gt;COLUMN('Zhuravlev Distances'!D$7)))</f>
        <v>1</v>
      </c>
      <c r="H7" s="28">
        <f>1+SUMPRODUCT(('Zhuravlev Distances'!$B$7:$K$7&lt;'Zhuravlev Distances'!H$7)*(COLUMN('Zhuravlev Distances'!$B$7:$K$7)&lt;&gt;COLUMN('Zhuravlev Distances'!D$7)))+SUMPRODUCT(('Zhuravlev Distances'!$B$7:$K$7='Zhuravlev Distances'!H$7)*(COLUMN('Zhuravlev Distances'!$B$7:$K$7)&lt;COLUMN('Zhuravlev Distances'!H$7))*(COLUMN('Zhuravlev Distances'!$B$7:$K$7)&lt;&gt;COLUMN('Zhuravlev Distances'!D$7)))</f>
        <v>7</v>
      </c>
      <c r="I7" s="28">
        <f>1+SUMPRODUCT(('Zhuravlev Distances'!$B$7:$K$7&lt;'Zhuravlev Distances'!I$7)*(COLUMN('Zhuravlev Distances'!$B$7:$K$7)&lt;&gt;COLUMN('Zhuravlev Distances'!D$7)))+SUMPRODUCT(('Zhuravlev Distances'!$B$7:$K$7='Zhuravlev Distances'!I$7)*(COLUMN('Zhuravlev Distances'!$B$7:$K$7)&lt;COLUMN('Zhuravlev Distances'!I$7))*(COLUMN('Zhuravlev Distances'!$B$7:$K$7)&lt;&gt;COLUMN('Zhuravlev Distances'!D$7)))</f>
        <v>4</v>
      </c>
      <c r="J7" s="28">
        <f>1+SUMPRODUCT(('Zhuravlev Distances'!$B$7:$K$7&lt;'Zhuravlev Distances'!J$7)*(COLUMN('Zhuravlev Distances'!$B$7:$K$7)&lt;&gt;COLUMN('Zhuravlev Distances'!D$7)))+SUMPRODUCT(('Zhuravlev Distances'!$B$7:$K$7='Zhuravlev Distances'!J$7)*(COLUMN('Zhuravlev Distances'!$B$7:$K$7)&lt;COLUMN('Zhuravlev Distances'!J$7))*(COLUMN('Zhuravlev Distances'!$B$7:$K$7)&lt;&gt;COLUMN('Zhuravlev Distances'!D$7)))</f>
        <v>3</v>
      </c>
      <c r="K7" s="28">
        <f>1+SUMPRODUCT(('Zhuravlev Distances'!$B$7:$K$7&lt;'Zhuravlev Distances'!K$7)*(COLUMN('Zhuravlev Distances'!$B$7:$K$7)&lt;&gt;COLUMN('Zhuravlev Distances'!D$7)))+SUMPRODUCT(('Zhuravlev Distances'!$B$7:$K$7='Zhuravlev Distances'!K$7)*(COLUMN('Zhuravlev Distances'!$B$7:$K$7)&lt;COLUMN('Zhuravlev Distances'!K$7))*(COLUMN('Zhuravlev Distances'!$B$7:$K$7)&lt;&gt;COLUMN('Zhuravlev Distances'!D$7)))</f>
        <v>9</v>
      </c>
    </row>
    <row r="8" spans="1:11" ht="15.6" customHeight="1" x14ac:dyDescent="0.3">
      <c r="A8" s="18" t="s">
        <v>110</v>
      </c>
      <c r="B8" s="28">
        <f>1+SUMPRODUCT(('Zhuravlev Distances'!$B$8:$K$8&lt;'Zhuravlev Distances'!B$8)*(COLUMN('Zhuravlev Distances'!$B$8:$K$8)&lt;&gt;COLUMN('Zhuravlev Distances'!E$8)))+SUMPRODUCT(('Zhuravlev Distances'!$B$8:$K$8='Zhuravlev Distances'!B$8)*(COLUMN('Zhuravlev Distances'!$B$8:$K$8)&lt;COLUMN('Zhuravlev Distances'!B$8))*(COLUMN('Zhuravlev Distances'!$B$8:$K$8)&lt;&gt;COLUMN('Zhuravlev Distances'!E$8)))</f>
        <v>5</v>
      </c>
      <c r="C8" s="28">
        <f>1+SUMPRODUCT(('Zhuravlev Distances'!$B$8:$K$8&lt;'Zhuravlev Distances'!C$8)*(COLUMN('Zhuravlev Distances'!$B$8:$K$8)&lt;&gt;COLUMN('Zhuravlev Distances'!E$8)))+SUMPRODUCT(('Zhuravlev Distances'!$B$8:$K$8='Zhuravlev Distances'!C$8)*(COLUMN('Zhuravlev Distances'!$B$8:$K$8)&lt;COLUMN('Zhuravlev Distances'!C$8))*(COLUMN('Zhuravlev Distances'!$B$8:$K$8)&lt;&gt;COLUMN('Zhuravlev Distances'!E$8)))</f>
        <v>9</v>
      </c>
      <c r="D8" s="28">
        <f>1+SUMPRODUCT(('Zhuravlev Distances'!$B$8:$K$8&lt;'Zhuravlev Distances'!D$8)*(COLUMN('Zhuravlev Distances'!$B$8:$K$8)&lt;&gt;COLUMN('Zhuravlev Distances'!E$8)))+SUMPRODUCT(('Zhuravlev Distances'!$B$8:$K$8='Zhuravlev Distances'!D$8)*(COLUMN('Zhuravlev Distances'!$B$8:$K$8)&lt;COLUMN('Zhuravlev Distances'!D$8))*(COLUMN('Zhuravlev Distances'!$B$8:$K$8)&lt;&gt;COLUMN('Zhuravlev Distances'!E$8)))</f>
        <v>4</v>
      </c>
      <c r="E8" s="29" t="s">
        <v>120</v>
      </c>
      <c r="F8" s="28">
        <f>1+SUMPRODUCT(('Zhuravlev Distances'!$B$8:$K$8&lt;'Zhuravlev Distances'!F$8)*(COLUMN('Zhuravlev Distances'!$B$8:$K$8)&lt;&gt;COLUMN('Zhuravlev Distances'!E$8)))+SUMPRODUCT(('Zhuravlev Distances'!$B$8:$K$8='Zhuravlev Distances'!F$8)*(COLUMN('Zhuravlev Distances'!$B$8:$K$8)&lt;COLUMN('Zhuravlev Distances'!F$8))*(COLUMN('Zhuravlev Distances'!$B$8:$K$8)&lt;&gt;COLUMN('Zhuravlev Distances'!E$8)))</f>
        <v>7</v>
      </c>
      <c r="G8" s="28">
        <f>1+SUMPRODUCT(('Zhuravlev Distances'!$B$8:$K$8&lt;'Zhuravlev Distances'!G$8)*(COLUMN('Zhuravlev Distances'!$B$8:$K$8)&lt;&gt;COLUMN('Zhuravlev Distances'!E$8)))+SUMPRODUCT(('Zhuravlev Distances'!$B$8:$K$8='Zhuravlev Distances'!G$8)*(COLUMN('Zhuravlev Distances'!$B$8:$K$8)&lt;COLUMN('Zhuravlev Distances'!G$8))*(COLUMN('Zhuravlev Distances'!$B$8:$K$8)&lt;&gt;COLUMN('Zhuravlev Distances'!E$8)))</f>
        <v>2</v>
      </c>
      <c r="H8" s="28">
        <f>1+SUMPRODUCT(('Zhuravlev Distances'!$B$8:$K$8&lt;'Zhuravlev Distances'!H$8)*(COLUMN('Zhuravlev Distances'!$B$8:$K$8)&lt;&gt;COLUMN('Zhuravlev Distances'!E$8)))+SUMPRODUCT(('Zhuravlev Distances'!$B$8:$K$8='Zhuravlev Distances'!H$8)*(COLUMN('Zhuravlev Distances'!$B$8:$K$8)&lt;COLUMN('Zhuravlev Distances'!H$8))*(COLUMN('Zhuravlev Distances'!$B$8:$K$8)&lt;&gt;COLUMN('Zhuravlev Distances'!E$8)))</f>
        <v>6</v>
      </c>
      <c r="I8" s="28">
        <f>1+SUMPRODUCT(('Zhuravlev Distances'!$B$8:$K$8&lt;'Zhuravlev Distances'!I$8)*(COLUMN('Zhuravlev Distances'!$B$8:$K$8)&lt;&gt;COLUMN('Zhuravlev Distances'!E$8)))+SUMPRODUCT(('Zhuravlev Distances'!$B$8:$K$8='Zhuravlev Distances'!I$8)*(COLUMN('Zhuravlev Distances'!$B$8:$K$8)&lt;COLUMN('Zhuravlev Distances'!I$8))*(COLUMN('Zhuravlev Distances'!$B$8:$K$8)&lt;&gt;COLUMN('Zhuravlev Distances'!E$8)))</f>
        <v>1</v>
      </c>
      <c r="J8" s="28">
        <f>1+SUMPRODUCT(('Zhuravlev Distances'!$B$8:$K$8&lt;'Zhuravlev Distances'!J$8)*(COLUMN('Zhuravlev Distances'!$B$8:$K$8)&lt;&gt;COLUMN('Zhuravlev Distances'!E$8)))+SUMPRODUCT(('Zhuravlev Distances'!$B$8:$K$8='Zhuravlev Distances'!J$8)*(COLUMN('Zhuravlev Distances'!$B$8:$K$8)&lt;COLUMN('Zhuravlev Distances'!J$8))*(COLUMN('Zhuravlev Distances'!$B$8:$K$8)&lt;&gt;COLUMN('Zhuravlev Distances'!E$8)))</f>
        <v>3</v>
      </c>
      <c r="K8" s="28">
        <f>1+SUMPRODUCT(('Zhuravlev Distances'!$B$8:$K$8&lt;'Zhuravlev Distances'!K$8)*(COLUMN('Zhuravlev Distances'!$B$8:$K$8)&lt;&gt;COLUMN('Zhuravlev Distances'!E$8)))+SUMPRODUCT(('Zhuravlev Distances'!$B$8:$K$8='Zhuravlev Distances'!K$8)*(COLUMN('Zhuravlev Distances'!$B$8:$K$8)&lt;COLUMN('Zhuravlev Distances'!K$8))*(COLUMN('Zhuravlev Distances'!$B$8:$K$8)&lt;&gt;COLUMN('Zhuravlev Distances'!E$8)))</f>
        <v>8</v>
      </c>
    </row>
    <row r="9" spans="1:11" ht="15.6" customHeight="1" x14ac:dyDescent="0.3">
      <c r="A9" s="18" t="s">
        <v>111</v>
      </c>
      <c r="B9" s="28">
        <f>1+SUMPRODUCT(('Zhuravlev Distances'!$B$9:$K$9&lt;'Zhuravlev Distances'!B$9)*(COLUMN('Zhuravlev Distances'!$B$9:$K$9)&lt;&gt;COLUMN('Zhuravlev Distances'!F$9)))+SUMPRODUCT(('Zhuravlev Distances'!$B$9:$K$9='Zhuravlev Distances'!B$9)*(COLUMN('Zhuravlev Distances'!$B$9:$K$9)&lt;COLUMN('Zhuravlev Distances'!B$9))*(COLUMN('Zhuravlev Distances'!$B$9:$K$9)&lt;&gt;COLUMN('Zhuravlev Distances'!F$9)))</f>
        <v>4</v>
      </c>
      <c r="C9" s="28">
        <f>1+SUMPRODUCT(('Zhuravlev Distances'!$B$9:$K$9&lt;'Zhuravlev Distances'!C$9)*(COLUMN('Zhuravlev Distances'!$B$9:$K$9)&lt;&gt;COLUMN('Zhuravlev Distances'!F$9)))+SUMPRODUCT(('Zhuravlev Distances'!$B$9:$K$9='Zhuravlev Distances'!C$9)*(COLUMN('Zhuravlev Distances'!$B$9:$K$9)&lt;COLUMN('Zhuravlev Distances'!C$9))*(COLUMN('Zhuravlev Distances'!$B$9:$K$9)&lt;&gt;COLUMN('Zhuravlev Distances'!F$9)))</f>
        <v>6</v>
      </c>
      <c r="D9" s="28">
        <f>1+SUMPRODUCT(('Zhuravlev Distances'!$B$9:$K$9&lt;'Zhuravlev Distances'!D$9)*(COLUMN('Zhuravlev Distances'!$B$9:$K$9)&lt;&gt;COLUMN('Zhuravlev Distances'!F$9)))+SUMPRODUCT(('Zhuravlev Distances'!$B$9:$K$9='Zhuravlev Distances'!D$9)*(COLUMN('Zhuravlev Distances'!$B$9:$K$9)&lt;COLUMN('Zhuravlev Distances'!D$9))*(COLUMN('Zhuravlev Distances'!$B$9:$K$9)&lt;&gt;COLUMN('Zhuravlev Distances'!F$9)))</f>
        <v>1</v>
      </c>
      <c r="E9" s="28">
        <f>1+SUMPRODUCT(('Zhuravlev Distances'!$B$9:$K$9&lt;'Zhuravlev Distances'!E$9)*(COLUMN('Zhuravlev Distances'!$B$9:$K$9)&lt;&gt;COLUMN('Zhuravlev Distances'!F$9)))+SUMPRODUCT(('Zhuravlev Distances'!$B$9:$K$9='Zhuravlev Distances'!E$9)*(COLUMN('Zhuravlev Distances'!$B$9:$K$9)&lt;COLUMN('Zhuravlev Distances'!E$9))*(COLUMN('Zhuravlev Distances'!$B$9:$K$9)&lt;&gt;COLUMN('Zhuravlev Distances'!F$9)))</f>
        <v>3</v>
      </c>
      <c r="F9" s="29" t="s">
        <v>120</v>
      </c>
      <c r="G9" s="28">
        <f>1+SUMPRODUCT(('Zhuravlev Distances'!$B$9:$K$9&lt;'Zhuravlev Distances'!G$9)*(COLUMN('Zhuravlev Distances'!$B$9:$K$9)&lt;&gt;COLUMN('Zhuravlev Distances'!F$9)))+SUMPRODUCT(('Zhuravlev Distances'!$B$9:$K$9='Zhuravlev Distances'!G$9)*(COLUMN('Zhuravlev Distances'!$B$9:$K$9)&lt;COLUMN('Zhuravlev Distances'!G$9))*(COLUMN('Zhuravlev Distances'!$B$9:$K$9)&lt;&gt;COLUMN('Zhuravlev Distances'!F$9)))</f>
        <v>5</v>
      </c>
      <c r="H9" s="28">
        <f>1+SUMPRODUCT(('Zhuravlev Distances'!$B$9:$K$9&lt;'Zhuravlev Distances'!H$9)*(COLUMN('Zhuravlev Distances'!$B$9:$K$9)&lt;&gt;COLUMN('Zhuravlev Distances'!F$9)))+SUMPRODUCT(('Zhuravlev Distances'!$B$9:$K$9='Zhuravlev Distances'!H$9)*(COLUMN('Zhuravlev Distances'!$B$9:$K$9)&lt;COLUMN('Zhuravlev Distances'!H$9))*(COLUMN('Zhuravlev Distances'!$B$9:$K$9)&lt;&gt;COLUMN('Zhuravlev Distances'!F$9)))</f>
        <v>7</v>
      </c>
      <c r="I9" s="28">
        <f>1+SUMPRODUCT(('Zhuravlev Distances'!$B$9:$K$9&lt;'Zhuravlev Distances'!I$9)*(COLUMN('Zhuravlev Distances'!$B$9:$K$9)&lt;&gt;COLUMN('Zhuravlev Distances'!F$9)))+SUMPRODUCT(('Zhuravlev Distances'!$B$9:$K$9='Zhuravlev Distances'!I$9)*(COLUMN('Zhuravlev Distances'!$B$9:$K$9)&lt;COLUMN('Zhuravlev Distances'!I$9))*(COLUMN('Zhuravlev Distances'!$B$9:$K$9)&lt;&gt;COLUMN('Zhuravlev Distances'!F$9)))</f>
        <v>2</v>
      </c>
      <c r="J9" s="28">
        <f>1+SUMPRODUCT(('Zhuravlev Distances'!$B$9:$K$9&lt;'Zhuravlev Distances'!J$9)*(COLUMN('Zhuravlev Distances'!$B$9:$K$9)&lt;&gt;COLUMN('Zhuravlev Distances'!F$9)))+SUMPRODUCT(('Zhuravlev Distances'!$B$9:$K$9='Zhuravlev Distances'!J$9)*(COLUMN('Zhuravlev Distances'!$B$9:$K$9)&lt;COLUMN('Zhuravlev Distances'!J$9))*(COLUMN('Zhuravlev Distances'!$B$9:$K$9)&lt;&gt;COLUMN('Zhuravlev Distances'!F$9)))</f>
        <v>8</v>
      </c>
      <c r="K9" s="28">
        <f>1+SUMPRODUCT(('Zhuravlev Distances'!$B$9:$K$9&lt;'Zhuravlev Distances'!K$9)*(COLUMN('Zhuravlev Distances'!$B$9:$K$9)&lt;&gt;COLUMN('Zhuravlev Distances'!F$9)))+SUMPRODUCT(('Zhuravlev Distances'!$B$9:$K$9='Zhuravlev Distances'!K$9)*(COLUMN('Zhuravlev Distances'!$B$9:$K$9)&lt;COLUMN('Zhuravlev Distances'!K$9))*(COLUMN('Zhuravlev Distances'!$B$9:$K$9)&lt;&gt;COLUMN('Zhuravlev Distances'!F$9)))</f>
        <v>9</v>
      </c>
    </row>
    <row r="10" spans="1:11" ht="15.6" customHeight="1" x14ac:dyDescent="0.3">
      <c r="A10" s="18" t="s">
        <v>112</v>
      </c>
      <c r="B10" s="28">
        <f>1+SUMPRODUCT(('Zhuravlev Distances'!$B$10:$K$10&lt;'Zhuravlev Distances'!B$10)*(COLUMN('Zhuravlev Distances'!$B$10:$K$10)&lt;&gt;COLUMN('Zhuravlev Distances'!G$10)))+SUMPRODUCT(('Zhuravlev Distances'!$B$10:$K$10='Zhuravlev Distances'!B$10)*(COLUMN('Zhuravlev Distances'!$B$10:$K$10)&lt;COLUMN('Zhuravlev Distances'!B$10))*(COLUMN('Zhuravlev Distances'!$B$10:$K$10)&lt;&gt;COLUMN('Zhuravlev Distances'!G$10)))</f>
        <v>6</v>
      </c>
      <c r="C10" s="28">
        <f>1+SUMPRODUCT(('Zhuravlev Distances'!$B$10:$K$10&lt;'Zhuravlev Distances'!C$10)*(COLUMN('Zhuravlev Distances'!$B$10:$K$10)&lt;&gt;COLUMN('Zhuravlev Distances'!G$10)))+SUMPRODUCT(('Zhuravlev Distances'!$B$10:$K$10='Zhuravlev Distances'!C$10)*(COLUMN('Zhuravlev Distances'!$B$10:$K$10)&lt;COLUMN('Zhuravlev Distances'!C$10))*(COLUMN('Zhuravlev Distances'!$B$10:$K$10)&lt;&gt;COLUMN('Zhuravlev Distances'!G$10)))</f>
        <v>5</v>
      </c>
      <c r="D10" s="28">
        <f>1+SUMPRODUCT(('Zhuravlev Distances'!$B$10:$K$10&lt;'Zhuravlev Distances'!D$10)*(COLUMN('Zhuravlev Distances'!$B$10:$K$10)&lt;&gt;COLUMN('Zhuravlev Distances'!G$10)))+SUMPRODUCT(('Zhuravlev Distances'!$B$10:$K$10='Zhuravlev Distances'!D$10)*(COLUMN('Zhuravlev Distances'!$B$10:$K$10)&lt;COLUMN('Zhuravlev Distances'!D$10))*(COLUMN('Zhuravlev Distances'!$B$10:$K$10)&lt;&gt;COLUMN('Zhuravlev Distances'!G$10)))</f>
        <v>1</v>
      </c>
      <c r="E10" s="28">
        <f>1+SUMPRODUCT(('Zhuravlev Distances'!$B$10:$K$10&lt;'Zhuravlev Distances'!E$10)*(COLUMN('Zhuravlev Distances'!$B$10:$K$10)&lt;&gt;COLUMN('Zhuravlev Distances'!G$10)))+SUMPRODUCT(('Zhuravlev Distances'!$B$10:$K$10='Zhuravlev Distances'!E$10)*(COLUMN('Zhuravlev Distances'!$B$10:$K$10)&lt;COLUMN('Zhuravlev Distances'!E$10))*(COLUMN('Zhuravlev Distances'!$B$10:$K$10)&lt;&gt;COLUMN('Zhuravlev Distances'!G$10)))</f>
        <v>2</v>
      </c>
      <c r="F10" s="28">
        <f>1+SUMPRODUCT(('Zhuravlev Distances'!$B$10:$K$10&lt;'Zhuravlev Distances'!F$10)*(COLUMN('Zhuravlev Distances'!$B$10:$K$10)&lt;&gt;COLUMN('Zhuravlev Distances'!G$10)))+SUMPRODUCT(('Zhuravlev Distances'!$B$10:$K$10='Zhuravlev Distances'!F$10)*(COLUMN('Zhuravlev Distances'!$B$10:$K$10)&lt;COLUMN('Zhuravlev Distances'!F$10))*(COLUMN('Zhuravlev Distances'!$B$10:$K$10)&lt;&gt;COLUMN('Zhuravlev Distances'!G$10)))</f>
        <v>7</v>
      </c>
      <c r="G10" s="29" t="s">
        <v>120</v>
      </c>
      <c r="H10" s="28">
        <f>1+SUMPRODUCT(('Zhuravlev Distances'!$B$10:$K$10&lt;'Zhuravlev Distances'!H$10)*(COLUMN('Zhuravlev Distances'!$B$10:$K$10)&lt;&gt;COLUMN('Zhuravlev Distances'!G$10)))+SUMPRODUCT(('Zhuravlev Distances'!$B$10:$K$10='Zhuravlev Distances'!H$10)*(COLUMN('Zhuravlev Distances'!$B$10:$K$10)&lt;COLUMN('Zhuravlev Distances'!H$10))*(COLUMN('Zhuravlev Distances'!$B$10:$K$10)&lt;&gt;COLUMN('Zhuravlev Distances'!G$10)))</f>
        <v>9</v>
      </c>
      <c r="I10" s="28">
        <f>1+SUMPRODUCT(('Zhuravlev Distances'!$B$10:$K$10&lt;'Zhuravlev Distances'!I$10)*(COLUMN('Zhuravlev Distances'!$B$10:$K$10)&lt;&gt;COLUMN('Zhuravlev Distances'!G$10)))+SUMPRODUCT(('Zhuravlev Distances'!$B$10:$K$10='Zhuravlev Distances'!I$10)*(COLUMN('Zhuravlev Distances'!$B$10:$K$10)&lt;COLUMN('Zhuravlev Distances'!I$10))*(COLUMN('Zhuravlev Distances'!$B$10:$K$10)&lt;&gt;COLUMN('Zhuravlev Distances'!G$10)))</f>
        <v>3</v>
      </c>
      <c r="J10" s="28">
        <f>1+SUMPRODUCT(('Zhuravlev Distances'!$B$10:$K$10&lt;'Zhuravlev Distances'!J$10)*(COLUMN('Zhuravlev Distances'!$B$10:$K$10)&lt;&gt;COLUMN('Zhuravlev Distances'!G$10)))+SUMPRODUCT(('Zhuravlev Distances'!$B$10:$K$10='Zhuravlev Distances'!J$10)*(COLUMN('Zhuravlev Distances'!$B$10:$K$10)&lt;COLUMN('Zhuravlev Distances'!J$10))*(COLUMN('Zhuravlev Distances'!$B$10:$K$10)&lt;&gt;COLUMN('Zhuravlev Distances'!G$10)))</f>
        <v>4</v>
      </c>
      <c r="K10" s="28">
        <f>1+SUMPRODUCT(('Zhuravlev Distances'!$B$10:$K$10&lt;'Zhuravlev Distances'!K$10)*(COLUMN('Zhuravlev Distances'!$B$10:$K$10)&lt;&gt;COLUMN('Zhuravlev Distances'!G$10)))+SUMPRODUCT(('Zhuravlev Distances'!$B$10:$K$10='Zhuravlev Distances'!K$10)*(COLUMN('Zhuravlev Distances'!$B$10:$K$10)&lt;COLUMN('Zhuravlev Distances'!K$10))*(COLUMN('Zhuravlev Distances'!$B$10:$K$10)&lt;&gt;COLUMN('Zhuravlev Distances'!G$10)))</f>
        <v>8</v>
      </c>
    </row>
    <row r="11" spans="1:11" ht="15.6" customHeight="1" x14ac:dyDescent="0.3">
      <c r="A11" s="18" t="s">
        <v>113</v>
      </c>
      <c r="B11" s="28">
        <f>1+SUMPRODUCT(('Zhuravlev Distances'!$B$11:$K$11&lt;'Zhuravlev Distances'!B$11)*(COLUMN('Zhuravlev Distances'!$B$11:$K$11)&lt;&gt;COLUMN('Zhuravlev Distances'!H$11)))+SUMPRODUCT(('Zhuravlev Distances'!$B$11:$K$11='Zhuravlev Distances'!B$11)*(COLUMN('Zhuravlev Distances'!$B$11:$K$11)&lt;COLUMN('Zhuravlev Distances'!B$11))*(COLUMN('Zhuravlev Distances'!$B$11:$K$11)&lt;&gt;COLUMN('Zhuravlev Distances'!H$11)))</f>
        <v>4</v>
      </c>
      <c r="C11" s="28">
        <f>1+SUMPRODUCT(('Zhuravlev Distances'!$B$11:$K$11&lt;'Zhuravlev Distances'!C$11)*(COLUMN('Zhuravlev Distances'!$B$11:$K$11)&lt;&gt;COLUMN('Zhuravlev Distances'!H$11)))+SUMPRODUCT(('Zhuravlev Distances'!$B$11:$K$11='Zhuravlev Distances'!C$11)*(COLUMN('Zhuravlev Distances'!$B$11:$K$11)&lt;COLUMN('Zhuravlev Distances'!C$11))*(COLUMN('Zhuravlev Distances'!$B$11:$K$11)&lt;&gt;COLUMN('Zhuravlev Distances'!H$11)))</f>
        <v>6</v>
      </c>
      <c r="D11" s="28">
        <f>1+SUMPRODUCT(('Zhuravlev Distances'!$B$11:$K$11&lt;'Zhuravlev Distances'!D$11)*(COLUMN('Zhuravlev Distances'!$B$11:$K$11)&lt;&gt;COLUMN('Zhuravlev Distances'!H$11)))+SUMPRODUCT(('Zhuravlev Distances'!$B$11:$K$11='Zhuravlev Distances'!D$11)*(COLUMN('Zhuravlev Distances'!$B$11:$K$11)&lt;COLUMN('Zhuravlev Distances'!D$11))*(COLUMN('Zhuravlev Distances'!$B$11:$K$11)&lt;&gt;COLUMN('Zhuravlev Distances'!H$11)))</f>
        <v>5</v>
      </c>
      <c r="E11" s="28">
        <f>1+SUMPRODUCT(('Zhuravlev Distances'!$B$11:$K$11&lt;'Zhuravlev Distances'!E$11)*(COLUMN('Zhuravlev Distances'!$B$11:$K$11)&lt;&gt;COLUMN('Zhuravlev Distances'!H$11)))+SUMPRODUCT(('Zhuravlev Distances'!$B$11:$K$11='Zhuravlev Distances'!E$11)*(COLUMN('Zhuravlev Distances'!$B$11:$K$11)&lt;COLUMN('Zhuravlev Distances'!E$11))*(COLUMN('Zhuravlev Distances'!$B$11:$K$11)&lt;&gt;COLUMN('Zhuravlev Distances'!H$11)))</f>
        <v>2</v>
      </c>
      <c r="F11" s="28">
        <f>1+SUMPRODUCT(('Zhuravlev Distances'!$B$11:$K$11&lt;'Zhuravlev Distances'!F$11)*(COLUMN('Zhuravlev Distances'!$B$11:$K$11)&lt;&gt;COLUMN('Zhuravlev Distances'!H$11)))+SUMPRODUCT(('Zhuravlev Distances'!$B$11:$K$11='Zhuravlev Distances'!F$11)*(COLUMN('Zhuravlev Distances'!$B$11:$K$11)&lt;COLUMN('Zhuravlev Distances'!F$11))*(COLUMN('Zhuravlev Distances'!$B$11:$K$11)&lt;&gt;COLUMN('Zhuravlev Distances'!H$11)))</f>
        <v>7</v>
      </c>
      <c r="G11" s="28">
        <f>1+SUMPRODUCT(('Zhuravlev Distances'!$B$11:$K$11&lt;'Zhuravlev Distances'!G$11)*(COLUMN('Zhuravlev Distances'!$B$11:$K$11)&lt;&gt;COLUMN('Zhuravlev Distances'!H$11)))+SUMPRODUCT(('Zhuravlev Distances'!$B$11:$K$11='Zhuravlev Distances'!G$11)*(COLUMN('Zhuravlev Distances'!$B$11:$K$11)&lt;COLUMN('Zhuravlev Distances'!G$11))*(COLUMN('Zhuravlev Distances'!$B$11:$K$11)&lt;&gt;COLUMN('Zhuravlev Distances'!H$11)))</f>
        <v>8</v>
      </c>
      <c r="H11" s="29" t="s">
        <v>120</v>
      </c>
      <c r="I11" s="28">
        <f>1+SUMPRODUCT(('Zhuravlev Distances'!$B$11:$K$11&lt;'Zhuravlev Distances'!I$11)*(COLUMN('Zhuravlev Distances'!$B$11:$K$11)&lt;&gt;COLUMN('Zhuravlev Distances'!H$11)))+SUMPRODUCT(('Zhuravlev Distances'!$B$11:$K$11='Zhuravlev Distances'!I$11)*(COLUMN('Zhuravlev Distances'!$B$11:$K$11)&lt;COLUMN('Zhuravlev Distances'!I$11))*(COLUMN('Zhuravlev Distances'!$B$11:$K$11)&lt;&gt;COLUMN('Zhuravlev Distances'!H$11)))</f>
        <v>1</v>
      </c>
      <c r="J11" s="28">
        <f>1+SUMPRODUCT(('Zhuravlev Distances'!$B$11:$K$11&lt;'Zhuravlev Distances'!J$11)*(COLUMN('Zhuravlev Distances'!$B$11:$K$11)&lt;&gt;COLUMN('Zhuravlev Distances'!H$11)))+SUMPRODUCT(('Zhuravlev Distances'!$B$11:$K$11='Zhuravlev Distances'!J$11)*(COLUMN('Zhuravlev Distances'!$B$11:$K$11)&lt;COLUMN('Zhuravlev Distances'!J$11))*(COLUMN('Zhuravlev Distances'!$B$11:$K$11)&lt;&gt;COLUMN('Zhuravlev Distances'!H$11)))</f>
        <v>3</v>
      </c>
      <c r="K11" s="28">
        <f>1+SUMPRODUCT(('Zhuravlev Distances'!$B$11:$K$11&lt;'Zhuravlev Distances'!K$11)*(COLUMN('Zhuravlev Distances'!$B$11:$K$11)&lt;&gt;COLUMN('Zhuravlev Distances'!H$11)))+SUMPRODUCT(('Zhuravlev Distances'!$B$11:$K$11='Zhuravlev Distances'!K$11)*(COLUMN('Zhuravlev Distances'!$B$11:$K$11)&lt;COLUMN('Zhuravlev Distances'!K$11))*(COLUMN('Zhuravlev Distances'!$B$11:$K$11)&lt;&gt;COLUMN('Zhuravlev Distances'!H$11)))</f>
        <v>9</v>
      </c>
    </row>
    <row r="12" spans="1:11" ht="15.6" customHeight="1" x14ac:dyDescent="0.3">
      <c r="A12" s="18" t="s">
        <v>114</v>
      </c>
      <c r="B12" s="28">
        <f>1+SUMPRODUCT(('Zhuravlev Distances'!$B$12:$K$12&lt;'Zhuravlev Distances'!B$12)*(COLUMN('Zhuravlev Distances'!$B$12:$K$12)&lt;&gt;COLUMN('Zhuravlev Distances'!I$12)))+SUMPRODUCT(('Zhuravlev Distances'!$B$12:$K$12='Zhuravlev Distances'!B$12)*(COLUMN('Zhuravlev Distances'!$B$12:$K$12)&lt;COLUMN('Zhuravlev Distances'!B$12))*(COLUMN('Zhuravlev Distances'!$B$12:$K$12)&lt;&gt;COLUMN('Zhuravlev Distances'!I$12)))</f>
        <v>5</v>
      </c>
      <c r="C12" s="28">
        <f>1+SUMPRODUCT(('Zhuravlev Distances'!$B$12:$K$12&lt;'Zhuravlev Distances'!C$12)*(COLUMN('Zhuravlev Distances'!$B$12:$K$12)&lt;&gt;COLUMN('Zhuravlev Distances'!I$12)))+SUMPRODUCT(('Zhuravlev Distances'!$B$12:$K$12='Zhuravlev Distances'!C$12)*(COLUMN('Zhuravlev Distances'!$B$12:$K$12)&lt;COLUMN('Zhuravlev Distances'!C$12))*(COLUMN('Zhuravlev Distances'!$B$12:$K$12)&lt;&gt;COLUMN('Zhuravlev Distances'!I$12)))</f>
        <v>7</v>
      </c>
      <c r="D12" s="28">
        <f>1+SUMPRODUCT(('Zhuravlev Distances'!$B$12:$K$12&lt;'Zhuravlev Distances'!D$12)*(COLUMN('Zhuravlev Distances'!$B$12:$K$12)&lt;&gt;COLUMN('Zhuravlev Distances'!I$12)))+SUMPRODUCT(('Zhuravlev Distances'!$B$12:$K$12='Zhuravlev Distances'!D$12)*(COLUMN('Zhuravlev Distances'!$B$12:$K$12)&lt;COLUMN('Zhuravlev Distances'!D$12))*(COLUMN('Zhuravlev Distances'!$B$12:$K$12)&lt;&gt;COLUMN('Zhuravlev Distances'!I$12)))</f>
        <v>6</v>
      </c>
      <c r="E12" s="28">
        <f>1+SUMPRODUCT(('Zhuravlev Distances'!$B$12:$K$12&lt;'Zhuravlev Distances'!E$12)*(COLUMN('Zhuravlev Distances'!$B$12:$K$12)&lt;&gt;COLUMN('Zhuravlev Distances'!I$12)))+SUMPRODUCT(('Zhuravlev Distances'!$B$12:$K$12='Zhuravlev Distances'!E$12)*(COLUMN('Zhuravlev Distances'!$B$12:$K$12)&lt;COLUMN('Zhuravlev Distances'!E$12))*(COLUMN('Zhuravlev Distances'!$B$12:$K$12)&lt;&gt;COLUMN('Zhuravlev Distances'!I$12)))</f>
        <v>1</v>
      </c>
      <c r="F12" s="28">
        <f>1+SUMPRODUCT(('Zhuravlev Distances'!$B$12:$K$12&lt;'Zhuravlev Distances'!F$12)*(COLUMN('Zhuravlev Distances'!$B$12:$K$12)&lt;&gt;COLUMN('Zhuravlev Distances'!I$12)))+SUMPRODUCT(('Zhuravlev Distances'!$B$12:$K$12='Zhuravlev Distances'!F$12)*(COLUMN('Zhuravlev Distances'!$B$12:$K$12)&lt;COLUMN('Zhuravlev Distances'!F$12))*(COLUMN('Zhuravlev Distances'!$B$12:$K$12)&lt;&gt;COLUMN('Zhuravlev Distances'!I$12)))</f>
        <v>9</v>
      </c>
      <c r="G12" s="28">
        <f>1+SUMPRODUCT(('Zhuravlev Distances'!$B$12:$K$12&lt;'Zhuravlev Distances'!G$12)*(COLUMN('Zhuravlev Distances'!$B$12:$K$12)&lt;&gt;COLUMN('Zhuravlev Distances'!I$12)))+SUMPRODUCT(('Zhuravlev Distances'!$B$12:$K$12='Zhuravlev Distances'!G$12)*(COLUMN('Zhuravlev Distances'!$B$12:$K$12)&lt;COLUMN('Zhuravlev Distances'!G$12))*(COLUMN('Zhuravlev Distances'!$B$12:$K$12)&lt;&gt;COLUMN('Zhuravlev Distances'!I$12)))</f>
        <v>4</v>
      </c>
      <c r="H12" s="28">
        <f>1+SUMPRODUCT(('Zhuravlev Distances'!$B$12:$K$12&lt;'Zhuravlev Distances'!H$12)*(COLUMN('Zhuravlev Distances'!$B$12:$K$12)&lt;&gt;COLUMN('Zhuravlev Distances'!I$12)))+SUMPRODUCT(('Zhuravlev Distances'!$B$12:$K$12='Zhuravlev Distances'!H$12)*(COLUMN('Zhuravlev Distances'!$B$12:$K$12)&lt;COLUMN('Zhuravlev Distances'!H$12))*(COLUMN('Zhuravlev Distances'!$B$12:$K$12)&lt;&gt;COLUMN('Zhuravlev Distances'!I$12)))</f>
        <v>3</v>
      </c>
      <c r="I12" s="29" t="s">
        <v>120</v>
      </c>
      <c r="J12" s="28">
        <f>1+SUMPRODUCT(('Zhuravlev Distances'!$B$12:$K$12&lt;'Zhuravlev Distances'!J$12)*(COLUMN('Zhuravlev Distances'!$B$12:$K$12)&lt;&gt;COLUMN('Zhuravlev Distances'!I$12)))+SUMPRODUCT(('Zhuravlev Distances'!$B$12:$K$12='Zhuravlev Distances'!J$12)*(COLUMN('Zhuravlev Distances'!$B$12:$K$12)&lt;COLUMN('Zhuravlev Distances'!J$12))*(COLUMN('Zhuravlev Distances'!$B$12:$K$12)&lt;&gt;COLUMN('Zhuravlev Distances'!I$12)))</f>
        <v>2</v>
      </c>
      <c r="K12" s="28">
        <f>1+SUMPRODUCT(('Zhuravlev Distances'!$B$12:$K$12&lt;'Zhuravlev Distances'!K$12)*(COLUMN('Zhuravlev Distances'!$B$12:$K$12)&lt;&gt;COLUMN('Zhuravlev Distances'!I$12)))+SUMPRODUCT(('Zhuravlev Distances'!$B$12:$K$12='Zhuravlev Distances'!K$12)*(COLUMN('Zhuravlev Distances'!$B$12:$K$12)&lt;COLUMN('Zhuravlev Distances'!K$12))*(COLUMN('Zhuravlev Distances'!$B$12:$K$12)&lt;&gt;COLUMN('Zhuravlev Distances'!I$12)))</f>
        <v>8</v>
      </c>
    </row>
    <row r="13" spans="1:11" ht="15.6" customHeight="1" x14ac:dyDescent="0.3">
      <c r="A13" s="18" t="s">
        <v>115</v>
      </c>
      <c r="B13" s="28">
        <f>1+SUMPRODUCT(('Zhuravlev Distances'!$B$13:$K$13&lt;'Zhuravlev Distances'!B$13)*(COLUMN('Zhuravlev Distances'!$B$13:$K$13)&lt;&gt;COLUMN('Zhuravlev Distances'!J$13)))+SUMPRODUCT(('Zhuravlev Distances'!$B$13:$K$13='Zhuravlev Distances'!B$13)*(COLUMN('Zhuravlev Distances'!$B$13:$K$13)&lt;COLUMN('Zhuravlev Distances'!B$13))*(COLUMN('Zhuravlev Distances'!$B$13:$K$13)&lt;&gt;COLUMN('Zhuravlev Distances'!J$13)))</f>
        <v>3</v>
      </c>
      <c r="C13" s="28">
        <f>1+SUMPRODUCT(('Zhuravlev Distances'!$B$13:$K$13&lt;'Zhuravlev Distances'!C$13)*(COLUMN('Zhuravlev Distances'!$B$13:$K$13)&lt;&gt;COLUMN('Zhuravlev Distances'!J$13)))+SUMPRODUCT(('Zhuravlev Distances'!$B$13:$K$13='Zhuravlev Distances'!C$13)*(COLUMN('Zhuravlev Distances'!$B$13:$K$13)&lt;COLUMN('Zhuravlev Distances'!C$13))*(COLUMN('Zhuravlev Distances'!$B$13:$K$13)&lt;&gt;COLUMN('Zhuravlev Distances'!J$13)))</f>
        <v>6</v>
      </c>
      <c r="D13" s="28">
        <f>1+SUMPRODUCT(('Zhuravlev Distances'!$B$13:$K$13&lt;'Zhuravlev Distances'!D$13)*(COLUMN('Zhuravlev Distances'!$B$13:$K$13)&lt;&gt;COLUMN('Zhuravlev Distances'!J$13)))+SUMPRODUCT(('Zhuravlev Distances'!$B$13:$K$13='Zhuravlev Distances'!D$13)*(COLUMN('Zhuravlev Distances'!$B$13:$K$13)&lt;COLUMN('Zhuravlev Distances'!D$13))*(COLUMN('Zhuravlev Distances'!$B$13:$K$13)&lt;&gt;COLUMN('Zhuravlev Distances'!J$13)))</f>
        <v>7</v>
      </c>
      <c r="E13" s="28">
        <f>1+SUMPRODUCT(('Zhuravlev Distances'!$B$13:$K$13&lt;'Zhuravlev Distances'!E$13)*(COLUMN('Zhuravlev Distances'!$B$13:$K$13)&lt;&gt;COLUMN('Zhuravlev Distances'!J$13)))+SUMPRODUCT(('Zhuravlev Distances'!$B$13:$K$13='Zhuravlev Distances'!E$13)*(COLUMN('Zhuravlev Distances'!$B$13:$K$13)&lt;COLUMN('Zhuravlev Distances'!E$13))*(COLUMN('Zhuravlev Distances'!$B$13:$K$13)&lt;&gt;COLUMN('Zhuravlev Distances'!J$13)))</f>
        <v>4</v>
      </c>
      <c r="F13" s="28">
        <f>1+SUMPRODUCT(('Zhuravlev Distances'!$B$13:$K$13&lt;'Zhuravlev Distances'!F$13)*(COLUMN('Zhuravlev Distances'!$B$13:$K$13)&lt;&gt;COLUMN('Zhuravlev Distances'!J$13)))+SUMPRODUCT(('Zhuravlev Distances'!$B$13:$K$13='Zhuravlev Distances'!F$13)*(COLUMN('Zhuravlev Distances'!$B$13:$K$13)&lt;COLUMN('Zhuravlev Distances'!F$13))*(COLUMN('Zhuravlev Distances'!$B$13:$K$13)&lt;&gt;COLUMN('Zhuravlev Distances'!J$13)))</f>
        <v>9</v>
      </c>
      <c r="G13" s="28">
        <f>1+SUMPRODUCT(('Zhuravlev Distances'!$B$13:$K$13&lt;'Zhuravlev Distances'!G$13)*(COLUMN('Zhuravlev Distances'!$B$13:$K$13)&lt;&gt;COLUMN('Zhuravlev Distances'!J$13)))+SUMPRODUCT(('Zhuravlev Distances'!$B$13:$K$13='Zhuravlev Distances'!G$13)*(COLUMN('Zhuravlev Distances'!$B$13:$K$13)&lt;COLUMN('Zhuravlev Distances'!G$13))*(COLUMN('Zhuravlev Distances'!$B$13:$K$13)&lt;&gt;COLUMN('Zhuravlev Distances'!J$13)))</f>
        <v>5</v>
      </c>
      <c r="H13" s="28">
        <f>1+SUMPRODUCT(('Zhuravlev Distances'!$B$13:$K$13&lt;'Zhuravlev Distances'!H$13)*(COLUMN('Zhuravlev Distances'!$B$13:$K$13)&lt;&gt;COLUMN('Zhuravlev Distances'!J$13)))+SUMPRODUCT(('Zhuravlev Distances'!$B$13:$K$13='Zhuravlev Distances'!H$13)*(COLUMN('Zhuravlev Distances'!$B$13:$K$13)&lt;COLUMN('Zhuravlev Distances'!H$13))*(COLUMN('Zhuravlev Distances'!$B$13:$K$13)&lt;&gt;COLUMN('Zhuravlev Distances'!J$13)))</f>
        <v>8</v>
      </c>
      <c r="I13" s="28">
        <f>1+SUMPRODUCT(('Zhuravlev Distances'!$B$13:$K$13&lt;'Zhuravlev Distances'!I$13)*(COLUMN('Zhuravlev Distances'!$B$13:$K$13)&lt;&gt;COLUMN('Zhuravlev Distances'!J$13)))+SUMPRODUCT(('Zhuravlev Distances'!$B$13:$K$13='Zhuravlev Distances'!I$13)*(COLUMN('Zhuravlev Distances'!$B$13:$K$13)&lt;COLUMN('Zhuravlev Distances'!I$13))*(COLUMN('Zhuravlev Distances'!$B$13:$K$13)&lt;&gt;COLUMN('Zhuravlev Distances'!J$13)))</f>
        <v>1</v>
      </c>
      <c r="J13" s="29" t="s">
        <v>120</v>
      </c>
      <c r="K13" s="28">
        <f>1+SUMPRODUCT(('Zhuravlev Distances'!$B$13:$K$13&lt;'Zhuravlev Distances'!K$13)*(COLUMN('Zhuravlev Distances'!$B$13:$K$13)&lt;&gt;COLUMN('Zhuravlev Distances'!J$13)))+SUMPRODUCT(('Zhuravlev Distances'!$B$13:$K$13='Zhuravlev Distances'!K$13)*(COLUMN('Zhuravlev Distances'!$B$13:$K$13)&lt;COLUMN('Zhuravlev Distances'!K$13))*(COLUMN('Zhuravlev Distances'!$B$13:$K$13)&lt;&gt;COLUMN('Zhuravlev Distances'!J$13)))</f>
        <v>2</v>
      </c>
    </row>
    <row r="14" spans="1:11" ht="15.6" customHeight="1" x14ac:dyDescent="0.3">
      <c r="A14" s="18" t="s">
        <v>116</v>
      </c>
      <c r="B14" s="28">
        <f>1+SUMPRODUCT(('Zhuravlev Distances'!$B$14:$K$14&lt;'Zhuravlev Distances'!B$14)*(COLUMN('Zhuravlev Distances'!$B$14:$K$14)&lt;&gt;COLUMN('Zhuravlev Distances'!K$14)))+SUMPRODUCT(('Zhuravlev Distances'!$B$14:$K$14='Zhuravlev Distances'!B$14)*(COLUMN('Zhuravlev Distances'!$B$14:$K$14)&lt;COLUMN('Zhuravlev Distances'!B$14))*(COLUMN('Zhuravlev Distances'!$B$14:$K$14)&lt;&gt;COLUMN('Zhuravlev Distances'!K$14)))</f>
        <v>2</v>
      </c>
      <c r="C14" s="28">
        <f>1+SUMPRODUCT(('Zhuravlev Distances'!$B$14:$K$14&lt;'Zhuravlev Distances'!C$14)*(COLUMN('Zhuravlev Distances'!$B$14:$K$14)&lt;&gt;COLUMN('Zhuravlev Distances'!K$14)))+SUMPRODUCT(('Zhuravlev Distances'!$B$14:$K$14='Zhuravlev Distances'!C$14)*(COLUMN('Zhuravlev Distances'!$B$14:$K$14)&lt;COLUMN('Zhuravlev Distances'!C$14))*(COLUMN('Zhuravlev Distances'!$B$14:$K$14)&lt;&gt;COLUMN('Zhuravlev Distances'!K$14)))</f>
        <v>3</v>
      </c>
      <c r="D14" s="28">
        <f>1+SUMPRODUCT(('Zhuravlev Distances'!$B$14:$K$14&lt;'Zhuravlev Distances'!D$14)*(COLUMN('Zhuravlev Distances'!$B$14:$K$14)&lt;&gt;COLUMN('Zhuravlev Distances'!K$14)))+SUMPRODUCT(('Zhuravlev Distances'!$B$14:$K$14='Zhuravlev Distances'!D$14)*(COLUMN('Zhuravlev Distances'!$B$14:$K$14)&lt;COLUMN('Zhuravlev Distances'!D$14))*(COLUMN('Zhuravlev Distances'!$B$14:$K$14)&lt;&gt;COLUMN('Zhuravlev Distances'!K$14)))</f>
        <v>7</v>
      </c>
      <c r="E14" s="28">
        <f>1+SUMPRODUCT(('Zhuravlev Distances'!$B$14:$K$14&lt;'Zhuravlev Distances'!E$14)*(COLUMN('Zhuravlev Distances'!$B$14:$K$14)&lt;&gt;COLUMN('Zhuravlev Distances'!K$14)))+SUMPRODUCT(('Zhuravlev Distances'!$B$14:$K$14='Zhuravlev Distances'!E$14)*(COLUMN('Zhuravlev Distances'!$B$14:$K$14)&lt;COLUMN('Zhuravlev Distances'!E$14))*(COLUMN('Zhuravlev Distances'!$B$14:$K$14)&lt;&gt;COLUMN('Zhuravlev Distances'!K$14)))</f>
        <v>5</v>
      </c>
      <c r="F14" s="28">
        <f>1+SUMPRODUCT(('Zhuravlev Distances'!$B$14:$K$14&lt;'Zhuravlev Distances'!F$14)*(COLUMN('Zhuravlev Distances'!$B$14:$K$14)&lt;&gt;COLUMN('Zhuravlev Distances'!K$14)))+SUMPRODUCT(('Zhuravlev Distances'!$B$14:$K$14='Zhuravlev Distances'!F$14)*(COLUMN('Zhuravlev Distances'!$B$14:$K$14)&lt;COLUMN('Zhuravlev Distances'!F$14))*(COLUMN('Zhuravlev Distances'!$B$14:$K$14)&lt;&gt;COLUMN('Zhuravlev Distances'!K$14)))</f>
        <v>8</v>
      </c>
      <c r="G14" s="28">
        <f>1+SUMPRODUCT(('Zhuravlev Distances'!$B$14:$K$14&lt;'Zhuravlev Distances'!G$14)*(COLUMN('Zhuravlev Distances'!$B$14:$K$14)&lt;&gt;COLUMN('Zhuravlev Distances'!K$14)))+SUMPRODUCT(('Zhuravlev Distances'!$B$14:$K$14='Zhuravlev Distances'!G$14)*(COLUMN('Zhuravlev Distances'!$B$14:$K$14)&lt;COLUMN('Zhuravlev Distances'!G$14))*(COLUMN('Zhuravlev Distances'!$B$14:$K$14)&lt;&gt;COLUMN('Zhuravlev Distances'!K$14)))</f>
        <v>6</v>
      </c>
      <c r="H14" s="28">
        <f>1+SUMPRODUCT(('Zhuravlev Distances'!$B$14:$K$14&lt;'Zhuravlev Distances'!H$14)*(COLUMN('Zhuravlev Distances'!$B$14:$K$14)&lt;&gt;COLUMN('Zhuravlev Distances'!K$14)))+SUMPRODUCT(('Zhuravlev Distances'!$B$14:$K$14='Zhuravlev Distances'!H$14)*(COLUMN('Zhuravlev Distances'!$B$14:$K$14)&lt;COLUMN('Zhuravlev Distances'!H$14))*(COLUMN('Zhuravlev Distances'!$B$14:$K$14)&lt;&gt;COLUMN('Zhuravlev Distances'!K$14)))</f>
        <v>9</v>
      </c>
      <c r="I14" s="28">
        <f>1+SUMPRODUCT(('Zhuravlev Distances'!$B$14:$K$14&lt;'Zhuravlev Distances'!I$14)*(COLUMN('Zhuravlev Distances'!$B$14:$K$14)&lt;&gt;COLUMN('Zhuravlev Distances'!K$14)))+SUMPRODUCT(('Zhuravlev Distances'!$B$14:$K$14='Zhuravlev Distances'!I$14)*(COLUMN('Zhuravlev Distances'!$B$14:$K$14)&lt;COLUMN('Zhuravlev Distances'!I$14))*(COLUMN('Zhuravlev Distances'!$B$14:$K$14)&lt;&gt;COLUMN('Zhuravlev Distances'!K$14)))</f>
        <v>4</v>
      </c>
      <c r="J14" s="28">
        <f>1+SUMPRODUCT(('Zhuravlev Distances'!$B$14:$K$14&lt;'Zhuravlev Distances'!J$14)*(COLUMN('Zhuravlev Distances'!$B$14:$K$14)&lt;&gt;COLUMN('Zhuravlev Distances'!K$14)))+SUMPRODUCT(('Zhuravlev Distances'!$B$14:$K$14='Zhuravlev Distances'!J$14)*(COLUMN('Zhuravlev Distances'!$B$14:$K$14)&lt;COLUMN('Zhuravlev Distances'!J$14))*(COLUMN('Zhuravlev Distances'!$B$14:$K$14)&lt;&gt;COLUMN('Zhuravlev Distances'!K$14)))</f>
        <v>1</v>
      </c>
      <c r="K14" s="29" t="s">
        <v>120</v>
      </c>
    </row>
    <row r="15" spans="1:11" ht="15.6" customHeight="1" x14ac:dyDescent="0.3"/>
    <row r="16" spans="1:11" ht="18" customHeight="1" x14ac:dyDescent="0.3">
      <c r="A16" s="67" t="s">
        <v>137</v>
      </c>
      <c r="B16" s="67"/>
      <c r="C16" s="67"/>
      <c r="D16" s="67"/>
      <c r="E16" s="67"/>
      <c r="F16" s="67"/>
      <c r="G16" s="67"/>
      <c r="H16" s="67"/>
      <c r="I16" s="67"/>
      <c r="J16" s="67"/>
    </row>
    <row r="17" spans="1:10" ht="15.6" customHeight="1" x14ac:dyDescent="0.3">
      <c r="A17" s="16" t="s">
        <v>138</v>
      </c>
      <c r="B17" s="16">
        <v>1</v>
      </c>
      <c r="C17" s="16">
        <v>2</v>
      </c>
      <c r="D17" s="16">
        <v>3</v>
      </c>
      <c r="E17" s="16">
        <v>4</v>
      </c>
      <c r="F17" s="16">
        <v>5</v>
      </c>
      <c r="G17" s="16">
        <v>6</v>
      </c>
      <c r="H17" s="16">
        <v>7</v>
      </c>
      <c r="I17" s="16">
        <v>8</v>
      </c>
      <c r="J17" s="16">
        <v>9</v>
      </c>
    </row>
    <row r="18" spans="1:10" ht="15.6" customHeight="1" x14ac:dyDescent="0.3">
      <c r="A18" s="19" t="s">
        <v>139</v>
      </c>
      <c r="B18" s="32" t="str">
        <f>IF(AND(B$17&gt;='Synthetic Features (k-NN)'!$G$9,B$17&lt;='Synthetic Features (k-NN)'!$G$10,MOD(B$17-'Synthetic Features (k-NN)'!$G$9,2)=0),"k = "&amp;B$17,"")</f>
        <v/>
      </c>
      <c r="C18" s="32" t="str">
        <f>IF(AND(C$17&gt;='Synthetic Features (k-NN)'!$G$9,C$17&lt;='Synthetic Features (k-NN)'!$G$10,MOD(C$17-'Synthetic Features (k-NN)'!$G$9,2)=0),"k = "&amp;C$17,"")</f>
        <v/>
      </c>
      <c r="D18" s="32" t="str">
        <f>IF(AND(D$17&gt;='Synthetic Features (k-NN)'!$G$9,D$17&lt;='Synthetic Features (k-NN)'!$G$10,MOD(D$17-'Synthetic Features (k-NN)'!$G$9,2)=0),"k = "&amp;D$17,"")</f>
        <v>k = 3</v>
      </c>
      <c r="E18" s="32" t="str">
        <f>IF(AND(E$17&gt;='Synthetic Features (k-NN)'!$G$9,E$17&lt;='Synthetic Features (k-NN)'!$G$10,MOD(E$17-'Synthetic Features (k-NN)'!$G$9,2)=0),"k = "&amp;E$17,"")</f>
        <v/>
      </c>
      <c r="F18" s="32" t="str">
        <f>IF(AND(F$17&gt;='Synthetic Features (k-NN)'!$G$9,F$17&lt;='Synthetic Features (k-NN)'!$G$10,MOD(F$17-'Synthetic Features (k-NN)'!$G$9,2)=0),"k = "&amp;F$17,"")</f>
        <v>k = 5</v>
      </c>
      <c r="G18" s="32" t="str">
        <f>IF(AND(G$17&gt;='Synthetic Features (k-NN)'!$G$9,G$17&lt;='Synthetic Features (k-NN)'!$G$10,MOD(G$17-'Synthetic Features (k-NN)'!$G$9,2)=0),"k = "&amp;G$17,"")</f>
        <v/>
      </c>
      <c r="H18" s="32" t="str">
        <f>IF(AND(H$17&gt;='Synthetic Features (k-NN)'!$G$9,H$17&lt;='Synthetic Features (k-NN)'!$G$10,MOD(H$17-'Synthetic Features (k-NN)'!$G$9,2)=0),"k = "&amp;H$17,"")</f>
        <v/>
      </c>
      <c r="I18" s="32" t="str">
        <f>IF(AND(I$17&gt;='Synthetic Features (k-NN)'!$G$9,I$17&lt;='Synthetic Features (k-NN)'!$G$10,MOD(I$17-'Synthetic Features (k-NN)'!$G$9,2)=0),"k = "&amp;I$17,"")</f>
        <v/>
      </c>
      <c r="J18" s="32" t="str">
        <f>IF(AND(J$17&gt;='Synthetic Features (k-NN)'!$G$9,J$17&lt;='Synthetic Features (k-NN)'!$G$10,MOD(J$17-'Synthetic Features (k-NN)'!$G$9,2)=0),"k = "&amp;J$17,"")</f>
        <v/>
      </c>
    </row>
    <row r="19" spans="1:10" ht="15.6" customHeight="1" x14ac:dyDescent="0.3">
      <c r="A19" s="19" t="s">
        <v>140</v>
      </c>
      <c r="B19" s="18" t="str">
        <f>INDEX('Zhuravlev Distances'!$B$4:$K$4,B20)</f>
        <v>S₉</v>
      </c>
      <c r="C19" s="18" t="str">
        <f>INDEX('Zhuravlev Distances'!$B$4:$K$4,C20)</f>
        <v>S₁₀</v>
      </c>
      <c r="D19" s="18" t="str">
        <f>INDEX('Zhuravlev Distances'!$B$4:$K$4,D20)</f>
        <v>S₈</v>
      </c>
      <c r="E19" s="18" t="str">
        <f>INDEX('Zhuravlev Distances'!$B$4:$K$4,E20)</f>
        <v>S₄</v>
      </c>
      <c r="F19" s="18" t="str">
        <f>INDEX('Zhuravlev Distances'!$B$4:$K$4,F20)</f>
        <v>S₆</v>
      </c>
      <c r="G19" s="18" t="str">
        <f>INDEX('Zhuravlev Distances'!$B$4:$K$4,G20)</f>
        <v>S₅</v>
      </c>
      <c r="H19" s="18" t="str">
        <f>INDEX('Zhuravlev Distances'!$B$4:$K$4,H20)</f>
        <v>S₂</v>
      </c>
      <c r="I19" s="18" t="str">
        <f>INDEX('Zhuravlev Distances'!$B$4:$K$4,I20)</f>
        <v>S₇</v>
      </c>
      <c r="J19" s="18" t="str">
        <f>INDEX('Zhuravlev Distances'!$B$4:$K$4,J20)</f>
        <v>S₃</v>
      </c>
    </row>
    <row r="20" spans="1:10" ht="15.6" customHeight="1" x14ac:dyDescent="0.3">
      <c r="A20" s="19" t="s">
        <v>141</v>
      </c>
      <c r="B20" s="30">
        <f t="shared" ref="B20:J20" si="0">MATCH(B$17,$B$5:$K$5,0)</f>
        <v>9</v>
      </c>
      <c r="C20" s="30">
        <f t="shared" si="0"/>
        <v>10</v>
      </c>
      <c r="D20" s="30">
        <f t="shared" si="0"/>
        <v>8</v>
      </c>
      <c r="E20" s="30">
        <f t="shared" si="0"/>
        <v>4</v>
      </c>
      <c r="F20" s="30">
        <f t="shared" si="0"/>
        <v>6</v>
      </c>
      <c r="G20" s="30">
        <f t="shared" si="0"/>
        <v>5</v>
      </c>
      <c r="H20" s="30">
        <f t="shared" si="0"/>
        <v>2</v>
      </c>
      <c r="I20" s="30">
        <f t="shared" si="0"/>
        <v>7</v>
      </c>
      <c r="J20" s="30">
        <f t="shared" si="0"/>
        <v>3</v>
      </c>
    </row>
    <row r="21" spans="1:10" ht="15.6" customHeight="1" x14ac:dyDescent="0.3">
      <c r="A21" s="19" t="s">
        <v>142</v>
      </c>
      <c r="B21" s="26">
        <f>INDEX('Zhuravlev Distances'!$B$5:$K$5,B20)</f>
        <v>3.4680753015999999</v>
      </c>
      <c r="C21" s="26">
        <f>INDEX('Zhuravlev Distances'!$B$5:$K$5,C20)</f>
        <v>4.2218874557000001</v>
      </c>
      <c r="D21" s="26">
        <f>INDEX('Zhuravlev Distances'!$B$5:$K$5,D20)</f>
        <v>4.8157298433999998</v>
      </c>
      <c r="E21" s="26">
        <f>INDEX('Zhuravlev Distances'!$B$5:$K$5,E20)</f>
        <v>4.8429406103000003</v>
      </c>
      <c r="F21" s="26">
        <f>INDEX('Zhuravlev Distances'!$B$5:$K$5,F20)</f>
        <v>5.9056936467999996</v>
      </c>
      <c r="G21" s="26">
        <f>INDEX('Zhuravlev Distances'!$B$5:$K$5,G20)</f>
        <v>6.0394025462999998</v>
      </c>
      <c r="H21" s="26">
        <f>INDEX('Zhuravlev Distances'!$B$5:$K$5,H20)</f>
        <v>6.1621313645000004</v>
      </c>
      <c r="I21" s="26">
        <f>INDEX('Zhuravlev Distances'!$B$5:$K$5,I20)</f>
        <v>6.5963635983</v>
      </c>
      <c r="J21" s="26">
        <f>INDEX('Zhuravlev Distances'!$B$5:$K$5,J20)</f>
        <v>7.0747842324999999</v>
      </c>
    </row>
    <row r="22" spans="1:10" ht="15.6" customHeight="1" x14ac:dyDescent="0.3">
      <c r="A22" s="19" t="s">
        <v>1</v>
      </c>
      <c r="B22" s="22">
        <f>INDEX(Dataset!$O$3:$O$12,B20)</f>
        <v>2</v>
      </c>
      <c r="C22" s="22">
        <f>INDEX(Dataset!$O$3:$O$12,C20)</f>
        <v>2</v>
      </c>
      <c r="D22" s="22">
        <f>INDEX(Dataset!$O$3:$O$12,D20)</f>
        <v>2</v>
      </c>
      <c r="E22" s="22">
        <f>INDEX(Dataset!$O$3:$O$12,E20)</f>
        <v>1</v>
      </c>
      <c r="F22" s="22">
        <f>INDEX(Dataset!$O$3:$O$12,F20)</f>
        <v>1</v>
      </c>
      <c r="G22" s="22">
        <f>INDEX(Dataset!$O$3:$O$12,G20)</f>
        <v>1</v>
      </c>
      <c r="H22" s="22">
        <f>INDEX(Dataset!$O$3:$O$12,H20)</f>
        <v>1</v>
      </c>
      <c r="I22" s="22">
        <f>INDEX(Dataset!$O$3:$O$12,I20)</f>
        <v>2</v>
      </c>
      <c r="J22" s="22">
        <f>INDEX(Dataset!$O$3:$O$12,J20)</f>
        <v>2</v>
      </c>
    </row>
    <row r="23" spans="1:10" ht="15.6" customHeight="1" x14ac:dyDescent="0.3">
      <c r="A23" s="19" t="s">
        <v>143</v>
      </c>
      <c r="B23" s="28">
        <f>IF(B22=Dataset!$O$3,1,0)</f>
        <v>1</v>
      </c>
      <c r="C23" s="28">
        <f>IF(C22=Dataset!$O$3,1,0)</f>
        <v>1</v>
      </c>
      <c r="D23" s="28">
        <f>IF(D22=Dataset!$O$3,1,0)</f>
        <v>1</v>
      </c>
      <c r="E23" s="28">
        <f>IF(E22=Dataset!$O$3,1,0)</f>
        <v>0</v>
      </c>
      <c r="F23" s="28">
        <f>IF(F22=Dataset!$O$3,1,0)</f>
        <v>0</v>
      </c>
      <c r="G23" s="28">
        <f>IF(G22=Dataset!$O$3,1,0)</f>
        <v>0</v>
      </c>
      <c r="H23" s="28">
        <f>IF(H22=Dataset!$O$3,1,0)</f>
        <v>0</v>
      </c>
      <c r="I23" s="28">
        <f>IF(I22=Dataset!$O$3,1,0)</f>
        <v>1</v>
      </c>
      <c r="J23" s="28">
        <f>IF(J22=Dataset!$O$3,1,0)</f>
        <v>1</v>
      </c>
    </row>
    <row r="24" spans="1:10" ht="15.6" customHeight="1" x14ac:dyDescent="0.3">
      <c r="A24" s="19" t="s">
        <v>144</v>
      </c>
      <c r="B24" s="28">
        <f>SUM($B23:B23)</f>
        <v>1</v>
      </c>
      <c r="C24" s="28">
        <f>SUM($B23:C23)</f>
        <v>2</v>
      </c>
      <c r="D24" s="28">
        <f>SUM($B23:D23)</f>
        <v>3</v>
      </c>
      <c r="E24" s="28">
        <f>SUM($B23:E23)</f>
        <v>3</v>
      </c>
      <c r="F24" s="28">
        <f>SUM($B23:F23)</f>
        <v>3</v>
      </c>
      <c r="G24" s="28">
        <f>SUM($B23:G23)</f>
        <v>3</v>
      </c>
      <c r="H24" s="28">
        <f>SUM($B23:H23)</f>
        <v>3</v>
      </c>
      <c r="I24" s="28">
        <f>SUM($B23:I23)</f>
        <v>4</v>
      </c>
      <c r="J24" s="28">
        <f>SUM($B23:J23)</f>
        <v>5</v>
      </c>
    </row>
    <row r="25" spans="1:10" ht="15.6" customHeight="1" x14ac:dyDescent="0.3"/>
    <row r="26" spans="1:10" ht="18" customHeight="1" x14ac:dyDescent="0.3">
      <c r="A26" s="67" t="s">
        <v>145</v>
      </c>
      <c r="B26" s="67"/>
      <c r="C26" s="67"/>
      <c r="D26" s="67"/>
      <c r="E26" s="67"/>
      <c r="F26" s="67"/>
      <c r="G26" s="67"/>
      <c r="H26" s="67"/>
      <c r="I26" s="67"/>
      <c r="J26" s="67"/>
    </row>
    <row r="27" spans="1:10" ht="15.6" customHeight="1" x14ac:dyDescent="0.3">
      <c r="A27" s="16" t="s">
        <v>138</v>
      </c>
      <c r="B27" s="16">
        <v>1</v>
      </c>
      <c r="C27" s="16">
        <v>2</v>
      </c>
      <c r="D27" s="16">
        <v>3</v>
      </c>
      <c r="E27" s="16">
        <v>4</v>
      </c>
      <c r="F27" s="16">
        <v>5</v>
      </c>
      <c r="G27" s="16">
        <v>6</v>
      </c>
      <c r="H27" s="16">
        <v>7</v>
      </c>
      <c r="I27" s="16">
        <v>8</v>
      </c>
      <c r="J27" s="16">
        <v>9</v>
      </c>
    </row>
    <row r="28" spans="1:10" ht="15.6" customHeight="1" x14ac:dyDescent="0.3">
      <c r="A28" s="19" t="s">
        <v>139</v>
      </c>
      <c r="B28" s="32" t="str">
        <f>IF(AND(B$27&gt;='Synthetic Features (k-NN)'!$G$9,B$27&lt;='Synthetic Features (k-NN)'!$G$10,MOD(B$27-'Synthetic Features (k-NN)'!$G$9,2)=0),"k = "&amp;B$27,"")</f>
        <v/>
      </c>
      <c r="C28" s="32" t="str">
        <f>IF(AND(C$27&gt;='Synthetic Features (k-NN)'!$G$9,C$27&lt;='Synthetic Features (k-NN)'!$G$10,MOD(C$27-'Synthetic Features (k-NN)'!$G$9,2)=0),"k = "&amp;C$27,"")</f>
        <v/>
      </c>
      <c r="D28" s="32" t="str">
        <f>IF(AND(D$27&gt;='Synthetic Features (k-NN)'!$G$9,D$27&lt;='Synthetic Features (k-NN)'!$G$10,MOD(D$27-'Synthetic Features (k-NN)'!$G$9,2)=0),"k = "&amp;D$27,"")</f>
        <v>k = 3</v>
      </c>
      <c r="E28" s="32" t="str">
        <f>IF(AND(E$27&gt;='Synthetic Features (k-NN)'!$G$9,E$27&lt;='Synthetic Features (k-NN)'!$G$10,MOD(E$27-'Synthetic Features (k-NN)'!$G$9,2)=0),"k = "&amp;E$27,"")</f>
        <v/>
      </c>
      <c r="F28" s="32" t="str">
        <f>IF(AND(F$27&gt;='Synthetic Features (k-NN)'!$G$9,F$27&lt;='Synthetic Features (k-NN)'!$G$10,MOD(F$27-'Synthetic Features (k-NN)'!$G$9,2)=0),"k = "&amp;F$27,"")</f>
        <v>k = 5</v>
      </c>
      <c r="G28" s="32" t="str">
        <f>IF(AND(G$27&gt;='Synthetic Features (k-NN)'!$G$9,G$27&lt;='Synthetic Features (k-NN)'!$G$10,MOD(G$27-'Synthetic Features (k-NN)'!$G$9,2)=0),"k = "&amp;G$27,"")</f>
        <v/>
      </c>
      <c r="H28" s="32" t="str">
        <f>IF(AND(H$27&gt;='Synthetic Features (k-NN)'!$G$9,H$27&lt;='Synthetic Features (k-NN)'!$G$10,MOD(H$27-'Synthetic Features (k-NN)'!$G$9,2)=0),"k = "&amp;H$27,"")</f>
        <v/>
      </c>
      <c r="I28" s="32" t="str">
        <f>IF(AND(I$27&gt;='Synthetic Features (k-NN)'!$G$9,I$27&lt;='Synthetic Features (k-NN)'!$G$10,MOD(I$27-'Synthetic Features (k-NN)'!$G$9,2)=0),"k = "&amp;I$27,"")</f>
        <v/>
      </c>
      <c r="J28" s="32" t="str">
        <f>IF(AND(J$27&gt;='Synthetic Features (k-NN)'!$G$9,J$27&lt;='Synthetic Features (k-NN)'!$G$10,MOD(J$27-'Synthetic Features (k-NN)'!$G$9,2)=0),"k = "&amp;J$27,"")</f>
        <v/>
      </c>
    </row>
    <row r="29" spans="1:10" ht="15.6" customHeight="1" x14ac:dyDescent="0.3">
      <c r="A29" s="19" t="s">
        <v>140</v>
      </c>
      <c r="B29" s="18" t="str">
        <f>INDEX('Zhuravlev Distances'!$B$4:$K$4,B30)</f>
        <v>S₁₀</v>
      </c>
      <c r="C29" s="18" t="str">
        <f>INDEX('Zhuravlev Distances'!$B$4:$K$4,C30)</f>
        <v>S₉</v>
      </c>
      <c r="D29" s="18" t="str">
        <f>INDEX('Zhuravlev Distances'!$B$4:$K$4,D30)</f>
        <v>S₈</v>
      </c>
      <c r="E29" s="18" t="str">
        <f>INDEX('Zhuravlev Distances'!$B$4:$K$4,E30)</f>
        <v>S₆</v>
      </c>
      <c r="F29" s="18" t="str">
        <f>INDEX('Zhuravlev Distances'!$B$4:$K$4,F30)</f>
        <v>S₁</v>
      </c>
      <c r="G29" s="18" t="str">
        <f>INDEX('Zhuravlev Distances'!$B$4:$K$4,G30)</f>
        <v>S₃</v>
      </c>
      <c r="H29" s="18" t="str">
        <f>INDEX('Zhuravlev Distances'!$B$4:$K$4,H30)</f>
        <v>S₅</v>
      </c>
      <c r="I29" s="18" t="str">
        <f>INDEX('Zhuravlev Distances'!$B$4:$K$4,I30)</f>
        <v>S₇</v>
      </c>
      <c r="J29" s="18" t="str">
        <f>INDEX('Zhuravlev Distances'!$B$4:$K$4,J30)</f>
        <v>S₄</v>
      </c>
    </row>
    <row r="30" spans="1:10" ht="15.6" customHeight="1" x14ac:dyDescent="0.3">
      <c r="A30" s="19" t="s">
        <v>141</v>
      </c>
      <c r="B30" s="30">
        <f t="shared" ref="B30:J30" si="1">MATCH(B$27,$B$6:$K$6,0)</f>
        <v>10</v>
      </c>
      <c r="C30" s="30">
        <f t="shared" si="1"/>
        <v>9</v>
      </c>
      <c r="D30" s="30">
        <f t="shared" si="1"/>
        <v>8</v>
      </c>
      <c r="E30" s="30">
        <f t="shared" si="1"/>
        <v>6</v>
      </c>
      <c r="F30" s="30">
        <f t="shared" si="1"/>
        <v>1</v>
      </c>
      <c r="G30" s="30">
        <f t="shared" si="1"/>
        <v>3</v>
      </c>
      <c r="H30" s="30">
        <f t="shared" si="1"/>
        <v>5</v>
      </c>
      <c r="I30" s="30">
        <f t="shared" si="1"/>
        <v>7</v>
      </c>
      <c r="J30" s="30">
        <f t="shared" si="1"/>
        <v>4</v>
      </c>
    </row>
    <row r="31" spans="1:10" ht="15.6" customHeight="1" x14ac:dyDescent="0.3">
      <c r="A31" s="19" t="s">
        <v>146</v>
      </c>
      <c r="B31" s="26">
        <f>INDEX('Zhuravlev Distances'!$B$6:$K$6,B30)</f>
        <v>4.2267936164000002</v>
      </c>
      <c r="C31" s="26">
        <f>INDEX('Zhuravlev Distances'!$B$6:$K$6,C30)</f>
        <v>4.6399232652000002</v>
      </c>
      <c r="D31" s="26">
        <f>INDEX('Zhuravlev Distances'!$B$6:$K$6,D30)</f>
        <v>5.1247572942000001</v>
      </c>
      <c r="E31" s="26">
        <f>INDEX('Zhuravlev Distances'!$B$6:$K$6,E30)</f>
        <v>5.8595928925000003</v>
      </c>
      <c r="F31" s="26">
        <f>INDEX('Zhuravlev Distances'!$B$6:$K$6,F30)</f>
        <v>6.1621313645000004</v>
      </c>
      <c r="G31" s="26">
        <f>INDEX('Zhuravlev Distances'!$B$6:$K$6,G30)</f>
        <v>6.1979142475</v>
      </c>
      <c r="H31" s="26">
        <f>INDEX('Zhuravlev Distances'!$B$6:$K$6,H30)</f>
        <v>6.5779171766999998</v>
      </c>
      <c r="I31" s="26">
        <f>INDEX('Zhuravlev Distances'!$B$6:$K$6,I30)</f>
        <v>6.6553910492000004</v>
      </c>
      <c r="J31" s="26">
        <f>INDEX('Zhuravlev Distances'!$B$6:$K$6,J30)</f>
        <v>6.8173526765999997</v>
      </c>
    </row>
    <row r="32" spans="1:10" ht="15.6" customHeight="1" x14ac:dyDescent="0.3">
      <c r="A32" s="19" t="s">
        <v>1</v>
      </c>
      <c r="B32" s="22">
        <f>INDEX(Dataset!$O$3:$O$12,B30)</f>
        <v>2</v>
      </c>
      <c r="C32" s="22">
        <f>INDEX(Dataset!$O$3:$O$12,C30)</f>
        <v>2</v>
      </c>
      <c r="D32" s="22">
        <f>INDEX(Dataset!$O$3:$O$12,D30)</f>
        <v>2</v>
      </c>
      <c r="E32" s="22">
        <f>INDEX(Dataset!$O$3:$O$12,E30)</f>
        <v>1</v>
      </c>
      <c r="F32" s="22">
        <f>INDEX(Dataset!$O$3:$O$12,F30)</f>
        <v>2</v>
      </c>
      <c r="G32" s="22">
        <f>INDEX(Dataset!$O$3:$O$12,G30)</f>
        <v>2</v>
      </c>
      <c r="H32" s="22">
        <f>INDEX(Dataset!$O$3:$O$12,H30)</f>
        <v>1</v>
      </c>
      <c r="I32" s="22">
        <f>INDEX(Dataset!$O$3:$O$12,I30)</f>
        <v>2</v>
      </c>
      <c r="J32" s="22">
        <f>INDEX(Dataset!$O$3:$O$12,J30)</f>
        <v>1</v>
      </c>
    </row>
    <row r="33" spans="1:10" ht="15.6" customHeight="1" x14ac:dyDescent="0.3">
      <c r="A33" s="19" t="s">
        <v>147</v>
      </c>
      <c r="B33" s="28">
        <f>IF(B32=Dataset!$O$4,1,0)</f>
        <v>0</v>
      </c>
      <c r="C33" s="28">
        <f>IF(C32=Dataset!$O$4,1,0)</f>
        <v>0</v>
      </c>
      <c r="D33" s="28">
        <f>IF(D32=Dataset!$O$4,1,0)</f>
        <v>0</v>
      </c>
      <c r="E33" s="28">
        <f>IF(E32=Dataset!$O$4,1,0)</f>
        <v>1</v>
      </c>
      <c r="F33" s="28">
        <f>IF(F32=Dataset!$O$4,1,0)</f>
        <v>0</v>
      </c>
      <c r="G33" s="28">
        <f>IF(G32=Dataset!$O$4,1,0)</f>
        <v>0</v>
      </c>
      <c r="H33" s="28">
        <f>IF(H32=Dataset!$O$4,1,0)</f>
        <v>1</v>
      </c>
      <c r="I33" s="28">
        <f>IF(I32=Dataset!$O$4,1,0)</f>
        <v>0</v>
      </c>
      <c r="J33" s="28">
        <f>IF(J32=Dataset!$O$4,1,0)</f>
        <v>1</v>
      </c>
    </row>
    <row r="34" spans="1:10" ht="15.6" customHeight="1" x14ac:dyDescent="0.3">
      <c r="A34" s="19" t="s">
        <v>144</v>
      </c>
      <c r="B34" s="28">
        <f>SUM($B33:B33)</f>
        <v>0</v>
      </c>
      <c r="C34" s="28">
        <f>SUM($B33:C33)</f>
        <v>0</v>
      </c>
      <c r="D34" s="28">
        <f>SUM($B33:D33)</f>
        <v>0</v>
      </c>
      <c r="E34" s="28">
        <f>SUM($B33:E33)</f>
        <v>1</v>
      </c>
      <c r="F34" s="28">
        <f>SUM($B33:F33)</f>
        <v>1</v>
      </c>
      <c r="G34" s="28">
        <f>SUM($B33:G33)</f>
        <v>1</v>
      </c>
      <c r="H34" s="28">
        <f>SUM($B33:H33)</f>
        <v>2</v>
      </c>
      <c r="I34" s="28">
        <f>SUM($B33:I33)</f>
        <v>2</v>
      </c>
      <c r="J34" s="28">
        <f>SUM($B33:J33)</f>
        <v>3</v>
      </c>
    </row>
    <row r="35" spans="1:10" ht="15.6" customHeight="1" x14ac:dyDescent="0.3"/>
    <row r="36" spans="1:10" ht="18" customHeight="1" x14ac:dyDescent="0.3">
      <c r="A36" s="67" t="s">
        <v>148</v>
      </c>
      <c r="B36" s="67"/>
      <c r="C36" s="67"/>
      <c r="D36" s="67"/>
      <c r="E36" s="67"/>
      <c r="F36" s="67"/>
      <c r="G36" s="67"/>
      <c r="H36" s="67"/>
      <c r="I36" s="67"/>
      <c r="J36" s="67"/>
    </row>
    <row r="37" spans="1:10" ht="15.6" customHeight="1" x14ac:dyDescent="0.3">
      <c r="A37" s="16" t="s">
        <v>138</v>
      </c>
      <c r="B37" s="16">
        <v>1</v>
      </c>
      <c r="C37" s="16">
        <v>2</v>
      </c>
      <c r="D37" s="16">
        <v>3</v>
      </c>
      <c r="E37" s="16">
        <v>4</v>
      </c>
      <c r="F37" s="16">
        <v>5</v>
      </c>
      <c r="G37" s="16">
        <v>6</v>
      </c>
      <c r="H37" s="16">
        <v>7</v>
      </c>
      <c r="I37" s="16">
        <v>8</v>
      </c>
      <c r="J37" s="16">
        <v>9</v>
      </c>
    </row>
    <row r="38" spans="1:10" ht="15.6" customHeight="1" x14ac:dyDescent="0.3">
      <c r="A38" s="19" t="s">
        <v>139</v>
      </c>
      <c r="B38" s="32" t="str">
        <f>IF(AND(B$37&gt;='Synthetic Features (k-NN)'!$G$9,B$37&lt;='Synthetic Features (k-NN)'!$G$10,MOD(B$37-'Synthetic Features (k-NN)'!$G$9,2)=0),"k = "&amp;B$37,"")</f>
        <v/>
      </c>
      <c r="C38" s="32" t="str">
        <f>IF(AND(C$37&gt;='Synthetic Features (k-NN)'!$G$9,C$37&lt;='Synthetic Features (k-NN)'!$G$10,MOD(C$37-'Synthetic Features (k-NN)'!$G$9,2)=0),"k = "&amp;C$37,"")</f>
        <v/>
      </c>
      <c r="D38" s="32" t="str">
        <f>IF(AND(D$37&gt;='Synthetic Features (k-NN)'!$G$9,D$37&lt;='Synthetic Features (k-NN)'!$G$10,MOD(D$37-'Synthetic Features (k-NN)'!$G$9,2)=0),"k = "&amp;D$37,"")</f>
        <v>k = 3</v>
      </c>
      <c r="E38" s="32" t="str">
        <f>IF(AND(E$37&gt;='Synthetic Features (k-NN)'!$G$9,E$37&lt;='Synthetic Features (k-NN)'!$G$10,MOD(E$37-'Synthetic Features (k-NN)'!$G$9,2)=0),"k = "&amp;E$37,"")</f>
        <v/>
      </c>
      <c r="F38" s="32" t="str">
        <f>IF(AND(F$37&gt;='Synthetic Features (k-NN)'!$G$9,F$37&lt;='Synthetic Features (k-NN)'!$G$10,MOD(F$37-'Synthetic Features (k-NN)'!$G$9,2)=0),"k = "&amp;F$37,"")</f>
        <v>k = 5</v>
      </c>
      <c r="G38" s="32" t="str">
        <f>IF(AND(G$37&gt;='Synthetic Features (k-NN)'!$G$9,G$37&lt;='Synthetic Features (k-NN)'!$G$10,MOD(G$37-'Synthetic Features (k-NN)'!$G$9,2)=0),"k = "&amp;G$37,"")</f>
        <v/>
      </c>
      <c r="H38" s="32" t="str">
        <f>IF(AND(H$37&gt;='Synthetic Features (k-NN)'!$G$9,H$37&lt;='Synthetic Features (k-NN)'!$G$10,MOD(H$37-'Synthetic Features (k-NN)'!$G$9,2)=0),"k = "&amp;H$37,"")</f>
        <v/>
      </c>
      <c r="I38" s="32" t="str">
        <f>IF(AND(I$37&gt;='Synthetic Features (k-NN)'!$G$9,I$37&lt;='Synthetic Features (k-NN)'!$G$10,MOD(I$37-'Synthetic Features (k-NN)'!$G$9,2)=0),"k = "&amp;I$37,"")</f>
        <v/>
      </c>
      <c r="J38" s="32" t="str">
        <f>IF(AND(J$37&gt;='Synthetic Features (k-NN)'!$G$9,J$37&lt;='Synthetic Features (k-NN)'!$G$10,MOD(J$37-'Synthetic Features (k-NN)'!$G$9,2)=0),"k = "&amp;J$37,"")</f>
        <v/>
      </c>
    </row>
    <row r="39" spans="1:10" ht="15.6" customHeight="1" x14ac:dyDescent="0.3">
      <c r="A39" s="19" t="s">
        <v>140</v>
      </c>
      <c r="B39" s="18" t="str">
        <f>INDEX('Zhuravlev Distances'!$B$4:$K$4,B40)</f>
        <v>S₆</v>
      </c>
      <c r="C39" s="18" t="str">
        <f>INDEX('Zhuravlev Distances'!$B$4:$K$4,C40)</f>
        <v>S₄</v>
      </c>
      <c r="D39" s="18" t="str">
        <f>INDEX('Zhuravlev Distances'!$B$4:$K$4,D40)</f>
        <v>S₉</v>
      </c>
      <c r="E39" s="18" t="str">
        <f>INDEX('Zhuravlev Distances'!$B$4:$K$4,E40)</f>
        <v>S₈</v>
      </c>
      <c r="F39" s="18" t="str">
        <f>INDEX('Zhuravlev Distances'!$B$4:$K$4,F40)</f>
        <v>S₅</v>
      </c>
      <c r="G39" s="18" t="str">
        <f>INDEX('Zhuravlev Distances'!$B$4:$K$4,G40)</f>
        <v>S₂</v>
      </c>
      <c r="H39" s="18" t="str">
        <f>INDEX('Zhuravlev Distances'!$B$4:$K$4,H40)</f>
        <v>S₇</v>
      </c>
      <c r="I39" s="18" t="str">
        <f>INDEX('Zhuravlev Distances'!$B$4:$K$4,I40)</f>
        <v>S₁</v>
      </c>
      <c r="J39" s="18" t="str">
        <f>INDEX('Zhuravlev Distances'!$B$4:$K$4,J40)</f>
        <v>S₁₀</v>
      </c>
    </row>
    <row r="40" spans="1:10" ht="15.6" customHeight="1" x14ac:dyDescent="0.3">
      <c r="A40" s="19" t="s">
        <v>141</v>
      </c>
      <c r="B40" s="30">
        <f t="shared" ref="B40:J40" si="2">MATCH(B$37,$B$7:$K$7,0)</f>
        <v>6</v>
      </c>
      <c r="C40" s="30">
        <f t="shared" si="2"/>
        <v>4</v>
      </c>
      <c r="D40" s="30">
        <f t="shared" si="2"/>
        <v>9</v>
      </c>
      <c r="E40" s="30">
        <f t="shared" si="2"/>
        <v>8</v>
      </c>
      <c r="F40" s="30">
        <f t="shared" si="2"/>
        <v>5</v>
      </c>
      <c r="G40" s="30">
        <f t="shared" si="2"/>
        <v>2</v>
      </c>
      <c r="H40" s="30">
        <f t="shared" si="2"/>
        <v>7</v>
      </c>
      <c r="I40" s="30">
        <f t="shared" si="2"/>
        <v>1</v>
      </c>
      <c r="J40" s="30">
        <f t="shared" si="2"/>
        <v>10</v>
      </c>
    </row>
    <row r="41" spans="1:10" ht="15.6" customHeight="1" x14ac:dyDescent="0.3">
      <c r="A41" s="19" t="s">
        <v>149</v>
      </c>
      <c r="B41" s="26">
        <f>INDEX('Zhuravlev Distances'!$B$7:$K$7,B40)</f>
        <v>1.8031991129</v>
      </c>
      <c r="C41" s="26">
        <f>INDEX('Zhuravlev Distances'!$B$7:$K$7,C40)</f>
        <v>4.4075521242000004</v>
      </c>
      <c r="D41" s="26">
        <f>INDEX('Zhuravlev Distances'!$B$7:$K$7,D40)</f>
        <v>4.9990166233000002</v>
      </c>
      <c r="E41" s="26">
        <f>INDEX('Zhuravlev Distances'!$B$7:$K$7,E40)</f>
        <v>5.1035187103000004</v>
      </c>
      <c r="F41" s="26">
        <f>INDEX('Zhuravlev Distances'!$B$7:$K$7,F40)</f>
        <v>5.7324577096000002</v>
      </c>
      <c r="G41" s="26">
        <f>INDEX('Zhuravlev Distances'!$B$7:$K$7,G40)</f>
        <v>6.1979142475</v>
      </c>
      <c r="H41" s="26">
        <f>INDEX('Zhuravlev Distances'!$B$7:$K$7,H40)</f>
        <v>6.6461407692999996</v>
      </c>
      <c r="I41" s="26">
        <f>INDEX('Zhuravlev Distances'!$B$7:$K$7,I40)</f>
        <v>7.0747842324999999</v>
      </c>
      <c r="J41" s="26">
        <f>INDEX('Zhuravlev Distances'!$B$7:$K$7,J40)</f>
        <v>7.5342785257999996</v>
      </c>
    </row>
    <row r="42" spans="1:10" ht="15.6" customHeight="1" x14ac:dyDescent="0.3">
      <c r="A42" s="19" t="s">
        <v>1</v>
      </c>
      <c r="B42" s="22">
        <f>INDEX(Dataset!$O$3:$O$12,B40)</f>
        <v>1</v>
      </c>
      <c r="C42" s="22">
        <f>INDEX(Dataset!$O$3:$O$12,C40)</f>
        <v>1</v>
      </c>
      <c r="D42" s="22">
        <f>INDEX(Dataset!$O$3:$O$12,D40)</f>
        <v>2</v>
      </c>
      <c r="E42" s="22">
        <f>INDEX(Dataset!$O$3:$O$12,E40)</f>
        <v>2</v>
      </c>
      <c r="F42" s="22">
        <f>INDEX(Dataset!$O$3:$O$12,F40)</f>
        <v>1</v>
      </c>
      <c r="G42" s="22">
        <f>INDEX(Dataset!$O$3:$O$12,G40)</f>
        <v>1</v>
      </c>
      <c r="H42" s="22">
        <f>INDEX(Dataset!$O$3:$O$12,H40)</f>
        <v>2</v>
      </c>
      <c r="I42" s="22">
        <f>INDEX(Dataset!$O$3:$O$12,I40)</f>
        <v>2</v>
      </c>
      <c r="J42" s="22">
        <f>INDEX(Dataset!$O$3:$O$12,J40)</f>
        <v>2</v>
      </c>
    </row>
    <row r="43" spans="1:10" ht="15.6" customHeight="1" x14ac:dyDescent="0.3">
      <c r="A43" s="19" t="s">
        <v>150</v>
      </c>
      <c r="B43" s="28">
        <f>IF(B42=Dataset!$O$5,1,0)</f>
        <v>0</v>
      </c>
      <c r="C43" s="28">
        <f>IF(C42=Dataset!$O$5,1,0)</f>
        <v>0</v>
      </c>
      <c r="D43" s="28">
        <f>IF(D42=Dataset!$O$5,1,0)</f>
        <v>1</v>
      </c>
      <c r="E43" s="28">
        <f>IF(E42=Dataset!$O$5,1,0)</f>
        <v>1</v>
      </c>
      <c r="F43" s="28">
        <f>IF(F42=Dataset!$O$5,1,0)</f>
        <v>0</v>
      </c>
      <c r="G43" s="28">
        <f>IF(G42=Dataset!$O$5,1,0)</f>
        <v>0</v>
      </c>
      <c r="H43" s="28">
        <f>IF(H42=Dataset!$O$5,1,0)</f>
        <v>1</v>
      </c>
      <c r="I43" s="28">
        <f>IF(I42=Dataset!$O$5,1,0)</f>
        <v>1</v>
      </c>
      <c r="J43" s="28">
        <f>IF(J42=Dataset!$O$5,1,0)</f>
        <v>1</v>
      </c>
    </row>
    <row r="44" spans="1:10" ht="15.6" customHeight="1" x14ac:dyDescent="0.3">
      <c r="A44" s="19" t="s">
        <v>144</v>
      </c>
      <c r="B44" s="28">
        <f>SUM($B43:B43)</f>
        <v>0</v>
      </c>
      <c r="C44" s="28">
        <f>SUM($B43:C43)</f>
        <v>0</v>
      </c>
      <c r="D44" s="28">
        <f>SUM($B43:D43)</f>
        <v>1</v>
      </c>
      <c r="E44" s="28">
        <f>SUM($B43:E43)</f>
        <v>2</v>
      </c>
      <c r="F44" s="28">
        <f>SUM($B43:F43)</f>
        <v>2</v>
      </c>
      <c r="G44" s="28">
        <f>SUM($B43:G43)</f>
        <v>2</v>
      </c>
      <c r="H44" s="28">
        <f>SUM($B43:H43)</f>
        <v>3</v>
      </c>
      <c r="I44" s="28">
        <f>SUM($B43:I43)</f>
        <v>4</v>
      </c>
      <c r="J44" s="28">
        <f>SUM($B43:J43)</f>
        <v>5</v>
      </c>
    </row>
    <row r="45" spans="1:10" ht="15.6" customHeight="1" x14ac:dyDescent="0.3"/>
    <row r="46" spans="1:10" ht="18" customHeight="1" x14ac:dyDescent="0.3">
      <c r="A46" s="67" t="s">
        <v>151</v>
      </c>
      <c r="B46" s="67"/>
      <c r="C46" s="67"/>
      <c r="D46" s="67"/>
      <c r="E46" s="67"/>
      <c r="F46" s="67"/>
      <c r="G46" s="67"/>
      <c r="H46" s="67"/>
      <c r="I46" s="67"/>
      <c r="J46" s="67"/>
    </row>
    <row r="47" spans="1:10" ht="15.6" customHeight="1" x14ac:dyDescent="0.3">
      <c r="A47" s="16" t="s">
        <v>138</v>
      </c>
      <c r="B47" s="16">
        <v>1</v>
      </c>
      <c r="C47" s="16">
        <v>2</v>
      </c>
      <c r="D47" s="16">
        <v>3</v>
      </c>
      <c r="E47" s="16">
        <v>4</v>
      </c>
      <c r="F47" s="16">
        <v>5</v>
      </c>
      <c r="G47" s="16">
        <v>6</v>
      </c>
      <c r="H47" s="16">
        <v>7</v>
      </c>
      <c r="I47" s="16">
        <v>8</v>
      </c>
      <c r="J47" s="16">
        <v>9</v>
      </c>
    </row>
    <row r="48" spans="1:10" ht="15.6" customHeight="1" x14ac:dyDescent="0.3">
      <c r="A48" s="19" t="s">
        <v>139</v>
      </c>
      <c r="B48" s="32" t="str">
        <f>IF(AND(B$47&gt;='Synthetic Features (k-NN)'!$G$9,B$47&lt;='Synthetic Features (k-NN)'!$G$10,MOD(B$47-'Synthetic Features (k-NN)'!$G$9,2)=0),"k = "&amp;B$47,"")</f>
        <v/>
      </c>
      <c r="C48" s="32" t="str">
        <f>IF(AND(C$47&gt;='Synthetic Features (k-NN)'!$G$9,C$47&lt;='Synthetic Features (k-NN)'!$G$10,MOD(C$47-'Synthetic Features (k-NN)'!$G$9,2)=0),"k = "&amp;C$47,"")</f>
        <v/>
      </c>
      <c r="D48" s="32" t="str">
        <f>IF(AND(D$47&gt;='Synthetic Features (k-NN)'!$G$9,D$47&lt;='Synthetic Features (k-NN)'!$G$10,MOD(D$47-'Synthetic Features (k-NN)'!$G$9,2)=0),"k = "&amp;D$47,"")</f>
        <v>k = 3</v>
      </c>
      <c r="E48" s="32" t="str">
        <f>IF(AND(E$47&gt;='Synthetic Features (k-NN)'!$G$9,E$47&lt;='Synthetic Features (k-NN)'!$G$10,MOD(E$47-'Synthetic Features (k-NN)'!$G$9,2)=0),"k = "&amp;E$47,"")</f>
        <v/>
      </c>
      <c r="F48" s="32" t="str">
        <f>IF(AND(F$47&gt;='Synthetic Features (k-NN)'!$G$9,F$47&lt;='Synthetic Features (k-NN)'!$G$10,MOD(F$47-'Synthetic Features (k-NN)'!$G$9,2)=0),"k = "&amp;F$47,"")</f>
        <v>k = 5</v>
      </c>
      <c r="G48" s="32" t="str">
        <f>IF(AND(G$47&gt;='Synthetic Features (k-NN)'!$G$9,G$47&lt;='Synthetic Features (k-NN)'!$G$10,MOD(G$47-'Synthetic Features (k-NN)'!$G$9,2)=0),"k = "&amp;G$47,"")</f>
        <v/>
      </c>
      <c r="H48" s="32" t="str">
        <f>IF(AND(H$47&gt;='Synthetic Features (k-NN)'!$G$9,H$47&lt;='Synthetic Features (k-NN)'!$G$10,MOD(H$47-'Synthetic Features (k-NN)'!$G$9,2)=0),"k = "&amp;H$47,"")</f>
        <v/>
      </c>
      <c r="I48" s="32" t="str">
        <f>IF(AND(I$47&gt;='Synthetic Features (k-NN)'!$G$9,I$47&lt;='Synthetic Features (k-NN)'!$G$10,MOD(I$47-'Synthetic Features (k-NN)'!$G$9,2)=0),"k = "&amp;I$47,"")</f>
        <v/>
      </c>
      <c r="J48" s="32" t="str">
        <f>IF(AND(J$47&gt;='Synthetic Features (k-NN)'!$G$9,J$47&lt;='Synthetic Features (k-NN)'!$G$10,MOD(J$47-'Synthetic Features (k-NN)'!$G$9,2)=0),"k = "&amp;J$47,"")</f>
        <v/>
      </c>
    </row>
    <row r="49" spans="1:10" ht="15.6" customHeight="1" x14ac:dyDescent="0.3">
      <c r="A49" s="19" t="s">
        <v>140</v>
      </c>
      <c r="B49" s="18" t="str">
        <f>INDEX('Zhuravlev Distances'!$B$4:$K$4,B50)</f>
        <v>S₈</v>
      </c>
      <c r="C49" s="18" t="str">
        <f>INDEX('Zhuravlev Distances'!$B$4:$K$4,C50)</f>
        <v>S₆</v>
      </c>
      <c r="D49" s="18" t="str">
        <f>INDEX('Zhuravlev Distances'!$B$4:$K$4,D50)</f>
        <v>S₉</v>
      </c>
      <c r="E49" s="18" t="str">
        <f>INDEX('Zhuravlev Distances'!$B$4:$K$4,E50)</f>
        <v>S₃</v>
      </c>
      <c r="F49" s="18" t="str">
        <f>INDEX('Zhuravlev Distances'!$B$4:$K$4,F50)</f>
        <v>S₁</v>
      </c>
      <c r="G49" s="18" t="str">
        <f>INDEX('Zhuravlev Distances'!$B$4:$K$4,G50)</f>
        <v>S₇</v>
      </c>
      <c r="H49" s="18" t="str">
        <f>INDEX('Zhuravlev Distances'!$B$4:$K$4,H50)</f>
        <v>S₅</v>
      </c>
      <c r="I49" s="18" t="str">
        <f>INDEX('Zhuravlev Distances'!$B$4:$K$4,I50)</f>
        <v>S₁₀</v>
      </c>
      <c r="J49" s="18" t="str">
        <f>INDEX('Zhuravlev Distances'!$B$4:$K$4,J50)</f>
        <v>S₂</v>
      </c>
    </row>
    <row r="50" spans="1:10" ht="15.6" customHeight="1" x14ac:dyDescent="0.3">
      <c r="A50" s="19" t="s">
        <v>141</v>
      </c>
      <c r="B50" s="30">
        <f t="shared" ref="B50:J50" si="3">MATCH(B$47,$B$8:$K$8,0)</f>
        <v>8</v>
      </c>
      <c r="C50" s="30">
        <f t="shared" si="3"/>
        <v>6</v>
      </c>
      <c r="D50" s="30">
        <f t="shared" si="3"/>
        <v>9</v>
      </c>
      <c r="E50" s="30">
        <f t="shared" si="3"/>
        <v>3</v>
      </c>
      <c r="F50" s="30">
        <f t="shared" si="3"/>
        <v>1</v>
      </c>
      <c r="G50" s="30">
        <f t="shared" si="3"/>
        <v>7</v>
      </c>
      <c r="H50" s="30">
        <f t="shared" si="3"/>
        <v>5</v>
      </c>
      <c r="I50" s="30">
        <f t="shared" si="3"/>
        <v>10</v>
      </c>
      <c r="J50" s="30">
        <f t="shared" si="3"/>
        <v>2</v>
      </c>
    </row>
    <row r="51" spans="1:10" ht="15.6" customHeight="1" x14ac:dyDescent="0.3">
      <c r="A51" s="19" t="s">
        <v>152</v>
      </c>
      <c r="B51" s="26">
        <f>INDEX('Zhuravlev Distances'!$B$8:$K$8,B50)</f>
        <v>2.6221819456</v>
      </c>
      <c r="C51" s="26">
        <f>INDEX('Zhuravlev Distances'!$B$8:$K$8,C50)</f>
        <v>3.4022042285</v>
      </c>
      <c r="D51" s="26">
        <f>INDEX('Zhuravlev Distances'!$B$8:$K$8,D50)</f>
        <v>4.1962328300999996</v>
      </c>
      <c r="E51" s="26">
        <f>INDEX('Zhuravlev Distances'!$B$8:$K$8,E50)</f>
        <v>4.4075521242000004</v>
      </c>
      <c r="F51" s="26">
        <f>INDEX('Zhuravlev Distances'!$B$8:$K$8,F50)</f>
        <v>4.8429406103000003</v>
      </c>
      <c r="G51" s="26">
        <f>INDEX('Zhuravlev Distances'!$B$8:$K$8,G50)</f>
        <v>5.1870262268999996</v>
      </c>
      <c r="H51" s="26">
        <f>INDEX('Zhuravlev Distances'!$B$8:$K$8,H50)</f>
        <v>6.0172132776999998</v>
      </c>
      <c r="I51" s="26">
        <f>INDEX('Zhuravlev Distances'!$B$8:$K$8,I50)</f>
        <v>6.3981613993000002</v>
      </c>
      <c r="J51" s="26">
        <f>INDEX('Zhuravlev Distances'!$B$8:$K$8,J50)</f>
        <v>6.8173526765999997</v>
      </c>
    </row>
    <row r="52" spans="1:10" ht="15.6" customHeight="1" x14ac:dyDescent="0.3">
      <c r="A52" s="19" t="s">
        <v>1</v>
      </c>
      <c r="B52" s="22">
        <f>INDEX(Dataset!$O$3:$O$12,B50)</f>
        <v>2</v>
      </c>
      <c r="C52" s="22">
        <f>INDEX(Dataset!$O$3:$O$12,C50)</f>
        <v>1</v>
      </c>
      <c r="D52" s="22">
        <f>INDEX(Dataset!$O$3:$O$12,D50)</f>
        <v>2</v>
      </c>
      <c r="E52" s="22">
        <f>INDEX(Dataset!$O$3:$O$12,E50)</f>
        <v>2</v>
      </c>
      <c r="F52" s="22">
        <f>INDEX(Dataset!$O$3:$O$12,F50)</f>
        <v>2</v>
      </c>
      <c r="G52" s="22">
        <f>INDEX(Dataset!$O$3:$O$12,G50)</f>
        <v>2</v>
      </c>
      <c r="H52" s="22">
        <f>INDEX(Dataset!$O$3:$O$12,H50)</f>
        <v>1</v>
      </c>
      <c r="I52" s="22">
        <f>INDEX(Dataset!$O$3:$O$12,I50)</f>
        <v>2</v>
      </c>
      <c r="J52" s="22">
        <f>INDEX(Dataset!$O$3:$O$12,J50)</f>
        <v>1</v>
      </c>
    </row>
    <row r="53" spans="1:10" ht="15.6" customHeight="1" x14ac:dyDescent="0.3">
      <c r="A53" s="19" t="s">
        <v>153</v>
      </c>
      <c r="B53" s="28">
        <f>IF(B52=Dataset!$O$6,1,0)</f>
        <v>0</v>
      </c>
      <c r="C53" s="28">
        <f>IF(C52=Dataset!$O$6,1,0)</f>
        <v>1</v>
      </c>
      <c r="D53" s="28">
        <f>IF(D52=Dataset!$O$6,1,0)</f>
        <v>0</v>
      </c>
      <c r="E53" s="28">
        <f>IF(E52=Dataset!$O$6,1,0)</f>
        <v>0</v>
      </c>
      <c r="F53" s="28">
        <f>IF(F52=Dataset!$O$6,1,0)</f>
        <v>0</v>
      </c>
      <c r="G53" s="28">
        <f>IF(G52=Dataset!$O$6,1,0)</f>
        <v>0</v>
      </c>
      <c r="H53" s="28">
        <f>IF(H52=Dataset!$O$6,1,0)</f>
        <v>1</v>
      </c>
      <c r="I53" s="28">
        <f>IF(I52=Dataset!$O$6,1,0)</f>
        <v>0</v>
      </c>
      <c r="J53" s="28">
        <f>IF(J52=Dataset!$O$6,1,0)</f>
        <v>1</v>
      </c>
    </row>
    <row r="54" spans="1:10" ht="15.6" customHeight="1" x14ac:dyDescent="0.3">
      <c r="A54" s="19" t="s">
        <v>144</v>
      </c>
      <c r="B54" s="28">
        <f>SUM($B53:B53)</f>
        <v>0</v>
      </c>
      <c r="C54" s="28">
        <f>SUM($B53:C53)</f>
        <v>1</v>
      </c>
      <c r="D54" s="28">
        <f>SUM($B53:D53)</f>
        <v>1</v>
      </c>
      <c r="E54" s="28">
        <f>SUM($B53:E53)</f>
        <v>1</v>
      </c>
      <c r="F54" s="28">
        <f>SUM($B53:F53)</f>
        <v>1</v>
      </c>
      <c r="G54" s="28">
        <f>SUM($B53:G53)</f>
        <v>1</v>
      </c>
      <c r="H54" s="28">
        <f>SUM($B53:H53)</f>
        <v>2</v>
      </c>
      <c r="I54" s="28">
        <f>SUM($B53:I53)</f>
        <v>2</v>
      </c>
      <c r="J54" s="28">
        <f>SUM($B53:J53)</f>
        <v>3</v>
      </c>
    </row>
    <row r="55" spans="1:10" ht="15.6" customHeight="1" x14ac:dyDescent="0.3"/>
    <row r="56" spans="1:10" ht="18" customHeight="1" x14ac:dyDescent="0.3">
      <c r="A56" s="67" t="s">
        <v>154</v>
      </c>
      <c r="B56" s="67"/>
      <c r="C56" s="67"/>
      <c r="D56" s="67"/>
      <c r="E56" s="67"/>
      <c r="F56" s="67"/>
      <c r="G56" s="67"/>
      <c r="H56" s="67"/>
      <c r="I56" s="67"/>
      <c r="J56" s="67"/>
    </row>
    <row r="57" spans="1:10" ht="15.6" customHeight="1" x14ac:dyDescent="0.3">
      <c r="A57" s="16" t="s">
        <v>138</v>
      </c>
      <c r="B57" s="16">
        <v>1</v>
      </c>
      <c r="C57" s="16">
        <v>2</v>
      </c>
      <c r="D57" s="16">
        <v>3</v>
      </c>
      <c r="E57" s="16">
        <v>4</v>
      </c>
      <c r="F57" s="16">
        <v>5</v>
      </c>
      <c r="G57" s="16">
        <v>6</v>
      </c>
      <c r="H57" s="16">
        <v>7</v>
      </c>
      <c r="I57" s="16">
        <v>8</v>
      </c>
      <c r="J57" s="16">
        <v>9</v>
      </c>
    </row>
    <row r="58" spans="1:10" ht="15.6" customHeight="1" x14ac:dyDescent="0.3">
      <c r="A58" s="19" t="s">
        <v>139</v>
      </c>
      <c r="B58" s="32" t="str">
        <f>IF(AND(B$57&gt;='Synthetic Features (k-NN)'!$G$9,B$57&lt;='Synthetic Features (k-NN)'!$G$10,MOD(B$57-'Synthetic Features (k-NN)'!$G$9,2)=0),"k = "&amp;B$57,"")</f>
        <v/>
      </c>
      <c r="C58" s="32" t="str">
        <f>IF(AND(C$57&gt;='Synthetic Features (k-NN)'!$G$9,C$57&lt;='Synthetic Features (k-NN)'!$G$10,MOD(C$57-'Synthetic Features (k-NN)'!$G$9,2)=0),"k = "&amp;C$57,"")</f>
        <v/>
      </c>
      <c r="D58" s="32" t="str">
        <f>IF(AND(D$57&gt;='Synthetic Features (k-NN)'!$G$9,D$57&lt;='Synthetic Features (k-NN)'!$G$10,MOD(D$57-'Synthetic Features (k-NN)'!$G$9,2)=0),"k = "&amp;D$57,"")</f>
        <v>k = 3</v>
      </c>
      <c r="E58" s="32" t="str">
        <f>IF(AND(E$57&gt;='Synthetic Features (k-NN)'!$G$9,E$57&lt;='Synthetic Features (k-NN)'!$G$10,MOD(E$57-'Synthetic Features (k-NN)'!$G$9,2)=0),"k = "&amp;E$57,"")</f>
        <v/>
      </c>
      <c r="F58" s="32" t="str">
        <f>IF(AND(F$57&gt;='Synthetic Features (k-NN)'!$G$9,F$57&lt;='Synthetic Features (k-NN)'!$G$10,MOD(F$57-'Synthetic Features (k-NN)'!$G$9,2)=0),"k = "&amp;F$57,"")</f>
        <v>k = 5</v>
      </c>
      <c r="G58" s="32" t="str">
        <f>IF(AND(G$57&gt;='Synthetic Features (k-NN)'!$G$9,G$57&lt;='Synthetic Features (k-NN)'!$G$10,MOD(G$57-'Synthetic Features (k-NN)'!$G$9,2)=0),"k = "&amp;G$57,"")</f>
        <v/>
      </c>
      <c r="H58" s="32" t="str">
        <f>IF(AND(H$57&gt;='Synthetic Features (k-NN)'!$G$9,H$57&lt;='Synthetic Features (k-NN)'!$G$10,MOD(H$57-'Synthetic Features (k-NN)'!$G$9,2)=0),"k = "&amp;H$57,"")</f>
        <v/>
      </c>
      <c r="I58" s="32" t="str">
        <f>IF(AND(I$57&gt;='Synthetic Features (k-NN)'!$G$9,I$57&lt;='Synthetic Features (k-NN)'!$G$10,MOD(I$57-'Synthetic Features (k-NN)'!$G$9,2)=0),"k = "&amp;I$57,"")</f>
        <v/>
      </c>
      <c r="J58" s="32" t="str">
        <f>IF(AND(J$57&gt;='Synthetic Features (k-NN)'!$G$9,J$57&lt;='Synthetic Features (k-NN)'!$G$10,MOD(J$57-'Synthetic Features (k-NN)'!$G$9,2)=0),"k = "&amp;J$57,"")</f>
        <v/>
      </c>
    </row>
    <row r="59" spans="1:10" ht="15.6" customHeight="1" x14ac:dyDescent="0.3">
      <c r="A59" s="19" t="s">
        <v>140</v>
      </c>
      <c r="B59" s="18" t="str">
        <f>INDEX('Zhuravlev Distances'!$B$4:$K$4,B60)</f>
        <v>S₃</v>
      </c>
      <c r="C59" s="18" t="str">
        <f>INDEX('Zhuravlev Distances'!$B$4:$K$4,C60)</f>
        <v>S₈</v>
      </c>
      <c r="D59" s="18" t="str">
        <f>INDEX('Zhuravlev Distances'!$B$4:$K$4,D60)</f>
        <v>S₄</v>
      </c>
      <c r="E59" s="18" t="str">
        <f>INDEX('Zhuravlev Distances'!$B$4:$K$4,E60)</f>
        <v>S₁</v>
      </c>
      <c r="F59" s="18" t="str">
        <f>INDEX('Zhuravlev Distances'!$B$4:$K$4,F60)</f>
        <v>S₆</v>
      </c>
      <c r="G59" s="18" t="str">
        <f>INDEX('Zhuravlev Distances'!$B$4:$K$4,G60)</f>
        <v>S₂</v>
      </c>
      <c r="H59" s="18" t="str">
        <f>INDEX('Zhuravlev Distances'!$B$4:$K$4,H60)</f>
        <v>S₇</v>
      </c>
      <c r="I59" s="18" t="str">
        <f>INDEX('Zhuravlev Distances'!$B$4:$K$4,I60)</f>
        <v>S₉</v>
      </c>
      <c r="J59" s="18" t="str">
        <f>INDEX('Zhuravlev Distances'!$B$4:$K$4,J60)</f>
        <v>S₁₀</v>
      </c>
    </row>
    <row r="60" spans="1:10" ht="15.6" customHeight="1" x14ac:dyDescent="0.3">
      <c r="A60" s="19" t="s">
        <v>141</v>
      </c>
      <c r="B60" s="30">
        <f t="shared" ref="B60:J60" si="4">MATCH(B$57,$B$9:$K$9,0)</f>
        <v>3</v>
      </c>
      <c r="C60" s="30">
        <f t="shared" si="4"/>
        <v>8</v>
      </c>
      <c r="D60" s="30">
        <f t="shared" si="4"/>
        <v>4</v>
      </c>
      <c r="E60" s="30">
        <f t="shared" si="4"/>
        <v>1</v>
      </c>
      <c r="F60" s="30">
        <f t="shared" si="4"/>
        <v>6</v>
      </c>
      <c r="G60" s="30">
        <f t="shared" si="4"/>
        <v>2</v>
      </c>
      <c r="H60" s="30">
        <f t="shared" si="4"/>
        <v>7</v>
      </c>
      <c r="I60" s="30">
        <f t="shared" si="4"/>
        <v>9</v>
      </c>
      <c r="J60" s="30">
        <f t="shared" si="4"/>
        <v>10</v>
      </c>
    </row>
    <row r="61" spans="1:10" ht="15.6" customHeight="1" x14ac:dyDescent="0.3">
      <c r="A61" s="19" t="s">
        <v>155</v>
      </c>
      <c r="B61" s="26">
        <f>INDEX('Zhuravlev Distances'!$B$9:$K$9,B60)</f>
        <v>5.7324577096000002</v>
      </c>
      <c r="C61" s="26">
        <f>INDEX('Zhuravlev Distances'!$B$9:$K$9,C60)</f>
        <v>5.747087531</v>
      </c>
      <c r="D61" s="26">
        <f>INDEX('Zhuravlev Distances'!$B$9:$K$9,D60)</f>
        <v>6.0172132776999998</v>
      </c>
      <c r="E61" s="26">
        <f>INDEX('Zhuravlev Distances'!$B$9:$K$9,E60)</f>
        <v>6.0394025462999998</v>
      </c>
      <c r="F61" s="26">
        <f>INDEX('Zhuravlev Distances'!$B$9:$K$9,F60)</f>
        <v>6.4159987027999996</v>
      </c>
      <c r="G61" s="26">
        <f>INDEX('Zhuravlev Distances'!$B$9:$K$9,G60)</f>
        <v>6.5779171766999998</v>
      </c>
      <c r="H61" s="26">
        <f>INDEX('Zhuravlev Distances'!$B$9:$K$9,H60)</f>
        <v>6.7119318121999996</v>
      </c>
      <c r="I61" s="26">
        <f>INDEX('Zhuravlev Distances'!$B$9:$K$9,I60)</f>
        <v>7.6901306635999997</v>
      </c>
      <c r="J61" s="26">
        <f>INDEX('Zhuravlev Distances'!$B$9:$K$9,J60)</f>
        <v>7.8920592328000003</v>
      </c>
    </row>
    <row r="62" spans="1:10" ht="15.6" customHeight="1" x14ac:dyDescent="0.3">
      <c r="A62" s="19" t="s">
        <v>1</v>
      </c>
      <c r="B62" s="22">
        <f>INDEX(Dataset!$O$3:$O$12,B60)</f>
        <v>2</v>
      </c>
      <c r="C62" s="22">
        <f>INDEX(Dataset!$O$3:$O$12,C60)</f>
        <v>2</v>
      </c>
      <c r="D62" s="22">
        <f>INDEX(Dataset!$O$3:$O$12,D60)</f>
        <v>1</v>
      </c>
      <c r="E62" s="22">
        <f>INDEX(Dataset!$O$3:$O$12,E60)</f>
        <v>2</v>
      </c>
      <c r="F62" s="22">
        <f>INDEX(Dataset!$O$3:$O$12,F60)</f>
        <v>1</v>
      </c>
      <c r="G62" s="22">
        <f>INDEX(Dataset!$O$3:$O$12,G60)</f>
        <v>1</v>
      </c>
      <c r="H62" s="22">
        <f>INDEX(Dataset!$O$3:$O$12,H60)</f>
        <v>2</v>
      </c>
      <c r="I62" s="22">
        <f>INDEX(Dataset!$O$3:$O$12,I60)</f>
        <v>2</v>
      </c>
      <c r="J62" s="22">
        <f>INDEX(Dataset!$O$3:$O$12,J60)</f>
        <v>2</v>
      </c>
    </row>
    <row r="63" spans="1:10" ht="15.6" customHeight="1" x14ac:dyDescent="0.3">
      <c r="A63" s="19" t="s">
        <v>156</v>
      </c>
      <c r="B63" s="28">
        <f>IF(B62=Dataset!$O$7,1,0)</f>
        <v>0</v>
      </c>
      <c r="C63" s="28">
        <f>IF(C62=Dataset!$O$7,1,0)</f>
        <v>0</v>
      </c>
      <c r="D63" s="28">
        <f>IF(D62=Dataset!$O$7,1,0)</f>
        <v>1</v>
      </c>
      <c r="E63" s="28">
        <f>IF(E62=Dataset!$O$7,1,0)</f>
        <v>0</v>
      </c>
      <c r="F63" s="28">
        <f>IF(F62=Dataset!$O$7,1,0)</f>
        <v>1</v>
      </c>
      <c r="G63" s="28">
        <f>IF(G62=Dataset!$O$7,1,0)</f>
        <v>1</v>
      </c>
      <c r="H63" s="28">
        <f>IF(H62=Dataset!$O$7,1,0)</f>
        <v>0</v>
      </c>
      <c r="I63" s="28">
        <f>IF(I62=Dataset!$O$7,1,0)</f>
        <v>0</v>
      </c>
      <c r="J63" s="28">
        <f>IF(J62=Dataset!$O$7,1,0)</f>
        <v>0</v>
      </c>
    </row>
    <row r="64" spans="1:10" ht="15.6" customHeight="1" x14ac:dyDescent="0.3">
      <c r="A64" s="19" t="s">
        <v>144</v>
      </c>
      <c r="B64" s="28">
        <f>SUM($B63:B63)</f>
        <v>0</v>
      </c>
      <c r="C64" s="28">
        <f>SUM($B63:C63)</f>
        <v>0</v>
      </c>
      <c r="D64" s="28">
        <f>SUM($B63:D63)</f>
        <v>1</v>
      </c>
      <c r="E64" s="28">
        <f>SUM($B63:E63)</f>
        <v>1</v>
      </c>
      <c r="F64" s="28">
        <f>SUM($B63:F63)</f>
        <v>2</v>
      </c>
      <c r="G64" s="28">
        <f>SUM($B63:G63)</f>
        <v>3</v>
      </c>
      <c r="H64" s="28">
        <f>SUM($B63:H63)</f>
        <v>3</v>
      </c>
      <c r="I64" s="28">
        <f>SUM($B63:I63)</f>
        <v>3</v>
      </c>
      <c r="J64" s="28">
        <f>SUM($B63:J63)</f>
        <v>3</v>
      </c>
    </row>
    <row r="65" spans="1:10" ht="15.6" customHeight="1" x14ac:dyDescent="0.3"/>
    <row r="66" spans="1:10" ht="18" customHeight="1" x14ac:dyDescent="0.3">
      <c r="A66" s="67" t="s">
        <v>157</v>
      </c>
      <c r="B66" s="67"/>
      <c r="C66" s="67"/>
      <c r="D66" s="67"/>
      <c r="E66" s="67"/>
      <c r="F66" s="67"/>
      <c r="G66" s="67"/>
      <c r="H66" s="67"/>
      <c r="I66" s="67"/>
      <c r="J66" s="67"/>
    </row>
    <row r="67" spans="1:10" ht="15.6" customHeight="1" x14ac:dyDescent="0.3">
      <c r="A67" s="16" t="s">
        <v>138</v>
      </c>
      <c r="B67" s="16">
        <v>1</v>
      </c>
      <c r="C67" s="16">
        <v>2</v>
      </c>
      <c r="D67" s="16">
        <v>3</v>
      </c>
      <c r="E67" s="16">
        <v>4</v>
      </c>
      <c r="F67" s="16">
        <v>5</v>
      </c>
      <c r="G67" s="16">
        <v>6</v>
      </c>
      <c r="H67" s="16">
        <v>7</v>
      </c>
      <c r="I67" s="16">
        <v>8</v>
      </c>
      <c r="J67" s="16">
        <v>9</v>
      </c>
    </row>
    <row r="68" spans="1:10" ht="15.6" customHeight="1" x14ac:dyDescent="0.3">
      <c r="A68" s="19" t="s">
        <v>139</v>
      </c>
      <c r="B68" s="32" t="str">
        <f>IF(AND(B$67&gt;='Synthetic Features (k-NN)'!$G$9,B$67&lt;='Synthetic Features (k-NN)'!$G$10,MOD(B$67-'Synthetic Features (k-NN)'!$G$9,2)=0),"k = "&amp;B$67,"")</f>
        <v/>
      </c>
      <c r="C68" s="32" t="str">
        <f>IF(AND(C$67&gt;='Synthetic Features (k-NN)'!$G$9,C$67&lt;='Synthetic Features (k-NN)'!$G$10,MOD(C$67-'Synthetic Features (k-NN)'!$G$9,2)=0),"k = "&amp;C$67,"")</f>
        <v/>
      </c>
      <c r="D68" s="32" t="str">
        <f>IF(AND(D$67&gt;='Synthetic Features (k-NN)'!$G$9,D$67&lt;='Synthetic Features (k-NN)'!$G$10,MOD(D$67-'Synthetic Features (k-NN)'!$G$9,2)=0),"k = "&amp;D$67,"")</f>
        <v>k = 3</v>
      </c>
      <c r="E68" s="32" t="str">
        <f>IF(AND(E$67&gt;='Synthetic Features (k-NN)'!$G$9,E$67&lt;='Synthetic Features (k-NN)'!$G$10,MOD(E$67-'Synthetic Features (k-NN)'!$G$9,2)=0),"k = "&amp;E$67,"")</f>
        <v/>
      </c>
      <c r="F68" s="32" t="str">
        <f>IF(AND(F$67&gt;='Synthetic Features (k-NN)'!$G$9,F$67&lt;='Synthetic Features (k-NN)'!$G$10,MOD(F$67-'Synthetic Features (k-NN)'!$G$9,2)=0),"k = "&amp;F$67,"")</f>
        <v>k = 5</v>
      </c>
      <c r="G68" s="32" t="str">
        <f>IF(AND(G$67&gt;='Synthetic Features (k-NN)'!$G$9,G$67&lt;='Synthetic Features (k-NN)'!$G$10,MOD(G$67-'Synthetic Features (k-NN)'!$G$9,2)=0),"k = "&amp;G$67,"")</f>
        <v/>
      </c>
      <c r="H68" s="32" t="str">
        <f>IF(AND(H$67&gt;='Synthetic Features (k-NN)'!$G$9,H$67&lt;='Synthetic Features (k-NN)'!$G$10,MOD(H$67-'Synthetic Features (k-NN)'!$G$9,2)=0),"k = "&amp;H$67,"")</f>
        <v/>
      </c>
      <c r="I68" s="32" t="str">
        <f>IF(AND(I$67&gt;='Synthetic Features (k-NN)'!$G$9,I$67&lt;='Synthetic Features (k-NN)'!$G$10,MOD(I$67-'Synthetic Features (k-NN)'!$G$9,2)=0),"k = "&amp;I$67,"")</f>
        <v/>
      </c>
      <c r="J68" s="32" t="str">
        <f>IF(AND(J$67&gt;='Synthetic Features (k-NN)'!$G$9,J$67&lt;='Synthetic Features (k-NN)'!$G$10,MOD(J$67-'Synthetic Features (k-NN)'!$G$9,2)=0),"k = "&amp;J$67,"")</f>
        <v/>
      </c>
    </row>
    <row r="69" spans="1:10" ht="15.6" customHeight="1" x14ac:dyDescent="0.3">
      <c r="A69" s="19" t="s">
        <v>140</v>
      </c>
      <c r="B69" s="18" t="str">
        <f>INDEX('Zhuravlev Distances'!$B$4:$K$4,B70)</f>
        <v>S₃</v>
      </c>
      <c r="C69" s="18" t="str">
        <f>INDEX('Zhuravlev Distances'!$B$4:$K$4,C70)</f>
        <v>S₄</v>
      </c>
      <c r="D69" s="18" t="str">
        <f>INDEX('Zhuravlev Distances'!$B$4:$K$4,D70)</f>
        <v>S₈</v>
      </c>
      <c r="E69" s="18" t="str">
        <f>INDEX('Zhuravlev Distances'!$B$4:$K$4,E70)</f>
        <v>S₉</v>
      </c>
      <c r="F69" s="18" t="str">
        <f>INDEX('Zhuravlev Distances'!$B$4:$K$4,F70)</f>
        <v>S₂</v>
      </c>
      <c r="G69" s="18" t="str">
        <f>INDEX('Zhuravlev Distances'!$B$4:$K$4,G70)</f>
        <v>S₁</v>
      </c>
      <c r="H69" s="18" t="str">
        <f>INDEX('Zhuravlev Distances'!$B$4:$K$4,H70)</f>
        <v>S₅</v>
      </c>
      <c r="I69" s="18" t="str">
        <f>INDEX('Zhuravlev Distances'!$B$4:$K$4,I70)</f>
        <v>S₁₀</v>
      </c>
      <c r="J69" s="18" t="str">
        <f>INDEX('Zhuravlev Distances'!$B$4:$K$4,J70)</f>
        <v>S₇</v>
      </c>
    </row>
    <row r="70" spans="1:10" ht="15.6" customHeight="1" x14ac:dyDescent="0.3">
      <c r="A70" s="19" t="s">
        <v>141</v>
      </c>
      <c r="B70" s="30">
        <f t="shared" ref="B70:J70" si="5">MATCH(B$67,$B$10:$K$10,0)</f>
        <v>3</v>
      </c>
      <c r="C70" s="30">
        <f t="shared" si="5"/>
        <v>4</v>
      </c>
      <c r="D70" s="30">
        <f t="shared" si="5"/>
        <v>8</v>
      </c>
      <c r="E70" s="30">
        <f t="shared" si="5"/>
        <v>9</v>
      </c>
      <c r="F70" s="30">
        <f t="shared" si="5"/>
        <v>2</v>
      </c>
      <c r="G70" s="30">
        <f t="shared" si="5"/>
        <v>1</v>
      </c>
      <c r="H70" s="30">
        <f t="shared" si="5"/>
        <v>5</v>
      </c>
      <c r="I70" s="30">
        <f t="shared" si="5"/>
        <v>10</v>
      </c>
      <c r="J70" s="30">
        <f t="shared" si="5"/>
        <v>7</v>
      </c>
    </row>
    <row r="71" spans="1:10" ht="15.6" customHeight="1" x14ac:dyDescent="0.3">
      <c r="A71" s="19" t="s">
        <v>158</v>
      </c>
      <c r="B71" s="26">
        <f>INDEX('Zhuravlev Distances'!$B$10:$K$10,B70)</f>
        <v>1.8031991129</v>
      </c>
      <c r="C71" s="26">
        <f>INDEX('Zhuravlev Distances'!$B$10:$K$10,C70)</f>
        <v>3.4022042285</v>
      </c>
      <c r="D71" s="26">
        <f>INDEX('Zhuravlev Distances'!$B$10:$K$10,D70)</f>
        <v>4.3181689315999998</v>
      </c>
      <c r="E71" s="26">
        <f>INDEX('Zhuravlev Distances'!$B$10:$K$10,E70)</f>
        <v>4.4162508237999996</v>
      </c>
      <c r="F71" s="26">
        <f>INDEX('Zhuravlev Distances'!$B$10:$K$10,F70)</f>
        <v>5.8595928925000003</v>
      </c>
      <c r="G71" s="26">
        <f>INDEX('Zhuravlev Distances'!$B$10:$K$10,G70)</f>
        <v>5.9056936467999996</v>
      </c>
      <c r="H71" s="26">
        <f>INDEX('Zhuravlev Distances'!$B$10:$K$10,H70)</f>
        <v>6.4159987027999996</v>
      </c>
      <c r="I71" s="26">
        <f>INDEX('Zhuravlev Distances'!$B$10:$K$10,I70)</f>
        <v>6.6181793930000001</v>
      </c>
      <c r="J71" s="26">
        <f>INDEX('Zhuravlev Distances'!$B$10:$K$10,J70)</f>
        <v>7.3708685100000002</v>
      </c>
    </row>
    <row r="72" spans="1:10" ht="15.6" customHeight="1" x14ac:dyDescent="0.3">
      <c r="A72" s="19" t="s">
        <v>1</v>
      </c>
      <c r="B72" s="22">
        <f>INDEX(Dataset!$O$3:$O$12,B70)</f>
        <v>2</v>
      </c>
      <c r="C72" s="22">
        <f>INDEX(Dataset!$O$3:$O$12,C70)</f>
        <v>1</v>
      </c>
      <c r="D72" s="22">
        <f>INDEX(Dataset!$O$3:$O$12,D70)</f>
        <v>2</v>
      </c>
      <c r="E72" s="22">
        <f>INDEX(Dataset!$O$3:$O$12,E70)</f>
        <v>2</v>
      </c>
      <c r="F72" s="22">
        <f>INDEX(Dataset!$O$3:$O$12,F70)</f>
        <v>1</v>
      </c>
      <c r="G72" s="22">
        <f>INDEX(Dataset!$O$3:$O$12,G70)</f>
        <v>2</v>
      </c>
      <c r="H72" s="22">
        <f>INDEX(Dataset!$O$3:$O$12,H70)</f>
        <v>1</v>
      </c>
      <c r="I72" s="22">
        <f>INDEX(Dataset!$O$3:$O$12,I70)</f>
        <v>2</v>
      </c>
      <c r="J72" s="22">
        <f>INDEX(Dataset!$O$3:$O$12,J70)</f>
        <v>2</v>
      </c>
    </row>
    <row r="73" spans="1:10" ht="15.6" customHeight="1" x14ac:dyDescent="0.3">
      <c r="A73" s="19" t="s">
        <v>159</v>
      </c>
      <c r="B73" s="28">
        <f>IF(B72=Dataset!$O$8,1,0)</f>
        <v>0</v>
      </c>
      <c r="C73" s="28">
        <f>IF(C72=Dataset!$O$8,1,0)</f>
        <v>1</v>
      </c>
      <c r="D73" s="28">
        <f>IF(D72=Dataset!$O$8,1,0)</f>
        <v>0</v>
      </c>
      <c r="E73" s="28">
        <f>IF(E72=Dataset!$O$8,1,0)</f>
        <v>0</v>
      </c>
      <c r="F73" s="28">
        <f>IF(F72=Dataset!$O$8,1,0)</f>
        <v>1</v>
      </c>
      <c r="G73" s="28">
        <f>IF(G72=Dataset!$O$8,1,0)</f>
        <v>0</v>
      </c>
      <c r="H73" s="28">
        <f>IF(H72=Dataset!$O$8,1,0)</f>
        <v>1</v>
      </c>
      <c r="I73" s="28">
        <f>IF(I72=Dataset!$O$8,1,0)</f>
        <v>0</v>
      </c>
      <c r="J73" s="28">
        <f>IF(J72=Dataset!$O$8,1,0)</f>
        <v>0</v>
      </c>
    </row>
    <row r="74" spans="1:10" ht="15.6" customHeight="1" x14ac:dyDescent="0.3">
      <c r="A74" s="19" t="s">
        <v>144</v>
      </c>
      <c r="B74" s="28">
        <f>SUM($B73:B73)</f>
        <v>0</v>
      </c>
      <c r="C74" s="28">
        <f>SUM($B73:C73)</f>
        <v>1</v>
      </c>
      <c r="D74" s="28">
        <f>SUM($B73:D73)</f>
        <v>1</v>
      </c>
      <c r="E74" s="28">
        <f>SUM($B73:E73)</f>
        <v>1</v>
      </c>
      <c r="F74" s="28">
        <f>SUM($B73:F73)</f>
        <v>2</v>
      </c>
      <c r="G74" s="28">
        <f>SUM($B73:G73)</f>
        <v>2</v>
      </c>
      <c r="H74" s="28">
        <f>SUM($B73:H73)</f>
        <v>3</v>
      </c>
      <c r="I74" s="28">
        <f>SUM($B73:I73)</f>
        <v>3</v>
      </c>
      <c r="J74" s="28">
        <f>SUM($B73:J73)</f>
        <v>3</v>
      </c>
    </row>
    <row r="75" spans="1:10" ht="15.6" customHeight="1" x14ac:dyDescent="0.3"/>
    <row r="76" spans="1:10" ht="18" customHeight="1" x14ac:dyDescent="0.3">
      <c r="A76" s="67" t="s">
        <v>160</v>
      </c>
      <c r="B76" s="67"/>
      <c r="C76" s="67"/>
      <c r="D76" s="67"/>
      <c r="E76" s="67"/>
      <c r="F76" s="67"/>
      <c r="G76" s="67"/>
      <c r="H76" s="67"/>
      <c r="I76" s="67"/>
      <c r="J76" s="67"/>
    </row>
    <row r="77" spans="1:10" ht="15.6" customHeight="1" x14ac:dyDescent="0.3">
      <c r="A77" s="16" t="s">
        <v>138</v>
      </c>
      <c r="B77" s="16">
        <v>1</v>
      </c>
      <c r="C77" s="16">
        <v>2</v>
      </c>
      <c r="D77" s="16">
        <v>3</v>
      </c>
      <c r="E77" s="16">
        <v>4</v>
      </c>
      <c r="F77" s="16">
        <v>5</v>
      </c>
      <c r="G77" s="16">
        <v>6</v>
      </c>
      <c r="H77" s="16">
        <v>7</v>
      </c>
      <c r="I77" s="16">
        <v>8</v>
      </c>
      <c r="J77" s="16">
        <v>9</v>
      </c>
    </row>
    <row r="78" spans="1:10" ht="15.6" customHeight="1" x14ac:dyDescent="0.3">
      <c r="A78" s="19" t="s">
        <v>139</v>
      </c>
      <c r="B78" s="32" t="str">
        <f>IF(AND(B$77&gt;='Synthetic Features (k-NN)'!$G$9,B$77&lt;='Synthetic Features (k-NN)'!$G$10,MOD(B$77-'Synthetic Features (k-NN)'!$G$9,2)=0),"k = "&amp;B$77,"")</f>
        <v/>
      </c>
      <c r="C78" s="32" t="str">
        <f>IF(AND(C$77&gt;='Synthetic Features (k-NN)'!$G$9,C$77&lt;='Synthetic Features (k-NN)'!$G$10,MOD(C$77-'Synthetic Features (k-NN)'!$G$9,2)=0),"k = "&amp;C$77,"")</f>
        <v/>
      </c>
      <c r="D78" s="32" t="str">
        <f>IF(AND(D$77&gt;='Synthetic Features (k-NN)'!$G$9,D$77&lt;='Synthetic Features (k-NN)'!$G$10,MOD(D$77-'Synthetic Features (k-NN)'!$G$9,2)=0),"k = "&amp;D$77,"")</f>
        <v>k = 3</v>
      </c>
      <c r="E78" s="32" t="str">
        <f>IF(AND(E$77&gt;='Synthetic Features (k-NN)'!$G$9,E$77&lt;='Synthetic Features (k-NN)'!$G$10,MOD(E$77-'Synthetic Features (k-NN)'!$G$9,2)=0),"k = "&amp;E$77,"")</f>
        <v/>
      </c>
      <c r="F78" s="32" t="str">
        <f>IF(AND(F$77&gt;='Synthetic Features (k-NN)'!$G$9,F$77&lt;='Synthetic Features (k-NN)'!$G$10,MOD(F$77-'Synthetic Features (k-NN)'!$G$9,2)=0),"k = "&amp;F$77,"")</f>
        <v>k = 5</v>
      </c>
      <c r="G78" s="32" t="str">
        <f>IF(AND(G$77&gt;='Synthetic Features (k-NN)'!$G$9,G$77&lt;='Synthetic Features (k-NN)'!$G$10,MOD(G$77-'Synthetic Features (k-NN)'!$G$9,2)=0),"k = "&amp;G$77,"")</f>
        <v/>
      </c>
      <c r="H78" s="32" t="str">
        <f>IF(AND(H$77&gt;='Synthetic Features (k-NN)'!$G$9,H$77&lt;='Synthetic Features (k-NN)'!$G$10,MOD(H$77-'Synthetic Features (k-NN)'!$G$9,2)=0),"k = "&amp;H$77,"")</f>
        <v/>
      </c>
      <c r="I78" s="32" t="str">
        <f>IF(AND(I$77&gt;='Synthetic Features (k-NN)'!$G$9,I$77&lt;='Synthetic Features (k-NN)'!$G$10,MOD(I$77-'Synthetic Features (k-NN)'!$G$9,2)=0),"k = "&amp;I$77,"")</f>
        <v/>
      </c>
      <c r="J78" s="32" t="str">
        <f>IF(AND(J$77&gt;='Synthetic Features (k-NN)'!$G$9,J$77&lt;='Synthetic Features (k-NN)'!$G$10,MOD(J$77-'Synthetic Features (k-NN)'!$G$9,2)=0),"k = "&amp;J$77,"")</f>
        <v/>
      </c>
    </row>
    <row r="79" spans="1:10" ht="15.6" customHeight="1" x14ac:dyDescent="0.3">
      <c r="A79" s="19" t="s">
        <v>140</v>
      </c>
      <c r="B79" s="18" t="str">
        <f>INDEX('Zhuravlev Distances'!$B$4:$K$4,B80)</f>
        <v>S₈</v>
      </c>
      <c r="C79" s="18" t="str">
        <f>INDEX('Zhuravlev Distances'!$B$4:$K$4,C80)</f>
        <v>S₄</v>
      </c>
      <c r="D79" s="18" t="str">
        <f>INDEX('Zhuravlev Distances'!$B$4:$K$4,D80)</f>
        <v>S₉</v>
      </c>
      <c r="E79" s="18" t="str">
        <f>INDEX('Zhuravlev Distances'!$B$4:$K$4,E80)</f>
        <v>S₁</v>
      </c>
      <c r="F79" s="18" t="str">
        <f>INDEX('Zhuravlev Distances'!$B$4:$K$4,F80)</f>
        <v>S₃</v>
      </c>
      <c r="G79" s="18" t="str">
        <f>INDEX('Zhuravlev Distances'!$B$4:$K$4,G80)</f>
        <v>S₂</v>
      </c>
      <c r="H79" s="18" t="str">
        <f>INDEX('Zhuravlev Distances'!$B$4:$K$4,H80)</f>
        <v>S₅</v>
      </c>
      <c r="I79" s="18" t="str">
        <f>INDEX('Zhuravlev Distances'!$B$4:$K$4,I80)</f>
        <v>S₆</v>
      </c>
      <c r="J79" s="18" t="str">
        <f>INDEX('Zhuravlev Distances'!$B$4:$K$4,J80)</f>
        <v>S₁₀</v>
      </c>
    </row>
    <row r="80" spans="1:10" ht="15.6" customHeight="1" x14ac:dyDescent="0.3">
      <c r="A80" s="19" t="s">
        <v>141</v>
      </c>
      <c r="B80" s="30">
        <f t="shared" ref="B80:J80" si="6">MATCH(B$77,$B$11:$K$11,0)</f>
        <v>8</v>
      </c>
      <c r="C80" s="30">
        <f t="shared" si="6"/>
        <v>4</v>
      </c>
      <c r="D80" s="30">
        <f t="shared" si="6"/>
        <v>9</v>
      </c>
      <c r="E80" s="30">
        <f t="shared" si="6"/>
        <v>1</v>
      </c>
      <c r="F80" s="30">
        <f t="shared" si="6"/>
        <v>3</v>
      </c>
      <c r="G80" s="30">
        <f t="shared" si="6"/>
        <v>2</v>
      </c>
      <c r="H80" s="30">
        <f t="shared" si="6"/>
        <v>5</v>
      </c>
      <c r="I80" s="30">
        <f t="shared" si="6"/>
        <v>6</v>
      </c>
      <c r="J80" s="30">
        <f t="shared" si="6"/>
        <v>10</v>
      </c>
    </row>
    <row r="81" spans="1:10" ht="15.6" customHeight="1" x14ac:dyDescent="0.3">
      <c r="A81" s="19" t="s">
        <v>161</v>
      </c>
      <c r="B81" s="26">
        <f>INDEX('Zhuravlev Distances'!$B$11:$K$11,B80)</f>
        <v>3.8684890521000002</v>
      </c>
      <c r="C81" s="26">
        <f>INDEX('Zhuravlev Distances'!$B$11:$K$11,C80)</f>
        <v>5.1870262268999996</v>
      </c>
      <c r="D81" s="26">
        <f>INDEX('Zhuravlev Distances'!$B$11:$K$11,D80)</f>
        <v>5.4898267583000004</v>
      </c>
      <c r="E81" s="26">
        <f>INDEX('Zhuravlev Distances'!$B$11:$K$11,E80)</f>
        <v>6.5963635983</v>
      </c>
      <c r="F81" s="26">
        <f>INDEX('Zhuravlev Distances'!$B$11:$K$11,F80)</f>
        <v>6.6461407692999996</v>
      </c>
      <c r="G81" s="26">
        <f>INDEX('Zhuravlev Distances'!$B$11:$K$11,G80)</f>
        <v>6.6553910492000004</v>
      </c>
      <c r="H81" s="26">
        <f>INDEX('Zhuravlev Distances'!$B$11:$K$11,H80)</f>
        <v>6.7119318121999996</v>
      </c>
      <c r="I81" s="26">
        <f>INDEX('Zhuravlev Distances'!$B$11:$K$11,I80)</f>
        <v>7.3708685100000002</v>
      </c>
      <c r="J81" s="26">
        <f>INDEX('Zhuravlev Distances'!$B$11:$K$11,J80)</f>
        <v>8.0250886607999998</v>
      </c>
    </row>
    <row r="82" spans="1:10" ht="15.6" customHeight="1" x14ac:dyDescent="0.3">
      <c r="A82" s="19" t="s">
        <v>1</v>
      </c>
      <c r="B82" s="22">
        <f>INDEX(Dataset!$O$3:$O$12,B80)</f>
        <v>2</v>
      </c>
      <c r="C82" s="22">
        <f>INDEX(Dataset!$O$3:$O$12,C80)</f>
        <v>1</v>
      </c>
      <c r="D82" s="22">
        <f>INDEX(Dataset!$O$3:$O$12,D80)</f>
        <v>2</v>
      </c>
      <c r="E82" s="22">
        <f>INDEX(Dataset!$O$3:$O$12,E80)</f>
        <v>2</v>
      </c>
      <c r="F82" s="22">
        <f>INDEX(Dataset!$O$3:$O$12,F80)</f>
        <v>2</v>
      </c>
      <c r="G82" s="22">
        <f>INDEX(Dataset!$O$3:$O$12,G80)</f>
        <v>1</v>
      </c>
      <c r="H82" s="22">
        <f>INDEX(Dataset!$O$3:$O$12,H80)</f>
        <v>1</v>
      </c>
      <c r="I82" s="22">
        <f>INDEX(Dataset!$O$3:$O$12,I80)</f>
        <v>1</v>
      </c>
      <c r="J82" s="22">
        <f>INDEX(Dataset!$O$3:$O$12,J80)</f>
        <v>2</v>
      </c>
    </row>
    <row r="83" spans="1:10" ht="15.6" customHeight="1" x14ac:dyDescent="0.3">
      <c r="A83" s="19" t="s">
        <v>162</v>
      </c>
      <c r="B83" s="28">
        <f>IF(B82=Dataset!$O$9,1,0)</f>
        <v>1</v>
      </c>
      <c r="C83" s="28">
        <f>IF(C82=Dataset!$O$9,1,0)</f>
        <v>0</v>
      </c>
      <c r="D83" s="28">
        <f>IF(D82=Dataset!$O$9,1,0)</f>
        <v>1</v>
      </c>
      <c r="E83" s="28">
        <f>IF(E82=Dataset!$O$9,1,0)</f>
        <v>1</v>
      </c>
      <c r="F83" s="28">
        <f>IF(F82=Dataset!$O$9,1,0)</f>
        <v>1</v>
      </c>
      <c r="G83" s="28">
        <f>IF(G82=Dataset!$O$9,1,0)</f>
        <v>0</v>
      </c>
      <c r="H83" s="28">
        <f>IF(H82=Dataset!$O$9,1,0)</f>
        <v>0</v>
      </c>
      <c r="I83" s="28">
        <f>IF(I82=Dataset!$O$9,1,0)</f>
        <v>0</v>
      </c>
      <c r="J83" s="28">
        <f>IF(J82=Dataset!$O$9,1,0)</f>
        <v>1</v>
      </c>
    </row>
    <row r="84" spans="1:10" ht="15.6" customHeight="1" x14ac:dyDescent="0.3">
      <c r="A84" s="19" t="s">
        <v>144</v>
      </c>
      <c r="B84" s="28">
        <f>SUM($B83:B83)</f>
        <v>1</v>
      </c>
      <c r="C84" s="28">
        <f>SUM($B83:C83)</f>
        <v>1</v>
      </c>
      <c r="D84" s="28">
        <f>SUM($B83:D83)</f>
        <v>2</v>
      </c>
      <c r="E84" s="28">
        <f>SUM($B83:E83)</f>
        <v>3</v>
      </c>
      <c r="F84" s="28">
        <f>SUM($B83:F83)</f>
        <v>4</v>
      </c>
      <c r="G84" s="28">
        <f>SUM($B83:G83)</f>
        <v>4</v>
      </c>
      <c r="H84" s="28">
        <f>SUM($B83:H83)</f>
        <v>4</v>
      </c>
      <c r="I84" s="28">
        <f>SUM($B83:I83)</f>
        <v>4</v>
      </c>
      <c r="J84" s="28">
        <f>SUM($B83:J83)</f>
        <v>5</v>
      </c>
    </row>
    <row r="85" spans="1:10" ht="15.6" customHeight="1" x14ac:dyDescent="0.3"/>
    <row r="86" spans="1:10" ht="18" customHeight="1" x14ac:dyDescent="0.3">
      <c r="A86" s="67" t="s">
        <v>163</v>
      </c>
      <c r="B86" s="67"/>
      <c r="C86" s="67"/>
      <c r="D86" s="67"/>
      <c r="E86" s="67"/>
      <c r="F86" s="67"/>
      <c r="G86" s="67"/>
      <c r="H86" s="67"/>
      <c r="I86" s="67"/>
      <c r="J86" s="67"/>
    </row>
    <row r="87" spans="1:10" ht="15.6" customHeight="1" x14ac:dyDescent="0.3">
      <c r="A87" s="16" t="s">
        <v>138</v>
      </c>
      <c r="B87" s="16">
        <v>1</v>
      </c>
      <c r="C87" s="16">
        <v>2</v>
      </c>
      <c r="D87" s="16">
        <v>3</v>
      </c>
      <c r="E87" s="16">
        <v>4</v>
      </c>
      <c r="F87" s="16">
        <v>5</v>
      </c>
      <c r="G87" s="16">
        <v>6</v>
      </c>
      <c r="H87" s="16">
        <v>7</v>
      </c>
      <c r="I87" s="16">
        <v>8</v>
      </c>
      <c r="J87" s="16">
        <v>9</v>
      </c>
    </row>
    <row r="88" spans="1:10" ht="15.6" customHeight="1" x14ac:dyDescent="0.3">
      <c r="A88" s="19" t="s">
        <v>139</v>
      </c>
      <c r="B88" s="32" t="str">
        <f>IF(AND(B$87&gt;='Synthetic Features (k-NN)'!$G$9,B$87&lt;='Synthetic Features (k-NN)'!$G$10,MOD(B$87-'Synthetic Features (k-NN)'!$G$9,2)=0),"k = "&amp;B$87,"")</f>
        <v/>
      </c>
      <c r="C88" s="32" t="str">
        <f>IF(AND(C$87&gt;='Synthetic Features (k-NN)'!$G$9,C$87&lt;='Synthetic Features (k-NN)'!$G$10,MOD(C$87-'Synthetic Features (k-NN)'!$G$9,2)=0),"k = "&amp;C$87,"")</f>
        <v/>
      </c>
      <c r="D88" s="32" t="str">
        <f>IF(AND(D$87&gt;='Synthetic Features (k-NN)'!$G$9,D$87&lt;='Synthetic Features (k-NN)'!$G$10,MOD(D$87-'Synthetic Features (k-NN)'!$G$9,2)=0),"k = "&amp;D$87,"")</f>
        <v>k = 3</v>
      </c>
      <c r="E88" s="32" t="str">
        <f>IF(AND(E$87&gt;='Synthetic Features (k-NN)'!$G$9,E$87&lt;='Synthetic Features (k-NN)'!$G$10,MOD(E$87-'Synthetic Features (k-NN)'!$G$9,2)=0),"k = "&amp;E$87,"")</f>
        <v/>
      </c>
      <c r="F88" s="32" t="str">
        <f>IF(AND(F$87&gt;='Synthetic Features (k-NN)'!$G$9,F$87&lt;='Synthetic Features (k-NN)'!$G$10,MOD(F$87-'Synthetic Features (k-NN)'!$G$9,2)=0),"k = "&amp;F$87,"")</f>
        <v>k = 5</v>
      </c>
      <c r="G88" s="32" t="str">
        <f>IF(AND(G$87&gt;='Synthetic Features (k-NN)'!$G$9,G$87&lt;='Synthetic Features (k-NN)'!$G$10,MOD(G$87-'Synthetic Features (k-NN)'!$G$9,2)=0),"k = "&amp;G$87,"")</f>
        <v/>
      </c>
      <c r="H88" s="32" t="str">
        <f>IF(AND(H$87&gt;='Synthetic Features (k-NN)'!$G$9,H$87&lt;='Synthetic Features (k-NN)'!$G$10,MOD(H$87-'Synthetic Features (k-NN)'!$G$9,2)=0),"k = "&amp;H$87,"")</f>
        <v/>
      </c>
      <c r="I88" s="32" t="str">
        <f>IF(AND(I$87&gt;='Synthetic Features (k-NN)'!$G$9,I$87&lt;='Synthetic Features (k-NN)'!$G$10,MOD(I$87-'Synthetic Features (k-NN)'!$G$9,2)=0),"k = "&amp;I$87,"")</f>
        <v/>
      </c>
      <c r="J88" s="32" t="str">
        <f>IF(AND(J$87&gt;='Synthetic Features (k-NN)'!$G$9,J$87&lt;='Synthetic Features (k-NN)'!$G$10,MOD(J$87-'Synthetic Features (k-NN)'!$G$9,2)=0),"k = "&amp;J$87,"")</f>
        <v/>
      </c>
    </row>
    <row r="89" spans="1:10" ht="15.6" customHeight="1" x14ac:dyDescent="0.3">
      <c r="A89" s="19" t="s">
        <v>140</v>
      </c>
      <c r="B89" s="18" t="str">
        <f>INDEX('Zhuravlev Distances'!$B$4:$K$4,B90)</f>
        <v>S₄</v>
      </c>
      <c r="C89" s="18" t="str">
        <f>INDEX('Zhuravlev Distances'!$B$4:$K$4,C90)</f>
        <v>S₉</v>
      </c>
      <c r="D89" s="18" t="str">
        <f>INDEX('Zhuravlev Distances'!$B$4:$K$4,D90)</f>
        <v>S₇</v>
      </c>
      <c r="E89" s="18" t="str">
        <f>INDEX('Zhuravlev Distances'!$B$4:$K$4,E90)</f>
        <v>S₆</v>
      </c>
      <c r="F89" s="18" t="str">
        <f>INDEX('Zhuravlev Distances'!$B$4:$K$4,F90)</f>
        <v>S₁</v>
      </c>
      <c r="G89" s="18" t="str">
        <f>INDEX('Zhuravlev Distances'!$B$4:$K$4,G90)</f>
        <v>S₃</v>
      </c>
      <c r="H89" s="18" t="str">
        <f>INDEX('Zhuravlev Distances'!$B$4:$K$4,H90)</f>
        <v>S₂</v>
      </c>
      <c r="I89" s="18" t="str">
        <f>INDEX('Zhuravlev Distances'!$B$4:$K$4,I90)</f>
        <v>S₁₀</v>
      </c>
      <c r="J89" s="18" t="str">
        <f>INDEX('Zhuravlev Distances'!$B$4:$K$4,J90)</f>
        <v>S₅</v>
      </c>
    </row>
    <row r="90" spans="1:10" ht="15.6" customHeight="1" x14ac:dyDescent="0.3">
      <c r="A90" s="19" t="s">
        <v>141</v>
      </c>
      <c r="B90" s="30">
        <f t="shared" ref="B90:J90" si="7">MATCH(B$87,$B$12:$K$12,0)</f>
        <v>4</v>
      </c>
      <c r="C90" s="30">
        <f t="shared" si="7"/>
        <v>9</v>
      </c>
      <c r="D90" s="30">
        <f t="shared" si="7"/>
        <v>7</v>
      </c>
      <c r="E90" s="30">
        <f t="shared" si="7"/>
        <v>6</v>
      </c>
      <c r="F90" s="30">
        <f t="shared" si="7"/>
        <v>1</v>
      </c>
      <c r="G90" s="30">
        <f t="shared" si="7"/>
        <v>3</v>
      </c>
      <c r="H90" s="30">
        <f t="shared" si="7"/>
        <v>2</v>
      </c>
      <c r="I90" s="30">
        <f t="shared" si="7"/>
        <v>10</v>
      </c>
      <c r="J90" s="30">
        <f t="shared" si="7"/>
        <v>5</v>
      </c>
    </row>
    <row r="91" spans="1:10" ht="15.6" customHeight="1" x14ac:dyDescent="0.3">
      <c r="A91" s="19" t="s">
        <v>164</v>
      </c>
      <c r="B91" s="26">
        <f>INDEX('Zhuravlev Distances'!$B$12:$K$12,B90)</f>
        <v>2.6221819456</v>
      </c>
      <c r="C91" s="26">
        <f>INDEX('Zhuravlev Distances'!$B$12:$K$12,C90)</f>
        <v>2.7091930033999998</v>
      </c>
      <c r="D91" s="26">
        <f>INDEX('Zhuravlev Distances'!$B$12:$K$12,D90)</f>
        <v>3.8684890521000002</v>
      </c>
      <c r="E91" s="26">
        <f>INDEX('Zhuravlev Distances'!$B$12:$K$12,E90)</f>
        <v>4.3181689315999998</v>
      </c>
      <c r="F91" s="26">
        <f>INDEX('Zhuravlev Distances'!$B$12:$K$12,F90)</f>
        <v>4.8157298433999998</v>
      </c>
      <c r="G91" s="26">
        <f>INDEX('Zhuravlev Distances'!$B$12:$K$12,G90)</f>
        <v>5.1035187103000004</v>
      </c>
      <c r="H91" s="26">
        <f>INDEX('Zhuravlev Distances'!$B$12:$K$12,H90)</f>
        <v>5.1247572942000001</v>
      </c>
      <c r="I91" s="26">
        <f>INDEX('Zhuravlev Distances'!$B$12:$K$12,I90)</f>
        <v>5.2444549058999996</v>
      </c>
      <c r="J91" s="26">
        <f>INDEX('Zhuravlev Distances'!$B$12:$K$12,J90)</f>
        <v>5.747087531</v>
      </c>
    </row>
    <row r="92" spans="1:10" ht="15.6" customHeight="1" x14ac:dyDescent="0.3">
      <c r="A92" s="19" t="s">
        <v>1</v>
      </c>
      <c r="B92" s="22">
        <f>INDEX(Dataset!$O$3:$O$12,B90)</f>
        <v>1</v>
      </c>
      <c r="C92" s="22">
        <f>INDEX(Dataset!$O$3:$O$12,C90)</f>
        <v>2</v>
      </c>
      <c r="D92" s="22">
        <f>INDEX(Dataset!$O$3:$O$12,D90)</f>
        <v>2</v>
      </c>
      <c r="E92" s="22">
        <f>INDEX(Dataset!$O$3:$O$12,E90)</f>
        <v>1</v>
      </c>
      <c r="F92" s="22">
        <f>INDEX(Dataset!$O$3:$O$12,F90)</f>
        <v>2</v>
      </c>
      <c r="G92" s="22">
        <f>INDEX(Dataset!$O$3:$O$12,G90)</f>
        <v>2</v>
      </c>
      <c r="H92" s="22">
        <f>INDEX(Dataset!$O$3:$O$12,H90)</f>
        <v>1</v>
      </c>
      <c r="I92" s="22">
        <f>INDEX(Dataset!$O$3:$O$12,I90)</f>
        <v>2</v>
      </c>
      <c r="J92" s="22">
        <f>INDEX(Dataset!$O$3:$O$12,J90)</f>
        <v>1</v>
      </c>
    </row>
    <row r="93" spans="1:10" ht="15.6" customHeight="1" x14ac:dyDescent="0.3">
      <c r="A93" s="19" t="s">
        <v>165</v>
      </c>
      <c r="B93" s="28">
        <f>IF(B92=Dataset!$O$10,1,0)</f>
        <v>0</v>
      </c>
      <c r="C93" s="28">
        <f>IF(C92=Dataset!$O$10,1,0)</f>
        <v>1</v>
      </c>
      <c r="D93" s="28">
        <f>IF(D92=Dataset!$O$10,1,0)</f>
        <v>1</v>
      </c>
      <c r="E93" s="28">
        <f>IF(E92=Dataset!$O$10,1,0)</f>
        <v>0</v>
      </c>
      <c r="F93" s="28">
        <f>IF(F92=Dataset!$O$10,1,0)</f>
        <v>1</v>
      </c>
      <c r="G93" s="28">
        <f>IF(G92=Dataset!$O$10,1,0)</f>
        <v>1</v>
      </c>
      <c r="H93" s="28">
        <f>IF(H92=Dataset!$O$10,1,0)</f>
        <v>0</v>
      </c>
      <c r="I93" s="28">
        <f>IF(I92=Dataset!$O$10,1,0)</f>
        <v>1</v>
      </c>
      <c r="J93" s="28">
        <f>IF(J92=Dataset!$O$10,1,0)</f>
        <v>0</v>
      </c>
    </row>
    <row r="94" spans="1:10" ht="15.6" customHeight="1" x14ac:dyDescent="0.3">
      <c r="A94" s="19" t="s">
        <v>144</v>
      </c>
      <c r="B94" s="28">
        <f>SUM($B93:B93)</f>
        <v>0</v>
      </c>
      <c r="C94" s="28">
        <f>SUM($B93:C93)</f>
        <v>1</v>
      </c>
      <c r="D94" s="28">
        <f>SUM($B93:D93)</f>
        <v>2</v>
      </c>
      <c r="E94" s="28">
        <f>SUM($B93:E93)</f>
        <v>2</v>
      </c>
      <c r="F94" s="28">
        <f>SUM($B93:F93)</f>
        <v>3</v>
      </c>
      <c r="G94" s="28">
        <f>SUM($B93:G93)</f>
        <v>4</v>
      </c>
      <c r="H94" s="28">
        <f>SUM($B93:H93)</f>
        <v>4</v>
      </c>
      <c r="I94" s="28">
        <f>SUM($B93:I93)</f>
        <v>5</v>
      </c>
      <c r="J94" s="28">
        <f>SUM($B93:J93)</f>
        <v>5</v>
      </c>
    </row>
    <row r="95" spans="1:10" ht="15.6" customHeight="1" x14ac:dyDescent="0.3"/>
    <row r="96" spans="1:10" ht="18" customHeight="1" x14ac:dyDescent="0.3">
      <c r="A96" s="67" t="s">
        <v>166</v>
      </c>
      <c r="B96" s="67"/>
      <c r="C96" s="67"/>
      <c r="D96" s="67"/>
      <c r="E96" s="67"/>
      <c r="F96" s="67"/>
      <c r="G96" s="67"/>
      <c r="H96" s="67"/>
      <c r="I96" s="67"/>
      <c r="J96" s="67"/>
    </row>
    <row r="97" spans="1:10" ht="15.6" customHeight="1" x14ac:dyDescent="0.3">
      <c r="A97" s="16" t="s">
        <v>138</v>
      </c>
      <c r="B97" s="16">
        <v>1</v>
      </c>
      <c r="C97" s="16">
        <v>2</v>
      </c>
      <c r="D97" s="16">
        <v>3</v>
      </c>
      <c r="E97" s="16">
        <v>4</v>
      </c>
      <c r="F97" s="16">
        <v>5</v>
      </c>
      <c r="G97" s="16">
        <v>6</v>
      </c>
      <c r="H97" s="16">
        <v>7</v>
      </c>
      <c r="I97" s="16">
        <v>8</v>
      </c>
      <c r="J97" s="16">
        <v>9</v>
      </c>
    </row>
    <row r="98" spans="1:10" ht="15.6" customHeight="1" x14ac:dyDescent="0.3">
      <c r="A98" s="19" t="s">
        <v>139</v>
      </c>
      <c r="B98" s="32" t="str">
        <f>IF(AND(B$97&gt;='Synthetic Features (k-NN)'!$G$9,B$97&lt;='Synthetic Features (k-NN)'!$G$10,MOD(B$97-'Synthetic Features (k-NN)'!$G$9,2)=0),"k = "&amp;B$97,"")</f>
        <v/>
      </c>
      <c r="C98" s="32" t="str">
        <f>IF(AND(C$97&gt;='Synthetic Features (k-NN)'!$G$9,C$97&lt;='Synthetic Features (k-NN)'!$G$10,MOD(C$97-'Synthetic Features (k-NN)'!$G$9,2)=0),"k = "&amp;C$97,"")</f>
        <v/>
      </c>
      <c r="D98" s="32" t="str">
        <f>IF(AND(D$97&gt;='Synthetic Features (k-NN)'!$G$9,D$97&lt;='Synthetic Features (k-NN)'!$G$10,MOD(D$97-'Synthetic Features (k-NN)'!$G$9,2)=0),"k = "&amp;D$97,"")</f>
        <v>k = 3</v>
      </c>
      <c r="E98" s="32" t="str">
        <f>IF(AND(E$97&gt;='Synthetic Features (k-NN)'!$G$9,E$97&lt;='Synthetic Features (k-NN)'!$G$10,MOD(E$97-'Synthetic Features (k-NN)'!$G$9,2)=0),"k = "&amp;E$97,"")</f>
        <v/>
      </c>
      <c r="F98" s="32" t="str">
        <f>IF(AND(F$97&gt;='Synthetic Features (k-NN)'!$G$9,F$97&lt;='Synthetic Features (k-NN)'!$G$10,MOD(F$97-'Synthetic Features (k-NN)'!$G$9,2)=0),"k = "&amp;F$97,"")</f>
        <v>k = 5</v>
      </c>
      <c r="G98" s="32" t="str">
        <f>IF(AND(G$97&gt;='Synthetic Features (k-NN)'!$G$9,G$97&lt;='Synthetic Features (k-NN)'!$G$10,MOD(G$97-'Synthetic Features (k-NN)'!$G$9,2)=0),"k = "&amp;G$97,"")</f>
        <v/>
      </c>
      <c r="H98" s="32" t="str">
        <f>IF(AND(H$97&gt;='Synthetic Features (k-NN)'!$G$9,H$97&lt;='Synthetic Features (k-NN)'!$G$10,MOD(H$97-'Synthetic Features (k-NN)'!$G$9,2)=0),"k = "&amp;H$97,"")</f>
        <v/>
      </c>
      <c r="I98" s="32" t="str">
        <f>IF(AND(I$97&gt;='Synthetic Features (k-NN)'!$G$9,I$97&lt;='Synthetic Features (k-NN)'!$G$10,MOD(I$97-'Synthetic Features (k-NN)'!$G$9,2)=0),"k = "&amp;I$97,"")</f>
        <v/>
      </c>
      <c r="J98" s="32" t="str">
        <f>IF(AND(J$97&gt;='Synthetic Features (k-NN)'!$G$9,J$97&lt;='Synthetic Features (k-NN)'!$G$10,MOD(J$97-'Synthetic Features (k-NN)'!$G$9,2)=0),"k = "&amp;J$97,"")</f>
        <v/>
      </c>
    </row>
    <row r="99" spans="1:10" ht="15.6" customHeight="1" x14ac:dyDescent="0.3">
      <c r="A99" s="19" t="s">
        <v>140</v>
      </c>
      <c r="B99" s="18" t="str">
        <f>INDEX('Zhuravlev Distances'!$B$4:$K$4,B100)</f>
        <v>S₈</v>
      </c>
      <c r="C99" s="18" t="str">
        <f>INDEX('Zhuravlev Distances'!$B$4:$K$4,C100)</f>
        <v>S₁₀</v>
      </c>
      <c r="D99" s="18" t="str">
        <f>INDEX('Zhuravlev Distances'!$B$4:$K$4,D100)</f>
        <v>S₁</v>
      </c>
      <c r="E99" s="18" t="str">
        <f>INDEX('Zhuravlev Distances'!$B$4:$K$4,E100)</f>
        <v>S₄</v>
      </c>
      <c r="F99" s="18" t="str">
        <f>INDEX('Zhuravlev Distances'!$B$4:$K$4,F100)</f>
        <v>S₆</v>
      </c>
      <c r="G99" s="18" t="str">
        <f>INDEX('Zhuravlev Distances'!$B$4:$K$4,G100)</f>
        <v>S₂</v>
      </c>
      <c r="H99" s="18" t="str">
        <f>INDEX('Zhuravlev Distances'!$B$4:$K$4,H100)</f>
        <v>S₃</v>
      </c>
      <c r="I99" s="18" t="str">
        <f>INDEX('Zhuravlev Distances'!$B$4:$K$4,I100)</f>
        <v>S₇</v>
      </c>
      <c r="J99" s="18" t="str">
        <f>INDEX('Zhuravlev Distances'!$B$4:$K$4,J100)</f>
        <v>S₅</v>
      </c>
    </row>
    <row r="100" spans="1:10" ht="15.6" customHeight="1" x14ac:dyDescent="0.3">
      <c r="A100" s="19" t="s">
        <v>141</v>
      </c>
      <c r="B100" s="30">
        <f t="shared" ref="B100:J100" si="8">MATCH(B$97,$B$13:$K$13,0)</f>
        <v>8</v>
      </c>
      <c r="C100" s="30">
        <f t="shared" si="8"/>
        <v>10</v>
      </c>
      <c r="D100" s="30">
        <f t="shared" si="8"/>
        <v>1</v>
      </c>
      <c r="E100" s="30">
        <f t="shared" si="8"/>
        <v>4</v>
      </c>
      <c r="F100" s="30">
        <f t="shared" si="8"/>
        <v>6</v>
      </c>
      <c r="G100" s="30">
        <f t="shared" si="8"/>
        <v>2</v>
      </c>
      <c r="H100" s="30">
        <f t="shared" si="8"/>
        <v>3</v>
      </c>
      <c r="I100" s="30">
        <f t="shared" si="8"/>
        <v>7</v>
      </c>
      <c r="J100" s="30">
        <f t="shared" si="8"/>
        <v>5</v>
      </c>
    </row>
    <row r="101" spans="1:10" ht="15.6" customHeight="1" x14ac:dyDescent="0.3">
      <c r="A101" s="19" t="s">
        <v>167</v>
      </c>
      <c r="B101" s="26">
        <f>INDEX('Zhuravlev Distances'!$B$13:$K$13,B100)</f>
        <v>2.7091930033999998</v>
      </c>
      <c r="C101" s="26">
        <f>INDEX('Zhuravlev Distances'!$B$13:$K$13,C100)</f>
        <v>3.0275695948000001</v>
      </c>
      <c r="D101" s="26">
        <f>INDEX('Zhuravlev Distances'!$B$13:$K$13,D100)</f>
        <v>3.4680753015999999</v>
      </c>
      <c r="E101" s="26">
        <f>INDEX('Zhuravlev Distances'!$B$13:$K$13,E100)</f>
        <v>4.1962328300999996</v>
      </c>
      <c r="F101" s="26">
        <f>INDEX('Zhuravlev Distances'!$B$13:$K$13,F100)</f>
        <v>4.4162508237999996</v>
      </c>
      <c r="G101" s="26">
        <f>INDEX('Zhuravlev Distances'!$B$13:$K$13,G100)</f>
        <v>4.6399232652000002</v>
      </c>
      <c r="H101" s="26">
        <f>INDEX('Zhuravlev Distances'!$B$13:$K$13,H100)</f>
        <v>4.9990166233000002</v>
      </c>
      <c r="I101" s="26">
        <f>INDEX('Zhuravlev Distances'!$B$13:$K$13,I100)</f>
        <v>5.4898267583000004</v>
      </c>
      <c r="J101" s="26">
        <f>INDEX('Zhuravlev Distances'!$B$13:$K$13,J100)</f>
        <v>7.6901306635999997</v>
      </c>
    </row>
    <row r="102" spans="1:10" ht="15.6" customHeight="1" x14ac:dyDescent="0.3">
      <c r="A102" s="19" t="s">
        <v>1</v>
      </c>
      <c r="B102" s="22">
        <f>INDEX(Dataset!$O$3:$O$12,B100)</f>
        <v>2</v>
      </c>
      <c r="C102" s="22">
        <f>INDEX(Dataset!$O$3:$O$12,C100)</f>
        <v>2</v>
      </c>
      <c r="D102" s="22">
        <f>INDEX(Dataset!$O$3:$O$12,D100)</f>
        <v>2</v>
      </c>
      <c r="E102" s="22">
        <f>INDEX(Dataset!$O$3:$O$12,E100)</f>
        <v>1</v>
      </c>
      <c r="F102" s="22">
        <f>INDEX(Dataset!$O$3:$O$12,F100)</f>
        <v>1</v>
      </c>
      <c r="G102" s="22">
        <f>INDEX(Dataset!$O$3:$O$12,G100)</f>
        <v>1</v>
      </c>
      <c r="H102" s="22">
        <f>INDEX(Dataset!$O$3:$O$12,H100)</f>
        <v>2</v>
      </c>
      <c r="I102" s="22">
        <f>INDEX(Dataset!$O$3:$O$12,I100)</f>
        <v>2</v>
      </c>
      <c r="J102" s="22">
        <f>INDEX(Dataset!$O$3:$O$12,J100)</f>
        <v>1</v>
      </c>
    </row>
    <row r="103" spans="1:10" ht="15.6" customHeight="1" x14ac:dyDescent="0.3">
      <c r="A103" s="19" t="s">
        <v>168</v>
      </c>
      <c r="B103" s="28">
        <f>IF(B102=Dataset!$O$11,1,0)</f>
        <v>1</v>
      </c>
      <c r="C103" s="28">
        <f>IF(C102=Dataset!$O$11,1,0)</f>
        <v>1</v>
      </c>
      <c r="D103" s="28">
        <f>IF(D102=Dataset!$O$11,1,0)</f>
        <v>1</v>
      </c>
      <c r="E103" s="28">
        <f>IF(E102=Dataset!$O$11,1,0)</f>
        <v>0</v>
      </c>
      <c r="F103" s="28">
        <f>IF(F102=Dataset!$O$11,1,0)</f>
        <v>0</v>
      </c>
      <c r="G103" s="28">
        <f>IF(G102=Dataset!$O$11,1,0)</f>
        <v>0</v>
      </c>
      <c r="H103" s="28">
        <f>IF(H102=Dataset!$O$11,1,0)</f>
        <v>1</v>
      </c>
      <c r="I103" s="28">
        <f>IF(I102=Dataset!$O$11,1,0)</f>
        <v>1</v>
      </c>
      <c r="J103" s="28">
        <f>IF(J102=Dataset!$O$11,1,0)</f>
        <v>0</v>
      </c>
    </row>
    <row r="104" spans="1:10" ht="15.6" customHeight="1" x14ac:dyDescent="0.3">
      <c r="A104" s="19" t="s">
        <v>144</v>
      </c>
      <c r="B104" s="28">
        <f>SUM($B103:B103)</f>
        <v>1</v>
      </c>
      <c r="C104" s="28">
        <f>SUM($B103:C103)</f>
        <v>2</v>
      </c>
      <c r="D104" s="28">
        <f>SUM($B103:D103)</f>
        <v>3</v>
      </c>
      <c r="E104" s="28">
        <f>SUM($B103:E103)</f>
        <v>3</v>
      </c>
      <c r="F104" s="28">
        <f>SUM($B103:F103)</f>
        <v>3</v>
      </c>
      <c r="G104" s="28">
        <f>SUM($B103:G103)</f>
        <v>3</v>
      </c>
      <c r="H104" s="28">
        <f>SUM($B103:H103)</f>
        <v>4</v>
      </c>
      <c r="I104" s="28">
        <f>SUM($B103:I103)</f>
        <v>5</v>
      </c>
      <c r="J104" s="28">
        <f>SUM($B103:J103)</f>
        <v>5</v>
      </c>
    </row>
    <row r="105" spans="1:10" ht="15.6" customHeight="1" x14ac:dyDescent="0.3"/>
    <row r="106" spans="1:10" ht="18" customHeight="1" x14ac:dyDescent="0.3">
      <c r="A106" s="67" t="s">
        <v>169</v>
      </c>
      <c r="B106" s="67"/>
      <c r="C106" s="67"/>
      <c r="D106" s="67"/>
      <c r="E106" s="67"/>
      <c r="F106" s="67"/>
      <c r="G106" s="67"/>
      <c r="H106" s="67"/>
      <c r="I106" s="67"/>
      <c r="J106" s="67"/>
    </row>
    <row r="107" spans="1:10" ht="15.6" customHeight="1" x14ac:dyDescent="0.3">
      <c r="A107" s="16" t="s">
        <v>138</v>
      </c>
      <c r="B107" s="16">
        <v>1</v>
      </c>
      <c r="C107" s="16">
        <v>2</v>
      </c>
      <c r="D107" s="16">
        <v>3</v>
      </c>
      <c r="E107" s="16">
        <v>4</v>
      </c>
      <c r="F107" s="16">
        <v>5</v>
      </c>
      <c r="G107" s="16">
        <v>6</v>
      </c>
      <c r="H107" s="16">
        <v>7</v>
      </c>
      <c r="I107" s="16">
        <v>8</v>
      </c>
      <c r="J107" s="16">
        <v>9</v>
      </c>
    </row>
    <row r="108" spans="1:10" ht="15.6" customHeight="1" x14ac:dyDescent="0.3">
      <c r="A108" s="19" t="s">
        <v>139</v>
      </c>
      <c r="B108" s="32" t="str">
        <f>IF(AND(B$107&gt;='Synthetic Features (k-NN)'!$G$9,B$107&lt;='Synthetic Features (k-NN)'!$G$10,MOD(B$107-'Synthetic Features (k-NN)'!$G$9,2)=0),"k = "&amp;B$107,"")</f>
        <v/>
      </c>
      <c r="C108" s="32" t="str">
        <f>IF(AND(C$107&gt;='Synthetic Features (k-NN)'!$G$9,C$107&lt;='Synthetic Features (k-NN)'!$G$10,MOD(C$107-'Synthetic Features (k-NN)'!$G$9,2)=0),"k = "&amp;C$107,"")</f>
        <v/>
      </c>
      <c r="D108" s="32" t="str">
        <f>IF(AND(D$107&gt;='Synthetic Features (k-NN)'!$G$9,D$107&lt;='Synthetic Features (k-NN)'!$G$10,MOD(D$107-'Synthetic Features (k-NN)'!$G$9,2)=0),"k = "&amp;D$107,"")</f>
        <v>k = 3</v>
      </c>
      <c r="E108" s="32" t="str">
        <f>IF(AND(E$107&gt;='Synthetic Features (k-NN)'!$G$9,E$107&lt;='Synthetic Features (k-NN)'!$G$10,MOD(E$107-'Synthetic Features (k-NN)'!$G$9,2)=0),"k = "&amp;E$107,"")</f>
        <v/>
      </c>
      <c r="F108" s="32" t="str">
        <f>IF(AND(F$107&gt;='Synthetic Features (k-NN)'!$G$9,F$107&lt;='Synthetic Features (k-NN)'!$G$10,MOD(F$107-'Synthetic Features (k-NN)'!$G$9,2)=0),"k = "&amp;F$107,"")</f>
        <v>k = 5</v>
      </c>
      <c r="G108" s="32" t="str">
        <f>IF(AND(G$107&gt;='Synthetic Features (k-NN)'!$G$9,G$107&lt;='Synthetic Features (k-NN)'!$G$10,MOD(G$107-'Synthetic Features (k-NN)'!$G$9,2)=0),"k = "&amp;G$107,"")</f>
        <v/>
      </c>
      <c r="H108" s="32" t="str">
        <f>IF(AND(H$107&gt;='Synthetic Features (k-NN)'!$G$9,H$107&lt;='Synthetic Features (k-NN)'!$G$10,MOD(H$107-'Synthetic Features (k-NN)'!$G$9,2)=0),"k = "&amp;H$107,"")</f>
        <v/>
      </c>
      <c r="I108" s="32" t="str">
        <f>IF(AND(I$107&gt;='Synthetic Features (k-NN)'!$G$9,I$107&lt;='Synthetic Features (k-NN)'!$G$10,MOD(I$107-'Synthetic Features (k-NN)'!$G$9,2)=0),"k = "&amp;I$107,"")</f>
        <v/>
      </c>
      <c r="J108" s="32" t="str">
        <f>IF(AND(J$107&gt;='Synthetic Features (k-NN)'!$G$9,J$107&lt;='Synthetic Features (k-NN)'!$G$10,MOD(J$107-'Synthetic Features (k-NN)'!$G$9,2)=0),"k = "&amp;J$107,"")</f>
        <v/>
      </c>
    </row>
    <row r="109" spans="1:10" ht="15.6" customHeight="1" x14ac:dyDescent="0.3">
      <c r="A109" s="19" t="s">
        <v>140</v>
      </c>
      <c r="B109" s="18" t="str">
        <f>INDEX('Zhuravlev Distances'!$B$4:$K$4,B110)</f>
        <v>S₉</v>
      </c>
      <c r="C109" s="18" t="str">
        <f>INDEX('Zhuravlev Distances'!$B$4:$K$4,C110)</f>
        <v>S₁</v>
      </c>
      <c r="D109" s="18" t="str">
        <f>INDEX('Zhuravlev Distances'!$B$4:$K$4,D110)</f>
        <v>S₂</v>
      </c>
      <c r="E109" s="18" t="str">
        <f>INDEX('Zhuravlev Distances'!$B$4:$K$4,E110)</f>
        <v>S₈</v>
      </c>
      <c r="F109" s="18" t="str">
        <f>INDEX('Zhuravlev Distances'!$B$4:$K$4,F110)</f>
        <v>S₄</v>
      </c>
      <c r="G109" s="18" t="str">
        <f>INDEX('Zhuravlev Distances'!$B$4:$K$4,G110)</f>
        <v>S₆</v>
      </c>
      <c r="H109" s="18" t="str">
        <f>INDEX('Zhuravlev Distances'!$B$4:$K$4,H110)</f>
        <v>S₃</v>
      </c>
      <c r="I109" s="18" t="str">
        <f>INDEX('Zhuravlev Distances'!$B$4:$K$4,I110)</f>
        <v>S₅</v>
      </c>
      <c r="J109" s="18" t="str">
        <f>INDEX('Zhuravlev Distances'!$B$4:$K$4,J110)</f>
        <v>S₇</v>
      </c>
    </row>
    <row r="110" spans="1:10" ht="15.6" customHeight="1" x14ac:dyDescent="0.3">
      <c r="A110" s="19" t="s">
        <v>141</v>
      </c>
      <c r="B110" s="30">
        <f t="shared" ref="B110:J110" si="9">MATCH(B$107,$B$14:$K$14,0)</f>
        <v>9</v>
      </c>
      <c r="C110" s="30">
        <f t="shared" si="9"/>
        <v>1</v>
      </c>
      <c r="D110" s="30">
        <f t="shared" si="9"/>
        <v>2</v>
      </c>
      <c r="E110" s="30">
        <f t="shared" si="9"/>
        <v>8</v>
      </c>
      <c r="F110" s="30">
        <f t="shared" si="9"/>
        <v>4</v>
      </c>
      <c r="G110" s="30">
        <f t="shared" si="9"/>
        <v>6</v>
      </c>
      <c r="H110" s="30">
        <f t="shared" si="9"/>
        <v>3</v>
      </c>
      <c r="I110" s="30">
        <f t="shared" si="9"/>
        <v>5</v>
      </c>
      <c r="J110" s="30">
        <f t="shared" si="9"/>
        <v>7</v>
      </c>
    </row>
    <row r="111" spans="1:10" ht="15.6" customHeight="1" x14ac:dyDescent="0.3">
      <c r="A111" s="19" t="s">
        <v>170</v>
      </c>
      <c r="B111" s="26">
        <f>INDEX('Zhuravlev Distances'!$B$14:$K$14,B110)</f>
        <v>3.0275695948000001</v>
      </c>
      <c r="C111" s="26">
        <f>INDEX('Zhuravlev Distances'!$B$14:$K$14,C110)</f>
        <v>4.2218874557000001</v>
      </c>
      <c r="D111" s="26">
        <f>INDEX('Zhuravlev Distances'!$B$14:$K$14,D110)</f>
        <v>4.2267936164000002</v>
      </c>
      <c r="E111" s="26">
        <f>INDEX('Zhuravlev Distances'!$B$14:$K$14,E110)</f>
        <v>5.2444549058999996</v>
      </c>
      <c r="F111" s="26">
        <f>INDEX('Zhuravlev Distances'!$B$14:$K$14,F110)</f>
        <v>6.3981613993000002</v>
      </c>
      <c r="G111" s="26">
        <f>INDEX('Zhuravlev Distances'!$B$14:$K$14,G110)</f>
        <v>6.6181793930000001</v>
      </c>
      <c r="H111" s="26">
        <f>INDEX('Zhuravlev Distances'!$B$14:$K$14,H110)</f>
        <v>7.5342785257999996</v>
      </c>
      <c r="I111" s="26">
        <f>INDEX('Zhuravlev Distances'!$B$14:$K$14,I110)</f>
        <v>7.8920592328000003</v>
      </c>
      <c r="J111" s="26">
        <f>INDEX('Zhuravlev Distances'!$B$14:$K$14,J110)</f>
        <v>8.0250886607999998</v>
      </c>
    </row>
    <row r="112" spans="1:10" ht="15.6" customHeight="1" x14ac:dyDescent="0.3">
      <c r="A112" s="19" t="s">
        <v>1</v>
      </c>
      <c r="B112" s="22">
        <f>INDEX(Dataset!$O$3:$O$12,B110)</f>
        <v>2</v>
      </c>
      <c r="C112" s="22">
        <f>INDEX(Dataset!$O$3:$O$12,C110)</f>
        <v>2</v>
      </c>
      <c r="D112" s="22">
        <f>INDEX(Dataset!$O$3:$O$12,D110)</f>
        <v>1</v>
      </c>
      <c r="E112" s="22">
        <f>INDEX(Dataset!$O$3:$O$12,E110)</f>
        <v>2</v>
      </c>
      <c r="F112" s="22">
        <f>INDEX(Dataset!$O$3:$O$12,F110)</f>
        <v>1</v>
      </c>
      <c r="G112" s="22">
        <f>INDEX(Dataset!$O$3:$O$12,G110)</f>
        <v>1</v>
      </c>
      <c r="H112" s="22">
        <f>INDEX(Dataset!$O$3:$O$12,H110)</f>
        <v>2</v>
      </c>
      <c r="I112" s="22">
        <f>INDEX(Dataset!$O$3:$O$12,I110)</f>
        <v>1</v>
      </c>
      <c r="J112" s="22">
        <f>INDEX(Dataset!$O$3:$O$12,J110)</f>
        <v>2</v>
      </c>
    </row>
    <row r="113" spans="1:10" ht="15.6" customHeight="1" x14ac:dyDescent="0.3">
      <c r="A113" s="19" t="s">
        <v>171</v>
      </c>
      <c r="B113" s="28">
        <f>IF(B112=Dataset!$O$12,1,0)</f>
        <v>1</v>
      </c>
      <c r="C113" s="28">
        <f>IF(C112=Dataset!$O$12,1,0)</f>
        <v>1</v>
      </c>
      <c r="D113" s="28">
        <f>IF(D112=Dataset!$O$12,1,0)</f>
        <v>0</v>
      </c>
      <c r="E113" s="28">
        <f>IF(E112=Dataset!$O$12,1,0)</f>
        <v>1</v>
      </c>
      <c r="F113" s="28">
        <f>IF(F112=Dataset!$O$12,1,0)</f>
        <v>0</v>
      </c>
      <c r="G113" s="28">
        <f>IF(G112=Dataset!$O$12,1,0)</f>
        <v>0</v>
      </c>
      <c r="H113" s="28">
        <f>IF(H112=Dataset!$O$12,1,0)</f>
        <v>1</v>
      </c>
      <c r="I113" s="28">
        <f>IF(I112=Dataset!$O$12,1,0)</f>
        <v>0</v>
      </c>
      <c r="J113" s="28">
        <f>IF(J112=Dataset!$O$12,1,0)</f>
        <v>1</v>
      </c>
    </row>
    <row r="114" spans="1:10" ht="15.6" customHeight="1" x14ac:dyDescent="0.3">
      <c r="A114" s="19" t="s">
        <v>144</v>
      </c>
      <c r="B114" s="28">
        <f>SUM($B113:B113)</f>
        <v>1</v>
      </c>
      <c r="C114" s="28">
        <f>SUM($B113:C113)</f>
        <v>2</v>
      </c>
      <c r="D114" s="28">
        <f>SUM($B113:D113)</f>
        <v>2</v>
      </c>
      <c r="E114" s="28">
        <f>SUM($B113:E113)</f>
        <v>3</v>
      </c>
      <c r="F114" s="28">
        <f>SUM($B113:F113)</f>
        <v>3</v>
      </c>
      <c r="G114" s="28">
        <f>SUM($B113:G113)</f>
        <v>3</v>
      </c>
      <c r="H114" s="28">
        <f>SUM($B113:H113)</f>
        <v>4</v>
      </c>
      <c r="I114" s="28">
        <f>SUM($B113:I113)</f>
        <v>4</v>
      </c>
      <c r="J114" s="28">
        <f>SUM($B113:J113)</f>
        <v>5</v>
      </c>
    </row>
    <row r="115" spans="1:10" ht="15.6" customHeight="1" x14ac:dyDescent="0.3"/>
    <row r="116" spans="1:10" ht="15.6" customHeight="1" x14ac:dyDescent="0.3">
      <c r="A116" s="35" t="s">
        <v>172</v>
      </c>
    </row>
    <row r="117" spans="1:10" ht="15.6" customHeight="1" x14ac:dyDescent="0.3">
      <c r="A117" s="35" t="s">
        <v>173</v>
      </c>
    </row>
    <row r="118" spans="1:10" ht="15.6" customHeight="1" x14ac:dyDescent="0.3">
      <c r="A118" s="35" t="s">
        <v>174</v>
      </c>
    </row>
  </sheetData>
  <mergeCells count="12">
    <mergeCell ref="A1:J1"/>
    <mergeCell ref="A3:K3"/>
    <mergeCell ref="A16:J16"/>
    <mergeCell ref="A26:J26"/>
    <mergeCell ref="A36:J36"/>
    <mergeCell ref="A96:J96"/>
    <mergeCell ref="A106:J106"/>
    <mergeCell ref="A46:J46"/>
    <mergeCell ref="A56:J56"/>
    <mergeCell ref="A66:J66"/>
    <mergeCell ref="A76:J76"/>
    <mergeCell ref="A86:J86"/>
  </mergeCells>
  <conditionalFormatting sqref="B23:J23">
    <cfRule type="cellIs" dxfId="29" priority="1" operator="equal">
      <formula>1</formula>
    </cfRule>
  </conditionalFormatting>
  <conditionalFormatting sqref="B18:J18">
    <cfRule type="expression" dxfId="28" priority="11">
      <formula>B18&lt;&gt;""</formula>
    </cfRule>
  </conditionalFormatting>
  <conditionalFormatting sqref="B24:J24">
    <cfRule type="expression" dxfId="27" priority="12">
      <formula>B18&lt;&gt;""</formula>
    </cfRule>
  </conditionalFormatting>
  <conditionalFormatting sqref="B33:J33">
    <cfRule type="cellIs" dxfId="26" priority="2" operator="equal">
      <formula>1</formula>
    </cfRule>
  </conditionalFormatting>
  <conditionalFormatting sqref="B28:J28">
    <cfRule type="expression" dxfId="25" priority="13">
      <formula>B28&lt;&gt;""</formula>
    </cfRule>
  </conditionalFormatting>
  <conditionalFormatting sqref="B34:J34">
    <cfRule type="expression" dxfId="24" priority="14">
      <formula>B28&lt;&gt;""</formula>
    </cfRule>
  </conditionalFormatting>
  <conditionalFormatting sqref="B43:J43">
    <cfRule type="cellIs" dxfId="23" priority="3" operator="equal">
      <formula>1</formula>
    </cfRule>
  </conditionalFormatting>
  <conditionalFormatting sqref="B38:J38">
    <cfRule type="expression" dxfId="22" priority="15">
      <formula>B38&lt;&gt;""</formula>
    </cfRule>
  </conditionalFormatting>
  <conditionalFormatting sqref="B44:J44">
    <cfRule type="expression" dxfId="21" priority="16">
      <formula>B38&lt;&gt;""</formula>
    </cfRule>
  </conditionalFormatting>
  <conditionalFormatting sqref="B53:J53">
    <cfRule type="cellIs" dxfId="20" priority="4" operator="equal">
      <formula>1</formula>
    </cfRule>
  </conditionalFormatting>
  <conditionalFormatting sqref="B48:J48">
    <cfRule type="expression" dxfId="19" priority="17">
      <formula>B48&lt;&gt;""</formula>
    </cfRule>
  </conditionalFormatting>
  <conditionalFormatting sqref="B54:J54">
    <cfRule type="expression" dxfId="18" priority="18">
      <formula>B48&lt;&gt;""</formula>
    </cfRule>
  </conditionalFormatting>
  <conditionalFormatting sqref="B63:J63">
    <cfRule type="cellIs" dxfId="17" priority="5" operator="equal">
      <formula>1</formula>
    </cfRule>
  </conditionalFormatting>
  <conditionalFormatting sqref="B58:J58">
    <cfRule type="expression" dxfId="16" priority="19">
      <formula>B58&lt;&gt;""</formula>
    </cfRule>
  </conditionalFormatting>
  <conditionalFormatting sqref="B64:J64">
    <cfRule type="expression" dxfId="15" priority="20">
      <formula>B58&lt;&gt;""</formula>
    </cfRule>
  </conditionalFormatting>
  <conditionalFormatting sqref="B73:J73">
    <cfRule type="cellIs" dxfId="14" priority="6" operator="equal">
      <formula>1</formula>
    </cfRule>
  </conditionalFormatting>
  <conditionalFormatting sqref="B68:J68">
    <cfRule type="expression" dxfId="13" priority="21">
      <formula>B68&lt;&gt;""</formula>
    </cfRule>
  </conditionalFormatting>
  <conditionalFormatting sqref="B74:J74">
    <cfRule type="expression" dxfId="12" priority="22">
      <formula>B68&lt;&gt;""</formula>
    </cfRule>
  </conditionalFormatting>
  <conditionalFormatting sqref="B83:J83">
    <cfRule type="cellIs" dxfId="11" priority="7" operator="equal">
      <formula>1</formula>
    </cfRule>
  </conditionalFormatting>
  <conditionalFormatting sqref="B78:J78">
    <cfRule type="expression" dxfId="10" priority="23">
      <formula>B78&lt;&gt;""</formula>
    </cfRule>
  </conditionalFormatting>
  <conditionalFormatting sqref="B84:J84">
    <cfRule type="expression" dxfId="9" priority="24">
      <formula>B78&lt;&gt;""</formula>
    </cfRule>
  </conditionalFormatting>
  <conditionalFormatting sqref="B93:J93">
    <cfRule type="cellIs" dxfId="8" priority="8" operator="equal">
      <formula>1</formula>
    </cfRule>
  </conditionalFormatting>
  <conditionalFormatting sqref="B88:J88">
    <cfRule type="expression" dxfId="7" priority="25">
      <formula>B88&lt;&gt;""</formula>
    </cfRule>
  </conditionalFormatting>
  <conditionalFormatting sqref="B94:J94">
    <cfRule type="expression" dxfId="6" priority="26">
      <formula>B88&lt;&gt;""</formula>
    </cfRule>
  </conditionalFormatting>
  <conditionalFormatting sqref="B103:J103">
    <cfRule type="cellIs" dxfId="5" priority="9" operator="equal">
      <formula>1</formula>
    </cfRule>
  </conditionalFormatting>
  <conditionalFormatting sqref="B98:J98">
    <cfRule type="expression" dxfId="4" priority="27">
      <formula>B98&lt;&gt;""</formula>
    </cfRule>
  </conditionalFormatting>
  <conditionalFormatting sqref="B104:J104">
    <cfRule type="expression" dxfId="3" priority="28">
      <formula>B98&lt;&gt;""</formula>
    </cfRule>
  </conditionalFormatting>
  <conditionalFormatting sqref="B113:J113">
    <cfRule type="cellIs" dxfId="2" priority="10" operator="equal">
      <formula>1</formula>
    </cfRule>
  </conditionalFormatting>
  <conditionalFormatting sqref="B108:J108">
    <cfRule type="expression" dxfId="1" priority="29">
      <formula>B108&lt;&gt;""</formula>
    </cfRule>
  </conditionalFormatting>
  <conditionalFormatting sqref="B114:J114">
    <cfRule type="expression" dxfId="0" priority="30">
      <formula>B108&lt;&gt;""</formula>
    </cfRule>
  </conditionalFormatting>
  <printOptions horizontalCentered="1"/>
  <pageMargins left="0.4" right="0.4" top="0.7" bottom="0.6" header="0.3" footer="0.3"/>
  <pageSetup paperSize="9" fitToHeight="0" orientation="landscape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  <pageSetUpPr fitToPage="1"/>
  </sheetPr>
  <dimension ref="A1:G20"/>
  <sheetViews>
    <sheetView showGridLines="0" zoomScaleNormal="100" workbookViewId="0">
      <pane ySplit="2" topLeftCell="A3" activePane="bottomLeft" state="frozen"/>
      <selection pane="bottomLeft" activeCell="A5" sqref="A5"/>
    </sheetView>
  </sheetViews>
  <sheetFormatPr defaultRowHeight="14.4" x14ac:dyDescent="0.3"/>
  <cols>
    <col min="1" max="1" width="10.77734375" customWidth="1"/>
    <col min="2" max="3" width="13.77734375" customWidth="1"/>
    <col min="4" max="4" width="11.77734375" customWidth="1"/>
    <col min="5" max="5" width="4.77734375" customWidth="1"/>
    <col min="6" max="6" width="36.77734375" customWidth="1"/>
    <col min="7" max="7" width="40.77734375" customWidth="1"/>
  </cols>
  <sheetData>
    <row r="1" spans="1:7" ht="19.95" customHeight="1" x14ac:dyDescent="0.3">
      <c r="A1" s="65" t="s">
        <v>175</v>
      </c>
      <c r="B1" s="65"/>
      <c r="C1" s="65"/>
      <c r="D1" s="65"/>
      <c r="E1" s="65"/>
      <c r="F1" s="65"/>
      <c r="G1" s="65"/>
    </row>
    <row r="2" spans="1:7" ht="15.6" customHeight="1" x14ac:dyDescent="0.3"/>
    <row r="3" spans="1:7" ht="18" customHeight="1" x14ac:dyDescent="0.3">
      <c r="A3" s="66" t="s">
        <v>65</v>
      </c>
      <c r="B3" s="66"/>
      <c r="C3" s="66"/>
      <c r="D3" s="66"/>
      <c r="F3" s="66" t="s">
        <v>176</v>
      </c>
      <c r="G3" s="66"/>
    </row>
    <row r="4" spans="1:7" ht="15.6" customHeight="1" x14ac:dyDescent="0.3">
      <c r="A4" s="16" t="s">
        <v>0</v>
      </c>
      <c r="B4" s="17">
        <f>IF($G$9&lt;=$G$10,$G$9,"—")</f>
        <v>3</v>
      </c>
      <c r="C4" s="17">
        <f>IF($G$9+2&lt;=$G$10,$G$9+2,"—")</f>
        <v>5</v>
      </c>
      <c r="D4" s="16" t="s">
        <v>1</v>
      </c>
      <c r="F4" s="33" t="s">
        <v>177</v>
      </c>
      <c r="G4" s="34">
        <f>COUNT(Dataset!O3:O12)</f>
        <v>10</v>
      </c>
    </row>
    <row r="5" spans="1:7" ht="15.6" customHeight="1" x14ac:dyDescent="0.3">
      <c r="A5" s="18" t="s">
        <v>107</v>
      </c>
      <c r="B5" s="31">
        <f>IF(ISNUMBER(B$4),INDEX('Sorted Neighbors'!$B$24:$J$24,B$4),"—")</f>
        <v>3</v>
      </c>
      <c r="C5" s="31">
        <f>IF(ISNUMBER(C$4),INDEX('Sorted Neighbors'!$B$24:$J$24,C$4),"—")</f>
        <v>3</v>
      </c>
      <c r="D5" s="22">
        <f>Dataset!O3</f>
        <v>2</v>
      </c>
      <c r="F5" s="33" t="s">
        <v>178</v>
      </c>
      <c r="G5" s="34">
        <f>G4-1</f>
        <v>9</v>
      </c>
    </row>
    <row r="6" spans="1:7" ht="15.6" customHeight="1" x14ac:dyDescent="0.3">
      <c r="A6" s="18" t="s">
        <v>108</v>
      </c>
      <c r="B6" s="31">
        <f>IF(ISNUMBER(B$4),INDEX('Sorted Neighbors'!$B$34:$J$34,B$4),"—")</f>
        <v>0</v>
      </c>
      <c r="C6" s="31">
        <f>IF(ISNUMBER(C$4),INDEX('Sorted Neighbors'!$B$34:$J$34,C$4),"—")</f>
        <v>1</v>
      </c>
      <c r="D6" s="22">
        <f>Dataset!O4</f>
        <v>1</v>
      </c>
      <c r="F6" s="33" t="s">
        <v>179</v>
      </c>
      <c r="G6" s="34">
        <f>COUNTIF(Dataset!O3:O12,1)</f>
        <v>4</v>
      </c>
    </row>
    <row r="7" spans="1:7" ht="15.6" customHeight="1" x14ac:dyDescent="0.3">
      <c r="A7" s="18" t="s">
        <v>109</v>
      </c>
      <c r="B7" s="31">
        <f>IF(ISNUMBER(B$4),INDEX('Sorted Neighbors'!$B$44:$J$44,B$4),"—")</f>
        <v>1</v>
      </c>
      <c r="C7" s="31">
        <f>IF(ISNUMBER(C$4),INDEX('Sorted Neighbors'!$B$44:$J$44,C$4),"—")</f>
        <v>2</v>
      </c>
      <c r="D7" s="22">
        <f>Dataset!O5</f>
        <v>2</v>
      </c>
      <c r="F7" s="33" t="s">
        <v>180</v>
      </c>
      <c r="G7" s="34">
        <f>COUNTIF(Dataset!O3:O12,2)</f>
        <v>6</v>
      </c>
    </row>
    <row r="8" spans="1:7" ht="15.6" customHeight="1" x14ac:dyDescent="0.3">
      <c r="A8" s="18" t="s">
        <v>110</v>
      </c>
      <c r="B8" s="31">
        <f>IF(ISNUMBER(B$4),INDEX('Sorted Neighbors'!$B$54:$J$54,B$4),"—")</f>
        <v>1</v>
      </c>
      <c r="C8" s="31">
        <f>IF(ISNUMBER(C$4),INDEX('Sorted Neighbors'!$B$54:$J$54,C$4),"—")</f>
        <v>1</v>
      </c>
      <c r="D8" s="22">
        <f>Dataset!O6</f>
        <v>1</v>
      </c>
      <c r="F8" s="33" t="s">
        <v>181</v>
      </c>
      <c r="G8" s="34">
        <f>MIN(G6,G7)</f>
        <v>4</v>
      </c>
    </row>
    <row r="9" spans="1:7" ht="15.6" customHeight="1" x14ac:dyDescent="0.3">
      <c r="A9" s="18" t="s">
        <v>111</v>
      </c>
      <c r="B9" s="31">
        <f>IF(ISNUMBER(B$4),INDEX('Sorted Neighbors'!$B$64:$J$64,B$4),"—")</f>
        <v>1</v>
      </c>
      <c r="C9" s="31">
        <f>IF(ISNUMBER(C$4),INDEX('Sorted Neighbors'!$B$64:$J$64,C$4),"—")</f>
        <v>2</v>
      </c>
      <c r="D9" s="22">
        <f>Dataset!O7</f>
        <v>1</v>
      </c>
      <c r="F9" s="33" t="s">
        <v>182</v>
      </c>
      <c r="G9" s="34">
        <v>3</v>
      </c>
    </row>
    <row r="10" spans="1:7" ht="15.6" customHeight="1" x14ac:dyDescent="0.3">
      <c r="A10" s="18" t="s">
        <v>112</v>
      </c>
      <c r="B10" s="31">
        <f>IF(ISNUMBER(B$4),INDEX('Sorted Neighbors'!$B$74:$J$74,B$4),"—")</f>
        <v>1</v>
      </c>
      <c r="C10" s="31">
        <f>IF(ISNUMBER(C$4),INDEX('Sorted Neighbors'!$B$74:$J$74,C$4),"—")</f>
        <v>2</v>
      </c>
      <c r="D10" s="22">
        <f>Dataset!O8</f>
        <v>1</v>
      </c>
      <c r="F10" s="33" t="s">
        <v>73</v>
      </c>
      <c r="G10" s="34">
        <f>2*G8-3</f>
        <v>5</v>
      </c>
    </row>
    <row r="11" spans="1:7" ht="15.6" customHeight="1" x14ac:dyDescent="0.3">
      <c r="A11" s="18" t="s">
        <v>113</v>
      </c>
      <c r="B11" s="31">
        <f>IF(ISNUMBER(B$4),INDEX('Sorted Neighbors'!$B$84:$J$84,B$4),"—")</f>
        <v>2</v>
      </c>
      <c r="C11" s="31">
        <f>IF(ISNUMBER(C$4),INDEX('Sorted Neighbors'!$B$84:$J$84,C$4),"—")</f>
        <v>4</v>
      </c>
      <c r="D11" s="22">
        <f>Dataset!O9</f>
        <v>2</v>
      </c>
      <c r="F11" s="33" t="s">
        <v>183</v>
      </c>
      <c r="G11" s="34" t="str">
        <f>IF(ISNUMBER(B4),B4&amp;IF(ISNUMBER(C4),", "&amp;C4,""),"none")</f>
        <v>3, 5</v>
      </c>
    </row>
    <row r="12" spans="1:7" ht="15.6" customHeight="1" x14ac:dyDescent="0.3">
      <c r="A12" s="18" t="s">
        <v>114</v>
      </c>
      <c r="B12" s="31">
        <f>IF(ISNUMBER(B$4),INDEX('Sorted Neighbors'!$B$94:$J$94,B$4),"—")</f>
        <v>2</v>
      </c>
      <c r="C12" s="31">
        <f>IF(ISNUMBER(C$4),INDEX('Sorted Neighbors'!$B$94:$J$94,C$4),"—")</f>
        <v>3</v>
      </c>
      <c r="D12" s="22">
        <f>Dataset!O10</f>
        <v>2</v>
      </c>
      <c r="F12" s="33" t="s">
        <v>184</v>
      </c>
      <c r="G12" s="34">
        <f>IF(G10&lt;G9,0,INT((G10-G9)/2)+1)</f>
        <v>2</v>
      </c>
    </row>
    <row r="13" spans="1:7" ht="15.6" customHeight="1" x14ac:dyDescent="0.3">
      <c r="A13" s="18" t="s">
        <v>115</v>
      </c>
      <c r="B13" s="31">
        <f>IF(ISNUMBER(B$4),INDEX('Sorted Neighbors'!$B$104:$J$104,B$4),"—")</f>
        <v>3</v>
      </c>
      <c r="C13" s="31">
        <f>IF(ISNUMBER(C$4),INDEX('Sorted Neighbors'!$B$104:$J$104,C$4),"—")</f>
        <v>3</v>
      </c>
      <c r="D13" s="22">
        <f>Dataset!O11</f>
        <v>2</v>
      </c>
      <c r="F13" s="33" t="s">
        <v>185</v>
      </c>
      <c r="G13" s="34" t="str">
        <f>IF(G12=2,"✓ all permitted k are in the table",IF(G12&gt;2,"⚠ "&amp;G12&amp;" permitted k: add "&amp;(G12-2)&amp;" column(s)","✓ "&amp;G12&amp;" permitted k; unused columns show —"))</f>
        <v>✓ all permitted k are in the table</v>
      </c>
    </row>
    <row r="14" spans="1:7" ht="15.6" customHeight="1" x14ac:dyDescent="0.3">
      <c r="A14" s="18" t="s">
        <v>116</v>
      </c>
      <c r="B14" s="31">
        <f>IF(ISNUMBER(B$4),INDEX('Sorted Neighbors'!$B$114:$J$114,B$4),"—")</f>
        <v>2</v>
      </c>
      <c r="C14" s="31">
        <f>IF(ISNUMBER(C$4),INDEX('Sorted Neighbors'!$B$114:$J$114,C$4),"—")</f>
        <v>3</v>
      </c>
      <c r="D14" s="22">
        <f>Dataset!O12</f>
        <v>2</v>
      </c>
      <c r="F14" s="33" t="s">
        <v>186</v>
      </c>
      <c r="G14" s="34" t="s">
        <v>187</v>
      </c>
    </row>
    <row r="15" spans="1:7" ht="15.6" customHeight="1" x14ac:dyDescent="0.3">
      <c r="F15" s="33" t="s">
        <v>188</v>
      </c>
      <c r="G15" s="34" t="s">
        <v>189</v>
      </c>
    </row>
    <row r="16" spans="1:7" ht="15.6" customHeight="1" x14ac:dyDescent="0.3"/>
    <row r="17" spans="1:1" ht="15.6" customHeight="1" x14ac:dyDescent="0.3">
      <c r="A17" s="35" t="s">
        <v>190</v>
      </c>
    </row>
    <row r="18" spans="1:1" ht="15.6" customHeight="1" x14ac:dyDescent="0.3">
      <c r="A18" s="35" t="s">
        <v>191</v>
      </c>
    </row>
    <row r="19" spans="1:1" ht="15.6" customHeight="1" x14ac:dyDescent="0.3">
      <c r="A19" s="35" t="s">
        <v>192</v>
      </c>
    </row>
    <row r="20" spans="1:1" ht="15.6" customHeight="1" x14ac:dyDescent="0.3">
      <c r="A20" s="35" t="s">
        <v>193</v>
      </c>
    </row>
  </sheetData>
  <mergeCells count="3">
    <mergeCell ref="A1:G1"/>
    <mergeCell ref="A3:D3"/>
    <mergeCell ref="F3:G3"/>
  </mergeCells>
  <printOptions horizontalCentered="1"/>
  <pageMargins left="0.4" right="0.4" top="0.7" bottom="0.6" header="0.3" footer="0.3"/>
  <pageSetup paperSize="9" fitToHeight="0" orientation="landscape"/>
  <headerFooter>
    <oddHeader>&amp;L&amp;"Calibri,Bold"&amp;9Forming Synthetic Features using k-NN —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Dataset</vt:lpstr>
      <vt:lpstr>Quantitative</vt:lpstr>
      <vt:lpstr>Nominal</vt:lpstr>
      <vt:lpstr>Normalized Dataset</vt:lpstr>
      <vt:lpstr>Zhuravlev Distances</vt:lpstr>
      <vt:lpstr>Sorted Neighbors</vt:lpstr>
      <vt:lpstr>Synthetic Features (k-NN)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Forming Synthetic Features using k-NN — Heart-Disease (10, 13, 2)</dc:title>
  <dc:subject>Zhuravlev metric, sorted neighbours and same-class counts for k = 3 … 2·min|Kᵢ| − 3 (synthetic features based on k-NN)</dc:subject>
  <dc:creator/>
  <cp:lastModifiedBy/>
  <dcterms:created xsi:type="dcterms:W3CDTF">2015-06-05T18:19:34Z</dcterms:created>
  <dcterms:modified xsi:type="dcterms:W3CDTF">2026-09-28T11:52:17Z</dcterms:modified>
</cp:coreProperties>
</file>