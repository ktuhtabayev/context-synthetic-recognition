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EBC60B23-1D0E-4197-A0CE-1D4EF850E5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verview" sheetId="1" r:id="rIdS1"/>
    <sheet name="Parameters" sheetId="2" r:id="rIdS2"/>
    <sheet name="Template Deviations" sheetId="3" r:id="rIdS3"/>
    <sheet name="Dataset" sheetId="4" r:id="rIdS4"/>
    <sheet name="Quantitative" sheetId="5" r:id="rIdS5"/>
    <sheet name="Nominal" sheetId="6" r:id="rIdS6"/>
    <sheet name="Normalized Dataset" sheetId="7" r:id="rIdS7"/>
    <sheet name="Zhuravlev Distances" sheetId="8" r:id="rIdS8"/>
    <sheet name="Sorted Neighbors (ρ)" sheetId="9" r:id="rIdS9"/>
    <sheet name="Sorted Neighbors (ρ_I)" sheetId="10" r:id="rIdS10"/>
    <sheet name="Sorted Neighbors (ρ_J)" sheetId="11" r:id="rIdS11"/>
    <sheet name="Synthetic Features (k-NN)" sheetId="12" r:id="rIdS12"/>
    <sheet name="Ψ(r) Binary Features" sheetId="13" r:id="rIdS13"/>
    <sheet name="Membership &amp; Stability" sheetId="14" r:id="rIdS14"/>
    <sheet name="Informativeness ω" sheetId="15" r:id="rIdS15"/>
    <sheet name="Ψ(r) Contribution &amp; Weight" sheetId="16" r:id="rIdS16"/>
    <sheet name="Greedy upon Weight (1-Latent)" sheetId="17" r:id="rIdS17"/>
    <sheet name="Greedy upon Weight (2-Latent)" sheetId="18" r:id="rIdS18"/>
    <sheet name="Greedy upon Weight (3-Latent)" sheetId="19" r:id="rIdS19"/>
    <sheet name="Greedy upon Weight (4-Latent)" sheetId="20" r:id="rIdS20"/>
    <sheet name="Dataset for Meta-algorithm" sheetId="21" r:id="rIdS21"/>
    <sheet name="Brace for Meta-algorithm" sheetId="22" r:id="rIdS22"/>
    <sheet name="Meta-algorithm" sheetId="23" r:id="rIdS23"/>
    <sheet name="Meta-algorithm (All Objects)" sheetId="24" r:id="rIdS24"/>
    <sheet name="Margin Analysis" sheetId="25" r:id="rIdS25"/>
    <sheet name="Accuracy" sheetId="26" r:id="rIdS26"/>
    <sheet name="Confusion Matrix" sheetId="27" r:id="rIdS27"/>
    <sheet name="Precision, Recall, F1 Score" sheetId="28" r:id="rIdS28"/>
    <sheet name="ROC Curve &amp; AUC" sheetId="29" r:id="rIdS29"/>
    <sheet name="Leave-One-Out" sheetId="30" r:id="rIdS30"/>
    <sheet name="Sensitivity (Switches)" sheetId="31" r:id="rIdS31"/>
    <sheet name="Model Properties" sheetId="32" r:id="rIdS32"/>
    <sheet name="Validation" sheetId="33" r:id="rIdS3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<sst xmlns="http://schemas.openxmlformats.org/spreadsheetml/2006/main" count="94" uniqueCount="61">
  <si>
    <t>№</t>
  </si>
  <si>
    <t>Class</t>
  </si>
  <si>
    <t>K2 = 6</t>
  </si>
  <si>
    <t>Nominal Features</t>
  </si>
  <si>
    <t>Quantitative Features</t>
  </si>
  <si>
    <t>K1 = 4</t>
  </si>
  <si>
    <t>Heart + Disease (10, 13, 2)</t>
  </si>
  <si>
    <t xml:space="preserve">Total Number of Quantitative Features - </t>
  </si>
  <si>
    <t xml:space="preserve">Total Number of Nominal Features - </t>
  </si>
  <si>
    <t xml:space="preserve">Sign of Quantitative Features - </t>
  </si>
  <si>
    <t xml:space="preserve">Sign of Nominal Features - </t>
  </si>
  <si>
    <t xml:space="preserve">Color and Sign of Quantitative Features - </t>
  </si>
  <si>
    <t xml:space="preserve">Color and Sign of Nominal Features - </t>
  </si>
  <si>
    <t>Model Evaluation</t>
  </si>
  <si>
    <t>Evaluation of the HAG meta-algorithm on the Heart-Disease dataset  ·  10 objects  ·  13 features  ·  2 classes</t>
  </si>
  <si>
    <t>Workbook map</t>
  </si>
  <si>
    <t>#</t>
  </si>
  <si>
    <t>Sheet</t>
  </si>
  <si>
    <t>Stage</t>
  </si>
  <si>
    <t>What it contains</t>
  </si>
  <si>
    <t>Dataset</t>
  </si>
  <si>
    <t>1 · Input data</t>
  </si>
  <si>
    <t>Original sample: 10 objects (S₁–S₁₀) × 13 features (x₁–x₁₃) with class labels (K1 = 4, K2 = 6); feature-type flags (1 = quantitative, 0 = nominal) and the split into 6 quantitative and 7 nominal features.</t>
  </si>
  <si>
    <t>Quantitative</t>
  </si>
  <si>
    <t>2 · Feature analysis</t>
  </si>
  <si>
    <t>Quantitative features: Criterion 1 boundary values and weights, per-feature class-sorted tables, conversion to a nominal scale, gradations, weights and contributions of gradations, and the features expressed as contribution values.</t>
  </si>
  <si>
    <t>Nominal</t>
  </si>
  <si>
    <t>Nominal features: class-sorted table, gradations with a helper list, gradation parameters, λ, β and weight ω of each feature, contributions of gradations, and the features expressed as contribution values.</t>
  </si>
  <si>
    <t>Key figures</t>
  </si>
  <si>
    <t>Figure</t>
  </si>
  <si>
    <t>Value</t>
  </si>
  <si>
    <t>Linked to</t>
  </si>
  <si>
    <t>Objects (samples)</t>
  </si>
  <si>
    <t>Dataset · O3:O12</t>
  </si>
  <si>
    <t>Features in the original dataset</t>
  </si>
  <si>
    <t>Dataset · B3:N3</t>
  </si>
  <si>
    <t>Classes</t>
  </si>
  <si>
    <t>Objects in class 1 (K1)</t>
  </si>
  <si>
    <t>Objects in class 2 (K2)</t>
  </si>
  <si>
    <t>Quantitative features</t>
  </si>
  <si>
    <t>Dataset · F17</t>
  </si>
  <si>
    <t>Nominal features</t>
  </si>
  <si>
    <t>Dataset · P17</t>
  </si>
  <si>
    <t>Colour legend</t>
  </si>
  <si>
    <t>Aa</t>
  </si>
  <si>
    <t>Sheet title / main table title</t>
  </si>
  <si>
    <t>Section title, Step / STEP box</t>
  </si>
  <si>
    <t>Column header (feature symbols x, y, r, a, d …)</t>
  </si>
  <si>
    <t>Object label S₁…S₁₀ and row captions</t>
  </si>
  <si>
    <t>Quantitative feature values</t>
  </si>
  <si>
    <t>Nominal feature values / new-object values</t>
  </si>
  <si>
    <t>Class label (1 / 2)</t>
  </si>
  <si>
    <t>Selected feature / highlighted result</t>
  </si>
  <si>
    <t>Initial (original) features in the meta-dataset · margin-diagram labels</t>
  </si>
  <si>
    <t>Additional (latent) features / latent training values</t>
  </si>
  <si>
    <t>Final result — class assigned to the new object</t>
  </si>
  <si>
    <t>Key label (counts, sign / colour keys)</t>
  </si>
  <si>
    <t>Notes</t>
  </si>
  <si>
    <t>•  Symbols such as x₁, S₁, ω_c, η_c, a_i and d_i in the sheets are Office-Math equation objects placed over the cells; they display fully in Excel for Windows / Mac.</t>
  </si>
  <si>
    <t>•  All numbers, formulas and results are identical to the original workbook; only formatting, colours, print setup and this Overview sheet were added. Numbers keep the original General display.</t>
  </si>
  <si>
    <t>•  Every sheet is set up to print landscape on A4, one page wide, with the workbook name, sheet name and page numbers in the header / footer.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</si>
</sst>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&quot;k = &quot;0"/>
    <numFmt numFmtId="166" formatCode="&quot;Yes&quot;;&quot;Yes&quot;;&quot;No&quot;"/>
    <numFmt numFmtId="167" formatCode="[=999]&quot;—&quot;;0"/>
    <numFmt numFmtId="168" formatCode="&quot;executed&quot;;&quot;executed&quot;;&quot;not executed&quot;"/>
    <numFmt numFmtId="169" formatCode="0.0%"/>
  </numFmts>
  <fonts count="4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1F386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rgb="FF9C0006"/>
      <name val="Calibri"/>
      <family val="2"/>
      <scheme val="minor"/>
    </font>
    <font>
      <b/>
      <i/>
      <sz val="12"/>
      <color rgb="FF3F315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1"/>
      <color rgb="FF595959"/>
      <name val="Calibri"/>
      <family val="2"/>
      <scheme val="minor"/>
    </font>
    <font>
      <b/>
      <sz val="13"/>
      <color rgb="FF1F3864"/>
      <name val="Calibri"/>
      <family val="2"/>
      <scheme val="minor"/>
    </font>
    <font>
      <b/>
      <u/>
      <sz val="11"/>
      <color rgb="FF0563C1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i/>
      <sz val="10"/>
      <color rgb="FF595959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7F7F7F"/>
      <name val="Calibri"/>
      <family val="2"/>
      <scheme val="minor"/>
    </font>
    <font>
      <sz val="12"/>
      <color rgb="FF595959"/>
      <name val="Calibri"/>
      <family val="2"/>
      <scheme val="minor"/>
    </font>
    <font>
      <b/>
      <sz val="12"/>
      <color rgb="FF595959"/>
      <name val="Calibri"/>
      <family val="2"/>
      <scheme val="minor"/>
    </font>
    <font>
      <b/>
      <sz val="12"/>
      <color rgb="FF0000CC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rgb="FF833C0B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404040"/>
      <name val="Calibri"/>
      <family val="2"/>
      <scheme val="minor"/>
    </font>
    <font>
      <b/>
      <i/>
      <sz val="11"/>
      <color rgb="FF833C0B"/>
      <name val="Calibri"/>
      <family val="2"/>
      <scheme val="minor"/>
    </font>
    <font>
      <b/>
      <sz val="11"/>
      <color rgb="FF833C0B"/>
      <name val="Calibri"/>
      <family val="2"/>
      <scheme val="minor"/>
    </font>
    <font>
      <b/>
      <i/>
      <sz val="12"/>
      <color rgb="FF833C0B"/>
      <name val="Calibri"/>
      <family val="2"/>
      <scheme val="minor"/>
    </font>
    <font>
      <b/>
      <sz val="12"/>
      <color rgb="FF9C0055"/>
      <name val="Calibri"/>
      <family val="2"/>
      <scheme val="minor"/>
    </font>
    <font>
      <b/>
      <i/>
      <sz val="11"/>
      <color rgb="FF9C0055"/>
      <name val="Calibri"/>
      <family val="2"/>
      <scheme val="minor"/>
    </font>
    <font>
      <b/>
      <sz val="11"/>
      <color rgb="FF9C0055"/>
      <name val="Calibri"/>
      <family val="2"/>
      <scheme val="minor"/>
    </font>
    <font>
      <b/>
      <i/>
      <sz val="12"/>
      <color rgb="FF9C0055"/>
      <name val="Calibri"/>
      <family val="2"/>
      <scheme val="minor"/>
    </font>
    <font>
      <sz val="10"/>
      <color rgb="FF1F3864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3F3151"/>
      <name val="Calibri"/>
      <family val="2"/>
      <scheme val="minor"/>
    </font>
    <font>
      <b/>
      <sz val="11"/>
      <color rgb="FF0000CC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FF3E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7DEA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DCEB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E1F0"/>
        <bgColor indexed="64"/>
      </patternFill>
    </fill>
    <fill>
      <patternFill patternType="solid">
        <fgColor rgb="FFFFC7E0"/>
        <bgColor indexed="64"/>
      </patternFill>
    </fill>
    <fill>
      <patternFill patternType="solid">
        <fgColor rgb="FFC00070"/>
        <bgColor indexed="64"/>
      </patternFill>
    </fill>
    <fill>
      <patternFill patternType="solid">
        <fgColor rgb="FFF7F9FC"/>
        <bgColor indexed="64"/>
      </patternFill>
    </fill>
  </fills>
  <borders count="1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595959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medium">
        <color rgb="FF1F3864"/>
      </top>
      <bottom style="thin">
        <color rgb="FFBFBFBF"/>
      </bottom>
      <diagonal/>
    </border>
    <border>
      <left/>
      <right/>
      <top style="medium">
        <color rgb="FF1F3864"/>
      </top>
      <bottom style="thin">
        <color rgb="FFBFBFBF"/>
      </bottom>
      <diagonal/>
    </border>
    <border>
      <left/>
      <right style="thin">
        <color rgb="FFBFBFBF"/>
      </right>
      <top style="medium">
        <color rgb="FF1F3864"/>
      </top>
      <bottom style="thin">
        <color rgb="FFBFBFBF"/>
      </bottom>
      <diagonal/>
    </border>
    <border>
      <left style="medium">
        <color rgb="FFC55A11"/>
      </left>
      <right style="medium">
        <color rgb="FFC55A11"/>
      </right>
      <top style="medium">
        <color rgb="FFC55A11"/>
      </top>
      <bottom style="medium">
        <color rgb="FFC55A11"/>
      </bottom>
      <diagonal/>
    </border>
    <border>
      <left style="medium">
        <color rgb="FFC00070"/>
      </left>
      <right style="medium">
        <color rgb="FFC00070"/>
      </right>
      <top style="medium">
        <color rgb="FFC00070"/>
      </top>
      <bottom style="medium">
        <color rgb="FFC00070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left" vertical="center"/>
    </xf>
    <xf numFmtId="0" fontId="9" fillId="10" borderId="4" xfId="0" applyFont="1" applyFill="1" applyBorder="1" applyAlignment="1">
      <alignment horizontal="left" vertical="center" indent="1"/>
    </xf>
    <xf numFmtId="0" fontId="9" fillId="1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left" vertical="center" wrapText="1" indent="1"/>
    </xf>
    <xf numFmtId="0" fontId="6" fillId="0" borderId="4" xfId="0" applyFont="1" applyFill="1" applyBorder="1" applyAlignment="1">
      <alignment horizontal="left" vertical="center" wrapText="1" indent="1"/>
    </xf>
    <xf numFmtId="0" fontId="14" fillId="0" borderId="4" xfId="0" applyFont="1" applyFill="1" applyBorder="1" applyAlignment="1">
      <alignment horizontal="left" vertical="center" indent="1"/>
    </xf>
    <xf numFmtId="0" fontId="16" fillId="15" borderId="4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horizontal="left" vertical="center" indent="1"/>
    </xf>
    <xf numFmtId="0" fontId="9" fillId="2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left" vertical="center" wrapText="1" indent="1"/>
    </xf>
    <xf numFmtId="0" fontId="10" fillId="0" borderId="7" xfId="0" applyFont="1" applyFill="1" applyBorder="1" applyAlignment="1">
      <alignment horizontal="left" vertical="center" wrapText="1" indent="1"/>
    </xf>
    <xf numFmtId="0" fontId="10" fillId="0" borderId="8" xfId="0" applyFont="1" applyFill="1" applyBorder="1" applyAlignment="1">
      <alignment horizontal="left" vertical="center" wrapText="1" indent="1"/>
    </xf>
    <xf numFmtId="0" fontId="10" fillId="0" borderId="9" xfId="0" applyFont="1" applyFill="1" applyBorder="1" applyAlignment="1">
      <alignment horizontal="left" vertical="center" wrapText="1" indent="1"/>
    </xf>
    <xf numFmtId="0" fontId="10" fillId="0" borderId="10" xfId="0" applyFont="1" applyFill="1" applyBorder="1" applyAlignment="1">
      <alignment horizontal="left" vertical="center" wrapText="1" indent="1"/>
    </xf>
    <xf numFmtId="0" fontId="10" fillId="0" borderId="11" xfId="0" applyFont="1" applyFill="1" applyBorder="1" applyAlignment="1">
      <alignment horizontal="left" vertical="center" wrapText="1" indent="1"/>
    </xf>
    <xf numFmtId="0" fontId="10" fillId="0" borderId="12" xfId="0" applyFont="1" applyFill="1" applyBorder="1" applyAlignment="1">
      <alignment horizontal="left" vertical="center" wrapText="1" indent="1"/>
    </xf>
    <xf numFmtId="0" fontId="15" fillId="0" borderId="6" xfId="0" applyFont="1" applyFill="1" applyBorder="1" applyAlignment="1">
      <alignment horizontal="left" vertical="center" wrapText="1" indent="1"/>
    </xf>
    <xf numFmtId="0" fontId="11" fillId="2" borderId="0" xfId="0" applyFont="1" applyFill="1" applyBorder="1" applyAlignment="1">
      <alignment horizontal="left" vertical="center" indent="1"/>
    </xf>
    <xf numFmtId="0" fontId="12" fillId="0" borderId="0" xfId="0" applyFont="1" applyFill="1" applyBorder="1" applyAlignment="1">
      <alignment horizontal="left" vertical="center" inden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center" vertical="center"/>
    </xf>
    <xf numFmtId="0" fontId="1" fillId="10" borderId="1" xfId="0" applyNumberFormat="1" applyFont="1" applyFill="1" applyBorder="1" applyAlignment="1">
      <alignment horizontal="left" vertical="center" inden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 indent="1"/>
    </xf>
    <xf numFmtId="165" fontId="2" fillId="3" borderId="1" xfId="0" applyNumberFormat="1" applyFont="1" applyFill="1" applyBorder="1" applyAlignment="1">
      <alignment horizontal="center" vertical="center"/>
    </xf>
    <xf numFmtId="0" fontId="3" fillId="11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left" vertical="center" indent="1"/>
    </xf>
    <xf numFmtId="164" fontId="5" fillId="6" borderId="1" xfId="0" applyNumberFormat="1" applyFont="1" applyFill="1" applyBorder="1" applyAlignment="1">
      <alignment horizontal="center" vertical="center"/>
    </xf>
    <xf numFmtId="0" fontId="5" fillId="7" borderId="1" xfId="0" applyNumberFormat="1" applyFont="1" applyFill="1" applyBorder="1" applyAlignment="1">
      <alignment horizontal="center" vertical="center"/>
    </xf>
    <xf numFmtId="0" fontId="7" fillId="8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18" fillId="15" borderId="1" xfId="0" applyNumberFormat="1" applyFont="1" applyFill="1" applyBorder="1" applyAlignment="1">
      <alignment horizontal="center" vertical="center"/>
    </xf>
    <xf numFmtId="0" fontId="2" fillId="15" borderId="1" xfId="0" applyNumberFormat="1" applyFont="1" applyFill="1" applyBorder="1" applyAlignment="1">
      <alignment horizontal="center" vertical="center"/>
    </xf>
    <xf numFmtId="164" fontId="5" fillId="16" borderId="1" xfId="0" applyNumberFormat="1" applyFont="1" applyFill="1" applyBorder="1" applyAlignment="1">
      <alignment horizontal="center" vertical="center"/>
    </xf>
    <xf numFmtId="164" fontId="19" fillId="15" borderId="1" xfId="0" applyNumberFormat="1" applyFont="1" applyFill="1" applyBorder="1" applyAlignment="1">
      <alignment horizontal="center" vertical="center"/>
    </xf>
    <xf numFmtId="0" fontId="5" fillId="16" borderId="1" xfId="0" applyNumberFormat="1" applyFont="1" applyFill="1" applyBorder="1" applyAlignment="1">
      <alignment horizontal="center" vertical="center"/>
    </xf>
    <xf numFmtId="0" fontId="19" fillId="15" borderId="1" xfId="0" applyNumberFormat="1" applyFont="1" applyFill="1" applyBorder="1" applyAlignment="1">
      <alignment horizontal="center" vertical="center"/>
    </xf>
    <xf numFmtId="0" fontId="20" fillId="16" borderId="1" xfId="0" applyNumberFormat="1" applyFont="1" applyFill="1" applyBorder="1" applyAlignment="1">
      <alignment horizontal="center" vertical="center"/>
    </xf>
    <xf numFmtId="167" fontId="5" fillId="16" borderId="1" xfId="0" applyNumberFormat="1" applyFont="1" applyFill="1" applyBorder="1" applyAlignment="1">
      <alignment horizontal="center" vertical="center"/>
    </xf>
    <xf numFmtId="0" fontId="0" fillId="16" borderId="1" xfId="0" applyNumberFormat="1" applyFont="1" applyFill="1" applyBorder="1" applyAlignment="1">
      <alignment horizontal="center" vertical="center"/>
    </xf>
    <xf numFmtId="0" fontId="21" fillId="16" borderId="1" xfId="0" applyNumberFormat="1" applyFont="1" applyFill="1" applyBorder="1" applyAlignment="1">
      <alignment horizontal="center" vertical="center"/>
    </xf>
    <xf numFmtId="0" fontId="4" fillId="17" borderId="1" xfId="0" applyNumberFormat="1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8" fillId="9" borderId="1" xfId="0" applyNumberFormat="1" applyFont="1" applyFill="1" applyBorder="1" applyAlignment="1">
      <alignment horizontal="left" vertical="center" indent="1"/>
    </xf>
    <xf numFmtId="0" fontId="4" fillId="9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left" vertical="center" indent="1"/>
    </xf>
    <xf numFmtId="164" fontId="4" fillId="9" borderId="1" xfId="0" applyNumberFormat="1" applyFont="1" applyFill="1" applyBorder="1" applyAlignment="1">
      <alignment horizontal="center" vertical="center"/>
    </xf>
    <xf numFmtId="0" fontId="4" fillId="9" borderId="1" xfId="0" applyNumberFormat="1" applyFont="1" applyFill="1" applyBorder="1" applyAlignment="1">
      <alignment horizontal="left" vertical="center" wrapText="1" indent="1"/>
    </xf>
    <xf numFmtId="0" fontId="22" fillId="16" borderId="1" xfId="0" applyNumberFormat="1" applyFont="1" applyFill="1" applyBorder="1" applyAlignment="1">
      <alignment horizontal="center" vertical="center"/>
    </xf>
    <xf numFmtId="166" fontId="4" fillId="9" borderId="1" xfId="0" applyNumberFormat="1" applyFont="1" applyFill="1" applyBorder="1" applyAlignment="1">
      <alignment horizontal="center" vertical="center"/>
    </xf>
    <xf numFmtId="166" fontId="5" fillId="16" borderId="1" xfId="0" applyNumberFormat="1" applyFont="1" applyFill="1" applyBorder="1" applyAlignment="1">
      <alignment horizontal="center" vertical="center"/>
    </xf>
    <xf numFmtId="168" fontId="23" fillId="3" borderId="1" xfId="0" applyNumberFormat="1" applyFont="1" applyFill="1" applyBorder="1" applyAlignment="1">
      <alignment horizontal="center" vertical="center"/>
    </xf>
    <xf numFmtId="0" fontId="24" fillId="13" borderId="1" xfId="0" applyNumberFormat="1" applyFont="1" applyFill="1" applyBorder="1" applyAlignment="1">
      <alignment horizontal="center" vertical="center"/>
    </xf>
    <xf numFmtId="164" fontId="24" fillId="13" borderId="1" xfId="0" applyNumberFormat="1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center" vertical="center"/>
    </xf>
    <xf numFmtId="164" fontId="5" fillId="14" borderId="1" xfId="0" applyNumberFormat="1" applyFont="1" applyFill="1" applyBorder="1" applyAlignment="1">
      <alignment horizontal="center" vertical="center"/>
    </xf>
    <xf numFmtId="164" fontId="5" fillId="12" borderId="1" xfId="0" applyNumberFormat="1" applyFont="1" applyFill="1" applyBorder="1" applyAlignment="1">
      <alignment horizontal="center" vertical="center"/>
    </xf>
    <xf numFmtId="0" fontId="25" fillId="18" borderId="1" xfId="0" applyNumberFormat="1" applyFont="1" applyFill="1" applyBorder="1" applyAlignment="1">
      <alignment horizontal="left" vertical="center" indent="1"/>
    </xf>
    <xf numFmtId="0" fontId="4" fillId="15" borderId="1" xfId="0" applyNumberFormat="1" applyFont="1" applyFill="1" applyBorder="1" applyAlignment="1">
      <alignment horizontal="left" vertical="center" indent="1"/>
    </xf>
    <xf numFmtId="0" fontId="26" fillId="19" borderId="1" xfId="0" applyNumberFormat="1" applyFont="1" applyFill="1" applyBorder="1" applyAlignment="1">
      <alignment horizontal="left" vertical="center" wrapText="1" indent="1"/>
    </xf>
    <xf numFmtId="0" fontId="27" fillId="0" borderId="0" xfId="0" applyNumberFormat="1" applyFont="1" applyFill="1" applyBorder="1" applyAlignment="1">
      <alignment horizontal="left" vertical="center"/>
    </xf>
    <xf numFmtId="0" fontId="28" fillId="16" borderId="1" xfId="0" applyNumberFormat="1" applyFont="1" applyFill="1" applyBorder="1" applyAlignment="1">
      <alignment horizontal="left" vertical="center" indent="1"/>
    </xf>
    <xf numFmtId="0" fontId="28" fillId="16" borderId="1" xfId="0" applyNumberFormat="1" applyFont="1" applyFill="1" applyBorder="1" applyAlignment="1">
      <alignment horizontal="left" vertical="center" wrapText="1" indent="1"/>
    </xf>
    <xf numFmtId="164" fontId="26" fillId="19" borderId="1" xfId="0" applyNumberFormat="1" applyFont="1" applyFill="1" applyBorder="1" applyAlignment="1">
      <alignment horizontal="center" vertical="center"/>
    </xf>
    <xf numFmtId="0" fontId="29" fillId="20" borderId="1" xfId="0" applyNumberFormat="1" applyFont="1" applyFill="1" applyBorder="1" applyAlignment="1">
      <alignment horizontal="center" vertical="center" wrapText="1"/>
    </xf>
    <xf numFmtId="0" fontId="30" fillId="19" borderId="13" xfId="0" applyNumberFormat="1" applyFont="1" applyFill="1" applyBorder="1" applyAlignment="1">
      <alignment horizontal="left" vertical="center" wrapText="1" indent="1"/>
    </xf>
    <xf numFmtId="0" fontId="30" fillId="19" borderId="1" xfId="0" applyNumberFormat="1" applyFont="1" applyFill="1" applyBorder="1" applyAlignment="1">
      <alignment horizontal="left" vertical="center" wrapText="1" indent="1"/>
    </xf>
    <xf numFmtId="0" fontId="1" fillId="21" borderId="1" xfId="0" applyNumberFormat="1" applyFont="1" applyFill="1" applyBorder="1" applyAlignment="1">
      <alignment horizontal="left" vertical="center" indent="1"/>
    </xf>
    <xf numFmtId="0" fontId="31" fillId="19" borderId="1" xfId="0" applyNumberFormat="1" applyFont="1" applyFill="1" applyBorder="1" applyAlignment="1">
      <alignment horizontal="left" vertical="center" indent="1"/>
    </xf>
    <xf numFmtId="0" fontId="30" fillId="19" borderId="1" xfId="0" applyNumberFormat="1" applyFont="1" applyFill="1" applyBorder="1" applyAlignment="1">
      <alignment horizontal="left" vertical="center" indent="1"/>
    </xf>
    <xf numFmtId="164" fontId="32" fillId="22" borderId="1" xfId="0" applyNumberFormat="1" applyFont="1" applyFill="1" applyBorder="1" applyAlignment="1">
      <alignment horizontal="center" vertical="center"/>
    </xf>
    <xf numFmtId="164" fontId="32" fillId="23" borderId="1" xfId="0" applyNumberFormat="1" applyFont="1" applyFill="1" applyBorder="1" applyAlignment="1">
      <alignment horizontal="center" vertical="center"/>
    </xf>
    <xf numFmtId="0" fontId="33" fillId="23" borderId="1" xfId="0" applyNumberFormat="1" applyFont="1" applyFill="1" applyBorder="1" applyAlignment="1">
      <alignment horizontal="center" vertical="center" wrapText="1"/>
    </xf>
    <xf numFmtId="0" fontId="34" fillId="22" borderId="14" xfId="0" applyNumberFormat="1" applyFont="1" applyFill="1" applyBorder="1" applyAlignment="1">
      <alignment horizontal="left" vertical="center" wrapText="1" indent="1"/>
    </xf>
    <xf numFmtId="0" fontId="1" fillId="24" borderId="1" xfId="0" applyNumberFormat="1" applyFont="1" applyFill="1" applyBorder="1" applyAlignment="1">
      <alignment horizontal="left" vertical="center" indent="1"/>
    </xf>
    <xf numFmtId="0" fontId="35" fillId="22" borderId="1" xfId="0" applyNumberFormat="1" applyFont="1" applyFill="1" applyBorder="1" applyAlignment="1">
      <alignment horizontal="left" vertical="center" indent="1"/>
    </xf>
    <xf numFmtId="0" fontId="34" fillId="22" borderId="1" xfId="0" applyNumberFormat="1" applyFont="1" applyFill="1" applyBorder="1" applyAlignment="1">
      <alignment horizontal="left" vertical="center" indent="1"/>
    </xf>
    <xf numFmtId="0" fontId="11" fillId="2" borderId="0" xfId="0" applyNumberFormat="1" applyFont="1" applyFill="1" applyBorder="1" applyAlignment="1">
      <alignment horizontal="left" vertical="center" indent="1"/>
    </xf>
    <xf numFmtId="0" fontId="12" fillId="0" borderId="0" xfId="0" applyNumberFormat="1" applyFont="1" applyFill="1" applyBorder="1" applyAlignment="1">
      <alignment horizontal="left" vertical="center" indent="1"/>
    </xf>
    <xf numFmtId="0" fontId="13" fillId="0" borderId="5" xfId="0" applyNumberFormat="1" applyFont="1" applyFill="1" applyBorder="1" applyAlignment="1">
      <alignment horizontal="left" vertical="center"/>
    </xf>
    <xf numFmtId="0" fontId="9" fillId="10" borderId="4" xfId="0" applyNumberFormat="1" applyFont="1" applyFill="1" applyBorder="1" applyAlignment="1">
      <alignment horizontal="left" vertical="center" indent="1"/>
    </xf>
    <xf numFmtId="0" fontId="9" fillId="1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left" vertical="center" wrapText="1" indent="1"/>
    </xf>
    <xf numFmtId="0" fontId="6" fillId="0" borderId="4" xfId="0" applyNumberFormat="1" applyFont="1" applyFill="1" applyBorder="1" applyAlignment="1">
      <alignment horizontal="left" vertical="center" wrapText="1" indent="1"/>
    </xf>
    <xf numFmtId="0" fontId="14" fillId="0" borderId="4" xfId="0" applyNumberFormat="1" applyFont="1" applyFill="1" applyBorder="1" applyAlignment="1">
      <alignment horizontal="left" vertical="center" indent="1"/>
    </xf>
    <xf numFmtId="0" fontId="16" fillId="15" borderId="4" xfId="0" applyNumberFormat="1" applyFont="1" applyFill="1" applyBorder="1" applyAlignment="1">
      <alignment horizontal="center" vertical="center"/>
    </xf>
    <xf numFmtId="169" fontId="16" fillId="15" borderId="4" xfId="0" applyNumberFormat="1" applyFont="1" applyFill="1" applyBorder="1" applyAlignment="1">
      <alignment horizontal="center" vertical="center"/>
    </xf>
    <xf numFmtId="0" fontId="17" fillId="0" borderId="4" xfId="0" applyNumberFormat="1" applyFont="1" applyFill="1" applyBorder="1" applyAlignment="1">
      <alignment horizontal="left" vertical="center" indent="1"/>
    </xf>
    <xf numFmtId="0" fontId="36" fillId="25" borderId="4" xfId="0" applyNumberFormat="1" applyFont="1" applyFill="1" applyBorder="1" applyAlignment="1">
      <alignment horizontal="left" vertical="center" wrapText="1" indent="1"/>
    </xf>
    <xf numFmtId="0" fontId="15" fillId="0" borderId="0" xfId="0" applyNumberFormat="1" applyFont="1" applyFill="1" applyBorder="1" applyAlignment="1">
      <alignment horizontal="left" vertical="center" wrapText="1" indent="1"/>
    </xf>
    <xf numFmtId="0" fontId="30" fillId="19" borderId="4" xfId="0" applyNumberFormat="1" applyFont="1" applyFill="1" applyBorder="1" applyAlignment="1">
      <alignment horizontal="left" vertical="center" wrapText="1" indent="1"/>
    </xf>
    <xf numFmtId="0" fontId="9" fillId="2" borderId="4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0" fontId="6" fillId="5" borderId="4" xfId="0" applyNumberFormat="1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 vertical="center"/>
    </xf>
    <xf numFmtId="0" fontId="6" fillId="7" borderId="4" xfId="0" applyNumberFormat="1" applyFont="1" applyFill="1" applyBorder="1" applyAlignment="1">
      <alignment horizontal="center" vertical="center"/>
    </xf>
    <xf numFmtId="0" fontId="37" fillId="8" borderId="4" xfId="0" applyNumberFormat="1" applyFont="1" applyFill="1" applyBorder="1" applyAlignment="1">
      <alignment horizontal="center" vertical="center"/>
    </xf>
    <xf numFmtId="0" fontId="6" fillId="17" borderId="4" xfId="0" applyNumberFormat="1" applyFont="1" applyFill="1" applyBorder="1" applyAlignment="1">
      <alignment horizontal="center" vertical="center"/>
    </xf>
    <xf numFmtId="0" fontId="38" fillId="11" borderId="4" xfId="0" applyNumberFormat="1" applyFont="1" applyFill="1" applyBorder="1" applyAlignment="1">
      <alignment horizontal="center" vertical="center"/>
    </xf>
    <xf numFmtId="0" fontId="39" fillId="13" borderId="4" xfId="0" applyNumberFormat="1" applyFont="1" applyFill="1" applyBorder="1" applyAlignment="1">
      <alignment horizontal="center" vertical="center"/>
    </xf>
    <xf numFmtId="0" fontId="6" fillId="12" borderId="4" xfId="0" applyNumberFormat="1" applyFont="1" applyFill="1" applyBorder="1" applyAlignment="1">
      <alignment horizontal="center" vertical="center"/>
    </xf>
    <xf numFmtId="0" fontId="6" fillId="14" borderId="4" xfId="0" applyNumberFormat="1" applyFont="1" applyFill="1" applyBorder="1" applyAlignment="1">
      <alignment horizontal="center" vertical="center"/>
    </xf>
    <xf numFmtId="0" fontId="40" fillId="9" borderId="4" xfId="0" applyNumberFormat="1" applyFont="1" applyFill="1" applyBorder="1" applyAlignment="1">
      <alignment horizontal="center" vertical="center"/>
    </xf>
    <xf numFmtId="0" fontId="41" fillId="16" borderId="4" xfId="0" applyNumberFormat="1" applyFont="1" applyFill="1" applyBorder="1" applyAlignment="1">
      <alignment horizontal="center" vertical="center"/>
    </xf>
    <xf numFmtId="0" fontId="30" fillId="19" borderId="4" xfId="0" applyNumberFormat="1" applyFont="1" applyFill="1" applyBorder="1" applyAlignment="1">
      <alignment horizontal="center" vertical="center"/>
    </xf>
    <xf numFmtId="0" fontId="34" fillId="22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006100"/>
      </font>
      <fill>
        <patternFill>
          <bgColor rgb="FFC6EFCE"/>
        </patternFill>
      </fill>
    </dxf>
    <dxf>
      <font>
        <b/>
        <color rgb="FF1F3864"/>
      </font>
      <fill>
        <patternFill>
          <bgColor rgb="FFFFE699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EF4B7"/>
      <color rgb="FFE010D6"/>
      <color rgb="FF00CC00"/>
      <color rgb="FFFF6600"/>
      <color rgb="FFFF4F4F"/>
      <color rgb="FF856EF8"/>
      <color rgb="FF09F720"/>
      <color rgb="FF9F16BA"/>
      <color rgb="FFFFFF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S1" Type="http://schemas.openxmlformats.org/officeDocument/2006/relationships/worksheet" Target="worksheets/sheet1.xml"/><Relationship Id="rIdS2" Type="http://schemas.openxmlformats.org/officeDocument/2006/relationships/worksheet" Target="worksheets/sheet5.xml"/><Relationship Id="rIdS3" Type="http://schemas.openxmlformats.org/officeDocument/2006/relationships/worksheet" Target="worksheets/sheet6.xml"/><Relationship Id="rIdS4" Type="http://schemas.openxmlformats.org/officeDocument/2006/relationships/worksheet" Target="worksheets/sheet2.xml"/><Relationship Id="rIdS5" Type="http://schemas.openxmlformats.org/officeDocument/2006/relationships/worksheet" Target="worksheets/sheet3.xml"/><Relationship Id="rIdS6" Type="http://schemas.openxmlformats.org/officeDocument/2006/relationships/worksheet" Target="worksheets/sheet4.xml"/><Relationship Id="rIdS7" Type="http://schemas.openxmlformats.org/officeDocument/2006/relationships/worksheet" Target="worksheets/sheet7.xml"/><Relationship Id="rIdS8" Type="http://schemas.openxmlformats.org/officeDocument/2006/relationships/worksheet" Target="worksheets/sheet8.xml"/><Relationship Id="rIdS9" Type="http://schemas.openxmlformats.org/officeDocument/2006/relationships/worksheet" Target="worksheets/sheet9.xml"/><Relationship Id="rIdS10" Type="http://schemas.openxmlformats.org/officeDocument/2006/relationships/worksheet" Target="worksheets/sheet10.xml"/><Relationship Id="rIdS11" Type="http://schemas.openxmlformats.org/officeDocument/2006/relationships/worksheet" Target="worksheets/sheet11.xml"/><Relationship Id="rIdS12" Type="http://schemas.openxmlformats.org/officeDocument/2006/relationships/worksheet" Target="worksheets/sheet12.xml"/><Relationship Id="rIdS13" Type="http://schemas.openxmlformats.org/officeDocument/2006/relationships/worksheet" Target="worksheets/sheet13.xml"/><Relationship Id="rIdS14" Type="http://schemas.openxmlformats.org/officeDocument/2006/relationships/worksheet" Target="worksheets/sheet14.xml"/><Relationship Id="rIdS15" Type="http://schemas.openxmlformats.org/officeDocument/2006/relationships/worksheet" Target="worksheets/sheet15.xml"/><Relationship Id="rIdS16" Type="http://schemas.openxmlformats.org/officeDocument/2006/relationships/worksheet" Target="worksheets/sheet16.xml"/><Relationship Id="rIdS17" Type="http://schemas.openxmlformats.org/officeDocument/2006/relationships/worksheet" Target="worksheets/sheet17.xml"/><Relationship Id="rIdS18" Type="http://schemas.openxmlformats.org/officeDocument/2006/relationships/worksheet" Target="worksheets/sheet18.xml"/><Relationship Id="rIdS19" Type="http://schemas.openxmlformats.org/officeDocument/2006/relationships/worksheet" Target="worksheets/sheet19.xml"/><Relationship Id="rIdS20" Type="http://schemas.openxmlformats.org/officeDocument/2006/relationships/worksheet" Target="worksheets/sheet20.xml"/><Relationship Id="rIdS21" Type="http://schemas.openxmlformats.org/officeDocument/2006/relationships/worksheet" Target="worksheets/sheet21.xml"/><Relationship Id="rIdS22" Type="http://schemas.openxmlformats.org/officeDocument/2006/relationships/worksheet" Target="worksheets/sheet22.xml"/><Relationship Id="rIdS23" Type="http://schemas.openxmlformats.org/officeDocument/2006/relationships/worksheet" Target="worksheets/sheet23.xml"/><Relationship Id="rIdS24" Type="http://schemas.openxmlformats.org/officeDocument/2006/relationships/worksheet" Target="worksheets/sheet24.xml"/><Relationship Id="rIdS25" Type="http://schemas.openxmlformats.org/officeDocument/2006/relationships/worksheet" Target="worksheets/sheet25.xml"/><Relationship Id="rIdS26" Type="http://schemas.openxmlformats.org/officeDocument/2006/relationships/worksheet" Target="worksheets/sheet26.xml"/><Relationship Id="rIdS27" Type="http://schemas.openxmlformats.org/officeDocument/2006/relationships/worksheet" Target="worksheets/sheet27.xml"/><Relationship Id="rIdS28" Type="http://schemas.openxmlformats.org/officeDocument/2006/relationships/worksheet" Target="worksheets/sheet28.xml"/><Relationship Id="rIdS29" Type="http://schemas.openxmlformats.org/officeDocument/2006/relationships/worksheet" Target="worksheets/sheet29.xml"/><Relationship Id="rIdS30" Type="http://schemas.openxmlformats.org/officeDocument/2006/relationships/worksheet" Target="worksheets/sheet30.xml"/><Relationship Id="rIdS31" Type="http://schemas.openxmlformats.org/officeDocument/2006/relationships/worksheet" Target="worksheets/sheet31.xml"/><Relationship Id="rIdS32" Type="http://schemas.openxmlformats.org/officeDocument/2006/relationships/worksheet" Target="worksheets/sheet32.xml"/><Relationship Id="rIdS33" Type="http://schemas.openxmlformats.org/officeDocument/2006/relationships/worksheet" Target="worksheets/sheet3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93133</xdr:colOff>
      <xdr:row>18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DD96036-0CE9-4BA8-925E-F34FA554B56E}"/>
                </a:ext>
              </a:extLst>
            </xdr:cNvPr>
            <xdr:cNvSpPr txBox="1"/>
          </xdr:nvSpPr>
          <xdr:spPr>
            <a:xfrm>
              <a:off x="649393" y="371348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969ACF-CED6-4E28-BB92-01D746E589D9}"/>
                </a:ext>
              </a:extLst>
            </xdr:cNvPr>
            <xdr:cNvSpPr txBox="1"/>
          </xdr:nvSpPr>
          <xdr:spPr>
            <a:xfrm>
              <a:off x="13199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5758ACC-F658-4944-9D13-42C0D1D692BB}"/>
                </a:ext>
              </a:extLst>
            </xdr:cNvPr>
            <xdr:cNvSpPr txBox="1"/>
          </xdr:nvSpPr>
          <xdr:spPr>
            <a:xfrm>
              <a:off x="20057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CACB909-7D87-4E7E-BA24-8BEA00CEAA97}"/>
                </a:ext>
              </a:extLst>
            </xdr:cNvPr>
            <xdr:cNvSpPr txBox="1"/>
          </xdr:nvSpPr>
          <xdr:spPr>
            <a:xfrm>
              <a:off x="267631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E895164-8819-4C34-AE88-845512311C2D}"/>
                </a:ext>
              </a:extLst>
            </xdr:cNvPr>
            <xdr:cNvSpPr txBox="1"/>
          </xdr:nvSpPr>
          <xdr:spPr>
            <a:xfrm>
              <a:off x="332993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76199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534AEFA-D88F-4739-ABE9-B4454561D039}"/>
                </a:ext>
              </a:extLst>
            </xdr:cNvPr>
            <xdr:cNvSpPr txBox="1"/>
          </xdr:nvSpPr>
          <xdr:spPr>
            <a:xfrm>
              <a:off x="4000499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33EB545-3462-4F5E-9334-8ADBA04A89D0}"/>
                </a:ext>
              </a:extLst>
            </xdr:cNvPr>
            <xdr:cNvSpPr txBox="1"/>
          </xdr:nvSpPr>
          <xdr:spPr>
            <a:xfrm>
              <a:off x="737023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4894C7-6FB9-446F-9BB6-A37B46E5F6C2}"/>
                </a:ext>
              </a:extLst>
            </xdr:cNvPr>
            <xdr:cNvSpPr txBox="1"/>
          </xdr:nvSpPr>
          <xdr:spPr>
            <a:xfrm>
              <a:off x="804079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93133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562BD95-BFC4-4610-B8E5-F55494E2939D}"/>
                </a:ext>
              </a:extLst>
            </xdr:cNvPr>
            <xdr:cNvSpPr txBox="1"/>
          </xdr:nvSpPr>
          <xdr:spPr>
            <a:xfrm>
              <a:off x="87113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14</xdr:col>
      <xdr:colOff>77893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7274A16-5B8C-48DF-ABD1-38F7AFA0F3E4}"/>
                </a:ext>
              </a:extLst>
            </xdr:cNvPr>
            <xdr:cNvSpPr txBox="1"/>
          </xdr:nvSpPr>
          <xdr:spPr>
            <a:xfrm>
              <a:off x="936667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15</xdr:col>
      <xdr:colOff>70273</xdr:colOff>
      <xdr:row>18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F4EA0FB-B801-4061-AEDC-90B1166C76CB}"/>
                </a:ext>
              </a:extLst>
            </xdr:cNvPr>
            <xdr:cNvSpPr txBox="1"/>
          </xdr:nvSpPr>
          <xdr:spPr>
            <a:xfrm>
              <a:off x="9968653" y="371348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16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F10528C0-B3FB-466D-92E3-5D145B277463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17</xdr:col>
      <xdr:colOff>93133</xdr:colOff>
      <xdr:row>18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6EA7D3C0-1AEC-4E0F-9675-A8B60C4FC596}"/>
                </a:ext>
              </a:extLst>
            </xdr:cNvPr>
            <xdr:cNvSpPr txBox="1"/>
          </xdr:nvSpPr>
          <xdr:spPr>
            <a:xfrm>
              <a:off x="112107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</xdr:col>
      <xdr:colOff>260773</xdr:colOff>
      <xdr:row>0</xdr:row>
      <xdr:rowOff>193041</xdr:rowOff>
    </xdr:from>
    <xdr:ext cx="19716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52CFAC5-6734-4F36-B57C-ADA3FBF85BB7}"/>
                </a:ext>
              </a:extLst>
            </xdr:cNvPr>
            <xdr:cNvSpPr txBox="1"/>
          </xdr:nvSpPr>
          <xdr:spPr>
            <a:xfrm>
              <a:off x="817033" y="193041"/>
              <a:ext cx="19716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BFC545E5-A02D-4E15-8854-D77F10FB60D1}"/>
                </a:ext>
              </a:extLst>
            </xdr:cNvPr>
            <xdr:cNvSpPr txBox="1"/>
          </xdr:nvSpPr>
          <xdr:spPr>
            <a:xfrm>
              <a:off x="14875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13EB654B-1FDD-4135-A85D-AC648B77B7EB}"/>
                </a:ext>
              </a:extLst>
            </xdr:cNvPr>
            <xdr:cNvSpPr txBox="1"/>
          </xdr:nvSpPr>
          <xdr:spPr>
            <a:xfrm>
              <a:off x="21733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2AA595A3-91DD-4842-9DA5-C7D88E3424DC}"/>
                </a:ext>
              </a:extLst>
            </xdr:cNvPr>
            <xdr:cNvSpPr txBox="1"/>
          </xdr:nvSpPr>
          <xdr:spPr>
            <a:xfrm>
              <a:off x="28439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BAD7BBDD-E1F4-4EFA-A51B-34C775F88F3B}"/>
                </a:ext>
              </a:extLst>
            </xdr:cNvPr>
            <xdr:cNvSpPr txBox="1"/>
          </xdr:nvSpPr>
          <xdr:spPr>
            <a:xfrm>
              <a:off x="351451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141C8038-A966-4B96-9582-BD25C3D0E631}"/>
                </a:ext>
              </a:extLst>
            </xdr:cNvPr>
            <xdr:cNvSpPr txBox="1"/>
          </xdr:nvSpPr>
          <xdr:spPr>
            <a:xfrm>
              <a:off x="418507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398E88B1-7348-4DAF-B9AF-EC335676D685}"/>
                </a:ext>
              </a:extLst>
            </xdr:cNvPr>
            <xdr:cNvSpPr txBox="1"/>
          </xdr:nvSpPr>
          <xdr:spPr>
            <a:xfrm>
              <a:off x="485563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8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C4D846B4-D256-486D-B656-766DEFD67D33}"/>
                </a:ext>
              </a:extLst>
            </xdr:cNvPr>
            <xdr:cNvSpPr txBox="1"/>
          </xdr:nvSpPr>
          <xdr:spPr>
            <a:xfrm>
              <a:off x="552619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9</xdr:col>
      <xdr:colOff>260773</xdr:colOff>
      <xdr:row>0</xdr:row>
      <xdr:rowOff>193041</xdr:rowOff>
    </xdr:from>
    <xdr:ext cx="197170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FF137A-860B-4433-A3F9-03C09657687E}"/>
                </a:ext>
              </a:extLst>
            </xdr:cNvPr>
            <xdr:cNvSpPr txBox="1"/>
          </xdr:nvSpPr>
          <xdr:spPr>
            <a:xfrm>
              <a:off x="6196753" y="193041"/>
              <a:ext cx="197170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6A897B19-B85E-4313-99F5-E822D8DAAD78}"/>
                </a:ext>
              </a:extLst>
            </xdr:cNvPr>
            <xdr:cNvSpPr txBox="1"/>
          </xdr:nvSpPr>
          <xdr:spPr>
            <a:xfrm>
              <a:off x="681397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11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09899F3A-2390-46AF-B0BB-454F31197F97}"/>
                </a:ext>
              </a:extLst>
            </xdr:cNvPr>
            <xdr:cNvSpPr txBox="1"/>
          </xdr:nvSpPr>
          <xdr:spPr>
            <a:xfrm>
              <a:off x="748453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12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A2A6665-FE1A-4B5F-BE00-3717D3DD1719}"/>
                </a:ext>
              </a:extLst>
            </xdr:cNvPr>
            <xdr:cNvSpPr txBox="1"/>
          </xdr:nvSpPr>
          <xdr:spPr>
            <a:xfrm>
              <a:off x="815509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13</xdr:col>
      <xdr:colOff>207433</xdr:colOff>
      <xdr:row>0</xdr:row>
      <xdr:rowOff>193041</xdr:rowOff>
    </xdr:from>
    <xdr:ext cx="264368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0AB771E-1703-46E4-BD3E-10966A21893C}"/>
                </a:ext>
              </a:extLst>
            </xdr:cNvPr>
            <xdr:cNvSpPr txBox="1"/>
          </xdr:nvSpPr>
          <xdr:spPr>
            <a:xfrm>
              <a:off x="8825653" y="193041"/>
              <a:ext cx="264368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B11A4AA0-0224-4F41-9CD2-6762606B0A54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300BCB40-3B68-4AF4-8835-7FCF10A5D757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48FB9F3A-228F-4C52-9FED-5E257D394193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3026FD8-04A8-4696-9899-FCD34E6FF537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629017C2-212C-4338-BDAD-802F8C21182A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1250A32B-49E7-4D80-8511-B62DB8BE110D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7EA7D5E2-01FD-4AD6-91A6-6E2F255CF989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03E5B388-4576-4285-A98C-5640BBE49457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CCDF3723-7801-4459-A167-F4C88E713BB3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901B5428-8F98-4174-A192-B750DFD201CC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9" name="TextBox 58">
              <a:extLst>
                <a:ext uri="{FF2B5EF4-FFF2-40B4-BE49-F238E27FC236}">
                  <a16:creationId xmlns:a16="http://schemas.microsoft.com/office/drawing/2014/main" id="{AD242580-A526-442D-A7C8-C29CF2036DC9}"/>
                </a:ext>
              </a:extLst>
            </xdr:cNvPr>
            <xdr:cNvSpPr txBox="1"/>
          </xdr:nvSpPr>
          <xdr:spPr>
            <a:xfrm>
              <a:off x="173567" y="4030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0" name="TextBox 59">
              <a:extLst>
                <a:ext uri="{FF2B5EF4-FFF2-40B4-BE49-F238E27FC236}">
                  <a16:creationId xmlns:a16="http://schemas.microsoft.com/office/drawing/2014/main" id="{F155D450-69A7-4728-AAAE-C775D64EF4A4}"/>
                </a:ext>
              </a:extLst>
            </xdr:cNvPr>
            <xdr:cNvSpPr txBox="1"/>
          </xdr:nvSpPr>
          <xdr:spPr>
            <a:xfrm>
              <a:off x="173567" y="6011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1" name="TextBox 60">
              <a:extLst>
                <a:ext uri="{FF2B5EF4-FFF2-40B4-BE49-F238E27FC236}">
                  <a16:creationId xmlns:a16="http://schemas.microsoft.com/office/drawing/2014/main" id="{65825674-DF6E-4F4E-A747-0824D52805A4}"/>
                </a:ext>
              </a:extLst>
            </xdr:cNvPr>
            <xdr:cNvSpPr txBox="1"/>
          </xdr:nvSpPr>
          <xdr:spPr>
            <a:xfrm>
              <a:off x="173567" y="7992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2" name="TextBox 61">
              <a:extLst>
                <a:ext uri="{FF2B5EF4-FFF2-40B4-BE49-F238E27FC236}">
                  <a16:creationId xmlns:a16="http://schemas.microsoft.com/office/drawing/2014/main" id="{D9C0E34C-1BCA-47EA-B33C-83A60C88B949}"/>
                </a:ext>
              </a:extLst>
            </xdr:cNvPr>
            <xdr:cNvSpPr txBox="1"/>
          </xdr:nvSpPr>
          <xdr:spPr>
            <a:xfrm>
              <a:off x="173567" y="997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9A167497-1BAE-4CFF-816E-23F6B80A5600}"/>
                </a:ext>
              </a:extLst>
            </xdr:cNvPr>
            <xdr:cNvSpPr txBox="1"/>
          </xdr:nvSpPr>
          <xdr:spPr>
            <a:xfrm>
              <a:off x="173567" y="11954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165947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4" name="TextBox 63">
              <a:extLst>
                <a:ext uri="{FF2B5EF4-FFF2-40B4-BE49-F238E27FC236}">
                  <a16:creationId xmlns:a16="http://schemas.microsoft.com/office/drawing/2014/main" id="{C38D6969-CF00-4C55-B080-B29ED237415B}"/>
                </a:ext>
              </a:extLst>
            </xdr:cNvPr>
            <xdr:cNvSpPr txBox="1"/>
          </xdr:nvSpPr>
          <xdr:spPr>
            <a:xfrm>
              <a:off x="165947" y="13936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5" name="TextBox 64">
              <a:extLst>
                <a:ext uri="{FF2B5EF4-FFF2-40B4-BE49-F238E27FC236}">
                  <a16:creationId xmlns:a16="http://schemas.microsoft.com/office/drawing/2014/main" id="{EF974F40-5BD4-46B5-8329-465FDEAB1AC7}"/>
                </a:ext>
              </a:extLst>
            </xdr:cNvPr>
            <xdr:cNvSpPr txBox="1"/>
          </xdr:nvSpPr>
          <xdr:spPr>
            <a:xfrm>
              <a:off x="173567" y="15917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6" name="TextBox 65">
              <a:extLst>
                <a:ext uri="{FF2B5EF4-FFF2-40B4-BE49-F238E27FC236}">
                  <a16:creationId xmlns:a16="http://schemas.microsoft.com/office/drawing/2014/main" id="{888B45AE-0131-415D-B7B5-B87036AB358E}"/>
                </a:ext>
              </a:extLst>
            </xdr:cNvPr>
            <xdr:cNvSpPr txBox="1"/>
          </xdr:nvSpPr>
          <xdr:spPr>
            <a:xfrm>
              <a:off x="173567" y="17898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173567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7" name="TextBox 66">
              <a:extLst>
                <a:ext uri="{FF2B5EF4-FFF2-40B4-BE49-F238E27FC236}">
                  <a16:creationId xmlns:a16="http://schemas.microsoft.com/office/drawing/2014/main" id="{B8DF2EA8-810B-4E98-B54F-E109D1C1BF5D}"/>
                </a:ext>
              </a:extLst>
            </xdr:cNvPr>
            <xdr:cNvSpPr txBox="1"/>
          </xdr:nvSpPr>
          <xdr:spPr>
            <a:xfrm>
              <a:off x="173567" y="1987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139699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8" name="TextBox 67">
              <a:extLst>
                <a:ext uri="{FF2B5EF4-FFF2-40B4-BE49-F238E27FC236}">
                  <a16:creationId xmlns:a16="http://schemas.microsoft.com/office/drawing/2014/main" id="{B4604FDC-37A2-4231-8342-C4A61944BA7F}"/>
                </a:ext>
              </a:extLst>
            </xdr:cNvPr>
            <xdr:cNvSpPr txBox="1"/>
          </xdr:nvSpPr>
          <xdr:spPr>
            <a:xfrm>
              <a:off x="139699" y="218609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9" name="TextBox 68">
              <a:extLst>
                <a:ext uri="{FF2B5EF4-FFF2-40B4-BE49-F238E27FC236}">
                  <a16:creationId xmlns:a16="http://schemas.microsoft.com/office/drawing/2014/main" id="{5B1FDB6F-3B64-4DA5-9875-EC9355234927}"/>
                </a:ext>
              </a:extLst>
            </xdr:cNvPr>
            <xdr:cNvSpPr txBox="1"/>
          </xdr:nvSpPr>
          <xdr:spPr>
            <a:xfrm>
              <a:off x="6871547" y="39234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21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0" name="TextBox 69">
              <a:extLst>
                <a:ext uri="{FF2B5EF4-FFF2-40B4-BE49-F238E27FC236}">
                  <a16:creationId xmlns:a16="http://schemas.microsoft.com/office/drawing/2014/main" id="{57C2F0CC-CCA6-4320-9FC6-F898477D3EFA}"/>
                </a:ext>
              </a:extLst>
            </xdr:cNvPr>
            <xdr:cNvSpPr txBox="1"/>
          </xdr:nvSpPr>
          <xdr:spPr>
            <a:xfrm>
              <a:off x="6871547" y="41215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1" name="TextBox 70">
              <a:extLst>
                <a:ext uri="{FF2B5EF4-FFF2-40B4-BE49-F238E27FC236}">
                  <a16:creationId xmlns:a16="http://schemas.microsoft.com/office/drawing/2014/main" id="{0D102E40-002F-4E02-95DA-EB4AEC2036FC}"/>
                </a:ext>
              </a:extLst>
            </xdr:cNvPr>
            <xdr:cNvSpPr txBox="1"/>
          </xdr:nvSpPr>
          <xdr:spPr>
            <a:xfrm>
              <a:off x="6871547" y="43196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2" name="TextBox 71">
              <a:extLst>
                <a:ext uri="{FF2B5EF4-FFF2-40B4-BE49-F238E27FC236}">
                  <a16:creationId xmlns:a16="http://schemas.microsoft.com/office/drawing/2014/main" id="{329CE0A7-E1D8-4BA9-A58D-1F60BB06A087}"/>
                </a:ext>
              </a:extLst>
            </xdr:cNvPr>
            <xdr:cNvSpPr txBox="1"/>
          </xdr:nvSpPr>
          <xdr:spPr>
            <a:xfrm>
              <a:off x="6871547" y="45178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3" name="TextBox 72">
              <a:extLst>
                <a:ext uri="{FF2B5EF4-FFF2-40B4-BE49-F238E27FC236}">
                  <a16:creationId xmlns:a16="http://schemas.microsoft.com/office/drawing/2014/main" id="{B1BE3C87-52EA-4F5B-8D9B-9FFD9B452FBB}"/>
                </a:ext>
              </a:extLst>
            </xdr:cNvPr>
            <xdr:cNvSpPr txBox="1"/>
          </xdr:nvSpPr>
          <xdr:spPr>
            <a:xfrm>
              <a:off x="6871547" y="471593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257387</xdr:colOff>
      <xdr:row>25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4" name="TextBox 73">
              <a:extLst>
                <a:ext uri="{FF2B5EF4-FFF2-40B4-BE49-F238E27FC236}">
                  <a16:creationId xmlns:a16="http://schemas.microsoft.com/office/drawing/2014/main" id="{50879D1D-442B-4056-AC8C-40387F7D7BC6}"/>
                </a:ext>
              </a:extLst>
            </xdr:cNvPr>
            <xdr:cNvSpPr txBox="1"/>
          </xdr:nvSpPr>
          <xdr:spPr>
            <a:xfrm>
              <a:off x="6863927" y="491405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5" name="TextBox 74">
              <a:extLst>
                <a:ext uri="{FF2B5EF4-FFF2-40B4-BE49-F238E27FC236}">
                  <a16:creationId xmlns:a16="http://schemas.microsoft.com/office/drawing/2014/main" id="{3E62CE92-3DB7-4BAF-8F9D-F4ADF7F2669C}"/>
                </a:ext>
              </a:extLst>
            </xdr:cNvPr>
            <xdr:cNvSpPr txBox="1"/>
          </xdr:nvSpPr>
          <xdr:spPr>
            <a:xfrm>
              <a:off x="6871547" y="5112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6" name="TextBox 75">
              <a:extLst>
                <a:ext uri="{FF2B5EF4-FFF2-40B4-BE49-F238E27FC236}">
                  <a16:creationId xmlns:a16="http://schemas.microsoft.com/office/drawing/2014/main" id="{E053B129-999F-4BD5-B4D2-D2EB8E191FA6}"/>
                </a:ext>
              </a:extLst>
            </xdr:cNvPr>
            <xdr:cNvSpPr txBox="1"/>
          </xdr:nvSpPr>
          <xdr:spPr>
            <a:xfrm>
              <a:off x="6871547" y="531029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265007</xdr:colOff>
      <xdr:row>28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FEB4699B-9A28-448C-B38B-106E55D87363}"/>
                </a:ext>
              </a:extLst>
            </xdr:cNvPr>
            <xdr:cNvSpPr txBox="1"/>
          </xdr:nvSpPr>
          <xdr:spPr>
            <a:xfrm>
              <a:off x="6871547" y="550841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10</xdr:col>
      <xdr:colOff>231139</xdr:colOff>
      <xdr:row>29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8" name="TextBox 77">
              <a:extLst>
                <a:ext uri="{FF2B5EF4-FFF2-40B4-BE49-F238E27FC236}">
                  <a16:creationId xmlns:a16="http://schemas.microsoft.com/office/drawing/2014/main" id="{04AC7072-402A-4FD8-A586-33CE0336B62E}"/>
                </a:ext>
              </a:extLst>
            </xdr:cNvPr>
            <xdr:cNvSpPr txBox="1"/>
          </xdr:nvSpPr>
          <xdr:spPr>
            <a:xfrm>
              <a:off x="6837679" y="5706532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131233</xdr:colOff>
      <xdr:row>0</xdr:row>
      <xdr:rowOff>193041</xdr:rowOff>
    </xdr:from>
    <xdr:ext cx="48724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248894C4-15B7-4409-B4E2-F4785DE29AC1}"/>
                </a:ext>
              </a:extLst>
            </xdr:cNvPr>
            <xdr:cNvSpPr txBox="1"/>
          </xdr:nvSpPr>
          <xdr:spPr>
            <a:xfrm>
              <a:off x="1011766" y="193041"/>
              <a:ext cx="48724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88FACE68-F675-4CE0-B02C-385D08ED44F0}"/>
                </a:ext>
              </a:extLst>
            </xdr:cNvPr>
            <xdr:cNvSpPr txBox="1"/>
          </xdr:nvSpPr>
          <xdr:spPr>
            <a:xfrm>
              <a:off x="17483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𝟒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E1ED784-F491-419F-8F9F-D09C7FDF4145}"/>
                </a:ext>
              </a:extLst>
            </xdr:cNvPr>
            <xdr:cNvSpPr txBox="1"/>
          </xdr:nvSpPr>
          <xdr:spPr>
            <a:xfrm>
              <a:off x="24849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𝟓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𝟖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5DC5A62C-2138-40D8-BC21-7B0077D125AB}"/>
                </a:ext>
              </a:extLst>
            </xdr:cNvPr>
            <xdr:cNvSpPr txBox="1"/>
          </xdr:nvSpPr>
          <xdr:spPr>
            <a:xfrm>
              <a:off x="3221566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𝟖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𝟏𝟎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FE1217A8-C6A1-4EC0-8BFD-FAF5E81BBCDA}"/>
                </a:ext>
              </a:extLst>
            </xdr:cNvPr>
            <xdr:cNvSpPr txBox="1"/>
          </xdr:nvSpPr>
          <xdr:spPr>
            <a:xfrm>
              <a:off x="39412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𝟏𝟎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114299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DAD32372-A69B-40C9-BC6C-D4658D12A84B}"/>
                </a:ext>
              </a:extLst>
            </xdr:cNvPr>
            <xdr:cNvSpPr txBox="1"/>
          </xdr:nvSpPr>
          <xdr:spPr>
            <a:xfrm>
              <a:off x="4677832" y="19304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 </a:t>
              </a:r>
              <a:r>
                <a:rPr lang="en-US" sz="1200" b="1" i="0">
                  <a:latin typeface="Cambria Math" panose="02040503050406030204" pitchFamily="18" charset="0"/>
                </a:rPr>
                <a:t>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𝒙_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𝟏𝟐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EFD4CDE7-CE9C-430D-8CDE-47BFCA6D4ACC}"/>
                </a:ext>
              </a:extLst>
            </xdr:cNvPr>
            <xdr:cNvSpPr txBox="1"/>
          </xdr:nvSpPr>
          <xdr:spPr>
            <a:xfrm>
              <a:off x="325967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AD912AE6-0C48-416D-9D19-B07B984FD867}"/>
                </a:ext>
              </a:extLst>
            </xdr:cNvPr>
            <xdr:cNvSpPr txBox="1"/>
          </xdr:nvSpPr>
          <xdr:spPr>
            <a:xfrm>
              <a:off x="325967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0CD7E121-1D38-438A-AD1C-63F27328694E}"/>
                </a:ext>
              </a:extLst>
            </xdr:cNvPr>
            <xdr:cNvSpPr txBox="1"/>
          </xdr:nvSpPr>
          <xdr:spPr>
            <a:xfrm>
              <a:off x="325967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9B133F41-D360-4375-843B-BC4AFBBD5A10}"/>
                </a:ext>
              </a:extLst>
            </xdr:cNvPr>
            <xdr:cNvSpPr txBox="1"/>
          </xdr:nvSpPr>
          <xdr:spPr>
            <a:xfrm>
              <a:off x="325967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66B15B9B-ED92-4C7B-8BD3-45B2E027B1F5}"/>
                </a:ext>
              </a:extLst>
            </xdr:cNvPr>
            <xdr:cNvSpPr txBox="1"/>
          </xdr:nvSpPr>
          <xdr:spPr>
            <a:xfrm>
              <a:off x="325967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9E23860D-3529-4E03-8444-AFCF4A61827C}"/>
                </a:ext>
              </a:extLst>
            </xdr:cNvPr>
            <xdr:cNvSpPr txBox="1"/>
          </xdr:nvSpPr>
          <xdr:spPr>
            <a:xfrm>
              <a:off x="325967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F509D0C3-C42E-4264-B96A-E7FF1F401F71}"/>
                </a:ext>
              </a:extLst>
            </xdr:cNvPr>
            <xdr:cNvSpPr txBox="1"/>
          </xdr:nvSpPr>
          <xdr:spPr>
            <a:xfrm>
              <a:off x="325967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9BDFEF84-21BE-42D8-9876-18DF5A83102E}"/>
                </a:ext>
              </a:extLst>
            </xdr:cNvPr>
            <xdr:cNvSpPr txBox="1"/>
          </xdr:nvSpPr>
          <xdr:spPr>
            <a:xfrm>
              <a:off x="325967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325967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7" name="TextBox 46">
              <a:extLst>
                <a:ext uri="{FF2B5EF4-FFF2-40B4-BE49-F238E27FC236}">
                  <a16:creationId xmlns:a16="http://schemas.microsoft.com/office/drawing/2014/main" id="{1B0F5C5A-6AEC-4A04-8C12-5D043CEAA353}"/>
                </a:ext>
              </a:extLst>
            </xdr:cNvPr>
            <xdr:cNvSpPr txBox="1"/>
          </xdr:nvSpPr>
          <xdr:spPr>
            <a:xfrm>
              <a:off x="325967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292099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524CFF7F-ABBD-4AF2-A278-4BA5CCCB908B}"/>
                </a:ext>
              </a:extLst>
            </xdr:cNvPr>
            <xdr:cNvSpPr txBox="1"/>
          </xdr:nvSpPr>
          <xdr:spPr>
            <a:xfrm>
              <a:off x="292099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7C7BF58-C5E2-4985-8BA4-DB731F21CBB1}"/>
                </a:ext>
              </a:extLst>
            </xdr:cNvPr>
            <xdr:cNvSpPr txBox="1"/>
          </xdr:nvSpPr>
          <xdr:spPr>
            <a:xfrm>
              <a:off x="8551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𝒙_𝟏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𝒙_𝟐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2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F0D6EF3-DE8E-4CF3-8F5C-4B820E9F6B02}"/>
                </a:ext>
              </a:extLst>
            </xdr:cNvPr>
            <xdr:cNvSpPr txBox="1"/>
          </xdr:nvSpPr>
          <xdr:spPr>
            <a:xfrm>
              <a:off x="159427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𝒙_𝟐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3</xdr:col>
      <xdr:colOff>146473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E219682-C684-4FAE-8292-A18B4282294B}"/>
                </a:ext>
              </a:extLst>
            </xdr:cNvPr>
            <xdr:cNvSpPr txBox="1"/>
          </xdr:nvSpPr>
          <xdr:spPr>
            <a:xfrm>
              <a:off x="23334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𝒙_𝟑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𝒙_𝟔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4</xdr:col>
      <xdr:colOff>131233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𝟒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558F9568-30FD-47F2-99E9-0E50A96A4B48}"/>
                </a:ext>
              </a:extLst>
            </xdr:cNvPr>
            <xdr:cNvSpPr txBox="1"/>
          </xdr:nvSpPr>
          <xdr:spPr>
            <a:xfrm>
              <a:off x="305731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𝒙_𝟒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𝒙_𝟕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5</xdr:col>
      <xdr:colOff>123613</xdr:colOff>
      <xdr:row>0</xdr:row>
      <xdr:rowOff>193041</xdr:rowOff>
    </xdr:from>
    <xdr:ext cx="47429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𝟓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𝟗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F3FC5417-D2A8-4E95-8818-DC95DF810F75}"/>
                </a:ext>
              </a:extLst>
            </xdr:cNvPr>
            <xdr:cNvSpPr txBox="1"/>
          </xdr:nvSpPr>
          <xdr:spPr>
            <a:xfrm>
              <a:off x="3788833" y="193041"/>
              <a:ext cx="47429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𝒙_𝟓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𝒙_𝟗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6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𝟔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𝟏𝟏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4CEF01B1-6300-4C31-AE3C-83071EE51679}"/>
                </a:ext>
              </a:extLst>
            </xdr:cNvPr>
            <xdr:cNvSpPr txBox="1"/>
          </xdr:nvSpPr>
          <xdr:spPr>
            <a:xfrm>
              <a:off x="1060111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𝒙_𝟔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𝒙_𝟏𝟏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7</xdr:col>
      <xdr:colOff>93133</xdr:colOff>
      <xdr:row>0</xdr:row>
      <xdr:rowOff>193041</xdr:rowOff>
    </xdr:from>
    <xdr:ext cx="535916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𝒙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𝟕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𝒙</m:t>
                        </m:r>
                      </m:e>
                      <m:sub>
                        <m:r>
                          <a:rPr lang="en-US" sz="11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𝟏𝟑</m:t>
                        </m:r>
                      </m:sub>
                    </m:sSub>
                    <m:r>
                      <a:rPr lang="en-US" sz="1200" b="1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F7FCA4FB-0AD5-464F-8392-88F5DE842EEA}"/>
                </a:ext>
              </a:extLst>
            </xdr:cNvPr>
            <xdr:cNvSpPr txBox="1"/>
          </xdr:nvSpPr>
          <xdr:spPr>
            <a:xfrm>
              <a:off x="11340253" y="3713481"/>
              <a:ext cx="535916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𝒙_𝟕 (</a:t>
              </a:r>
              <a:r>
                <a:rPr lang="en-US" sz="11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𝒙_𝟏𝟑</a:t>
              </a:r>
              <a:r>
                <a:rPr lang="en-US" sz="1200" b="1" i="0">
                  <a:latin typeface="Cambria Math" panose="02040503050406030204" pitchFamily="18" charset="0"/>
                </a:rPr>
                <a:t>)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2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682DEE-16EF-4D98-8C3A-D305A01B6002}"/>
                </a:ext>
              </a:extLst>
            </xdr:cNvPr>
            <xdr:cNvSpPr txBox="1"/>
          </xdr:nvSpPr>
          <xdr:spPr>
            <a:xfrm>
              <a:off x="341208" y="3962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3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𝟐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F6C92E57-2FB5-4369-A0E1-4C9627DA86FB}"/>
                </a:ext>
              </a:extLst>
            </xdr:cNvPr>
            <xdr:cNvSpPr txBox="1"/>
          </xdr:nvSpPr>
          <xdr:spPr>
            <a:xfrm>
              <a:off x="332743" y="5909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𝟐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4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𝟑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DE50DD8-4734-4249-A992-715590067411}"/>
                </a:ext>
              </a:extLst>
            </xdr:cNvPr>
            <xdr:cNvSpPr txBox="1"/>
          </xdr:nvSpPr>
          <xdr:spPr>
            <a:xfrm>
              <a:off x="332743" y="7857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𝟑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5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𝟒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2CC6A6D6-DBD2-4C6C-89C0-22A07BA53AAB}"/>
                </a:ext>
              </a:extLst>
            </xdr:cNvPr>
            <xdr:cNvSpPr txBox="1"/>
          </xdr:nvSpPr>
          <xdr:spPr>
            <a:xfrm>
              <a:off x="332743" y="9804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𝟒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341208</xdr:colOff>
      <xdr:row>6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𝟓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EC0FB5F1-1DD3-4296-B3AD-4731C482C111}"/>
                </a:ext>
              </a:extLst>
            </xdr:cNvPr>
            <xdr:cNvSpPr txBox="1"/>
          </xdr:nvSpPr>
          <xdr:spPr>
            <a:xfrm>
              <a:off x="341208" y="11751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𝟓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333588</xdr:colOff>
      <xdr:row>7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𝟔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4FCE758B-F843-462E-92B5-AD74EBEE0388}"/>
                </a:ext>
              </a:extLst>
            </xdr:cNvPr>
            <xdr:cNvSpPr txBox="1"/>
          </xdr:nvSpPr>
          <xdr:spPr>
            <a:xfrm>
              <a:off x="333588" y="13699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𝟔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8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𝟕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418E724-1986-4308-BAEB-8E2607390E18}"/>
                </a:ext>
              </a:extLst>
            </xdr:cNvPr>
            <xdr:cNvSpPr txBox="1"/>
          </xdr:nvSpPr>
          <xdr:spPr>
            <a:xfrm>
              <a:off x="332743" y="1564639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𝟕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9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𝟖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A3677F2D-2D93-4C17-B2BE-C819BA38E0AE}"/>
                </a:ext>
              </a:extLst>
            </xdr:cNvPr>
            <xdr:cNvSpPr txBox="1"/>
          </xdr:nvSpPr>
          <xdr:spPr>
            <a:xfrm>
              <a:off x="332743" y="1759372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𝟖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332743</xdr:colOff>
      <xdr:row>10</xdr:row>
      <xdr:rowOff>6772</xdr:rowOff>
    </xdr:from>
    <xdr:ext cx="195759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𝟗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F73550D7-DF90-4946-B0F1-5C2E0BA29133}"/>
                </a:ext>
              </a:extLst>
            </xdr:cNvPr>
            <xdr:cNvSpPr txBox="1"/>
          </xdr:nvSpPr>
          <xdr:spPr>
            <a:xfrm>
              <a:off x="332743" y="1954105"/>
              <a:ext cx="195759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</a:t>
              </a:r>
              <a:r>
                <a:rPr lang="en-US" sz="12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𝟗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307340</xdr:colOff>
      <xdr:row>11</xdr:row>
      <xdr:rowOff>6772</xdr:rowOff>
    </xdr:from>
    <xdr:ext cx="262957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2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𝑺</m:t>
                        </m:r>
                      </m:e>
                      <m:sub>
                        <m:r>
                          <a:rPr lang="en-US" sz="1200" b="1" i="1">
                            <a:latin typeface="Cambria Math" panose="02040503050406030204" pitchFamily="18" charset="0"/>
                          </a:rPr>
                          <m:t>𝟏𝟎</m:t>
                        </m:r>
                      </m:sub>
                    </m:sSub>
                  </m:oMath>
                </m:oMathPara>
              </a14:m>
              <a:endParaRPr lang="en-US" sz="1200" b="1" i="1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8F91BABB-5F2A-445E-B2C9-E160F6170F65}"/>
                </a:ext>
              </a:extLst>
            </xdr:cNvPr>
            <xdr:cNvSpPr txBox="1"/>
          </xdr:nvSpPr>
          <xdr:spPr>
            <a:xfrm>
              <a:off x="307340" y="2148839"/>
              <a:ext cx="262957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200" b="1" i="0">
                  <a:latin typeface="Cambria Math" panose="02040503050406030204" pitchFamily="18" charset="0"/>
                </a:rPr>
                <a:t>𝑺_𝟏𝟎</a:t>
              </a:r>
              <a:endParaRPr lang="en-US" sz="1200" b="1" i="1"/>
            </a:p>
          </xdr:txBody>
        </xdr:sp>
      </mc:Fallback>
    </mc:AlternateContent>
    <xdr:clientData/>
  </xdr:oneCellAnchor>
  <xdr:oneCellAnchor>
    <xdr:from>
      <xdr:col>0</xdr:col>
      <xdr:colOff>0</xdr:colOff>
      <xdr:row>43</xdr:row>
      <xdr:rowOff>25400</xdr:rowOff>
    </xdr:from>
    <xdr:ext cx="65" cy="219163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B04B0A27-2154-4096-A2AA-578468AE696A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43</xdr:row>
      <xdr:rowOff>25400</xdr:rowOff>
    </xdr:from>
    <xdr:ext cx="65" cy="219163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E38C33CA-989E-4368-8947-2134E5B72143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44</xdr:row>
      <xdr:rowOff>25400</xdr:rowOff>
    </xdr:from>
    <xdr:ext cx="65" cy="219163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1D423749-FF2C-43F2-AABE-E608780420B6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44</xdr:row>
      <xdr:rowOff>25400</xdr:rowOff>
    </xdr:from>
    <xdr:ext cx="65" cy="219163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9B35CCDB-C72E-4DFC-A728-DA59879D59BB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42</xdr:row>
      <xdr:rowOff>25400</xdr:rowOff>
    </xdr:from>
    <xdr:ext cx="65" cy="219163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BD6DC4F5-1F55-4EE6-A2C6-F7738FB7F41D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42</xdr:row>
      <xdr:rowOff>25400</xdr:rowOff>
    </xdr:from>
    <xdr:ext cx="65" cy="219163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9D924BC1-F5DE-41D6-ACF5-90A572693B98}"/>
            </a:ext>
          </a:extLst>
        </xdr:cNvPr>
        <xdr:cNvSpPr txBox="1"/>
      </xdr:nvSpPr>
      <xdr:spPr>
        <a:xfrm>
          <a:off x="8864599" y="9203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46</xdr:row>
      <xdr:rowOff>25400</xdr:rowOff>
    </xdr:from>
    <xdr:ext cx="65" cy="219163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EAEC8824-0A9E-4785-80E3-AB60623AB5FB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46</xdr:row>
      <xdr:rowOff>25400</xdr:rowOff>
    </xdr:from>
    <xdr:ext cx="65" cy="219163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ADC3B838-1537-444D-AC54-9B3C0D37C38E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47</xdr:row>
      <xdr:rowOff>25400</xdr:rowOff>
    </xdr:from>
    <xdr:ext cx="65" cy="219163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A4302B4B-FAEC-45FA-9CBC-626818C1091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47</xdr:row>
      <xdr:rowOff>25400</xdr:rowOff>
    </xdr:from>
    <xdr:ext cx="65" cy="219163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40CF6FB2-70C5-4FAC-90BA-EC496EBA964A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45</xdr:row>
      <xdr:rowOff>25400</xdr:rowOff>
    </xdr:from>
    <xdr:ext cx="65" cy="21916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9DE369A4-8BE2-4F27-BA05-244B50442C70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45</xdr:row>
      <xdr:rowOff>25400</xdr:rowOff>
    </xdr:from>
    <xdr:ext cx="65" cy="219163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B25D5565-78C2-48C8-8073-63F6BC398796}"/>
            </a:ext>
          </a:extLst>
        </xdr:cNvPr>
        <xdr:cNvSpPr txBox="1"/>
      </xdr:nvSpPr>
      <xdr:spPr>
        <a:xfrm>
          <a:off x="330199" y="10337800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44</xdr:row>
      <xdr:rowOff>25400</xdr:rowOff>
    </xdr:from>
    <xdr:ext cx="65" cy="219163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8572A38-7D29-4CC1-9544-DF613B943817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44</xdr:row>
      <xdr:rowOff>25400</xdr:rowOff>
    </xdr:from>
    <xdr:ext cx="65" cy="219163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A5F62111-4C4B-4789-B7E8-8A16FCD66480}"/>
            </a:ext>
          </a:extLst>
        </xdr:cNvPr>
        <xdr:cNvSpPr txBox="1"/>
      </xdr:nvSpPr>
      <xdr:spPr>
        <a:xfrm>
          <a:off x="330199" y="10532533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45</xdr:row>
      <xdr:rowOff>25400</xdr:rowOff>
    </xdr:from>
    <xdr:ext cx="65" cy="219163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29612928-4D6A-488B-8321-F500834601D6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  <xdr:oneCellAnchor>
    <xdr:from>
      <xdr:col>0</xdr:col>
      <xdr:colOff>0</xdr:colOff>
      <xdr:row>45</xdr:row>
      <xdr:rowOff>25400</xdr:rowOff>
    </xdr:from>
    <xdr:ext cx="65" cy="219163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13CBBAAB-5EF1-4628-8EB1-FD6FB3419EDE}"/>
            </a:ext>
          </a:extLst>
        </xdr:cNvPr>
        <xdr:cNvSpPr txBox="1"/>
      </xdr:nvSpPr>
      <xdr:spPr>
        <a:xfrm>
          <a:off x="330199" y="10727267"/>
          <a:ext cx="6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400" b="1" i="1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E98"/>
  <sheetViews>
    <sheetView showGridLines="0" tabSelected="1" zoomScale="100" zoomScaleNormal="100" workbookViewId="0">
      <selection activeCell="A1" sqref="A1"/>
    </sheetView>
  </sheetViews>
  <sheetFormatPr defaultRowHeight="15.6"/>
  <cols>
    <col min="1" max="1" width="2.77734375" customWidth="1"/>
    <col min="2" max="2" width="6.77734375" customWidth="1"/>
    <col min="3" max="3" width="40.77734375" customWidth="1"/>
    <col min="4" max="4" width="30.77734375" customWidth="1"/>
    <col min="5" max="5" width="118.77734375" customWidth="1"/>
  </cols>
  <sheetData>
    <row r="1" ht="9" customHeight="1"/>
    <row r="2" ht="40" customHeight="1">
      <c r="B2" s="116" t="inlineStr">
        <is>
          <t xml:space="preserve">Context-Synthetic Model — Full Experiment</t>
        </is>
      </c>
      <c r="C2" s="116"/>
      <c r="D2" s="116"/>
      <c r="E2" s="116"/>
    </row>
    <row r="3" ht="22" customHeight="1">
      <c r="B3" s="117" t="inlineStr">
        <is>
          <t xml:space="preserve">Heart-Disease (10, 13, 2)  ·  Zhuravlev metric on three feature sets  ·  Ψ(r) by (5)  ·  ω by (4)  ·  η by (6)  ·  HAG  ·  meta-algorithm  ·  evaluation</t>
        </is>
      </c>
    </row>
    <row r="4" ht="10" customHeight="1"/>
    <row r="5" ht="24" customHeight="1">
      <c r="B5" s="118" t="inlineStr">
        <is>
          <t xml:space="preserve">Workbook map</t>
        </is>
      </c>
      <c r="C5" s="118"/>
      <c r="D5" s="118"/>
      <c r="E5" s="118"/>
    </row>
    <row r="6" ht="20" customHeight="1">
      <c r="B6" s="120" t="inlineStr">
        <is>
          <t xml:space="preserve">#</t>
        </is>
      </c>
      <c r="C6" s="119" t="inlineStr">
        <is>
          <t xml:space="preserve">Sheet</t>
        </is>
      </c>
      <c r="D6" s="119" t="inlineStr">
        <is>
          <t xml:space="preserve">Stage</t>
        </is>
      </c>
      <c r="E6" s="119" t="inlineStr">
        <is>
          <t xml:space="preserve">What it contains</t>
        </is>
      </c>
    </row>
    <row r="7" ht="31" customHeight="1">
      <c r="B7" s="121">
        <v>1</v>
      </c>
      <c r="C7" s="124" t="inlineStr">
        <is>
          <t xml:space="preserve">Parameters</t>
        </is>
      </c>
      <c r="D7" s="122" t="inlineStr">
        <is>
          <t xml:space="preserve">0 · Parameters</t>
        </is>
      </c>
      <c r="E7" s="122" t="inlineStr">
        <is>
          <t xml:space="preserve">k range (k_min = 3, k_max = 2·min|Kᵢ| − 3 from the class sizes), HAG parameters α, δ, ϰ, cr1, majorizer, the two template/article switches, base operators and rules.</t>
        </is>
      </c>
    </row>
    <row r="8" ht="31" customHeight="1">
      <c r="B8" s="121">
        <v>2</v>
      </c>
      <c r="C8" s="124" t="inlineStr">
        <is>
          <t xml:space="preserve">Template Deviations</t>
        </is>
      </c>
      <c r="D8" s="122" t="inlineStr">
        <is>
          <t xml:space="preserve">0 · Template deviations</t>
        </is>
      </c>
      <c r="E8" s="122" t="inlineStr">
        <is>
          <t xml:space="preserve">⚠1 running class centres in θ/γ and ⚠2 double majorizer in STEP 4: exact template cells, worked examples on the template data, fixes, and the effect of both switches.</t>
        </is>
      </c>
    </row>
    <row r="9" ht="31" customHeight="1">
      <c r="B9" s="121">
        <v>3</v>
      </c>
      <c r="C9" s="124" t="inlineStr">
        <is>
          <t xml:space="preserve">Dataset</t>
        </is>
      </c>
      <c r="D9" s="122" t="inlineStr">
        <is>
          <t xml:space="preserve">1 · Input data</t>
        </is>
      </c>
      <c r="E9" s="122" t="inlineStr">
        <is>
          <t xml:space="preserve">Original sample: 10 objects (S₁–S₁₀) × 13 features (x₁–x₁₃), class labels (K1 = 4, K2 = 6), feature-type flags (1 = quantitative, 0 = nominal).</t>
        </is>
      </c>
    </row>
    <row r="10" ht="31" customHeight="1">
      <c r="B10" s="121">
        <v>4</v>
      </c>
      <c r="C10" s="124" t="inlineStr">
        <is>
          <t xml:space="preserve">Quantitative</t>
        </is>
      </c>
      <c r="D10" s="122" t="inlineStr">
        <is>
          <t xml:space="preserve">1 · Input data</t>
        </is>
      </c>
      <c r="E10" s="122" t="inlineStr">
        <is>
          <t xml:space="preserve">The 6 quantitative features (x₁, x₄, x₅, x₈, x₁₀, x₁₂) with class labels.</t>
        </is>
      </c>
    </row>
    <row r="11" ht="31" customHeight="1">
      <c r="B11" s="121">
        <v>5</v>
      </c>
      <c r="C11" s="124" t="inlineStr">
        <is>
          <t xml:space="preserve">Nominal</t>
        </is>
      </c>
      <c r="D11" s="122" t="inlineStr">
        <is>
          <t xml:space="preserve">1 · Input data</t>
        </is>
      </c>
      <c r="E11" s="122" t="inlineStr">
        <is>
          <t xml:space="preserve">The 7 nominal features (x₂, x₃, x₆, x₇, x₉, x₁₁, x₁₃) with class labels.</t>
        </is>
      </c>
    </row>
    <row r="12" ht="31" customHeight="1">
      <c r="B12" s="121">
        <v>6</v>
      </c>
      <c r="C12" s="124" t="inlineStr">
        <is>
          <t xml:space="preserve">Normalized Dataset</t>
        </is>
      </c>
      <c r="D12" s="122" t="inlineStr">
        <is>
          <t xml:space="preserve">Step 1 · Scale unification</t>
        </is>
      </c>
      <c r="E12" s="122" t="inlineStr">
        <is>
          <t xml:space="preserve">Quantitative features mapped to [0, 1] by (x − min)/(max − min); nominal codes unchanged; type, min and max rows.</t>
        </is>
      </c>
    </row>
    <row r="13" ht="31" customHeight="1">
      <c r="B13" s="121">
        <v>7</v>
      </c>
      <c r="C13" s="124" t="inlineStr">
        <is>
          <t xml:space="preserve">Zhuravlev Distances</t>
        </is>
      </c>
      <c r="D13" s="122" t="inlineStr">
        <is>
          <t xml:space="preserve">Step 2 · Distances</t>
        </is>
      </c>
      <c r="E13" s="122" t="inlineStr">
        <is>
          <t xml:space="preserve">Three base operators: Zhuravlev distance ρ, its quantitative part ρ_I and its nominal part ρ_J, for all pairs.</t>
        </is>
      </c>
    </row>
    <row r="14" ht="31" customHeight="1">
      <c r="B14" s="121">
        <v>8</v>
      </c>
      <c r="C14" s="124" t="inlineStr">
        <is>
          <t xml:space="preserve">Sorted Neighbors (ρ)</t>
        </is>
      </c>
      <c r="D14" s="122" t="inlineStr">
        <is>
          <t xml:space="preserve">Step 3 · Sorting (ρ)</t>
        </is>
      </c>
      <c r="E14" s="122" t="inlineStr">
        <is>
          <t xml:space="preserve">Rank matrix and one block per object under ρ: neighbours with original index, distance, class, same-class count μ and K1 count χ₁; permitted k marked.</t>
        </is>
      </c>
    </row>
    <row r="15" ht="31" customHeight="1">
      <c r="B15" s="121">
        <v>9</v>
      </c>
      <c r="C15" s="124" t="inlineStr">
        <is>
          <t xml:space="preserve">Sorted Neighbors (ρ_I)</t>
        </is>
      </c>
      <c r="D15" s="122" t="inlineStr">
        <is>
          <t xml:space="preserve">Step 3 · Sorting (ρ_I)</t>
        </is>
      </c>
      <c r="E15" s="122" t="inlineStr">
        <is>
          <t xml:space="preserve">The same for the quantitative operator ρ_I.</t>
        </is>
      </c>
    </row>
    <row r="16" ht="31" customHeight="1">
      <c r="B16" s="121">
        <v>10</v>
      </c>
      <c r="C16" s="124" t="inlineStr">
        <is>
          <t xml:space="preserve">Sorted Neighbors (ρ_J)</t>
        </is>
      </c>
      <c r="D16" s="122" t="inlineStr">
        <is>
          <t xml:space="preserve">Step 3 · Sorting (ρ_J)</t>
        </is>
      </c>
      <c r="E16" s="122" t="inlineStr">
        <is>
          <t xml:space="preserve">The same for the nominal operator ρ_J (many ties — see Model Properties).</t>
        </is>
      </c>
    </row>
    <row r="17" ht="31" customHeight="1">
      <c r="B17" s="121">
        <v>11</v>
      </c>
      <c r="C17" s="124" t="inlineStr">
        <is>
          <t xml:space="preserve">Synthetic Features (k-NN)</t>
        </is>
      </c>
      <c r="D17" s="122" t="inlineStr">
        <is>
          <t xml:space="preserve">Step 4 · Same-class counts μ</t>
        </is>
      </c>
      <c r="E17" s="122" t="inlineStr">
        <is>
          <t xml:space="preserve">Synthetic Features based on k-NN: μ = same-class neighbours for every permitted k and operator (training-side gradations).</t>
        </is>
      </c>
    </row>
    <row r="18" ht="31" customHeight="1">
      <c r="B18" s="121">
        <v>12</v>
      </c>
      <c r="C18" s="124" t="inlineStr">
        <is>
          <t xml:space="preserve">Ψ(r) Binary Features</t>
        </is>
      </c>
      <c r="D18" s="122" t="inlineStr">
        <is>
          <t xml:space="preserve">Step 5 · Ψ(r) — formula (5)</t>
        </is>
      </c>
      <c r="E18" s="122" t="inlineStr">
        <is>
          <t xml:space="preserve">Feature map a₁ … a₆ = (operator, k); χ₁, χ₂ and the class-free synthetic features aᵤ ∈ {1, 2}.</t>
        </is>
      </c>
    </row>
    <row r="19" ht="31" customHeight="1">
      <c r="B19" s="121">
        <v>13</v>
      </c>
      <c r="C19" s="124" t="inlineStr">
        <is>
          <t xml:space="preserve">Membership &amp; Stability</t>
        </is>
      </c>
      <c r="D19" s="122" t="inlineStr">
        <is>
          <t xml:space="preserve">Step 6 · Formulas (1), (2)</t>
        </is>
      </c>
      <c r="E19" s="122" t="inlineStr">
        <is>
          <t xml:space="preserve">Membership f_k(μ) and stability g_k per feature, the meta-object vector, and Task 2 — bit representations with their stability.</t>
        </is>
      </c>
    </row>
    <row r="20" ht="31" customHeight="1">
      <c r="B20" s="121">
        <v>14</v>
      </c>
      <c r="C20" s="124" t="inlineStr">
        <is>
          <t xml:space="preserve">Informativeness ω</t>
        </is>
      </c>
      <c r="D20" s="122" t="inlineStr">
        <is>
          <t xml:space="preserve">Step 7 · Formulas (3), (4)</t>
        </is>
      </c>
      <c r="E20" s="122" t="inlineStr">
        <is>
          <t xml:space="preserve">Boundary G_k = (q₁ + q₂)/2, g(S, k) per object, correct-side flags, informativeness ω and its rank.</t>
        </is>
      </c>
    </row>
    <row r="21" ht="31" customHeight="1">
      <c r="B21" s="121">
        <v>15</v>
      </c>
      <c r="C21" s="124" t="inlineStr">
        <is>
          <t xml:space="preserve">Ψ(r) Contribution &amp; Weight</t>
        </is>
      </c>
      <c r="D21" s="122" t="inlineStr">
        <is>
          <t xml:space="preserve">Step 8 · Formula (6)</t>
        </is>
      </c>
      <c r="E21" s="122" t="inlineStr">
        <is>
          <t xml:space="preserve">Gradation counts, weights ω, contributions η(1), η(2), Ψ(r) as contribution values and ranks — the HAG input (template: Dataset (Contribution &amp; Weight)).</t>
        </is>
      </c>
    </row>
    <row r="22" ht="31" customHeight="1">
      <c r="B22" s="121">
        <v>16</v>
      </c>
      <c r="C22" s="124" t="inlineStr">
        <is>
          <t xml:space="preserve">Greedy upon Weight (1-Latent)</t>
        </is>
      </c>
      <c r="D22" s="122" t="inlineStr">
        <is>
          <t xml:space="preserve">Step 9 · Latent feature 1</t>
        </is>
      </c>
      <c r="E22" s="122" t="inlineStr">
        <is>
          <t xml:space="preserve">STEP 1–2 (first feature = max ω), STEP 3 candidate blocks (b, majorizer, centres, θ, γ, θ/γ), STEP 3 summary, STEP 4 update and stopping rule → r₁.</t>
        </is>
      </c>
    </row>
    <row r="23" ht="31" customHeight="1">
      <c r="B23" s="121">
        <v>17</v>
      </c>
      <c r="C23" s="124" t="inlineStr">
        <is>
          <t xml:space="preserve">Greedy upon Weight (2-Latent)</t>
        </is>
      </c>
      <c r="D23" s="122" t="inlineStr">
        <is>
          <t xml:space="preserve">Step 9 · Latent feature 2</t>
        </is>
      </c>
      <c r="E23" s="122" t="inlineStr">
        <is>
          <t xml:space="preserve">STEP 3 candidate blocks (b, majorizer, centres, θ, γ, θ/γ), STEP 3 summary, STEP 4 update and stopping rule → r₂.</t>
        </is>
      </c>
    </row>
    <row r="24" ht="31" customHeight="1">
      <c r="B24" s="121">
        <v>18</v>
      </c>
      <c r="C24" s="124" t="inlineStr">
        <is>
          <t xml:space="preserve">Greedy upon Weight (3-Latent)</t>
        </is>
      </c>
      <c r="D24" s="122" t="inlineStr">
        <is>
          <t xml:space="preserve">Step 9 · Latent feature 3</t>
        </is>
      </c>
      <c r="E24" s="122" t="inlineStr">
        <is>
          <t xml:space="preserve">STEP 3 candidate blocks (b, majorizer, centres, θ, γ, θ/γ), STEP 3 summary, STEP 4 update and stopping rule → r₃.</t>
        </is>
      </c>
    </row>
    <row r="25" ht="31" customHeight="1">
      <c r="B25" s="121">
        <v>19</v>
      </c>
      <c r="C25" s="124" t="inlineStr">
        <is>
          <t xml:space="preserve">Greedy upon Weight (4-Latent)</t>
        </is>
      </c>
      <c r="D25" s="122" t="inlineStr">
        <is>
          <t xml:space="preserve">Step 9 · Latent feature 4</t>
        </is>
      </c>
      <c r="E25" s="122" t="inlineStr">
        <is>
          <t xml:space="preserve">STEP 3 candidate blocks (b, majorizer, centres, θ, γ, θ/γ), STEP 3 summary, STEP 4 update and stopping rule → r₄.</t>
        </is>
      </c>
    </row>
    <row r="26" ht="31" customHeight="1">
      <c r="B26" s="121">
        <v>20</v>
      </c>
      <c r="C26" s="124" t="inlineStr">
        <is>
          <t xml:space="preserve">Dataset for Meta-algorithm</t>
        </is>
      </c>
      <c r="D26" s="122" t="inlineStr">
        <is>
          <t xml:space="preserve">Step 10 · Meta-dataset</t>
        </is>
      </c>
      <c r="E26" s="122" t="inlineStr">
        <is>
          <t xml:space="preserve">TUPLAM order, initial features y₀ … y_p (contribution values) and latent features r₁ … r_p; Y = (y, r).</t>
        </is>
      </c>
    </row>
    <row r="27" ht="31" customHeight="1">
      <c r="B27" s="121">
        <v>21</v>
      </c>
      <c r="C27" s="124" t="inlineStr">
        <is>
          <t xml:space="preserve">Brace for Meta-algorithm</t>
        </is>
      </c>
      <c r="D27" s="122" t="inlineStr">
        <is>
          <t xml:space="preserve">Step 11 · Preparation</t>
        </is>
      </c>
      <c r="E27" s="122" t="inlineStr">
        <is>
          <t xml:space="preserve">Training description (aᵢ, dᵢ), sorted by class; a new object typed in, rescaled, its distances, ranks, χ₁ and Ψ(r) computed without its class.</t>
        </is>
      </c>
    </row>
    <row r="28" ht="31" customHeight="1">
      <c r="B28" s="121">
        <v>22</v>
      </c>
      <c r="C28" s="124" t="inlineStr">
        <is>
          <t xml:space="preserve">Meta-algorithm</t>
        </is>
      </c>
      <c r="D28" s="122" t="inlineStr">
        <is>
          <t xml:space="preserve">Step 12 · Classification</t>
        </is>
      </c>
      <c r="E28" s="122" t="inlineStr">
        <is>
          <t xml:space="preserve">Meta-algorithm Steps 1–5 for the new object: B1/B2 with original-feature and latent-sign conditions, Step 3 checks, Step 4 class, Step 5 end.</t>
        </is>
      </c>
    </row>
    <row r="29" ht="31" customHeight="1">
      <c r="B29" s="121">
        <v>23</v>
      </c>
      <c r="C29" s="124" t="inlineStr">
        <is>
          <t xml:space="preserve">Meta-algorithm (All Objects)</t>
        </is>
      </c>
      <c r="D29" s="122" t="inlineStr">
        <is>
          <t xml:space="preserve">Step 12 · Resubstitution</t>
        </is>
      </c>
      <c r="E29" s="122" t="inlineStr">
        <is>
          <t xml:space="preserve">The meta-algorithm for every training object (B1/B2 flags per step), scores, predictions — training correctness (Definition 2).</t>
        </is>
      </c>
    </row>
    <row r="30" ht="31" customHeight="1">
      <c r="B30" s="121">
        <v>24</v>
      </c>
      <c r="C30" s="124" t="inlineStr">
        <is>
          <t xml:space="preserve">Margin Analysis</t>
        </is>
      </c>
      <c r="D30" s="122" t="inlineStr">
        <is>
          <t xml:space="preserve">Evaluation · Margins</t>
        </is>
      </c>
      <c r="E30" s="122" t="inlineStr">
        <is>
          <t xml:space="preserve">Margins of r₁ … r_p with and without majorizer: boundary b, left/right boundaries, widths, object margins, comparison.</t>
        </is>
      </c>
    </row>
    <row r="31" ht="31" customHeight="1">
      <c r="B31" s="121">
        <v>25</v>
      </c>
      <c r="C31" s="124" t="inlineStr">
        <is>
          <t xml:space="preserve">Accuracy</t>
        </is>
      </c>
      <c r="D31" s="122" t="inlineStr">
        <is>
          <t xml:space="preserve">Evaluation · Accuracy</t>
        </is>
      </c>
      <c r="E31" s="122" t="inlineStr">
        <is>
          <t xml:space="preserve">Accuracy, coverage, TP/TN/FP/FN and refusals for resubstitution, leave-one-out and k-NN baselines.</t>
        </is>
      </c>
    </row>
    <row r="32" ht="31" customHeight="1">
      <c r="B32" s="121">
        <v>26</v>
      </c>
      <c r="C32" s="124" t="inlineStr">
        <is>
          <t xml:space="preserve">Confusion Matrix</t>
        </is>
      </c>
      <c r="D32" s="122" t="inlineStr">
        <is>
          <t xml:space="preserve">Evaluation · Confusion</t>
        </is>
      </c>
      <c r="E32" s="122" t="inlineStr">
        <is>
          <t xml:space="preserve">Confusion matrices (actual × predicted, refusals separate) for resubstitution and leave-one-out.</t>
        </is>
      </c>
    </row>
    <row r="33" ht="31" customHeight="1">
      <c r="B33" s="121">
        <v>27</v>
      </c>
      <c r="C33" s="124" t="inlineStr">
        <is>
          <t xml:space="preserve">Precision, Recall, F1 Score</t>
        </is>
      </c>
      <c r="D33" s="122" t="inlineStr">
        <is>
          <t xml:space="preserve">Evaluation · P / R / F1</t>
        </is>
      </c>
      <c r="E33" s="122" t="inlineStr">
        <is>
          <t xml:space="preserve">Precision, recall and F1 per class and macro average for every method.</t>
        </is>
      </c>
    </row>
    <row r="34" ht="31" customHeight="1">
      <c r="B34" s="121">
        <v>28</v>
      </c>
      <c r="C34" s="124" t="inlineStr">
        <is>
          <t xml:space="preserve">ROC Curve &amp; AUC</t>
        </is>
      </c>
      <c r="D34" s="122" t="inlineStr">
        <is>
          <t xml:space="preserve">Evaluation · ROC</t>
        </is>
      </c>
      <c r="E34" s="122" t="inlineStr">
        <is>
          <t xml:space="preserve">Scores score₁ − score₂, Mann–Whitney AUC and ROC points (TPR, FPR) for resubstitution and leave-one-out.</t>
        </is>
      </c>
    </row>
    <row r="35" ht="31" customHeight="1">
      <c r="B35" s="121">
        <v>29</v>
      </c>
      <c r="C35" s="124" t="inlineStr">
        <is>
          <t xml:space="preserve">Leave-One-Out</t>
        </is>
      </c>
      <c r="D35" s="122" t="inlineStr">
        <is>
          <t xml:space="preserve">Evaluation · Generalization</t>
        </is>
      </c>
      <c r="E35" s="122" t="inlineStr">
        <is>
          <t xml:space="preserve">Leave-one-out folds (whole pipeline re-fitted on 9 objects): permitted k, TUPLAM, description, scores, prediction; k-NN baselines. Engine values.</t>
        </is>
      </c>
    </row>
    <row r="36" ht="31" customHeight="1">
      <c r="B36" s="121">
        <v>30</v>
      </c>
      <c r="C36" s="124" t="inlineStr">
        <is>
          <t xml:space="preserve">Sensitivity (Switches)</t>
        </is>
      </c>
      <c r="D36" s="122" t="inlineStr">
        <is>
          <t xml:space="preserve">Evaluation · Sensitivity</t>
        </is>
      </c>
      <c r="E36" s="122" t="inlineStr">
        <is>
          <t xml:space="preserve">The two template-vs-article switches: results of all four combinations and the engine’s replication of the templates.</t>
        </is>
      </c>
    </row>
    <row r="37" ht="31" customHeight="1">
      <c r="B37" s="121">
        <v>31</v>
      </c>
      <c r="C37" s="124" t="inlineStr">
        <is>
          <t xml:space="preserve">Model Properties</t>
        </is>
      </c>
      <c r="D37" s="122" t="inlineStr">
        <is>
          <t xml:space="preserve">Checks · Definitions 1–6</t>
        </is>
      </c>
      <c r="E37" s="122" t="inlineStr">
        <is>
          <t xml:space="preserve">Determinacy, training and generalization correctness, sufficiency, contextual equivalence of operators, ties, and the Theorem checks.</t>
        </is>
      </c>
    </row>
    <row r="38" ht="31" customHeight="1">
      <c r="B38" s="121">
        <v>32</v>
      </c>
      <c r="C38" s="124" t="inlineStr">
        <is>
          <t xml:space="preserve">Validation</t>
        </is>
      </c>
      <c r="D38" s="122" t="inlineStr">
        <is>
          <t xml:space="preserve">Checks · Validation</t>
        </is>
      </c>
      <c r="E38" s="122" t="inlineStr">
        <is>
          <t xml:space="preserve">Workbook formulas vs the independent Python engine; highlighted template deviations; recalculation and template notes.</t>
        </is>
      </c>
    </row>
    <row r="39" ht="10" customHeight="1"/>
    <row r="40" ht="24" customHeight="1">
      <c r="B40" s="118" t="inlineStr">
        <is>
          <t xml:space="preserve">Algorithm — pipeline specification (article element → sheet → planned Python function)</t>
        </is>
      </c>
      <c r="C40" s="118"/>
      <c r="D40" s="118"/>
      <c r="E40" s="118"/>
    </row>
    <row r="41" ht="20" customHeight="1">
      <c r="B41" s="120" t="inlineStr">
        <is>
          <t xml:space="preserve">#</t>
        </is>
      </c>
      <c r="C41" s="119" t="inlineStr">
        <is>
          <t xml:space="preserve">Article element</t>
        </is>
      </c>
      <c r="D41" s="119" t="inlineStr">
        <is>
          <t xml:space="preserve">Sheet</t>
        </is>
      </c>
      <c r="E41" s="119" t="inlineStr">
        <is>
          <t xml:space="preserve">Definition  →  Python function (csmodel)</t>
        </is>
      </c>
    </row>
    <row r="42" ht="22" customHeight="1">
      <c r="B42" s="121">
        <v>1</v>
      </c>
      <c r="C42" s="123" t="inlineStr">
        <is>
          <t xml:space="preserve">Data, feature types, classes</t>
        </is>
      </c>
      <c r="D42" s="124" t="inlineStr">
        <is>
          <t xml:space="preserve">Dataset</t>
        </is>
      </c>
      <c r="E42" s="128" t="inlineStr">
        <is>
          <t xml:space="preserve">E₀ = {S₁ … Sₘ}, X(n) heterogeneous, K1, K2   →   core.load_dataset(path) → (X, y, types)</t>
        </is>
      </c>
    </row>
    <row r="43" ht="22" customHeight="1">
      <c r="B43" s="121">
        <v>2</v>
      </c>
      <c r="C43" s="123" t="inlineStr">
        <is>
          <t xml:space="preserve">Scale unification</t>
        </is>
      </c>
      <c r="D43" s="124" t="inlineStr">
        <is>
          <t xml:space="preserve">Normalized Dataset</t>
        </is>
      </c>
      <c r="E43" s="128" t="inlineStr">
        <is>
          <t xml:space="preserve">x′ = (x − min)/(max − min) for j ∈ I, training min/max   →   core.scale_params, core.unify</t>
        </is>
      </c>
    </row>
    <row r="44" ht="22" customHeight="1">
      <c r="B44" s="121">
        <v>3</v>
      </c>
      <c r="C44" s="123" t="inlineStr">
        <is>
          <t xml:space="preserve">Base operators ρ, ρ_I, ρ_J</t>
        </is>
      </c>
      <c r="D44" s="124" t="inlineStr">
        <is>
          <t xml:space="preserve">Zhuravlev Distances</t>
        </is>
      </c>
      <c r="E44" s="128" t="inlineStr">
        <is>
          <t xml:space="preserve">Zhuravlev metric on I ∪ J, on I and on J (article: variants of Ψ)   →   core.rho(zx, zy, x, y, types, op)</t>
        </is>
      </c>
    </row>
    <row r="45" ht="22" customHeight="1">
      <c r="B45" s="121">
        <v>4</v>
      </c>
      <c r="C45" s="123" t="inlineStr">
        <is>
          <t xml:space="preserve">Nested neighbourhoods</t>
        </is>
      </c>
      <c r="D45" s="124" t="inlineStr">
        <is>
          <t xml:space="preserve">Sorted Neighbors (ρ)</t>
        </is>
      </c>
      <c r="E45" s="128" t="inlineStr">
        <is>
          <t xml:space="preserve">order by (ρ, original index), self excluded; μ and χ₁ per rank   →   core.neighbours, core.chi1</t>
        </is>
      </c>
    </row>
    <row r="46" ht="22" customHeight="1">
      <c r="B46" s="121">
        <v>5</v>
      </c>
      <c r="C46" s="123" t="inlineStr">
        <is>
          <t xml:space="preserve">Permitted k</t>
        </is>
      </c>
      <c r="D46" s="124" t="inlineStr">
        <is>
          <t xml:space="preserve">Parameters</t>
        </is>
      </c>
      <c r="E46" s="128" t="inlineStr">
        <is>
          <t xml:space="preserve">k = 3, 5, …, 2·min|Kᵢ| − 3   →   core.permitted_k(y)</t>
        </is>
      </c>
    </row>
    <row r="47" ht="22" customHeight="1">
      <c r="B47" s="121">
        <v>6</v>
      </c>
      <c r="C47" s="123" t="inlineStr">
        <is>
          <t xml:space="preserve">Formula (5) — Ψ(r)</t>
        </is>
      </c>
      <c r="D47" s="124" t="inlineStr">
        <is>
          <t xml:space="preserve">Ψ(r) Binary Features</t>
        </is>
      </c>
      <c r="E47" s="128" t="inlineStr">
        <is>
          <t xml:space="preserve">aᵤ = 1 if χ₁ &gt; [k/2], 2 if χ₂ &gt; [k/2]   →   core.binary_a</t>
        </is>
      </c>
    </row>
    <row r="48" ht="22" customHeight="1">
      <c r="B48" s="121">
        <v>7</v>
      </c>
      <c r="C48" s="123" t="inlineStr">
        <is>
          <t xml:space="preserve">Formulas (1), (2)</t>
        </is>
      </c>
      <c r="D48" s="124" t="inlineStr">
        <is>
          <t xml:space="preserve">Membership &amp; Stability</t>
        </is>
      </c>
      <c r="E48" s="128" t="inlineStr">
        <is>
          <t xml:space="preserve">f_k(μ), stability g_k (β = k), meta-object, bit masks   →   core.membership, core.stability</t>
        </is>
      </c>
    </row>
    <row r="49" ht="22" customHeight="1">
      <c r="B49" s="121">
        <v>8</v>
      </c>
      <c r="C49" s="123" t="inlineStr">
        <is>
          <t xml:space="preserve">Formulas (3), (4)</t>
        </is>
      </c>
      <c r="D49" s="124" t="inlineStr">
        <is>
          <t xml:space="preserve">Informativeness ω</t>
        </is>
      </c>
      <c r="E49" s="128" t="inlineStr">
        <is>
          <t xml:space="preserve">G_k = (q₁ + q₂)/2, ω = share of objects on the correct side   →   core.boundary, core.informativeness</t>
        </is>
      </c>
    </row>
    <row r="50" ht="22" customHeight="1">
      <c r="B50" s="121">
        <v>9</v>
      </c>
      <c r="C50" s="123" t="inlineStr">
        <is>
          <t xml:space="preserve">Formula (6)</t>
        </is>
      </c>
      <c r="D50" s="124" t="inlineStr">
        <is>
          <t xml:space="preserve">Ψ(r) Contribution &amp; Weight</t>
        </is>
      </c>
      <c r="E50" s="128" t="inlineStr">
        <is>
          <t xml:space="preserve">η(j) = ω(α¹ⱼ/|K1| − α²ⱼ/|K2|), Ψ(r) as contribution values   →   core.contributions</t>
        </is>
      </c>
    </row>
    <row r="51" ht="22" customHeight="1">
      <c r="B51" s="121">
        <v>10</v>
      </c>
      <c r="C51" s="123" t="inlineStr">
        <is>
          <t xml:space="preserve">HAG, Steps 1–5</t>
        </is>
      </c>
      <c r="D51" s="124" t="inlineStr">
        <is>
          <t xml:space="preserve">Greedy upon Weight (1-Latent)</t>
        </is>
      </c>
      <c r="E51" s="128" t="inlineStr">
        <is>
          <t xml:space="preserve">u = argmax ω, b = R + η, majorizer, θ/γ, q = argmin, stop rule   →   hag.hag(C, w, y, α, δ, ϰ, centres, step4_passes)</t>
        </is>
      </c>
    </row>
    <row r="52" ht="22" customHeight="1">
      <c r="B52" s="121">
        <v>11</v>
      </c>
      <c r="C52" s="123" t="inlineStr">
        <is>
          <t xml:space="preserve">Meta-description Y</t>
        </is>
      </c>
      <c r="D52" s="124" t="inlineStr">
        <is>
          <t xml:space="preserve">Dataset for Meta-algorithm</t>
        </is>
      </c>
      <c r="E52" s="128" t="inlineStr">
        <is>
          <t xml:space="preserve">Y = (y₀ … y_p, r₁ … r_p), aᵢ and dᵢ   →   pipeline.fit(...)["A"], ["D"]</t>
        </is>
      </c>
    </row>
    <row r="53" ht="22" customHeight="1">
      <c r="B53" s="121">
        <v>12</v>
      </c>
      <c r="C53" s="123" t="inlineStr">
        <is>
          <t xml:space="preserve">New object (Theorem)</t>
        </is>
      </c>
      <c r="D53" s="124" t="inlineStr">
        <is>
          <t xml:space="preserve">Brace for Meta-algorithm</t>
        </is>
      </c>
      <c r="E53" s="128" t="inlineStr">
        <is>
          <t xml:space="preserve">context relative to E without K(S)   →   pipeline.represent(model, x)</t>
        </is>
      </c>
    </row>
    <row r="54" ht="22" customHeight="1">
      <c r="B54" s="121">
        <v>13</v>
      </c>
      <c r="C54" s="123" t="inlineStr">
        <is>
          <t xml:space="preserve">Meta-algorithm, Steps 1–5</t>
        </is>
      </c>
      <c r="D54" s="124" t="inlineStr">
        <is>
          <t xml:space="preserve">Meta-algorithm</t>
        </is>
      </c>
      <c r="E54" s="128" t="inlineStr">
        <is>
          <t xml:space="preserve">B1, B2 filtering, score comparison, refusal   →   meta.classify(a, A, D, y)</t>
        </is>
      </c>
    </row>
    <row r="55" ht="22" customHeight="1">
      <c r="B55" s="121">
        <v>14</v>
      </c>
      <c r="C55" s="123" t="inlineStr">
        <is>
          <t xml:space="preserve">Evaluation (Definitions 2, 3)</t>
        </is>
      </c>
      <c r="D55" s="124" t="inlineStr">
        <is>
          <t xml:space="preserve">Accuracy</t>
        </is>
      </c>
      <c r="E55" s="128" t="inlineStr">
        <is>
          <t xml:space="preserve">resubstitution, leave-one-out, baselines, AUC, margins   →   evaluate.*</t>
        </is>
      </c>
    </row>
    <row r="56" ht="22" customHeight="1">
      <c r="B56" s="121">
        <v>15</v>
      </c>
      <c r="C56" s="123" t="inlineStr">
        <is>
          <t xml:space="preserve">Validation</t>
        </is>
      </c>
      <c r="D56" s="124" t="inlineStr">
        <is>
          <t xml:space="preserve">Validation</t>
        </is>
      </c>
      <c r="E56" s="128" t="inlineStr">
        <is>
          <t xml:space="preserve">workbook vs engine; template replication   →   tests (golden values from this workbook)</t>
        </is>
      </c>
    </row>
    <row r="57" ht="10" customHeight="1"/>
    <row r="58" ht="24" customHeight="1">
      <c r="B58" s="118" t="inlineStr">
        <is>
          <t xml:space="preserve">Key results (live)</t>
        </is>
      </c>
      <c r="C58" s="118"/>
      <c r="D58" s="118"/>
      <c r="E58" s="118"/>
    </row>
    <row r="59" ht="20" customHeight="1">
      <c r="B59" s="120" t="inlineStr">
        <is>
          <t xml:space="preserve">#</t>
        </is>
      </c>
      <c r="C59" s="119" t="inlineStr">
        <is>
          <t xml:space="preserve">Figure</t>
        </is>
      </c>
      <c r="D59" s="120" t="inlineStr">
        <is>
          <t xml:space="preserve">Value</t>
        </is>
      </c>
      <c r="E59" s="119" t="inlineStr">
        <is>
          <t xml:space="preserve">Linked to</t>
        </is>
      </c>
    </row>
    <row r="60" ht="19" customHeight="1">
      <c r="B60" s="121">
        <v>1</v>
      </c>
      <c r="C60" s="123" t="inlineStr">
        <is>
          <t xml:space="preserve">Permitted k  (k_min = 3, k_max = 2·min|Kᵢ| − 3)</t>
        </is>
      </c>
      <c r="D60" s="125" t="str">
        <f>'Parameters'!$B$11</f>
        <v>3, 5</v>
      </c>
      <c r="E60" s="127" t="inlineStr">
        <is>
          <t xml:space="preserve">Parameters</t>
        </is>
      </c>
    </row>
    <row r="61" ht="19" customHeight="1">
      <c r="B61" s="121">
        <v>2</v>
      </c>
      <c r="C61" s="123" t="inlineStr">
        <is>
          <t xml:space="preserve">Synthetic features r = |Ψ(r)|</t>
        </is>
      </c>
      <c r="D61" s="125">
        <f>'Parameters'!$B$14</f>
        <v>6</v>
      </c>
      <c r="E61" s="127" t="inlineStr">
        <is>
          <t xml:space="preserve">Parameters</t>
        </is>
      </c>
    </row>
    <row r="62" ht="19" customHeight="1">
      <c r="B62" s="121">
        <v>3</v>
      </c>
      <c r="C62" s="123" t="inlineStr">
        <is>
          <t xml:space="preserve">TUPLAM (selected synthetic features, in order)</t>
        </is>
      </c>
      <c r="D62" s="125" t="str">
        <f>'Dataset for Meta-algorithm'!$C$13</f>
        <v>{a₆, a₃, a₁, a₂, a₄}</v>
      </c>
      <c r="E62" s="127" t="inlineStr">
        <is>
          <t xml:space="preserve">Dataset for Meta-algorithm</t>
        </is>
      </c>
    </row>
    <row r="63" ht="19" customHeight="1">
      <c r="B63" s="121">
        <v>4</v>
      </c>
      <c r="C63" s="123" t="inlineStr">
        <is>
          <t xml:space="preserve">Latent (additional) features p</t>
        </is>
      </c>
      <c r="D63" s="125">
        <f>'Dataset for Meta-algorithm'!$C$12</f>
        <v>4</v>
      </c>
      <c r="E63" s="127" t="inlineStr">
        <is>
          <t xml:space="preserve">Dataset for Meta-algorithm</t>
        </is>
      </c>
    </row>
    <row r="64" ht="19" customHeight="1">
      <c r="B64" s="121">
        <v>5</v>
      </c>
      <c r="C64" s="123" t="inlineStr">
        <is>
          <t xml:space="preserve">Resubstitution accuracy (Definition 2)</t>
        </is>
      </c>
      <c r="D64" s="126">
        <f>'Accuracy'!$H$4</f>
        <v>0.7</v>
      </c>
      <c r="E64" s="127" t="inlineStr">
        <is>
          <t xml:space="preserve">Accuracy</t>
        </is>
      </c>
    </row>
    <row r="65" ht="19" customHeight="1">
      <c r="B65" s="121">
        <v>6</v>
      </c>
      <c r="C65" s="123" t="inlineStr">
        <is>
          <t xml:space="preserve">Leave-one-out accuracy (Definition 3)</t>
        </is>
      </c>
      <c r="D65" s="126">
        <f>'Accuracy'!$H$5</f>
        <v>0.2</v>
      </c>
      <c r="E65" s="127" t="inlineStr">
        <is>
          <t xml:space="preserve">Accuracy</t>
        </is>
      </c>
    </row>
    <row r="66" ht="19" customHeight="1">
      <c r="B66" s="121">
        <v>7</v>
      </c>
      <c r="C66" s="123" t="inlineStr">
        <is>
          <t xml:space="preserve">AUC — resubstitution</t>
        </is>
      </c>
      <c r="D66" s="126">
        <f>'ROC Curve &amp; AUC'!$D$15</f>
        <v>0.666666666666667</v>
      </c>
      <c r="E66" s="127" t="inlineStr">
        <is>
          <t xml:space="preserve">ROC Curve &amp; AUC</t>
        </is>
      </c>
    </row>
    <row r="67" ht="19" customHeight="1">
      <c r="B67" s="121">
        <v>8</v>
      </c>
      <c r="C67" s="123" t="inlineStr">
        <is>
          <t xml:space="preserve">AUC — leave-one-out</t>
        </is>
      </c>
      <c r="D67" s="126">
        <f>'ROC Curve &amp; AUC'!$L$15</f>
        <v>0.270833333333333</v>
      </c>
      <c r="E67" s="127" t="inlineStr">
        <is>
          <t xml:space="preserve">ROC Curve &amp; AUC</t>
        </is>
      </c>
    </row>
    <row r="68" ht="19" customHeight="1">
      <c r="B68" s="121">
        <v>9</v>
      </c>
      <c r="C68" s="123" t="inlineStr">
        <is>
          <t xml:space="preserve">New object (default input = S₁, excluded): class</t>
        </is>
      </c>
      <c r="D68" s="125">
        <f>'Meta-algorithm'!$B$88</f>
        <v>1</v>
      </c>
      <c r="E68" s="127" t="inlineStr">
        <is>
          <t xml:space="preserve">Meta-algorithm</t>
        </is>
      </c>
    </row>
    <row r="69" ht="10" customHeight="1"/>
    <row r="70" ht="24" customHeight="1">
      <c r="B70" s="118" t="inlineStr">
        <is>
          <t xml:space="preserve">⚠ Template calculations that differ from the article (default = template, switchable on the Parameters sheet)</t>
        </is>
      </c>
      <c r="C70" s="118"/>
      <c r="D70" s="118"/>
      <c r="E70" s="118"/>
    </row>
    <row r="71" ht="21" customHeight="1">
      <c r="B71" s="130" t="inlineStr">
        <is>
          <t xml:space="preserve">•  θ and γ are measured from running partial class means instead of the final class means M₁ and M₂;</t>
        </is>
      </c>
      <c r="C71" s="130"/>
      <c r="D71" s="130"/>
      <c r="E71" s="130"/>
    </row>
    <row r="72" ht="21" customHeight="1">
      <c r="B72" s="130" t="inlineStr">
        <is>
          <t xml:space="preserve">•  in STEP 4 the majorizer is applied twice instead of once.</t>
        </is>
      </c>
      <c r="C72" s="130"/>
      <c r="D72" s="130"/>
      <c r="E72" s="130"/>
    </row>
    <row r="73" ht="21" customHeight="1">
      <c r="B73" s="130" t="inlineStr">
        <is>
          <t xml:space="preserve">   Effect on this dataset — default (template): TUPLAM {a₆, a₃, a₁, a₂, a₄}, resubstitution 70%, LOO 20%;  article setting: TUPLAM {a₆, a₁, a₂, a₄, a₅}, resubstitution 50%, LOO 0%.</t>
        </is>
      </c>
      <c r="C73" s="130"/>
      <c r="D73" s="130"/>
      <c r="E73" s="130"/>
    </row>
    <row r="74" ht="21" customHeight="1">
      <c r="B74" s="124" t="inlineStr">
        <is>
          <t xml:space="preserve">→  Template Deviations: exact template cells, worked examples, fixes and effect</t>
        </is>
      </c>
      <c r="C74" s="124"/>
      <c r="D74" s="124"/>
      <c r="E74" s="124"/>
    </row>
    <row r="75" ht="10" customHeight="1"/>
    <row r="76" ht="24" customHeight="1">
      <c r="B76" s="118" t="inlineStr">
        <is>
          <t xml:space="preserve">Colour legend</t>
        </is>
      </c>
      <c r="C76" s="118"/>
      <c r="D76" s="118"/>
      <c r="E76" s="118"/>
    </row>
    <row r="77" ht="19" customHeight="1">
      <c r="B77" s="131" t="inlineStr">
        <is>
          <t xml:space="preserve">Aa</t>
        </is>
      </c>
      <c r="C77" s="122" t="inlineStr">
        <is>
          <t xml:space="preserve">Sheet title bar</t>
        </is>
      </c>
      <c r="D77" s="122"/>
      <c r="E77" s="122"/>
    </row>
    <row r="78" ht="19" customHeight="1">
      <c r="B78" s="120" t="inlineStr">
        <is>
          <t xml:space="preserve">Aa</t>
        </is>
      </c>
      <c r="C78" s="122" t="inlineStr">
        <is>
          <t xml:space="preserve">Table / block / STEP title bar</t>
        </is>
      </c>
      <c r="D78" s="122"/>
      <c r="E78" s="122"/>
    </row>
    <row r="79" ht="19" customHeight="1">
      <c r="B79" s="132" t="inlineStr">
        <is>
          <t xml:space="preserve">Aa</t>
        </is>
      </c>
      <c r="C79" s="122" t="inlineStr">
        <is>
          <t xml:space="preserve">Column header (x₁ … x₁₃, S₁ … S₁₀, aᵤ, k, rank)</t>
        </is>
      </c>
      <c r="D79" s="122"/>
      <c r="E79" s="122"/>
    </row>
    <row r="80" ht="19" customHeight="1">
      <c r="B80" s="133" t="inlineStr">
        <is>
          <t xml:space="preserve">Aa</t>
        </is>
      </c>
      <c r="C80" s="122" t="inlineStr">
        <is>
          <t xml:space="preserve">Object label S₁ … S₁₀ and row captions</t>
        </is>
      </c>
      <c r="D80" s="122"/>
      <c r="E80" s="122"/>
    </row>
    <row r="81" ht="19" customHeight="1">
      <c r="B81" s="134" t="inlineStr">
        <is>
          <t xml:space="preserve">Aa</t>
        </is>
      </c>
      <c r="C81" s="122" t="inlineStr">
        <is>
          <t xml:space="preserve">Quantitative feature values</t>
        </is>
      </c>
      <c r="D81" s="122"/>
      <c r="E81" s="122"/>
    </row>
    <row r="82" ht="19" customHeight="1">
      <c r="B82" s="135" t="inlineStr">
        <is>
          <t xml:space="preserve">Aa</t>
        </is>
      </c>
      <c r="C82" s="122" t="inlineStr">
        <is>
          <t xml:space="preserve">Nominal feature values</t>
        </is>
      </c>
      <c r="D82" s="122"/>
      <c r="E82" s="122"/>
    </row>
    <row r="83" ht="19" customHeight="1">
      <c r="B83" s="136" t="inlineStr">
        <is>
          <t xml:space="preserve">Aa</t>
        </is>
      </c>
      <c r="C83" s="122" t="inlineStr">
        <is>
          <t xml:space="preserve">Class label (1 / 2)</t>
        </is>
      </c>
      <c r="D83" s="122"/>
      <c r="E83" s="122"/>
    </row>
    <row r="84" ht="19" customHeight="1">
      <c r="B84" s="137" t="inlineStr">
        <is>
          <t xml:space="preserve">Aa</t>
        </is>
      </c>
      <c r="C84" s="122" t="inlineStr">
        <is>
          <t xml:space="preserve">Synthetic feature values (μ, aᵤ, f, masks)</t>
        </is>
      </c>
      <c r="D84" s="122"/>
      <c r="E84" s="122"/>
    </row>
    <row r="85" ht="19" customHeight="1">
      <c r="B85" s="138" t="inlineStr">
        <is>
          <t xml:space="preserve">Aa</t>
        </is>
      </c>
      <c r="C85" s="122" t="inlineStr">
        <is>
          <t xml:space="preserve">Permitted-k neighbourhood (Step 3) / latent header</t>
        </is>
      </c>
      <c r="D85" s="122"/>
      <c r="E85" s="122"/>
    </row>
    <row r="86" ht="19" customHeight="1">
      <c r="B86" s="139" t="inlineStr">
        <is>
          <t xml:space="preserve">Aa</t>
        </is>
      </c>
      <c r="C86" s="122" t="inlineStr">
        <is>
          <t xml:space="preserve">Selected / same-class / correct</t>
        </is>
      </c>
      <c r="D86" s="122"/>
      <c r="E86" s="122"/>
    </row>
    <row r="87" ht="19" customHeight="1">
      <c r="B87" s="140" t="inlineStr">
        <is>
          <t xml:space="preserve">Aa</t>
        </is>
      </c>
      <c r="C87" s="122" t="inlineStr">
        <is>
          <t xml:space="preserve">Initial features y in the meta-dataset</t>
        </is>
      </c>
      <c r="D87" s="122"/>
      <c r="E87" s="122"/>
    </row>
    <row r="88" ht="19" customHeight="1">
      <c r="B88" s="141" t="inlineStr">
        <is>
          <t xml:space="preserve">Aa</t>
        </is>
      </c>
      <c r="C88" s="122" t="inlineStr">
        <is>
          <t xml:space="preserve">Additional (latent) features r</t>
        </is>
      </c>
      <c r="D88" s="122"/>
      <c r="E88" s="122"/>
    </row>
    <row r="89" ht="19" customHeight="1">
      <c r="B89" s="142" t="inlineStr">
        <is>
          <t xml:space="preserve">Aa</t>
        </is>
      </c>
      <c r="C89" s="122" t="inlineStr">
        <is>
          <t xml:space="preserve">Key label / parameter</t>
        </is>
      </c>
      <c r="D89" s="122"/>
      <c r="E89" s="122"/>
    </row>
    <row r="90" ht="19" customHeight="1">
      <c r="B90" s="143" t="inlineStr">
        <is>
          <t xml:space="preserve">Aa</t>
        </is>
      </c>
      <c r="C90" s="122" t="inlineStr">
        <is>
          <t xml:space="preserve">Input cell (blue value) — Parameters, new object</t>
        </is>
      </c>
      <c r="D90" s="122"/>
      <c r="E90" s="122"/>
    </row>
    <row r="91" ht="19" customHeight="1">
      <c r="B91" s="144" t="inlineStr">
        <is>
          <t xml:space="preserve">Aa</t>
        </is>
      </c>
      <c r="C91" s="122" t="inlineStr">
        <is>
          <t xml:space="preserve">Warning / ⚠1 running class centres (HAG columns I–L)</t>
        </is>
      </c>
      <c r="D91" s="122"/>
      <c r="E91" s="122"/>
    </row>
    <row r="92" ht="19" customHeight="1">
      <c r="B92" s="145" t="inlineStr">
        <is>
          <t xml:space="preserve">Aa</t>
        </is>
      </c>
      <c r="C92" s="122" t="inlineStr">
        <is>
          <t xml:space="preserve">⚠2 STEP 4 majorizer applied twice (HAG STEP 4 columns H–I)</t>
        </is>
      </c>
      <c r="D92" s="122"/>
      <c r="E92" s="122"/>
    </row>
    <row r="93" ht="10" customHeight="1"/>
    <row r="94" ht="24" customHeight="1">
      <c r="B94" s="118" t="inlineStr">
        <is>
          <t xml:space="preserve">Notes</t>
        </is>
      </c>
      <c r="C94" s="118"/>
      <c r="D94" s="118"/>
      <c r="E94" s="118"/>
    </row>
    <row r="95" ht="30" customHeight="1">
      <c r="B95" s="129" t="inlineStr">
        <is>
          <t xml:space="preserve">•  Symbols such as x₁ and S₁ on the Dataset, Quantitative and Nominal sheets are Office-Math equation objects placed over the cells; all other sheets use cell text with subscripts.</t>
        </is>
      </c>
      <c r="C95" s="129"/>
      <c r="D95" s="129"/>
      <c r="E95" s="129"/>
    </row>
    <row r="96" ht="30" customHeight="1">
      <c r="B96" s="129" t="inlineStr">
        <is>
          <t xml:space="preserve">•  Every Step 1–12 cell is a live formula chained back to the Dataset sheet: change a value, a class, a type flag or a parameter and the whole experiment recalculates. Leave-One-Out and Sensitivity hold engine values (re-fitting per fold is not a spreadsheet formula).</t>
        </is>
      </c>
      <c r="C96" s="129"/>
      <c r="D96" s="129"/>
      <c r="E96" s="129"/>
    </row>
    <row r="97" ht="30" customHeight="1">
      <c r="B97" s="129" t="inlineStr">
        <is>
          <t xml:space="preserve">•  Distances are rounded to 10 decimals; ties are broken by the smaller original index — the same rules as the Python reference engine used on the Validation sheet.</t>
        </is>
      </c>
      <c r="C97" s="129"/>
      <c r="D97" s="129"/>
      <c r="E97" s="129"/>
    </row>
    <row r="98" ht="30" customHeight="1">
      <c r="B98" s="129" t="inlineStr">
        <is>
          <t xml:space="preserve">•  The four template workbooks (k-NN synthetic features, HAG, meta-algorithm, model evaluation) were used read-only; this is a new workbook.</t>
        </is>
      </c>
      <c r="C98" s="129"/>
      <c r="D98" s="129"/>
      <c r="E98" s="129"/>
    </row>
  </sheetData>
  <mergeCells count="26">
    <mergeCell ref="B2:E2"/>
    <mergeCell ref="B3:E3"/>
    <mergeCell ref="B71:E71"/>
    <mergeCell ref="B72:E72"/>
    <mergeCell ref="B73:E73"/>
    <mergeCell ref="B74:E74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B95:E95"/>
    <mergeCell ref="B96:E96"/>
    <mergeCell ref="B97:E97"/>
    <mergeCell ref="B98:E98"/>
  </mergeCells>
  <hyperlinks>
    <hyperlink ref="C7" location="'Parameters'!A1" display="Parameters" tooltip="Go to Parameters"/>
    <hyperlink ref="C8" location="'Template Deviations'!A1" display="Template Deviations" tooltip="Go to Template Deviations"/>
    <hyperlink ref="C9" location="'Dataset'!A1" display="Dataset" tooltip="Go to Dataset"/>
    <hyperlink ref="C10" location="'Quantitative'!A1" display="Quantitative" tooltip="Go to Quantitative"/>
    <hyperlink ref="C11" location="'Nominal'!A1" display="Nominal" tooltip="Go to Nominal"/>
    <hyperlink ref="C12" location="'Normalized Dataset'!A1" display="Normalized Dataset" tooltip="Go to Normalized Dataset"/>
    <hyperlink ref="C13" location="'Zhuravlev Distances'!A1" display="Zhuravlev Distances" tooltip="Go to Zhuravlev Distances"/>
    <hyperlink ref="C14" location="'Sorted Neighbors (ρ)'!A1" display="Sorted Neighbors (ρ)" tooltip="Go to Sorted Neighbors (ρ)"/>
    <hyperlink ref="C15" location="'Sorted Neighbors (ρ_I)'!A1" display="Sorted Neighbors (ρ_I)" tooltip="Go to Sorted Neighbors (ρ_I)"/>
    <hyperlink ref="C16" location="'Sorted Neighbors (ρ_J)'!A1" display="Sorted Neighbors (ρ_J)" tooltip="Go to Sorted Neighbors (ρ_J)"/>
    <hyperlink ref="C17" location="'Synthetic Features (k-NN)'!A1" display="Synthetic Features (k-NN)" tooltip="Go to Synthetic Features (k-NN)"/>
    <hyperlink ref="C18" location="'Ψ(r) Binary Features'!A1" display="Ψ(r) Binary Features" tooltip="Go to Ψ(r) Binary Features"/>
    <hyperlink ref="C19" location="'Membership &amp; Stability'!A1" display="Membership &amp; Stability" tooltip="Go to Membership &amp; Stability"/>
    <hyperlink ref="C20" location="'Informativeness ω'!A1" display="Informativeness ω" tooltip="Go to Informativeness ω"/>
    <hyperlink ref="C21" location="'Ψ(r) Contribution &amp; Weight'!A1" display="Ψ(r) Contribution &amp; Weight" tooltip="Go to Ψ(r) Contribution &amp; Weight"/>
    <hyperlink ref="C22" location="'Greedy upon Weight (1-Latent)'!A1" display="Greedy upon Weight (1-Latent)" tooltip="Go to Greedy upon Weight (1-Latent)"/>
    <hyperlink ref="C23" location="'Greedy upon Weight (2-Latent)'!A1" display="Greedy upon Weight (2-Latent)" tooltip="Go to Greedy upon Weight (2-Latent)"/>
    <hyperlink ref="C24" location="'Greedy upon Weight (3-Latent)'!A1" display="Greedy upon Weight (3-Latent)" tooltip="Go to Greedy upon Weight (3-Latent)"/>
    <hyperlink ref="C25" location="'Greedy upon Weight (4-Latent)'!A1" display="Greedy upon Weight (4-Latent)" tooltip="Go to Greedy upon Weight (4-Latent)"/>
    <hyperlink ref="C26" location="'Dataset for Meta-algorithm'!A1" display="Dataset for Meta-algorithm" tooltip="Go to Dataset for Meta-algorithm"/>
    <hyperlink ref="C27" location="'Brace for Meta-algorithm'!A1" display="Brace for Meta-algorithm" tooltip="Go to Brace for Meta-algorithm"/>
    <hyperlink ref="C28" location="'Meta-algorithm'!A1" display="Meta-algorithm" tooltip="Go to Meta-algorithm"/>
    <hyperlink ref="C29" location="'Meta-algorithm (All Objects)'!A1" display="Meta-algorithm (All Objects)" tooltip="Go to Meta-algorithm (All Objects)"/>
    <hyperlink ref="C30" location="'Margin Analysis'!A1" display="Margin Analysis" tooltip="Go to Margin Analysis"/>
    <hyperlink ref="C31" location="'Accuracy'!A1" display="Accuracy" tooltip="Go to Accuracy"/>
    <hyperlink ref="C32" location="'Confusion Matrix'!A1" display="Confusion Matrix" tooltip="Go to Confusion Matrix"/>
    <hyperlink ref="C33" location="'Precision, Recall, F1 Score'!A1" display="Precision, Recall, F1 Score" tooltip="Go to Precision, Recall, F1 Score"/>
    <hyperlink ref="C34" location="'ROC Curve &amp; AUC'!A1" display="ROC Curve &amp; AUC" tooltip="Go to ROC Curve &amp; AUC"/>
    <hyperlink ref="C35" location="'Leave-One-Out'!A1" display="Leave-One-Out" tooltip="Go to Leave-One-Out"/>
    <hyperlink ref="C36" location="'Sensitivity (Switches)'!A1" display="Sensitivity (Switches)" tooltip="Go to Sensitivity (Switches)"/>
    <hyperlink ref="C37" location="'Model Properties'!A1" display="Model Properties" tooltip="Go to Model Properties"/>
    <hyperlink ref="C38" location="'Validation'!A1" display="Validation" tooltip="Go to Validation"/>
    <hyperlink ref="D42" location="'Dataset'!A1" display="Dataset" tooltip="Go to Dataset"/>
    <hyperlink ref="D43" location="'Normalized Dataset'!A1" display="Normalized Dataset" tooltip="Go to Normalized Dataset"/>
    <hyperlink ref="D44" location="'Zhuravlev Distances'!A1" display="Zhuravlev Distances" tooltip="Go to Zhuravlev Distances"/>
    <hyperlink ref="D45" location="'Sorted Neighbors (ρ)'!A1" display="Sorted Neighbors (ρ)" tooltip="Go to Sorted Neighbors (ρ)"/>
    <hyperlink ref="D46" location="'Parameters'!A1" display="Parameters" tooltip="Go to Parameters"/>
    <hyperlink ref="D47" location="'Ψ(r) Binary Features'!A1" display="Ψ(r) Binary Features" tooltip="Go to Ψ(r) Binary Features"/>
    <hyperlink ref="D48" location="'Membership &amp; Stability'!A1" display="Membership &amp; Stability" tooltip="Go to Membership &amp; Stability"/>
    <hyperlink ref="D49" location="'Informativeness ω'!A1" display="Informativeness ω" tooltip="Go to Informativeness ω"/>
    <hyperlink ref="D50" location="'Ψ(r) Contribution &amp; Weight'!A1" display="Ψ(r) Contribution &amp; Weight" tooltip="Go to Ψ(r) Contribution &amp; Weight"/>
    <hyperlink ref="D51" location="'Greedy upon Weight (1-Latent)'!A1" display="Greedy upon Weight (1-Latent)" tooltip="Go to Greedy upon Weight (1-Latent)"/>
    <hyperlink ref="D52" location="'Dataset for Meta-algorithm'!A1" display="Dataset for Meta-algorithm" tooltip="Go to Dataset for Meta-algorithm"/>
    <hyperlink ref="D53" location="'Brace for Meta-algorithm'!A1" display="Brace for Meta-algorithm" tooltip="Go to Brace for Meta-algorithm"/>
    <hyperlink ref="D54" location="'Meta-algorithm'!A1" display="Meta-algorithm" tooltip="Go to Meta-algorithm"/>
    <hyperlink ref="D55" location="'Accuracy'!A1" display="Accuracy" tooltip="Go to Accuracy"/>
    <hyperlink ref="D56" location="'Validation'!A1" display="Validation" tooltip="Go to Validation"/>
    <hyperlink ref="B74" location="'Template Deviations'!A1" display="Template Deviations" tooltip="Go to Template Deviations"/>
  </hyperlink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43E6C-79AF-4D4D-BBE0-1CDA64BB8567}">
  <sheetPr>
    <tabColor rgb="FF1F4E78"/>
    <pageSetUpPr fitToPage="1"/>
  </sheetPr>
  <dimension ref="A1:Y31"/>
  <sheetViews>
    <sheetView showGridLines="0" zoomScaleNormal="100" workbookViewId="0">
      <selection activeCell="A1" sqref="A1"/>
    </sheetView>
  </sheetViews>
  <sheetFormatPr defaultRowHeight="14.4" x14ac:dyDescent="0.3"/>
  <cols>
    <col min="1" max="1" width="8.109375" customWidth="1"/>
    <col min="2" max="2" width="9.77734375" customWidth="1"/>
    <col min="3" max="3" width="10" customWidth="1"/>
    <col min="4" max="14" width="9.77734375" customWidth="1"/>
    <col min="17" max="19" width="10.77734375" customWidth="1"/>
  </cols>
  <sheetData>
    <row r="1" spans="1:25" ht="15.6" x14ac:dyDescent="0.3">
      <c r="A1" s="54" t="s">
        <v>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25" ht="15.6" x14ac:dyDescent="0.3">
      <c r="A2" s="1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1" t="s">
        <v>1</v>
      </c>
      <c r="Q2" s="3" t="s">
        <v>5</v>
      </c>
      <c r="R2" s="4"/>
      <c r="S2" s="5"/>
      <c r="T2" s="5"/>
      <c r="Y2" s="6"/>
    </row>
    <row r="3" spans="1:25" ht="15.6" x14ac:dyDescent="0.3">
      <c r="A3" s="7"/>
      <c r="B3" s="8">
        <v>70</v>
      </c>
      <c r="C3" s="9">
        <v>1</v>
      </c>
      <c r="D3" s="9">
        <v>4</v>
      </c>
      <c r="E3" s="8">
        <v>130</v>
      </c>
      <c r="F3" s="8">
        <v>322</v>
      </c>
      <c r="G3" s="9">
        <v>0</v>
      </c>
      <c r="H3" s="9">
        <v>2</v>
      </c>
      <c r="I3" s="8">
        <v>109</v>
      </c>
      <c r="J3" s="9">
        <v>0</v>
      </c>
      <c r="K3" s="8">
        <v>2.4</v>
      </c>
      <c r="L3" s="9">
        <v>2</v>
      </c>
      <c r="M3" s="8">
        <v>3</v>
      </c>
      <c r="N3" s="9">
        <v>3</v>
      </c>
      <c r="O3" s="10">
        <v>2</v>
      </c>
      <c r="Q3" s="3" t="s">
        <v>2</v>
      </c>
      <c r="R3" s="5"/>
      <c r="S3" s="5"/>
      <c r="T3" s="5"/>
    </row>
    <row r="4" spans="1:25" ht="15.6" x14ac:dyDescent="0.3">
      <c r="A4" s="7"/>
      <c r="B4" s="8">
        <v>67</v>
      </c>
      <c r="C4" s="9">
        <v>0</v>
      </c>
      <c r="D4" s="9">
        <v>3</v>
      </c>
      <c r="E4" s="8">
        <v>115</v>
      </c>
      <c r="F4" s="8">
        <v>564</v>
      </c>
      <c r="G4" s="9">
        <v>0</v>
      </c>
      <c r="H4" s="9">
        <v>2</v>
      </c>
      <c r="I4" s="8">
        <v>160</v>
      </c>
      <c r="J4" s="9">
        <v>0</v>
      </c>
      <c r="K4" s="8">
        <v>1.6</v>
      </c>
      <c r="L4" s="9">
        <v>2</v>
      </c>
      <c r="M4" s="8">
        <v>0</v>
      </c>
      <c r="N4" s="9">
        <v>7</v>
      </c>
      <c r="O4" s="10">
        <v>1</v>
      </c>
      <c r="Q4" s="5"/>
      <c r="R4" s="5"/>
      <c r="S4" s="5"/>
      <c r="T4" s="5"/>
    </row>
    <row r="5" spans="1:25" ht="15.6" x14ac:dyDescent="0.3">
      <c r="A5" s="7"/>
      <c r="B5" s="8">
        <v>57</v>
      </c>
      <c r="C5" s="9">
        <v>1</v>
      </c>
      <c r="D5" s="9">
        <v>2</v>
      </c>
      <c r="E5" s="8">
        <v>124</v>
      </c>
      <c r="F5" s="8">
        <v>261</v>
      </c>
      <c r="G5" s="9">
        <v>0</v>
      </c>
      <c r="H5" s="9">
        <v>0</v>
      </c>
      <c r="I5" s="8">
        <v>141</v>
      </c>
      <c r="J5" s="9">
        <v>0</v>
      </c>
      <c r="K5" s="8">
        <v>0.3</v>
      </c>
      <c r="L5" s="9">
        <v>1</v>
      </c>
      <c r="M5" s="8">
        <v>0</v>
      </c>
      <c r="N5" s="9">
        <v>7</v>
      </c>
      <c r="O5" s="10">
        <v>2</v>
      </c>
      <c r="Q5" s="55" t="s">
        <v>9</v>
      </c>
      <c r="R5" s="55"/>
      <c r="S5" s="55"/>
      <c r="T5" s="11">
        <v>1</v>
      </c>
    </row>
    <row r="6" spans="1:25" ht="15.6" x14ac:dyDescent="0.3">
      <c r="A6" s="7"/>
      <c r="B6" s="8">
        <v>64</v>
      </c>
      <c r="C6" s="9">
        <v>1</v>
      </c>
      <c r="D6" s="9">
        <v>4</v>
      </c>
      <c r="E6" s="8">
        <v>128</v>
      </c>
      <c r="F6" s="8">
        <v>263</v>
      </c>
      <c r="G6" s="9">
        <v>0</v>
      </c>
      <c r="H6" s="9">
        <v>0</v>
      </c>
      <c r="I6" s="8">
        <v>105</v>
      </c>
      <c r="J6" s="9">
        <v>1</v>
      </c>
      <c r="K6" s="8">
        <v>0.2</v>
      </c>
      <c r="L6" s="9">
        <v>2</v>
      </c>
      <c r="M6" s="8">
        <v>1</v>
      </c>
      <c r="N6" s="9">
        <v>7</v>
      </c>
      <c r="O6" s="10">
        <v>1</v>
      </c>
      <c r="Q6" s="55" t="s">
        <v>10</v>
      </c>
      <c r="R6" s="55"/>
      <c r="S6" s="55"/>
      <c r="T6" s="12">
        <v>0</v>
      </c>
    </row>
    <row r="7" spans="1:25" ht="15.6" x14ac:dyDescent="0.3">
      <c r="A7" s="7"/>
      <c r="B7" s="8">
        <v>74</v>
      </c>
      <c r="C7" s="9">
        <v>0</v>
      </c>
      <c r="D7" s="9">
        <v>2</v>
      </c>
      <c r="E7" s="8">
        <v>120</v>
      </c>
      <c r="F7" s="8">
        <v>269</v>
      </c>
      <c r="G7" s="9">
        <v>0</v>
      </c>
      <c r="H7" s="9">
        <v>2</v>
      </c>
      <c r="I7" s="8">
        <v>121</v>
      </c>
      <c r="J7" s="9">
        <v>1</v>
      </c>
      <c r="K7" s="8">
        <v>0.2</v>
      </c>
      <c r="L7" s="9">
        <v>1</v>
      </c>
      <c r="M7" s="8">
        <v>1</v>
      </c>
      <c r="N7" s="9">
        <v>3</v>
      </c>
      <c r="O7" s="10">
        <v>1</v>
      </c>
    </row>
    <row r="8" spans="1:25" ht="15.6" x14ac:dyDescent="0.3">
      <c r="A8" s="7"/>
      <c r="B8" s="8">
        <v>65</v>
      </c>
      <c r="C8" s="9">
        <v>1</v>
      </c>
      <c r="D8" s="9">
        <v>4</v>
      </c>
      <c r="E8" s="8">
        <v>120</v>
      </c>
      <c r="F8" s="8">
        <v>177</v>
      </c>
      <c r="G8" s="9">
        <v>0</v>
      </c>
      <c r="H8" s="9">
        <v>0</v>
      </c>
      <c r="I8" s="8">
        <v>140</v>
      </c>
      <c r="J8" s="9">
        <v>0</v>
      </c>
      <c r="K8" s="8">
        <v>0.4</v>
      </c>
      <c r="L8" s="9">
        <v>1</v>
      </c>
      <c r="M8" s="8">
        <v>0</v>
      </c>
      <c r="N8" s="9">
        <v>7</v>
      </c>
      <c r="O8" s="10">
        <v>1</v>
      </c>
    </row>
    <row r="9" spans="1:25" ht="15.6" x14ac:dyDescent="0.3">
      <c r="A9" s="7"/>
      <c r="B9" s="8">
        <v>56</v>
      </c>
      <c r="C9" s="9">
        <v>1</v>
      </c>
      <c r="D9" s="9">
        <v>3</v>
      </c>
      <c r="E9" s="8">
        <v>130</v>
      </c>
      <c r="F9" s="8">
        <v>256</v>
      </c>
      <c r="G9" s="9">
        <v>1</v>
      </c>
      <c r="H9" s="9">
        <v>2</v>
      </c>
      <c r="I9" s="8">
        <v>142</v>
      </c>
      <c r="J9" s="9">
        <v>1</v>
      </c>
      <c r="K9" s="8">
        <v>0.6</v>
      </c>
      <c r="L9" s="9">
        <v>2</v>
      </c>
      <c r="M9" s="8">
        <v>1</v>
      </c>
      <c r="N9" s="9">
        <v>6</v>
      </c>
      <c r="O9" s="10">
        <v>2</v>
      </c>
    </row>
    <row r="10" spans="1:25" ht="15.6" x14ac:dyDescent="0.3">
      <c r="A10" s="7"/>
      <c r="B10" s="8">
        <v>59</v>
      </c>
      <c r="C10" s="9">
        <v>1</v>
      </c>
      <c r="D10" s="9">
        <v>4</v>
      </c>
      <c r="E10" s="8">
        <v>110</v>
      </c>
      <c r="F10" s="8">
        <v>239</v>
      </c>
      <c r="G10" s="9">
        <v>0</v>
      </c>
      <c r="H10" s="9">
        <v>2</v>
      </c>
      <c r="I10" s="8">
        <v>142</v>
      </c>
      <c r="J10" s="9">
        <v>1</v>
      </c>
      <c r="K10" s="8">
        <v>1.2</v>
      </c>
      <c r="L10" s="9">
        <v>2</v>
      </c>
      <c r="M10" s="8">
        <v>1</v>
      </c>
      <c r="N10" s="9">
        <v>7</v>
      </c>
      <c r="O10" s="10">
        <v>2</v>
      </c>
    </row>
    <row r="11" spans="1:25" ht="15.6" x14ac:dyDescent="0.3">
      <c r="A11" s="7"/>
      <c r="B11" s="8">
        <v>60</v>
      </c>
      <c r="C11" s="9">
        <v>1</v>
      </c>
      <c r="D11" s="9">
        <v>4</v>
      </c>
      <c r="E11" s="8">
        <v>140</v>
      </c>
      <c r="F11" s="8">
        <v>293</v>
      </c>
      <c r="G11" s="9">
        <v>0</v>
      </c>
      <c r="H11" s="9">
        <v>2</v>
      </c>
      <c r="I11" s="8">
        <v>170</v>
      </c>
      <c r="J11" s="9">
        <v>0</v>
      </c>
      <c r="K11" s="8">
        <v>1.2</v>
      </c>
      <c r="L11" s="9">
        <v>2</v>
      </c>
      <c r="M11" s="8">
        <v>2</v>
      </c>
      <c r="N11" s="9">
        <v>7</v>
      </c>
      <c r="O11" s="10">
        <v>2</v>
      </c>
    </row>
    <row r="12" spans="1:25" ht="15.6" x14ac:dyDescent="0.3">
      <c r="A12" s="7"/>
      <c r="B12" s="8">
        <v>63</v>
      </c>
      <c r="C12" s="9">
        <v>0</v>
      </c>
      <c r="D12" s="9">
        <v>4</v>
      </c>
      <c r="E12" s="8">
        <v>150</v>
      </c>
      <c r="F12" s="8">
        <v>407</v>
      </c>
      <c r="G12" s="9">
        <v>0</v>
      </c>
      <c r="H12" s="9">
        <v>2</v>
      </c>
      <c r="I12" s="8">
        <v>154</v>
      </c>
      <c r="J12" s="9">
        <v>0</v>
      </c>
      <c r="K12" s="8">
        <v>4</v>
      </c>
      <c r="L12" s="9">
        <v>2</v>
      </c>
      <c r="M12" s="8">
        <v>3</v>
      </c>
      <c r="N12" s="9">
        <v>7</v>
      </c>
      <c r="O12" s="10">
        <v>2</v>
      </c>
    </row>
    <row r="13" spans="1:25" ht="15.6" x14ac:dyDescent="0.3">
      <c r="A13" s="5"/>
      <c r="B13" s="13">
        <v>1</v>
      </c>
      <c r="C13" s="13">
        <v>0</v>
      </c>
      <c r="D13" s="13">
        <v>0</v>
      </c>
      <c r="E13" s="13">
        <v>1</v>
      </c>
      <c r="F13" s="13">
        <v>1</v>
      </c>
      <c r="G13" s="13">
        <v>0</v>
      </c>
      <c r="H13" s="13">
        <v>0</v>
      </c>
      <c r="I13" s="13">
        <v>1</v>
      </c>
      <c r="J13" s="13">
        <v>0</v>
      </c>
      <c r="K13" s="13">
        <v>1</v>
      </c>
      <c r="L13" s="13">
        <v>0</v>
      </c>
      <c r="M13" s="13">
        <v>1</v>
      </c>
      <c r="N13" s="13">
        <v>0</v>
      </c>
      <c r="O13" s="5"/>
    </row>
    <row r="17" spans="1:19" ht="15.6" x14ac:dyDescent="0.3">
      <c r="A17" s="5"/>
      <c r="B17" s="55" t="s">
        <v>7</v>
      </c>
      <c r="C17" s="55"/>
      <c r="D17" s="55"/>
      <c r="E17" s="55"/>
      <c r="F17" s="11">
        <v>6</v>
      </c>
      <c r="G17" s="5"/>
      <c r="H17" s="5"/>
      <c r="I17" s="5"/>
      <c r="J17" s="5"/>
      <c r="K17" s="5"/>
      <c r="L17" s="55" t="s">
        <v>8</v>
      </c>
      <c r="M17" s="55"/>
      <c r="N17" s="55"/>
      <c r="O17" s="55"/>
      <c r="P17" s="12">
        <v>7</v>
      </c>
      <c r="Q17" s="5"/>
      <c r="R17" s="5"/>
      <c r="S17" s="5"/>
    </row>
    <row r="18" spans="1:19" ht="15.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ht="15.6" x14ac:dyDescent="0.3">
      <c r="A19" s="56" t="s">
        <v>4</v>
      </c>
      <c r="B19" s="56"/>
      <c r="C19" s="56"/>
      <c r="D19" s="56"/>
      <c r="E19" s="56"/>
      <c r="F19" s="56"/>
      <c r="G19" s="56"/>
      <c r="H19" s="56"/>
      <c r="I19" s="5"/>
      <c r="J19" s="5"/>
      <c r="K19" s="56" t="s">
        <v>3</v>
      </c>
      <c r="L19" s="56"/>
      <c r="M19" s="56"/>
      <c r="N19" s="56"/>
      <c r="O19" s="56"/>
      <c r="P19" s="56"/>
      <c r="Q19" s="56"/>
      <c r="R19" s="56"/>
      <c r="S19" s="56"/>
    </row>
    <row r="20" spans="1:19" ht="15.6" x14ac:dyDescent="0.3">
      <c r="A20" s="1" t="s">
        <v>0</v>
      </c>
      <c r="B20" s="2"/>
      <c r="C20" s="2"/>
      <c r="D20" s="2"/>
      <c r="E20" s="2"/>
      <c r="F20" s="2"/>
      <c r="G20" s="2"/>
      <c r="H20" s="2" t="s">
        <v>1</v>
      </c>
      <c r="I20" s="5"/>
      <c r="J20" s="5"/>
      <c r="K20" s="1" t="s">
        <v>0</v>
      </c>
      <c r="L20" s="2"/>
      <c r="M20" s="2"/>
      <c r="N20" s="2"/>
      <c r="O20" s="2"/>
      <c r="P20" s="2"/>
      <c r="Q20" s="2"/>
      <c r="R20" s="2"/>
      <c r="S20" s="1" t="s">
        <v>1</v>
      </c>
    </row>
    <row r="21" spans="1:19" ht="15.6" x14ac:dyDescent="0.3">
      <c r="A21" s="7"/>
      <c r="B21" s="8">
        <v>70</v>
      </c>
      <c r="C21" s="8">
        <v>130</v>
      </c>
      <c r="D21" s="8">
        <v>322</v>
      </c>
      <c r="E21" s="8">
        <v>109</v>
      </c>
      <c r="F21" s="8">
        <v>2.4</v>
      </c>
      <c r="G21" s="8">
        <v>3</v>
      </c>
      <c r="H21" s="10">
        <v>2</v>
      </c>
      <c r="I21" s="5"/>
      <c r="J21" s="5"/>
      <c r="K21" s="7"/>
      <c r="L21" s="9">
        <v>1</v>
      </c>
      <c r="M21" s="9">
        <v>4</v>
      </c>
      <c r="N21" s="9">
        <v>0</v>
      </c>
      <c r="O21" s="9">
        <v>2</v>
      </c>
      <c r="P21" s="9">
        <v>0</v>
      </c>
      <c r="Q21" s="9">
        <v>2</v>
      </c>
      <c r="R21" s="9">
        <v>3</v>
      </c>
      <c r="S21" s="10">
        <v>2</v>
      </c>
    </row>
    <row r="22" spans="1:19" ht="15.6" x14ac:dyDescent="0.3">
      <c r="A22" s="7"/>
      <c r="B22" s="8">
        <v>67</v>
      </c>
      <c r="C22" s="8">
        <v>115</v>
      </c>
      <c r="D22" s="8">
        <v>564</v>
      </c>
      <c r="E22" s="8">
        <v>160</v>
      </c>
      <c r="F22" s="8">
        <v>1.6</v>
      </c>
      <c r="G22" s="8">
        <v>0</v>
      </c>
      <c r="H22" s="10">
        <v>1</v>
      </c>
      <c r="I22" s="5"/>
      <c r="J22" s="5"/>
      <c r="K22" s="7"/>
      <c r="L22" s="9">
        <v>0</v>
      </c>
      <c r="M22" s="9">
        <v>3</v>
      </c>
      <c r="N22" s="9">
        <v>0</v>
      </c>
      <c r="O22" s="9">
        <v>2</v>
      </c>
      <c r="P22" s="9">
        <v>0</v>
      </c>
      <c r="Q22" s="9">
        <v>2</v>
      </c>
      <c r="R22" s="9">
        <v>7</v>
      </c>
      <c r="S22" s="10">
        <v>1</v>
      </c>
    </row>
    <row r="23" spans="1:19" ht="15.6" x14ac:dyDescent="0.3">
      <c r="A23" s="7"/>
      <c r="B23" s="8">
        <v>57</v>
      </c>
      <c r="C23" s="8">
        <v>124</v>
      </c>
      <c r="D23" s="8">
        <v>261</v>
      </c>
      <c r="E23" s="8">
        <v>141</v>
      </c>
      <c r="F23" s="8">
        <v>0.3</v>
      </c>
      <c r="G23" s="8">
        <v>0</v>
      </c>
      <c r="H23" s="10">
        <v>2</v>
      </c>
      <c r="I23" s="5"/>
      <c r="J23" s="5"/>
      <c r="K23" s="7"/>
      <c r="L23" s="9">
        <v>1</v>
      </c>
      <c r="M23" s="9">
        <v>2</v>
      </c>
      <c r="N23" s="9">
        <v>0</v>
      </c>
      <c r="O23" s="9">
        <v>0</v>
      </c>
      <c r="P23" s="9">
        <v>0</v>
      </c>
      <c r="Q23" s="9">
        <v>1</v>
      </c>
      <c r="R23" s="9">
        <v>7</v>
      </c>
      <c r="S23" s="10">
        <v>2</v>
      </c>
    </row>
    <row r="24" spans="1:19" ht="15.6" x14ac:dyDescent="0.3">
      <c r="A24" s="7"/>
      <c r="B24" s="8">
        <v>64</v>
      </c>
      <c r="C24" s="8">
        <v>128</v>
      </c>
      <c r="D24" s="8">
        <v>263</v>
      </c>
      <c r="E24" s="8">
        <v>105</v>
      </c>
      <c r="F24" s="8">
        <v>0.2</v>
      </c>
      <c r="G24" s="8">
        <v>1</v>
      </c>
      <c r="H24" s="10">
        <v>1</v>
      </c>
      <c r="I24" s="5"/>
      <c r="J24" s="5"/>
      <c r="K24" s="7"/>
      <c r="L24" s="9">
        <v>1</v>
      </c>
      <c r="M24" s="9">
        <v>4</v>
      </c>
      <c r="N24" s="9">
        <v>0</v>
      </c>
      <c r="O24" s="9">
        <v>0</v>
      </c>
      <c r="P24" s="9">
        <v>1</v>
      </c>
      <c r="Q24" s="9">
        <v>2</v>
      </c>
      <c r="R24" s="9">
        <v>7</v>
      </c>
      <c r="S24" s="10">
        <v>1</v>
      </c>
    </row>
    <row r="25" spans="1:19" ht="15.6" x14ac:dyDescent="0.3">
      <c r="A25" s="7"/>
      <c r="B25" s="8">
        <v>74</v>
      </c>
      <c r="C25" s="8">
        <v>120</v>
      </c>
      <c r="D25" s="8">
        <v>269</v>
      </c>
      <c r="E25" s="8">
        <v>121</v>
      </c>
      <c r="F25" s="8">
        <v>0.2</v>
      </c>
      <c r="G25" s="8">
        <v>1</v>
      </c>
      <c r="H25" s="10">
        <v>1</v>
      </c>
      <c r="I25" s="5"/>
      <c r="J25" s="5"/>
      <c r="K25" s="7"/>
      <c r="L25" s="9">
        <v>0</v>
      </c>
      <c r="M25" s="9">
        <v>2</v>
      </c>
      <c r="N25" s="9">
        <v>0</v>
      </c>
      <c r="O25" s="9">
        <v>2</v>
      </c>
      <c r="P25" s="9">
        <v>1</v>
      </c>
      <c r="Q25" s="9">
        <v>1</v>
      </c>
      <c r="R25" s="9">
        <v>3</v>
      </c>
      <c r="S25" s="10">
        <v>1</v>
      </c>
    </row>
    <row r="26" spans="1:19" ht="15.6" x14ac:dyDescent="0.3">
      <c r="A26" s="7"/>
      <c r="B26" s="8">
        <v>65</v>
      </c>
      <c r="C26" s="8">
        <v>120</v>
      </c>
      <c r="D26" s="8">
        <v>177</v>
      </c>
      <c r="E26" s="8">
        <v>140</v>
      </c>
      <c r="F26" s="8">
        <v>0.4</v>
      </c>
      <c r="G26" s="8">
        <v>0</v>
      </c>
      <c r="H26" s="10">
        <v>1</v>
      </c>
      <c r="I26" s="5"/>
      <c r="J26" s="5"/>
      <c r="K26" s="7"/>
      <c r="L26" s="9">
        <v>1</v>
      </c>
      <c r="M26" s="9">
        <v>4</v>
      </c>
      <c r="N26" s="9">
        <v>0</v>
      </c>
      <c r="O26" s="9">
        <v>0</v>
      </c>
      <c r="P26" s="9">
        <v>0</v>
      </c>
      <c r="Q26" s="9">
        <v>1</v>
      </c>
      <c r="R26" s="9">
        <v>7</v>
      </c>
      <c r="S26" s="10">
        <v>1</v>
      </c>
    </row>
    <row r="27" spans="1:19" ht="15.6" x14ac:dyDescent="0.3">
      <c r="A27" s="7"/>
      <c r="B27" s="8">
        <v>56</v>
      </c>
      <c r="C27" s="8">
        <v>130</v>
      </c>
      <c r="D27" s="8">
        <v>256</v>
      </c>
      <c r="E27" s="8">
        <v>142</v>
      </c>
      <c r="F27" s="8">
        <v>0.6</v>
      </c>
      <c r="G27" s="8">
        <v>1</v>
      </c>
      <c r="H27" s="10">
        <v>2</v>
      </c>
      <c r="I27" s="5"/>
      <c r="J27" s="5"/>
      <c r="K27" s="7"/>
      <c r="L27" s="9">
        <v>1</v>
      </c>
      <c r="M27" s="9">
        <v>3</v>
      </c>
      <c r="N27" s="9">
        <v>1</v>
      </c>
      <c r="O27" s="9">
        <v>2</v>
      </c>
      <c r="P27" s="9">
        <v>1</v>
      </c>
      <c r="Q27" s="9">
        <v>2</v>
      </c>
      <c r="R27" s="9">
        <v>6</v>
      </c>
      <c r="S27" s="10">
        <v>2</v>
      </c>
    </row>
    <row r="28" spans="1:19" ht="15.6" x14ac:dyDescent="0.3">
      <c r="A28" s="7"/>
      <c r="B28" s="8">
        <v>59</v>
      </c>
      <c r="C28" s="8">
        <v>110</v>
      </c>
      <c r="D28" s="8">
        <v>239</v>
      </c>
      <c r="E28" s="8">
        <v>142</v>
      </c>
      <c r="F28" s="8">
        <v>1.2</v>
      </c>
      <c r="G28" s="8">
        <v>1</v>
      </c>
      <c r="H28" s="10">
        <v>2</v>
      </c>
      <c r="I28" s="5"/>
      <c r="J28" s="5"/>
      <c r="K28" s="7"/>
      <c r="L28" s="9">
        <v>1</v>
      </c>
      <c r="M28" s="9">
        <v>4</v>
      </c>
      <c r="N28" s="9">
        <v>0</v>
      </c>
      <c r="O28" s="9">
        <v>2</v>
      </c>
      <c r="P28" s="9">
        <v>1</v>
      </c>
      <c r="Q28" s="9">
        <v>2</v>
      </c>
      <c r="R28" s="9">
        <v>7</v>
      </c>
      <c r="S28" s="10">
        <v>2</v>
      </c>
    </row>
    <row r="29" spans="1:19" ht="15.6" x14ac:dyDescent="0.3">
      <c r="A29" s="7"/>
      <c r="B29" s="8">
        <v>60</v>
      </c>
      <c r="C29" s="8">
        <v>140</v>
      </c>
      <c r="D29" s="8">
        <v>293</v>
      </c>
      <c r="E29" s="8">
        <v>170</v>
      </c>
      <c r="F29" s="8">
        <v>1.2</v>
      </c>
      <c r="G29" s="8">
        <v>2</v>
      </c>
      <c r="H29" s="10">
        <v>2</v>
      </c>
      <c r="I29" s="5"/>
      <c r="J29" s="5"/>
      <c r="K29" s="7"/>
      <c r="L29" s="9">
        <v>1</v>
      </c>
      <c r="M29" s="9">
        <v>4</v>
      </c>
      <c r="N29" s="9">
        <v>0</v>
      </c>
      <c r="O29" s="9">
        <v>2</v>
      </c>
      <c r="P29" s="9">
        <v>0</v>
      </c>
      <c r="Q29" s="9">
        <v>2</v>
      </c>
      <c r="R29" s="9">
        <v>7</v>
      </c>
      <c r="S29" s="10">
        <v>2</v>
      </c>
    </row>
    <row r="30" spans="1:19" ht="15.6" x14ac:dyDescent="0.3">
      <c r="A30" s="7"/>
      <c r="B30" s="8">
        <v>63</v>
      </c>
      <c r="C30" s="8">
        <v>150</v>
      </c>
      <c r="D30" s="8">
        <v>407</v>
      </c>
      <c r="E30" s="8">
        <v>154</v>
      </c>
      <c r="F30" s="8">
        <v>4</v>
      </c>
      <c r="G30" s="8">
        <v>3</v>
      </c>
      <c r="H30" s="10">
        <v>2</v>
      </c>
      <c r="I30" s="5"/>
      <c r="J30" s="5"/>
      <c r="K30" s="7"/>
      <c r="L30" s="9">
        <v>0</v>
      </c>
      <c r="M30" s="9">
        <v>4</v>
      </c>
      <c r="N30" s="9">
        <v>0</v>
      </c>
      <c r="O30" s="9">
        <v>2</v>
      </c>
      <c r="P30" s="9">
        <v>0</v>
      </c>
      <c r="Q30" s="9">
        <v>2</v>
      </c>
      <c r="R30" s="9">
        <v>7</v>
      </c>
      <c r="S30" s="10">
        <v>2</v>
      </c>
    </row>
    <row r="31" spans="1:19" ht="15.6" x14ac:dyDescent="0.3">
      <c r="A31" s="5"/>
      <c r="B31" s="13">
        <v>1</v>
      </c>
      <c r="C31" s="13">
        <v>1</v>
      </c>
      <c r="D31" s="13">
        <v>1</v>
      </c>
      <c r="E31" s="13">
        <v>1</v>
      </c>
      <c r="F31" s="13">
        <v>1</v>
      </c>
      <c r="G31" s="13">
        <v>1</v>
      </c>
      <c r="H31" s="5"/>
      <c r="I31" s="5"/>
      <c r="J31" s="5"/>
      <c r="K31" s="5"/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5"/>
    </row>
  </sheetData>
  <sortState xmlns:xlrd2="http://schemas.microsoft.com/office/spreadsheetml/2017/richdata2" ref="A2:O11">
    <sortCondition ref="A2"/>
  </sortState>
  <mergeCells count="7">
    <mergeCell ref="A1:O1"/>
    <mergeCell ref="B17:E17"/>
    <mergeCell ref="L17:O17"/>
    <mergeCell ref="A19:H19"/>
    <mergeCell ref="K19:S19"/>
    <mergeCell ref="Q5:S5"/>
    <mergeCell ref="Q6:S6"/>
  </mergeCells>
  <printOptions horizontalCentered="1"/>
  <pageMargins left="0.4" right="0.4" top="0.7" bottom="0.6" header="0.3" footer="0.3"/>
  <pageSetup paperSize="9" fitToHeight="0" orientation="landscape" r:id="rId1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2691-5BC5-4118-8902-02827AD2DA19}">
  <sheetPr>
    <tabColor rgb="FF2E75B6"/>
    <pageSetUpPr fitToPage="1"/>
  </sheetPr>
  <dimension ref="A1:Q79"/>
  <sheetViews>
    <sheetView showGridLines="0" zoomScaleNormal="100" workbookViewId="0">
      <selection activeCell="A1" sqref="A1"/>
    </sheetView>
  </sheetViews>
  <sheetFormatPr defaultRowHeight="14.4" x14ac:dyDescent="0.3"/>
  <cols>
    <col min="1" max="1" width="14.21875" customWidth="1"/>
    <col min="2" max="8" width="10.77734375" customWidth="1"/>
    <col min="11" max="12" width="9.5546875" customWidth="1"/>
    <col min="13" max="16" width="9.77734375" customWidth="1"/>
  </cols>
  <sheetData>
    <row r="1" spans="1:17" ht="15.6" x14ac:dyDescent="0.3">
      <c r="A1" s="54" t="s">
        <v>4</v>
      </c>
      <c r="B1" s="54"/>
      <c r="C1" s="54"/>
      <c r="D1" s="54"/>
      <c r="E1" s="54"/>
      <c r="F1" s="54"/>
      <c r="G1" s="54"/>
      <c r="H1" s="54"/>
      <c r="I1" s="5"/>
      <c r="J1" s="5"/>
      <c r="K1" s="5"/>
      <c r="L1" s="5"/>
      <c r="M1" s="5"/>
      <c r="N1" s="5"/>
      <c r="O1" s="5"/>
      <c r="P1" s="5"/>
    </row>
    <row r="2" spans="1:17" ht="15.6" x14ac:dyDescent="0.3">
      <c r="A2" s="1" t="s">
        <v>0</v>
      </c>
      <c r="B2" s="2"/>
      <c r="C2" s="2"/>
      <c r="D2" s="2"/>
      <c r="E2" s="2"/>
      <c r="F2" s="2"/>
      <c r="G2" s="2"/>
      <c r="H2" s="2" t="s">
        <v>1</v>
      </c>
      <c r="I2" s="5"/>
      <c r="J2" s="5"/>
      <c r="K2" s="14" t="s">
        <v>5</v>
      </c>
      <c r="P2" s="5"/>
    </row>
    <row r="3" spans="1:17" ht="15.6" x14ac:dyDescent="0.3">
      <c r="A3" s="7"/>
      <c r="B3" s="8">
        <v>70</v>
      </c>
      <c r="C3" s="8">
        <v>130</v>
      </c>
      <c r="D3" s="8">
        <v>322</v>
      </c>
      <c r="E3" s="8">
        <v>109</v>
      </c>
      <c r="F3" s="8">
        <v>2.4</v>
      </c>
      <c r="G3" s="8">
        <v>3</v>
      </c>
      <c r="H3" s="10">
        <v>2</v>
      </c>
      <c r="I3" s="5"/>
      <c r="J3" s="5"/>
      <c r="K3" s="14" t="s">
        <v>2</v>
      </c>
      <c r="M3" s="55" t="s">
        <v>11</v>
      </c>
      <c r="N3" s="55"/>
      <c r="O3" s="55"/>
      <c r="P3" s="55"/>
      <c r="Q3" s="11">
        <v>1</v>
      </c>
    </row>
    <row r="4" spans="1:17" ht="15.6" x14ac:dyDescent="0.3">
      <c r="A4" s="7"/>
      <c r="B4" s="8">
        <v>67</v>
      </c>
      <c r="C4" s="8">
        <v>115</v>
      </c>
      <c r="D4" s="8">
        <v>564</v>
      </c>
      <c r="E4" s="8">
        <v>160</v>
      </c>
      <c r="F4" s="8">
        <v>1.6</v>
      </c>
      <c r="G4" s="8">
        <v>0</v>
      </c>
      <c r="H4" s="10">
        <v>1</v>
      </c>
      <c r="I4" s="5"/>
      <c r="J4" s="5"/>
      <c r="P4" s="5"/>
    </row>
    <row r="5" spans="1:17" ht="15.6" x14ac:dyDescent="0.3">
      <c r="A5" s="7"/>
      <c r="B5" s="8">
        <v>57</v>
      </c>
      <c r="C5" s="8">
        <v>124</v>
      </c>
      <c r="D5" s="8">
        <v>261</v>
      </c>
      <c r="E5" s="8">
        <v>141</v>
      </c>
      <c r="F5" s="8">
        <v>0.3</v>
      </c>
      <c r="G5" s="8">
        <v>0</v>
      </c>
      <c r="H5" s="10">
        <v>2</v>
      </c>
      <c r="I5" s="5"/>
      <c r="J5" s="5"/>
      <c r="P5" s="5"/>
    </row>
    <row r="6" spans="1:17" ht="15.6" x14ac:dyDescent="0.3">
      <c r="A6" s="7"/>
      <c r="B6" s="8">
        <v>64</v>
      </c>
      <c r="C6" s="8">
        <v>128</v>
      </c>
      <c r="D6" s="8">
        <v>263</v>
      </c>
      <c r="E6" s="8">
        <v>105</v>
      </c>
      <c r="F6" s="8">
        <v>0.2</v>
      </c>
      <c r="G6" s="8">
        <v>1</v>
      </c>
      <c r="H6" s="10">
        <v>1</v>
      </c>
      <c r="I6" s="5"/>
      <c r="J6" s="5"/>
      <c r="P6" s="5"/>
    </row>
    <row r="7" spans="1:17" ht="15.6" x14ac:dyDescent="0.3">
      <c r="A7" s="7"/>
      <c r="B7" s="8">
        <v>74</v>
      </c>
      <c r="C7" s="8">
        <v>120</v>
      </c>
      <c r="D7" s="8">
        <v>269</v>
      </c>
      <c r="E7" s="8">
        <v>121</v>
      </c>
      <c r="F7" s="8">
        <v>0.2</v>
      </c>
      <c r="G7" s="8">
        <v>1</v>
      </c>
      <c r="H7" s="10">
        <v>1</v>
      </c>
      <c r="I7" s="5"/>
      <c r="J7" s="5"/>
      <c r="P7" s="5"/>
    </row>
    <row r="8" spans="1:17" ht="15.6" x14ac:dyDescent="0.3">
      <c r="A8" s="7"/>
      <c r="B8" s="8">
        <v>65</v>
      </c>
      <c r="C8" s="8">
        <v>120</v>
      </c>
      <c r="D8" s="8">
        <v>177</v>
      </c>
      <c r="E8" s="8">
        <v>140</v>
      </c>
      <c r="F8" s="8">
        <v>0.4</v>
      </c>
      <c r="G8" s="8">
        <v>0</v>
      </c>
      <c r="H8" s="10">
        <v>1</v>
      </c>
      <c r="I8" s="5"/>
      <c r="J8" s="5"/>
      <c r="P8" s="5"/>
    </row>
    <row r="9" spans="1:17" ht="15.6" x14ac:dyDescent="0.3">
      <c r="A9" s="7"/>
      <c r="B9" s="8">
        <v>56</v>
      </c>
      <c r="C9" s="8">
        <v>130</v>
      </c>
      <c r="D9" s="8">
        <v>256</v>
      </c>
      <c r="E9" s="8">
        <v>142</v>
      </c>
      <c r="F9" s="8">
        <v>0.6</v>
      </c>
      <c r="G9" s="8">
        <v>1</v>
      </c>
      <c r="H9" s="10">
        <v>2</v>
      </c>
      <c r="I9" s="5"/>
      <c r="J9" s="5"/>
      <c r="P9" s="5"/>
    </row>
    <row r="10" spans="1:17" ht="15.6" x14ac:dyDescent="0.3">
      <c r="A10" s="7"/>
      <c r="B10" s="8">
        <v>59</v>
      </c>
      <c r="C10" s="8">
        <v>110</v>
      </c>
      <c r="D10" s="8">
        <v>239</v>
      </c>
      <c r="E10" s="8">
        <v>142</v>
      </c>
      <c r="F10" s="8">
        <v>1.2</v>
      </c>
      <c r="G10" s="8">
        <v>1</v>
      </c>
      <c r="H10" s="10">
        <v>2</v>
      </c>
      <c r="I10" s="5"/>
      <c r="J10" s="5"/>
      <c r="P10" s="5"/>
    </row>
    <row r="11" spans="1:17" ht="15.6" x14ac:dyDescent="0.3">
      <c r="A11" s="7"/>
      <c r="B11" s="8">
        <v>60</v>
      </c>
      <c r="C11" s="8">
        <v>140</v>
      </c>
      <c r="D11" s="8">
        <v>293</v>
      </c>
      <c r="E11" s="8">
        <v>170</v>
      </c>
      <c r="F11" s="8">
        <v>1.2</v>
      </c>
      <c r="G11" s="8">
        <v>2</v>
      </c>
      <c r="H11" s="10">
        <v>2</v>
      </c>
      <c r="I11" s="5"/>
      <c r="J11" s="5"/>
      <c r="P11" s="5"/>
    </row>
    <row r="12" spans="1:17" ht="15.6" x14ac:dyDescent="0.3">
      <c r="A12" s="7"/>
      <c r="B12" s="8">
        <v>63</v>
      </c>
      <c r="C12" s="8">
        <v>150</v>
      </c>
      <c r="D12" s="8">
        <v>407</v>
      </c>
      <c r="E12" s="8">
        <v>154</v>
      </c>
      <c r="F12" s="8">
        <v>4</v>
      </c>
      <c r="G12" s="8">
        <v>3</v>
      </c>
      <c r="H12" s="10">
        <v>2</v>
      </c>
      <c r="I12" s="5"/>
      <c r="J12" s="5"/>
      <c r="P12" s="5"/>
    </row>
    <row r="13" spans="1:17" ht="15.6" x14ac:dyDescent="0.3">
      <c r="A13" s="5"/>
      <c r="B13" s="13">
        <v>1</v>
      </c>
      <c r="C13" s="13">
        <v>1</v>
      </c>
      <c r="D13" s="13">
        <v>1</v>
      </c>
      <c r="E13" s="13">
        <v>1</v>
      </c>
      <c r="F13" s="13">
        <v>1</v>
      </c>
      <c r="G13" s="13">
        <v>1</v>
      </c>
      <c r="H13" s="5"/>
      <c r="I13" s="5"/>
      <c r="J13" s="5"/>
      <c r="P13" s="5"/>
    </row>
    <row r="14" spans="1:17" ht="15.6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7" ht="15.6" x14ac:dyDescent="0.3">
      <c r="A15" s="5"/>
      <c r="B15" s="5"/>
      <c r="C15" s="5"/>
      <c r="D15" s="5"/>
      <c r="E15" s="5"/>
      <c r="F15" s="5"/>
      <c r="G15" s="5"/>
      <c r="H15" s="5"/>
      <c r="I15" s="15"/>
      <c r="J15" s="5"/>
      <c r="K15" s="5"/>
      <c r="L15" s="5"/>
      <c r="M15" s="5"/>
      <c r="N15" s="5"/>
      <c r="O15" s="5"/>
      <c r="P15" s="5"/>
    </row>
    <row r="16" spans="1:17" ht="15.6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64" ht="19.95" customHeight="1" x14ac:dyDescent="0.3"/>
    <row r="65" ht="19.95" customHeight="1" x14ac:dyDescent="0.3"/>
    <row r="66" ht="19.95" customHeight="1" x14ac:dyDescent="0.3"/>
    <row r="67" ht="19.95" customHeight="1" x14ac:dyDescent="0.3"/>
    <row r="75" ht="34.200000000000003" customHeight="1" x14ac:dyDescent="0.3"/>
    <row r="76" ht="19.95" customHeight="1" x14ac:dyDescent="0.3"/>
    <row r="77" ht="19.95" customHeight="1" x14ac:dyDescent="0.3"/>
    <row r="78" ht="18" customHeight="1" x14ac:dyDescent="0.3"/>
    <row r="79" ht="18" customHeight="1" x14ac:dyDescent="0.3"/>
  </sheetData>
  <mergeCells count="2">
    <mergeCell ref="A1:H1"/>
    <mergeCell ref="M3:P3"/>
  </mergeCells>
  <printOptions horizontalCentered="1"/>
  <pageMargins left="0.4" right="0.4" top="0.7" bottom="0.6" header="0.3" footer="0.3"/>
  <pageSetup paperSize="9" fitToHeight="0" orientation="landscape" r:id="rId1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8376-4E5D-46F6-9527-C3A7C569621A}">
  <sheetPr>
    <tabColor rgb="FFBF8F00"/>
    <pageSetUpPr fitToPage="1"/>
  </sheetPr>
  <dimension ref="A1:R64"/>
  <sheetViews>
    <sheetView showGridLines="0" zoomScale="90" zoomScaleNormal="90" workbookViewId="0">
      <selection activeCell="A1" sqref="A1"/>
    </sheetView>
  </sheetViews>
  <sheetFormatPr defaultRowHeight="14.4" x14ac:dyDescent="0.3"/>
  <cols>
    <col min="1" max="1" width="14.109375" customWidth="1"/>
    <col min="2" max="8" width="10.77734375" customWidth="1"/>
    <col min="12" max="18" width="9.77734375" customWidth="1"/>
  </cols>
  <sheetData>
    <row r="1" spans="1:18" ht="15.6" x14ac:dyDescent="0.3">
      <c r="A1" s="54" t="s">
        <v>3</v>
      </c>
      <c r="B1" s="54"/>
      <c r="C1" s="54"/>
      <c r="D1" s="54"/>
      <c r="E1" s="54"/>
      <c r="F1" s="54"/>
      <c r="G1" s="54"/>
      <c r="H1" s="54"/>
      <c r="I1" s="54"/>
    </row>
    <row r="2" spans="1:18" ht="15.6" x14ac:dyDescent="0.3">
      <c r="A2" s="1" t="s">
        <v>0</v>
      </c>
      <c r="B2" s="2"/>
      <c r="C2" s="2"/>
      <c r="D2" s="2"/>
      <c r="E2" s="2"/>
      <c r="F2" s="2"/>
      <c r="G2" s="2"/>
      <c r="H2" s="2"/>
      <c r="I2" s="1" t="s">
        <v>1</v>
      </c>
      <c r="L2" s="3" t="s">
        <v>5</v>
      </c>
    </row>
    <row r="3" spans="1:18" ht="15.6" x14ac:dyDescent="0.3">
      <c r="A3" s="7"/>
      <c r="B3" s="9">
        <v>1</v>
      </c>
      <c r="C3" s="9">
        <v>4</v>
      </c>
      <c r="D3" s="9">
        <v>0</v>
      </c>
      <c r="E3" s="9">
        <v>2</v>
      </c>
      <c r="F3" s="9">
        <v>0</v>
      </c>
      <c r="G3" s="9">
        <v>2</v>
      </c>
      <c r="H3" s="9">
        <v>3</v>
      </c>
      <c r="I3" s="10">
        <v>2</v>
      </c>
      <c r="L3" s="3" t="s">
        <v>2</v>
      </c>
      <c r="N3" s="55" t="s">
        <v>12</v>
      </c>
      <c r="O3" s="55"/>
      <c r="P3" s="55"/>
      <c r="Q3" s="55"/>
      <c r="R3" s="12">
        <v>0</v>
      </c>
    </row>
    <row r="4" spans="1:18" ht="15.6" x14ac:dyDescent="0.3">
      <c r="A4" s="7"/>
      <c r="B4" s="9">
        <v>0</v>
      </c>
      <c r="C4" s="9">
        <v>3</v>
      </c>
      <c r="D4" s="9">
        <v>0</v>
      </c>
      <c r="E4" s="9">
        <v>2</v>
      </c>
      <c r="F4" s="9">
        <v>0</v>
      </c>
      <c r="G4" s="9">
        <v>2</v>
      </c>
      <c r="H4" s="9">
        <v>7</v>
      </c>
      <c r="I4" s="10">
        <v>1</v>
      </c>
    </row>
    <row r="5" spans="1:18" ht="15.6" x14ac:dyDescent="0.3">
      <c r="A5" s="7"/>
      <c r="B5" s="9">
        <v>1</v>
      </c>
      <c r="C5" s="9">
        <v>2</v>
      </c>
      <c r="D5" s="9">
        <v>0</v>
      </c>
      <c r="E5" s="9">
        <v>0</v>
      </c>
      <c r="F5" s="9">
        <v>0</v>
      </c>
      <c r="G5" s="9">
        <v>1</v>
      </c>
      <c r="H5" s="9">
        <v>7</v>
      </c>
      <c r="I5" s="10">
        <v>2</v>
      </c>
    </row>
    <row r="6" spans="1:18" ht="15.6" x14ac:dyDescent="0.3">
      <c r="A6" s="7"/>
      <c r="B6" s="9">
        <v>1</v>
      </c>
      <c r="C6" s="9">
        <v>4</v>
      </c>
      <c r="D6" s="9">
        <v>0</v>
      </c>
      <c r="E6" s="9">
        <v>0</v>
      </c>
      <c r="F6" s="9">
        <v>1</v>
      </c>
      <c r="G6" s="9">
        <v>2</v>
      </c>
      <c r="H6" s="9">
        <v>7</v>
      </c>
      <c r="I6" s="10">
        <v>1</v>
      </c>
    </row>
    <row r="7" spans="1:18" ht="15.6" x14ac:dyDescent="0.3">
      <c r="A7" s="7"/>
      <c r="B7" s="9">
        <v>0</v>
      </c>
      <c r="C7" s="9">
        <v>2</v>
      </c>
      <c r="D7" s="9">
        <v>0</v>
      </c>
      <c r="E7" s="9">
        <v>2</v>
      </c>
      <c r="F7" s="9">
        <v>1</v>
      </c>
      <c r="G7" s="9">
        <v>1</v>
      </c>
      <c r="H7" s="9">
        <v>3</v>
      </c>
      <c r="I7" s="10">
        <v>1</v>
      </c>
    </row>
    <row r="8" spans="1:18" ht="15.6" x14ac:dyDescent="0.3">
      <c r="A8" s="7"/>
      <c r="B8" s="9">
        <v>1</v>
      </c>
      <c r="C8" s="9">
        <v>4</v>
      </c>
      <c r="D8" s="9">
        <v>0</v>
      </c>
      <c r="E8" s="9">
        <v>0</v>
      </c>
      <c r="F8" s="9">
        <v>0</v>
      </c>
      <c r="G8" s="9">
        <v>1</v>
      </c>
      <c r="H8" s="9">
        <v>7</v>
      </c>
      <c r="I8" s="10">
        <v>1</v>
      </c>
    </row>
    <row r="9" spans="1:18" ht="15.6" x14ac:dyDescent="0.3">
      <c r="A9" s="7"/>
      <c r="B9" s="9">
        <v>1</v>
      </c>
      <c r="C9" s="9">
        <v>3</v>
      </c>
      <c r="D9" s="9">
        <v>1</v>
      </c>
      <c r="E9" s="9">
        <v>2</v>
      </c>
      <c r="F9" s="9">
        <v>1</v>
      </c>
      <c r="G9" s="9">
        <v>2</v>
      </c>
      <c r="H9" s="9">
        <v>6</v>
      </c>
      <c r="I9" s="10">
        <v>2</v>
      </c>
    </row>
    <row r="10" spans="1:18" ht="15.6" x14ac:dyDescent="0.3">
      <c r="A10" s="7"/>
      <c r="B10" s="9">
        <v>1</v>
      </c>
      <c r="C10" s="9">
        <v>4</v>
      </c>
      <c r="D10" s="9">
        <v>0</v>
      </c>
      <c r="E10" s="9">
        <v>2</v>
      </c>
      <c r="F10" s="9">
        <v>1</v>
      </c>
      <c r="G10" s="9">
        <v>2</v>
      </c>
      <c r="H10" s="9">
        <v>7</v>
      </c>
      <c r="I10" s="10">
        <v>2</v>
      </c>
    </row>
    <row r="11" spans="1:18" ht="15.6" x14ac:dyDescent="0.3">
      <c r="A11" s="7"/>
      <c r="B11" s="9">
        <v>1</v>
      </c>
      <c r="C11" s="9">
        <v>4</v>
      </c>
      <c r="D11" s="9">
        <v>0</v>
      </c>
      <c r="E11" s="9">
        <v>2</v>
      </c>
      <c r="F11" s="9">
        <v>0</v>
      </c>
      <c r="G11" s="9">
        <v>2</v>
      </c>
      <c r="H11" s="9">
        <v>7</v>
      </c>
      <c r="I11" s="10">
        <v>2</v>
      </c>
    </row>
    <row r="12" spans="1:18" ht="15.6" x14ac:dyDescent="0.3">
      <c r="A12" s="7"/>
      <c r="B12" s="9">
        <v>0</v>
      </c>
      <c r="C12" s="9">
        <v>4</v>
      </c>
      <c r="D12" s="9">
        <v>0</v>
      </c>
      <c r="E12" s="9">
        <v>2</v>
      </c>
      <c r="F12" s="9">
        <v>0</v>
      </c>
      <c r="G12" s="9">
        <v>2</v>
      </c>
      <c r="H12" s="9">
        <v>7</v>
      </c>
      <c r="I12" s="10">
        <v>2</v>
      </c>
    </row>
    <row r="13" spans="1:18" ht="15.6" x14ac:dyDescent="0.3">
      <c r="A13" s="5"/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5"/>
    </row>
    <row r="32" spans="1:9" ht="19.95" customHeight="1" x14ac:dyDescent="0.3"/>
    <row r="33" ht="19.95" customHeight="1" x14ac:dyDescent="0.3"/>
    <row r="34" ht="22.95" customHeight="1" x14ac:dyDescent="0.3"/>
    <row r="35" ht="22.95" customHeight="1" x14ac:dyDescent="0.3"/>
    <row r="36" ht="22.95" customHeight="1" x14ac:dyDescent="0.3"/>
    <row r="37" ht="22.95" customHeight="1" x14ac:dyDescent="0.3"/>
    <row r="38" ht="22.95" customHeight="1" x14ac:dyDescent="0.3"/>
    <row r="39" ht="22.95" customHeight="1" x14ac:dyDescent="0.3"/>
    <row r="41" ht="14.4" customHeight="1" x14ac:dyDescent="0.3"/>
    <row r="43" ht="18" customHeight="1" x14ac:dyDescent="0.3"/>
    <row r="44" ht="19.95" customHeight="1" x14ac:dyDescent="0.3"/>
    <row r="45" ht="19.95" customHeight="1" x14ac:dyDescent="0.3"/>
    <row r="46" ht="19.95" customHeight="1" x14ac:dyDescent="0.3"/>
    <row r="47" ht="19.95" customHeight="1" x14ac:dyDescent="0.3"/>
    <row r="48" ht="19.95" customHeight="1" x14ac:dyDescent="0.3"/>
    <row r="49" ht="13.95" customHeight="1" x14ac:dyDescent="0.3"/>
    <row r="50" ht="13.95" customHeight="1" x14ac:dyDescent="0.3"/>
    <row r="51" ht="13.95" customHeight="1" x14ac:dyDescent="0.3"/>
    <row r="52" ht="18" customHeight="1" x14ac:dyDescent="0.3"/>
    <row r="53" ht="18" customHeight="1" x14ac:dyDescent="0.3"/>
    <row r="54" ht="19.95" customHeight="1" x14ac:dyDescent="0.3"/>
    <row r="55" ht="19.95" customHeight="1" x14ac:dyDescent="0.3"/>
    <row r="56" ht="19.95" customHeight="1" x14ac:dyDescent="0.3"/>
    <row r="60" ht="19.95" customHeight="1" x14ac:dyDescent="0.3"/>
    <row r="61" ht="34.799999999999997" customHeight="1" x14ac:dyDescent="0.3"/>
    <row r="62" ht="19.95" customHeight="1" x14ac:dyDescent="0.3"/>
    <row r="63" ht="19.95" customHeight="1" x14ac:dyDescent="0.3"/>
    <row r="64" ht="19.95" customHeight="1" x14ac:dyDescent="0.3"/>
  </sheetData>
  <sortState xmlns:xlrd2="http://schemas.microsoft.com/office/spreadsheetml/2017/richdata2" ref="A19:I28">
    <sortCondition ref="I19:I28"/>
  </sortState>
  <mergeCells count="2">
    <mergeCell ref="A1:I1"/>
    <mergeCell ref="N3:Q3"/>
  </mergeCells>
  <printOptions horizontalCentered="1"/>
  <pageMargins left="0.4" right="0.4" top="0.7" bottom="0.6" header="0.3" footer="0.3"/>
  <pageSetup paperSize="9" fitToHeight="0" orientation="landscape" r:id="rId1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04040"/>
    <pageSetUpPr fitToPage="1"/>
  </sheetPr>
  <dimension ref="A1:C37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46.77734375" customWidth="1"/>
    <col min="2" max="2" width="22.77734375" customWidth="1"/>
    <col min="3" max="3" width="110.77734375" customWidth="1"/>
  </cols>
  <sheetData>
    <row r="1" ht="22" customHeight="1">
      <c r="A1" s="57" t="inlineStr">
        <is>
          <t xml:space="preserve">Experiment parameters — every stage reads its settings from this sheet</t>
        </is>
      </c>
      <c r="B1" s="57"/>
      <c r="C1" s="57"/>
    </row>
    <row r="2"/>
    <row r="3">
      <c r="A3" s="58" t="inlineStr">
        <is>
          <t xml:space="preserve">k range  ·  formula-based (k_min = 3 fixed, k_max = 2 · min |Kᵢ| − 3 from the class sizes)</t>
        </is>
      </c>
      <c r="B3" s="58"/>
      <c r="C3" s="58"/>
    </row>
    <row r="4">
      <c r="A4" s="61" t="inlineStr">
        <is>
          <t xml:space="preserve">Parameter</t>
        </is>
      </c>
      <c r="B4" s="60" t="inlineStr">
        <is>
          <t xml:space="preserve">Value</t>
        </is>
      </c>
      <c r="C4" s="61" t="inlineStr">
        <is>
          <t xml:space="preserve">Rule / meaning</t>
        </is>
      </c>
    </row>
    <row r="5">
      <c r="A5" s="82" t="inlineStr">
        <is>
          <t xml:space="preserve">Objects m</t>
        </is>
      </c>
      <c r="B5" s="83">
        <f>COUNT(Dataset!O3:O12)</f>
        <v>10</v>
      </c>
      <c r="C5" s="100" t="inlineStr">
        <is>
          <t xml:space="preserve">Rows S₁ … S₁₀ of the Dataset sheet</t>
        </is>
      </c>
    </row>
    <row r="6">
      <c r="A6" s="82" t="inlineStr">
        <is>
          <t xml:space="preserve">|K1|  (objects of class 1)</t>
        </is>
      </c>
      <c r="B6" s="83">
        <f>COUNTIF(Dataset!O3:O12,1)</f>
        <v>4</v>
      </c>
      <c r="C6" s="100" t="inlineStr">
        <is>
          <t xml:space="preserve">Counted from the class column — never typed in</t>
        </is>
      </c>
    </row>
    <row r="7">
      <c r="A7" s="82" t="inlineStr">
        <is>
          <t xml:space="preserve">|K2|  (objects of class 2)</t>
        </is>
      </c>
      <c r="B7" s="83">
        <f>COUNTIF(Dataset!O3:O12,2)</f>
        <v>6</v>
      </c>
      <c r="C7" s="100" t="inlineStr">
        <is>
          <t xml:space="preserve"/>
        </is>
      </c>
    </row>
    <row r="8">
      <c r="A8" s="82" t="inlineStr">
        <is>
          <t xml:space="preserve">min |Kᵢ|</t>
        </is>
      </c>
      <c r="B8" s="83">
        <f>MIN(B6,B7)</f>
        <v>4</v>
      </c>
      <c r="C8" s="100" t="inlineStr">
        <is>
          <t xml:space="preserve">Smallest class</t>
        </is>
      </c>
    </row>
    <row r="9">
      <c r="A9" s="82" t="inlineStr">
        <is>
          <t xml:space="preserve">k_min</t>
        </is>
      </c>
      <c r="B9" s="83">
        <v>3</v>
      </c>
      <c r="C9" s="100" t="inlineStr">
        <is>
          <t xml:space="preserve">Fixed for every dataset</t>
        </is>
      </c>
    </row>
    <row r="10">
      <c r="A10" s="82" t="inlineStr">
        <is>
          <t xml:space="preserve">k_max = 2 · min |Kᵢ| − 3</t>
        </is>
      </c>
      <c r="B10" s="83">
        <f>2*B8-3</f>
        <v>5</v>
      </c>
      <c r="C10" s="100" t="inlineStr">
        <is>
          <t xml:space="preserve">At k = k_max a same-class majority needs (k + 1)/2 = min |Kᵢ| − 1 neighbours</t>
        </is>
      </c>
    </row>
    <row r="11">
      <c r="A11" s="82" t="inlineStr">
        <is>
          <t xml:space="preserve">Permitted k  (odd, k_min … k_max)</t>
        </is>
      </c>
      <c r="B11" s="83" t="str">
        <f>IF(ISNUMBER('Synthetic Features (k-NN)'!B4),'Synthetic Features (k-NN)'!B4&amp;IF(ISNUMBER('Synthetic Features (k-NN)'!C4),", "&amp;'Synthetic Features (k-NN)'!C4,""),"none")</f>
        <v>3, 5</v>
      </c>
      <c r="C11" s="100" t="inlineStr">
        <is>
          <t xml:space="preserve"/>
        </is>
      </c>
    </row>
    <row r="12">
      <c r="A12" s="82" t="inlineStr">
        <is>
          <t xml:space="preserve">Number of permitted k</t>
        </is>
      </c>
      <c r="B12" s="83">
        <f>IF(B10&lt;B9,0,INT((B10-B9)/2)+1)</f>
        <v>2</v>
      </c>
      <c r="C12" s="100" t="inlineStr">
        <is>
          <t xml:space="preserve"/>
        </is>
      </c>
    </row>
    <row r="13">
      <c r="A13" s="82" t="inlineStr">
        <is>
          <t xml:space="preserve">Base operators</t>
        </is>
      </c>
      <c r="B13" s="83">
        <v>3</v>
      </c>
      <c r="C13" s="100" t="inlineStr">
        <is>
          <t xml:space="preserve">ρ, ρ_I, ρ_J — see the table below</t>
        </is>
      </c>
    </row>
    <row r="14">
      <c r="A14" s="82" t="inlineStr">
        <is>
          <t xml:space="preserve">r = |Ψ(r)|  (synthetic features)</t>
        </is>
      </c>
      <c r="B14" s="83">
        <f>B13*B12</f>
        <v>6</v>
      </c>
      <c r="C14" s="100" t="inlineStr">
        <is>
          <t xml:space="preserve">One synthetic feature per (operator, permitted k)</t>
        </is>
      </c>
    </row>
    <row r="15">
      <c r="A15" s="82" t="inlineStr">
        <is>
          <t xml:space="preserve">Layout check</t>
        </is>
      </c>
      <c r="B15" s="84" t="str">
        <f>IF(B12=2,"✓ the workbook has a column for every permitted k","⚠ class sizes changed: "&amp;B12&amp;" permitted k, the layout has 2")</f>
        <v>✓ the workbook has a column for every permitted k</v>
      </c>
      <c r="C15" s="100" t="inlineStr">
        <is>
          <t xml:space="preserve"/>
        </is>
      </c>
    </row>
    <row r="16"/>
    <row r="17">
      <c r="A17" s="58" t="inlineStr">
        <is>
          <t xml:space="preserve">Hierarchical agglomerative grouping (HAG)  ·  values of the template experiment</t>
        </is>
      </c>
      <c r="B17" s="58"/>
      <c r="C17" s="58"/>
    </row>
    <row r="18">
      <c r="A18" s="61" t="inlineStr">
        <is>
          <t xml:space="preserve">Parameter</t>
        </is>
      </c>
      <c r="B18" s="60" t="inlineStr">
        <is>
          <t xml:space="preserve">Value</t>
        </is>
      </c>
      <c r="C18" s="61" t="inlineStr">
        <is>
          <t xml:space="preserve">Rule / meaning</t>
        </is>
      </c>
    </row>
    <row r="19">
      <c r="A19" s="82" t="inlineStr">
        <is>
          <t xml:space="preserve">α  (regularisation of the margin, 0 &lt; α &lt; 1)</t>
        </is>
      </c>
      <c r="B19" s="87">
        <v>0.3</v>
      </c>
      <c r="C19" s="100" t="inlineStr">
        <is>
          <t xml:space="preserve">Template value</t>
        </is>
      </c>
    </row>
    <row r="20">
      <c r="A20" s="82" t="inlineStr">
        <is>
          <t xml:space="preserve">δ  (threshold for θ / γ, 0 &lt; δ &lt; 0.5)</t>
        </is>
      </c>
      <c r="B20" s="87">
        <v>0.1</v>
      </c>
      <c r="C20" s="100" t="inlineStr">
        <is>
          <t xml:space="preserve">Template value</t>
        </is>
      </c>
    </row>
    <row r="21">
      <c r="A21" s="82" t="inlineStr">
        <is>
          <t xml:space="preserve">ϰ  (maximum |TUPLAM|)</t>
        </is>
      </c>
      <c r="B21" s="87">
        <v>5</v>
      </c>
      <c r="C21" s="100" t="str">
        <f>IF(B21&lt;=B14-1,"Template value; ϰ ≤ r − 1 = "&amp;(B14-1)&amp;" ✓","⚠ ϰ must not exceed r − 1 = "&amp;(B14-1))</f>
        <v>Template value; ϰ ≤ r − 1 = 5 ✓</v>
      </c>
    </row>
    <row r="22">
      <c r="A22" s="82" t="inlineStr">
        <is>
          <t xml:space="preserve">cr1  (initial value of the criterion)</t>
        </is>
      </c>
      <c r="B22" s="87">
        <v>10</v>
      </c>
      <c r="C22" s="100" t="inlineStr">
        <is>
          <t xml:space="preserve">Template value</t>
        </is>
      </c>
    </row>
    <row r="23">
      <c r="A23" s="82" t="inlineStr">
        <is>
          <t xml:space="preserve">Majorizing function ϕ</t>
        </is>
      </c>
      <c r="B23" s="84" t="inlineStr">
        <is>
          <t xml:space="preserve">σ(x) = 1 / (1 + e^(−x))</t>
        </is>
      </c>
      <c r="C23" s="100" t="inlineStr">
        <is>
          <t xml:space="preserve">b ← b + α·σ(−b) for Sₜ ∈ K1,  b ← b − α·σ(−b) for Sₜ ∈ K2  (logistic sigmoid, as in the template)</t>
        </is>
      </c>
    </row>
    <row r="24">
      <c r="A24" s="107" t="inlineStr">
        <is>
          <t xml:space="preserve">⚠1 Class centres in θ and γ</t>
        </is>
      </c>
      <c r="B24" s="87">
        <v>1</v>
      </c>
      <c r="C24" s="108" t="inlineStr">
        <is>
          <t xml:space="preserve">1 = running partial class means, as computed in the template cells  ·  2 = final class means M₁, M₂ (article and the template formula box)  ·  see “Template Deviations”</t>
        </is>
      </c>
    </row>
    <row r="25">
      <c r="A25" s="114" t="inlineStr">
        <is>
          <t xml:space="preserve">⚠2 Majorizer passes in STEP 4</t>
        </is>
      </c>
      <c r="B25" s="87">
        <v>2</v>
      </c>
      <c r="C25" s="115" t="inlineStr">
        <is>
          <t xml:space="preserve">2 = template (the majorizer is applied again to b of STEP 3)  ·  1 = article (R ← R + η_q, then the majorizer once)  ·  see “Template Deviations”</t>
        </is>
      </c>
    </row>
    <row r="26"/>
    <row r="27">
      <c r="A27" s="58" t="inlineStr">
        <is>
          <t xml:space="preserve">Base operators  ·  the same Zhuravlev metric on different feature sets (article: variants of Ψ)</t>
        </is>
      </c>
      <c r="B27" s="58"/>
      <c r="C27" s="58"/>
    </row>
    <row r="28">
      <c r="A28" s="61" t="inlineStr">
        <is>
          <t xml:space="preserve">Operator</t>
        </is>
      </c>
      <c r="B28" s="60" t="inlineStr">
        <is>
          <t xml:space="preserve">Feature set</t>
        </is>
      </c>
      <c r="C28" s="61" t="inlineStr">
        <is>
          <t xml:space="preserve">Definition</t>
        </is>
      </c>
    </row>
    <row r="29">
      <c r="A29" s="82" t="inlineStr">
        <is>
          <t xml:space="preserve">ρ</t>
        </is>
      </c>
      <c r="B29" s="83" t="inlineStr">
        <is>
          <t xml:space="preserve">all 13 (I ∪ J)</t>
        </is>
      </c>
      <c r="C29" s="100" t="inlineStr">
        <is>
          <t xml:space="preserve">ρ(x, y) = Σ(j∈I) |x′ⱼ − y′ⱼ| + Σ(j∈J) [xⱼ ≠ yⱼ]  — Zhuravlev metric</t>
        </is>
      </c>
    </row>
    <row r="30">
      <c r="A30" s="82" t="inlineStr">
        <is>
          <t xml:space="preserve">ρ_I</t>
        </is>
      </c>
      <c r="B30" s="83" t="inlineStr">
        <is>
          <t xml:space="preserve">6 quantitative (I)</t>
        </is>
      </c>
      <c r="C30" s="100" t="inlineStr">
        <is>
          <t xml:space="preserve">ρ_I(x, y) = Σ(j∈I) |x′ⱼ − y′ⱼ|  — quantitative part of ρ</t>
        </is>
      </c>
    </row>
    <row r="31">
      <c r="A31" s="82" t="inlineStr">
        <is>
          <t xml:space="preserve">ρ_J</t>
        </is>
      </c>
      <c r="B31" s="83" t="inlineStr">
        <is>
          <t xml:space="preserve">7 nominal (J)</t>
        </is>
      </c>
      <c r="C31" s="100" t="inlineStr">
        <is>
          <t xml:space="preserve">ρ_J(x, y) = Σ(j∈J) [xⱼ ≠ yⱼ]  — nominal part of ρ (Hamming)</t>
        </is>
      </c>
    </row>
    <row r="32"/>
    <row r="33">
      <c r="A33" s="58" t="inlineStr">
        <is>
          <t xml:space="preserve">Other rules</t>
        </is>
      </c>
      <c r="B33" s="58"/>
      <c r="C33" s="58"/>
    </row>
    <row r="34">
      <c r="A34" s="82" t="inlineStr">
        <is>
          <t xml:space="preserve">Tie rule</t>
        </is>
      </c>
      <c r="B34" s="83" t="inlineStr">
        <is>
          <t xml:space="preserve">smaller index first</t>
        </is>
      </c>
      <c r="C34" s="100" t="inlineStr">
        <is>
          <t xml:space="preserve">Equal distances are ordered by the original index of the neighbour</t>
        </is>
      </c>
    </row>
    <row r="35">
      <c r="A35" s="82" t="inlineStr">
        <is>
          <t xml:space="preserve">Distance rounding</t>
        </is>
      </c>
      <c r="B35" s="83" t="inlineStr">
        <is>
          <t xml:space="preserve">10 decimals</t>
        </is>
      </c>
      <c r="C35" s="100" t="inlineStr">
        <is>
          <t xml:space="preserve">So that mathematically equal distances tie exactly</t>
        </is>
      </c>
    </row>
    <row r="36">
      <c r="A36" s="82" t="inlineStr">
        <is>
          <t xml:space="preserve">Positive class (evaluation)</t>
        </is>
      </c>
      <c r="B36" s="83">
        <v>1</v>
      </c>
      <c r="C36" s="100" t="inlineStr">
        <is>
          <t xml:space="preserve">Class 1 is "positive" in the confusion matrix, precision, recall and ROC</t>
        </is>
      </c>
    </row>
    <row r="37">
      <c r="A37" s="82" t="inlineStr">
        <is>
          <t xml:space="preserve">Meta-algorithm decision</t>
        </is>
      </c>
      <c r="B37" s="83" t="inlineStr">
        <is>
          <t xml:space="preserve">Step 4</t>
        </is>
      </c>
      <c r="C37" s="100" t="inlineStr">
        <is>
          <t xml:space="preserve">K1 if |B1|/|K1| &gt; |B2|/|K2|,  K2 if &lt;,  0 = refusal if equal</t>
        </is>
      </c>
    </row>
  </sheetData>
  <mergeCells count="5">
    <mergeCell ref="A1:C1"/>
    <mergeCell ref="A3:C3"/>
    <mergeCell ref="A17:C17"/>
    <mergeCell ref="A27:C27"/>
    <mergeCell ref="A33:C33"/>
  </mergeCells>
  <dataValidations count="2">
    <dataValidation type="list" allowBlank="0" showInputMessage="1" showErrorMessage="1" promptTitle="Choose" prompt="1 = running (template), 2 = final (article)" sqref="B24">
      <formula1>"1,2"</formula1>
    </dataValidation>
    <dataValidation type="list" allowBlank="0" showInputMessage="1" showErrorMessage="1" promptTitle="Choose" prompt="2 = template, 1 = article" sqref="B25">
      <formula1>"1,2"</formula1>
    </dataValidation>
  </dataValidation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33C0B"/>
    <pageSetUpPr fitToPage="1"/>
  </sheetPr>
  <dimension ref="A1:I5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46.77734375" customWidth="1"/>
    <col min="2" max="9" width="16.77734375" customWidth="1"/>
  </cols>
  <sheetData>
    <row r="1" ht="22" customHeight="1">
      <c r="A1" s="57" t="inlineStr">
        <is>
          <t xml:space="preserve">Template Deviations — where the template HAG calculations differ from the article, and what each one changes</t>
        </is>
      </c>
      <c r="B1" s="57"/>
      <c r="C1" s="57"/>
      <c r="D1" s="57"/>
      <c r="E1" s="57"/>
      <c r="F1" s="57"/>
      <c r="G1" s="57"/>
      <c r="H1" s="57"/>
      <c r="I1" s="57"/>
    </row>
    <row r="2"/>
    <row r="3" ht="33" customHeight="1">
      <c r="A3" s="101" t="inlineStr">
        <is>
          <t xml:space="preserve">Template workbook: hag-regularized-stacking-boosting-meta\resources\experiments\hag-algorithm\RegularizedStackingEnsembleWithHAG [My Experiment on Heart-Disease (10, 13, 2)].xlsx (the “- Opus 5.5” copy has the same cells). In this workbook both calculations are switches on the Parameters sheet; the default reproduces the template exactly.</t>
        </is>
      </c>
      <c r="B3" s="101"/>
      <c r="C3" s="101"/>
      <c r="D3" s="101"/>
      <c r="E3" s="101"/>
      <c r="F3" s="101"/>
      <c r="G3" s="101"/>
      <c r="H3" s="101"/>
      <c r="I3" s="101"/>
    </row>
    <row r="4"/>
    <row r="5">
      <c r="A5" s="106" t="inlineStr">
        <is>
          <t xml:space="preserve">⚠1 · θ and γ are measured from running partial class means instead of the final class means M₁ and M₂</t>
        </is>
      </c>
      <c r="B5" s="106"/>
      <c r="C5" s="106"/>
      <c r="D5" s="106"/>
      <c r="E5" s="106"/>
      <c r="F5" s="106"/>
      <c r="G5" s="106"/>
      <c r="H5" s="106"/>
      <c r="I5" s="106"/>
    </row>
    <row r="6" ht="48" customHeight="1">
      <c r="A6" s="101" t="inlineStr">
        <is>
          <t xml:space="preserve">Article, HAG Step 3:  M₁ = Σ(Sₜ∈K1) bₜ / |K1|,  M₂ = Σ(Sₜ∈K2) bₜ / |K2| are computed over all objects first; then θ = Σ |bₜ − M(own class)|,  γ = Σ |bₜ − M(other class)|. The template’s own formula boxes show the same final means (sheet “Greedy upon Weight (1-Latent)”, boxes at AB2 and AB6).</t>
        </is>
      </c>
      <c r="B6" s="101"/>
      <c r="C6" s="101"/>
      <c r="D6" s="101"/>
      <c r="E6" s="101"/>
      <c r="F6" s="101"/>
      <c r="G6" s="101"/>
      <c r="H6" s="101"/>
      <c r="I6" s="101"/>
    </row>
    <row r="7" ht="64" customHeight="1">
      <c r="A7" s="101" t="inlineStr">
        <is>
          <t xml:space="preserve">Template cells (first candidate block, rows 32–41 of “Greedy upon Weight (1-Latent)”):  I32 = IF(G32=1, H32 + N(I31), N(I31)) is a running sum;  K32 = I32 / COUNTIF($G$32:$G$41, 1) is therefore the mean of the rows up to 32 only;  M32 = M31 + ABS(H32 − IF(G32=1, K32, L32)) uses that running mean (N32 likewise). Only the last row (K41, L41) holds the real means M₁ and M₂. The same pattern is in every candidate block of all four “Greedy upon Weight (n-Latent)” sheets (columns I–N).</t>
        </is>
      </c>
      <c r="B7" s="101"/>
      <c r="C7" s="101"/>
      <c r="D7" s="101"/>
      <c r="E7" s="101"/>
      <c r="F7" s="101"/>
      <c r="G7" s="101"/>
      <c r="H7" s="101"/>
      <c r="I7" s="101"/>
    </row>
    <row r="8" ht="48" customHeight="1">
      <c r="A8" s="105" t="inlineStr">
        <is>
          <t xml:space="preserve">Worked example (template data, iteration 1, candidate x₁, object S₁ ∈ K2 with bₜ = 0.2766):  running M₂ at S₁’s row = 0.0461 → |bₜ − M₂| = 0.2305;   final M₂ = -0.5991 → |bₜ − M₂| = 0.8757.  Summed over all objects: θ = 3.5549, γ = 9.3403 (template, θ/γ = 0.3806)  vs  θ = 2.1192, γ = 12.0884 (article, θ/γ = 0.1753).</t>
        </is>
      </c>
      <c r="B8" s="105"/>
      <c r="C8" s="105"/>
      <c r="D8" s="105"/>
      <c r="E8" s="105"/>
      <c r="F8" s="105"/>
      <c r="G8" s="105"/>
      <c r="H8" s="105"/>
      <c r="I8" s="105"/>
    </row>
    <row r="9"/>
    <row r="10">
      <c r="A10" s="61" t="inlineStr">
        <is>
          <t xml:space="preserve">Iteration 1 on the template data (R = η₃ of x₃)</t>
        </is>
      </c>
      <c r="B10" s="60" t="inlineStr">
        <is>
          <t xml:space="preserve">θ running</t>
        </is>
      </c>
      <c r="C10" s="60" t="inlineStr">
        <is>
          <t xml:space="preserve">γ running</t>
        </is>
      </c>
      <c r="D10" s="60" t="inlineStr">
        <is>
          <t xml:space="preserve">θ/γ running (template)</t>
        </is>
      </c>
      <c r="E10" s="60" t="inlineStr">
        <is>
          <t xml:space="preserve">θ final</t>
        </is>
      </c>
      <c r="F10" s="60" t="inlineStr">
        <is>
          <t xml:space="preserve">γ final</t>
        </is>
      </c>
      <c r="G10" s="60" t="inlineStr">
        <is>
          <t xml:space="preserve">θ/γ final (article)</t>
        </is>
      </c>
      <c r="H10" s="60" t="inlineStr">
        <is>
          <t xml:space="preserve">M₁ final</t>
        </is>
      </c>
      <c r="I10" s="60" t="inlineStr">
        <is>
          <t xml:space="preserve">M₂ final</t>
        </is>
      </c>
    </row>
    <row r="11">
      <c r="A11" s="64" t="inlineStr">
        <is>
          <t xml:space="preserve">x₁</t>
        </is>
      </c>
      <c r="B11" s="102">
        <v>3.5549166682105255</v>
      </c>
      <c r="C11" s="102">
        <v>9.340313327913266</v>
      </c>
      <c r="D11" s="102">
        <v>0.3805992950564898</v>
      </c>
      <c r="E11" s="72">
        <v>2.1192458133058465</v>
      </c>
      <c r="F11" s="72">
        <v>12.088406215843722</v>
      </c>
      <c r="G11" s="92">
        <v>0.17531225998413652</v>
      </c>
      <c r="H11" s="72">
        <v>0.6097348393590523</v>
      </c>
      <c r="I11" s="72">
        <v>-0.5991057822253202</v>
      </c>
    </row>
    <row r="12">
      <c r="A12" s="64" t="inlineStr">
        <is>
          <t xml:space="preserve">x₂</t>
        </is>
      </c>
      <c r="B12" s="102">
        <v>1.9639068945589329</v>
      </c>
      <c r="C12" s="102">
        <v>3.394014753983377</v>
      </c>
      <c r="D12" s="102">
        <v>0.5786382903179776</v>
      </c>
      <c r="E12" s="72">
        <v>1.6273712377709928</v>
      </c>
      <c r="F12" s="72">
        <v>4.426876020013798</v>
      </c>
      <c r="G12" s="72">
        <v>0.36761165896982145</v>
      </c>
      <c r="H12" s="72">
        <v>0.11945181933079625</v>
      </c>
      <c r="I12" s="72">
        <v>-0.32323578267058345</v>
      </c>
    </row>
    <row r="13">
      <c r="A13" s="64" t="inlineStr">
        <is>
          <t xml:space="preserve">x₄</t>
        </is>
      </c>
      <c r="B13" s="102">
        <v>2.2301907054516437</v>
      </c>
      <c r="C13" s="102">
        <v>4.944747847472571</v>
      </c>
      <c r="D13" s="102">
        <v>0.4510221297920318</v>
      </c>
      <c r="E13" s="72">
        <v>1.7940032307876086</v>
      </c>
      <c r="F13" s="72">
        <v>6.241234287235975</v>
      </c>
      <c r="G13" s="72">
        <v>0.28744366069649824</v>
      </c>
      <c r="H13" s="72">
        <v>0.23084189154620627</v>
      </c>
      <c r="I13" s="72">
        <v>-0.39328153717739117</v>
      </c>
    </row>
    <row r="14">
      <c r="A14" s="64" t="inlineStr">
        <is>
          <t xml:space="preserve">x₅</t>
        </is>
      </c>
      <c r="B14" s="102">
        <v>1.0481607203078083</v>
      </c>
      <c r="C14" s="102">
        <v>2.770129556451585</v>
      </c>
      <c r="D14" s="102">
        <v>0.3783796746497504</v>
      </c>
      <c r="E14" s="72">
        <v>0.8343363886631411</v>
      </c>
      <c r="F14" s="72">
        <v>3.7318333425296313</v>
      </c>
      <c r="G14" s="72">
        <v>0.22357278905107386</v>
      </c>
      <c r="H14" s="72">
        <v>0.09470034076581116</v>
      </c>
      <c r="I14" s="72">
        <v>-0.278482993487152</v>
      </c>
    </row>
    <row r="15">
      <c r="A15" s="64" t="inlineStr">
        <is>
          <t xml:space="preserve">x₆</t>
        </is>
      </c>
      <c r="B15" s="102">
        <v>0.9681974049720772</v>
      </c>
      <c r="C15" s="102">
        <v>2.722225847405362</v>
      </c>
      <c r="D15" s="92">
        <v>0.3556638792093228</v>
      </c>
      <c r="E15" s="72">
        <v>0.7211718848839431</v>
      </c>
      <c r="F15" s="72">
        <v>3.558500938995678</v>
      </c>
      <c r="G15" s="72">
        <v>0.20266170987367527</v>
      </c>
      <c r="H15" s="72">
        <v>0.1880143270058608</v>
      </c>
      <c r="I15" s="72">
        <v>-0.16783576689370702</v>
      </c>
    </row>
    <row r="16">
      <c r="A16" s="64" t="inlineStr">
        <is>
          <t xml:space="preserve">x₇</t>
        </is>
      </c>
      <c r="B16" s="102">
        <v>1.42889752168513</v>
      </c>
      <c r="C16" s="102">
        <v>3.2840249366022434</v>
      </c>
      <c r="D16" s="102">
        <v>0.435105563833968</v>
      </c>
      <c r="E16" s="72">
        <v>1.1389011601448549</v>
      </c>
      <c r="F16" s="72">
        <v>4.427106770100492</v>
      </c>
      <c r="G16" s="72">
        <v>0.25725631191835985</v>
      </c>
      <c r="H16" s="72">
        <v>0.11948643184380048</v>
      </c>
      <c r="I16" s="72">
        <v>-0.3232242451662487</v>
      </c>
    </row>
    <row r="17">
      <c r="A17" s="64" t="inlineStr">
        <is>
          <t xml:space="preserve">x₈</t>
        </is>
      </c>
      <c r="B17" s="102">
        <v>1.754684993633303</v>
      </c>
      <c r="C17" s="102">
        <v>4.4070578915674545</v>
      </c>
      <c r="D17" s="102">
        <v>0.39815337960292047</v>
      </c>
      <c r="E17" s="72">
        <v>1.4273433450552546</v>
      </c>
      <c r="F17" s="72">
        <v>6.2415223293624535</v>
      </c>
      <c r="G17" s="72">
        <v>0.22868512996268525</v>
      </c>
      <c r="H17" s="72">
        <v>0.23087069575885405</v>
      </c>
      <c r="I17" s="72">
        <v>-0.39328153717739117</v>
      </c>
    </row>
    <row r="18">
      <c r="A18" s="64" t="inlineStr">
        <is>
          <t xml:space="preserve">x₉</t>
        </is>
      </c>
      <c r="B18" s="102">
        <v>1.2130200541009077</v>
      </c>
      <c r="C18" s="102">
        <v>2.738055141308472</v>
      </c>
      <c r="D18" s="102">
        <v>0.44302250739962273</v>
      </c>
      <c r="E18" s="72">
        <v>1.0219502877093705</v>
      </c>
      <c r="F18" s="72">
        <v>3.5957778347351255</v>
      </c>
      <c r="G18" s="72">
        <v>0.2842084062695297</v>
      </c>
      <c r="H18" s="72">
        <v>0.11947982204999091</v>
      </c>
      <c r="I18" s="72">
        <v>-0.2400979614235216</v>
      </c>
    </row>
    <row r="19">
      <c r="A19" s="64" t="inlineStr">
        <is>
          <t xml:space="preserve">x₁₀</t>
        </is>
      </c>
      <c r="B19" s="102">
        <v>2.151123247521708</v>
      </c>
      <c r="C19" s="102">
        <v>4.845647486394451</v>
      </c>
      <c r="D19" s="102">
        <v>0.443928959661553</v>
      </c>
      <c r="E19" s="72">
        <v>1.74156833965881</v>
      </c>
      <c r="F19" s="72">
        <v>6.2413303012781345</v>
      </c>
      <c r="G19" s="72">
        <v>0.279038002411467</v>
      </c>
      <c r="H19" s="72">
        <v>0.23087069575885405</v>
      </c>
      <c r="I19" s="72">
        <v>-0.39326233436895935</v>
      </c>
    </row>
    <row r="20">
      <c r="A20" s="64" t="inlineStr">
        <is>
          <t xml:space="preserve">x₁₁</t>
        </is>
      </c>
      <c r="B20" s="102">
        <v>1.6897176021884712</v>
      </c>
      <c r="C20" s="102">
        <v>3.3689108499959537</v>
      </c>
      <c r="D20" s="102">
        <v>0.5015619817278634</v>
      </c>
      <c r="E20" s="72">
        <v>1.5052295453339843</v>
      </c>
      <c r="F20" s="72">
        <v>4.42693370753547</v>
      </c>
      <c r="G20" s="72">
        <v>0.34001628322823124</v>
      </c>
      <c r="H20" s="72">
        <v>0.11946912558729837</v>
      </c>
      <c r="I20" s="72">
        <v>-0.3232242451662487</v>
      </c>
    </row>
    <row r="21">
      <c r="A21" s="64" t="inlineStr">
        <is>
          <t xml:space="preserve">x₁₂</t>
        </is>
      </c>
      <c r="B21" s="102">
        <v>1.3952807412230745</v>
      </c>
      <c r="C21" s="102">
        <v>3.016501271932584</v>
      </c>
      <c r="D21" s="102">
        <v>0.4625493628017465</v>
      </c>
      <c r="E21" s="72">
        <v>1.2063926883791511</v>
      </c>
      <c r="F21" s="72">
        <v>4.086057944982735</v>
      </c>
      <c r="G21" s="72">
        <v>0.29524610385432226</v>
      </c>
      <c r="H21" s="72">
        <v>0.11947603342396511</v>
      </c>
      <c r="I21" s="72">
        <v>-0.28912976107430843</v>
      </c>
    </row>
    <row r="22">
      <c r="A22" s="64" t="inlineStr">
        <is>
          <t xml:space="preserve">x₁₃</t>
        </is>
      </c>
      <c r="B22" s="102">
        <v>0.9860428897836896</v>
      </c>
      <c r="C22" s="102">
        <v>2.759865086625073</v>
      </c>
      <c r="D22" s="102">
        <v>0.3572793809966564</v>
      </c>
      <c r="E22" s="72">
        <v>0.7151529483886672</v>
      </c>
      <c r="F22" s="72">
        <v>3.6395965433642887</v>
      </c>
      <c r="G22" s="72">
        <v>0.19649236937883507</v>
      </c>
      <c r="H22" s="72">
        <v>0.17569966916480836</v>
      </c>
      <c r="I22" s="72">
        <v>-0.18825998517162054</v>
      </c>
    </row>
    <row r="23" ht="21" customHeight="1">
      <c r="A23" s="105" t="inlineStr">
        <is>
          <t xml:space="preserve">Selected q (green):  template (running) → x₆ with θ/γ = 0.3557;   article (final) → x₁ with θ/γ = 0.1753.  The whole SET then changes — see the effect table below.</t>
        </is>
      </c>
      <c r="B23" s="105"/>
      <c r="C23" s="105"/>
      <c r="D23" s="105"/>
      <c r="E23" s="105"/>
      <c r="F23" s="105"/>
      <c r="G23" s="105"/>
      <c r="H23" s="105"/>
      <c r="I23" s="105"/>
    </row>
    <row r="24" ht="33" customHeight="1">
      <c r="A24" s="101" t="inlineStr">
        <is>
          <t xml:space="preserve">Fix in the template (if the article is right): in every block use the last-row means, e.g.  M32 = IF(ROW()=32, 0, M31) + ABS(H32 − IF($G32=1, $K$41, $L$41))  and  N32 = IF(ROW()=32, 0, N31) + ABS(H32 − IF($G32=1, $L$41, $K$41)), copied down to row 41 (and the same in every block).</t>
        </is>
      </c>
      <c r="B24" s="101"/>
      <c r="C24" s="101"/>
      <c r="D24" s="101"/>
      <c r="E24" s="101"/>
      <c r="F24" s="101"/>
      <c r="G24" s="101"/>
      <c r="H24" s="101"/>
      <c r="I24" s="101"/>
    </row>
    <row r="25" ht="33" customHeight="1">
      <c r="A25" s="101" t="inlineStr">
        <is>
          <t xml:space="preserve">In this workbook: the orange columns I–L (“Σ K1/K2 (running)”, “M₁/M₂ used”) of every candidate block on the four “Greedy upon Weight” sheets; switch Parameters!B24 (1 = running = template, 2 = final = article).</t>
        </is>
      </c>
      <c r="B25" s="101"/>
      <c r="C25" s="101"/>
      <c r="D25" s="101"/>
      <c r="E25" s="101"/>
      <c r="F25" s="101"/>
      <c r="G25" s="101"/>
      <c r="H25" s="101"/>
      <c r="I25" s="101"/>
    </row>
    <row r="26"/>
    <row r="27">
      <c r="A27" s="113" t="inlineStr">
        <is>
          <t xml:space="preserve">⚠2 · In STEP 4 the majorizer is applied twice instead of once</t>
        </is>
      </c>
      <c r="B27" s="113"/>
      <c r="C27" s="113"/>
      <c r="D27" s="113"/>
      <c r="E27" s="113"/>
      <c r="F27" s="113"/>
      <c r="G27" s="113"/>
      <c r="H27" s="113"/>
      <c r="I27" s="113"/>
    </row>
    <row r="28" ht="33" customHeight="1">
      <c r="A28" s="101" t="inlineStr">
        <is>
          <t xml:space="preserve">Article, HAG Step 4:  R(Sₜ) ← R(Sₜ) + η_q(a_tq);  then R(Sₜ) ← R(Sₜ) + α·ϕ(−R(Sₜ)) for Sₜ ∈ K1  (− α·ϕ(−R) for K2) — one application of the majorizer to R + η_q.</t>
        </is>
      </c>
      <c r="B28" s="101"/>
      <c r="C28" s="101"/>
      <c r="D28" s="101"/>
      <c r="E28" s="101"/>
      <c r="F28" s="101"/>
      <c r="G28" s="101"/>
      <c r="H28" s="101"/>
      <c r="I28" s="101"/>
    </row>
    <row r="29" ht="64" customHeight="1">
      <c r="A29" s="101" t="inlineStr">
        <is>
          <t xml:space="preserve">Template cells (STEP 4 block, rows 222–231 of “Greedy upon Weight (1-Latent)”):  F222 = R + η_q;  H222 = F222 ± α·σ(−F222)  (once — this equals the STEP 3 value of the chosen candidate);  I222 = H222 ± α·σ(−H222)  (twice);  K222 = I222 → r₁. Same in 2-Latent rows 207–216, 3-Latent rows 192–201, 4-Latent rows 177–186. Because the next iteration starts from this R, every latent feature receives the extra push.</t>
        </is>
      </c>
      <c r="B29" s="101"/>
      <c r="C29" s="101"/>
      <c r="D29" s="101"/>
      <c r="E29" s="101"/>
      <c r="F29" s="101"/>
      <c r="G29" s="101"/>
      <c r="H29" s="101"/>
      <c r="I29" s="101"/>
    </row>
    <row r="30"/>
    <row r="31">
      <c r="A31" s="61" t="inlineStr">
        <is>
          <t xml:space="preserve">r₁ on the template data (q = x₆)</t>
        </is>
      </c>
      <c r="B31" s="60" t="inlineStr">
        <is>
          <t xml:space="preserve">R + η_q (F)</t>
        </is>
      </c>
      <c r="C31" s="60" t="inlineStr">
        <is>
          <t xml:space="preserve">once — article (H)</t>
        </is>
      </c>
      <c r="D31" s="60" t="inlineStr">
        <is>
          <t xml:space="preserve">twice — template (I = K)</t>
        </is>
      </c>
      <c r="E31" s="60" t="inlineStr">
        <is>
          <t xml:space="preserve">template file K222…K231</t>
        </is>
      </c>
      <c r="F31" s="60" t="inlineStr">
        <is>
          <t xml:space="preserve">Class</t>
        </is>
      </c>
    </row>
    <row r="32">
      <c r="A32" s="64" t="inlineStr">
        <is>
          <t xml:space="preserve">S₁</t>
        </is>
      </c>
      <c r="B32" s="72">
        <v>-0.05787037037037038</v>
      </c>
      <c r="C32" s="72">
        <v>-0.21220943726179825</v>
      </c>
      <c r="D32" s="109">
        <v>-0.378065685338914</v>
      </c>
      <c r="E32" s="72">
        <v>-0.37806568533891394</v>
      </c>
      <c r="F32" s="68">
        <v>2</v>
      </c>
    </row>
    <row r="33">
      <c r="A33" s="64" t="inlineStr">
        <is>
          <t xml:space="preserve">S₂</t>
        </is>
      </c>
      <c r="B33" s="72">
        <v>0.14004629629629628</v>
      </c>
      <c r="C33" s="72">
        <v>0.2795599574906641</v>
      </c>
      <c r="D33" s="109">
        <v>0.40872845598398955</v>
      </c>
      <c r="E33" s="72">
        <v>0.40872845598398955</v>
      </c>
      <c r="F33" s="68">
        <v>1</v>
      </c>
    </row>
    <row r="34">
      <c r="A34" s="64" t="inlineStr">
        <is>
          <t xml:space="preserve">S₃</t>
        </is>
      </c>
      <c r="B34" s="72">
        <v>0.14004629629629628</v>
      </c>
      <c r="C34" s="72">
        <v>0.0005326351019284414</v>
      </c>
      <c r="D34" s="109">
        <v>-0.14942741726637135</v>
      </c>
      <c r="E34" s="72">
        <v>-0.14942741726637135</v>
      </c>
      <c r="F34" s="68">
        <v>2</v>
      </c>
    </row>
    <row r="35">
      <c r="A35" s="64" t="inlineStr">
        <is>
          <t xml:space="preserve">S₄</t>
        </is>
      </c>
      <c r="B35" s="72">
        <v>-0.05787037037037038</v>
      </c>
      <c r="C35" s="72">
        <v>0.0964686965210575</v>
      </c>
      <c r="D35" s="109">
        <v>0.2392391500520089</v>
      </c>
      <c r="E35" s="72">
        <v>0.2392391500520089</v>
      </c>
      <c r="F35" s="68">
        <v>1</v>
      </c>
    </row>
    <row r="36">
      <c r="A36" s="64" t="inlineStr">
        <is>
          <t xml:space="preserve">S₅</t>
        </is>
      </c>
      <c r="B36" s="72">
        <v>0.14004629629629628</v>
      </c>
      <c r="C36" s="72">
        <v>0.2795599574906641</v>
      </c>
      <c r="D36" s="109">
        <v>0.40872845598398955</v>
      </c>
      <c r="E36" s="72">
        <v>0.40872845598398955</v>
      </c>
      <c r="F36" s="68">
        <v>1</v>
      </c>
    </row>
    <row r="37">
      <c r="A37" s="64" t="inlineStr">
        <is>
          <t xml:space="preserve">S₆</t>
        </is>
      </c>
      <c r="B37" s="72">
        <v>-0.05787037037037038</v>
      </c>
      <c r="C37" s="72">
        <v>0.0964686965210575</v>
      </c>
      <c r="D37" s="109">
        <v>0.2392391500520089</v>
      </c>
      <c r="E37" s="72">
        <v>0.2392391500520089</v>
      </c>
      <c r="F37" s="68">
        <v>1</v>
      </c>
    </row>
    <row r="38">
      <c r="A38" s="64" t="inlineStr">
        <is>
          <t xml:space="preserve">S₇</t>
        </is>
      </c>
      <c r="B38" s="72">
        <v>-0.008101851851851832</v>
      </c>
      <c r="C38" s="72">
        <v>-0.15870948741697763</v>
      </c>
      <c r="D38" s="109">
        <v>-0.32058777621177315</v>
      </c>
      <c r="E38" s="72">
        <v>-0.32058777621177315</v>
      </c>
      <c r="F38" s="68">
        <v>2</v>
      </c>
    </row>
    <row r="39">
      <c r="A39" s="64" t="inlineStr">
        <is>
          <t xml:space="preserve">S₈</t>
        </is>
      </c>
      <c r="B39" s="72">
        <v>-0.05787037037037038</v>
      </c>
      <c r="C39" s="72">
        <v>-0.21220943726179825</v>
      </c>
      <c r="D39" s="109">
        <v>-0.378065685338914</v>
      </c>
      <c r="E39" s="72">
        <v>-0.37806568533891394</v>
      </c>
      <c r="F39" s="68">
        <v>2</v>
      </c>
    </row>
    <row r="40">
      <c r="A40" s="64" t="inlineStr">
        <is>
          <t xml:space="preserve">S₉</t>
        </is>
      </c>
      <c r="B40" s="72">
        <v>-0.05787037037037038</v>
      </c>
      <c r="C40" s="72">
        <v>-0.21220943726179825</v>
      </c>
      <c r="D40" s="109">
        <v>-0.378065685338914</v>
      </c>
      <c r="E40" s="72">
        <v>-0.37806568533891394</v>
      </c>
      <c r="F40" s="68">
        <v>2</v>
      </c>
    </row>
    <row r="41">
      <c r="A41" s="64" t="inlineStr">
        <is>
          <t xml:space="preserve">S₁₀</t>
        </is>
      </c>
      <c r="B41" s="72">
        <v>-0.05787037037037038</v>
      </c>
      <c r="C41" s="72">
        <v>-0.21220943726179825</v>
      </c>
      <c r="D41" s="109">
        <v>-0.378065685338914</v>
      </c>
      <c r="E41" s="72">
        <v>-0.37806568533891394</v>
      </c>
      <c r="F41" s="68">
        <v>2</v>
      </c>
    </row>
    <row r="42" ht="21" customHeight="1">
      <c r="A42" s="101" t="inlineStr">
        <is>
          <t xml:space="preserve">Fix in the template (if the article is right): take the latent value from column H — K222 = H222 (and the same in the other STEP 4 blocks) — or equivalently skip the second majorizer.</t>
        </is>
      </c>
      <c r="B42" s="101"/>
      <c r="C42" s="101"/>
      <c r="D42" s="101"/>
      <c r="E42" s="101"/>
      <c r="F42" s="101"/>
      <c r="G42" s="101"/>
      <c r="H42" s="101"/>
      <c r="I42" s="101"/>
    </row>
    <row r="43" ht="21" customHeight="1">
      <c r="A43" s="101" t="inlineStr">
        <is>
          <t xml:space="preserve">In this workbook: the pink columns H–I of the STEP 4 block on the four “Greedy upon Weight” sheets; switch Parameters!B25 (2 = twice = template, 1 = once = article).</t>
        </is>
      </c>
      <c r="B43" s="101"/>
      <c r="C43" s="101"/>
      <c r="D43" s="101"/>
      <c r="E43" s="101"/>
      <c r="F43" s="101"/>
      <c r="G43" s="101"/>
      <c r="H43" s="101"/>
      <c r="I43" s="101"/>
    </row>
    <row r="44"/>
    <row r="45">
      <c r="A45" s="58" t="inlineStr">
        <is>
          <t xml:space="preserve">Effect of the two switches</t>
        </is>
      </c>
      <c r="B45" s="58"/>
      <c r="C45" s="58"/>
      <c r="D45" s="58"/>
      <c r="E45" s="58"/>
      <c r="F45" s="58"/>
      <c r="G45" s="58"/>
      <c r="H45" s="58"/>
      <c r="I45" s="58"/>
    </row>
    <row r="46">
      <c r="A46" s="61" t="inlineStr">
        <is>
          <t xml:space="preserve">Template data (13 original features)</t>
        </is>
      </c>
      <c r="B46" s="60" t="inlineStr">
        <is>
          <t xml:space="preserve">Class centres</t>
        </is>
      </c>
      <c r="C46" s="60" t="inlineStr">
        <is>
          <t xml:space="preserve">STEP 4 passes</t>
        </is>
      </c>
      <c r="D46" s="60" t="inlineStr">
        <is>
          <t xml:space="preserve">SET</t>
        </is>
      </c>
      <c r="E46" s="60" t="inlineStr">
        <is>
          <t xml:space="preserve">max |r − template r|</t>
        </is>
      </c>
    </row>
    <row r="47">
      <c r="A47" s="65" t="inlineStr">
        <is>
          <t xml:space="preserve">template cells</t>
        </is>
      </c>
      <c r="B47" s="84" t="inlineStr">
        <is>
          <t xml:space="preserve">running</t>
        </is>
      </c>
      <c r="C47" s="84">
        <v>2</v>
      </c>
      <c r="D47" s="91" t="inlineStr">
        <is>
          <t xml:space="preserve">{x₃, x₆, x₁₃, x₄, x₉}</t>
        </is>
      </c>
      <c r="E47" s="84" t="inlineStr">
        <is>
          <t xml:space="preserve">4.4e-16  (identical)</t>
        </is>
      </c>
    </row>
    <row r="48">
      <c r="A48" s="65" t="inlineStr">
        <is>
          <t xml:space="preserve">running centres, 1 pass</t>
        </is>
      </c>
      <c r="B48" s="84" t="inlineStr">
        <is>
          <t xml:space="preserve">running</t>
        </is>
      </c>
      <c r="C48" s="84">
        <v>1</v>
      </c>
      <c r="D48" s="84" t="inlineStr">
        <is>
          <t xml:space="preserve">{x₃, x₆, x₁₃, x₅, x₁₂}</t>
        </is>
      </c>
      <c r="E48" s="84" t="inlineStr">
        <is>
          <t xml:space="preserve">1.2e+00</t>
        </is>
      </c>
    </row>
    <row r="49">
      <c r="A49" s="65" t="inlineStr">
        <is>
          <t xml:space="preserve">final centres, 2 passes</t>
        </is>
      </c>
      <c r="B49" s="84" t="inlineStr">
        <is>
          <t xml:space="preserve">final</t>
        </is>
      </c>
      <c r="C49" s="84">
        <v>2</v>
      </c>
      <c r="D49" s="84" t="inlineStr">
        <is>
          <t xml:space="preserve">{x₃, x₁, x₅, x₉}</t>
        </is>
      </c>
      <c r="E49" s="84" t="inlineStr">
        <is>
          <t xml:space="preserve">1.2e+00</t>
        </is>
      </c>
    </row>
    <row r="50">
      <c r="A50" s="65" t="inlineStr">
        <is>
          <t xml:space="preserve">article</t>
        </is>
      </c>
      <c r="B50" s="84" t="inlineStr">
        <is>
          <t xml:space="preserve">final</t>
        </is>
      </c>
      <c r="C50" s="84">
        <v>1</v>
      </c>
      <c r="D50" s="84" t="inlineStr">
        <is>
          <t xml:space="preserve">{x₃, x₁, x₅, x₉, x₆}</t>
        </is>
      </c>
      <c r="E50" s="84" t="inlineStr">
        <is>
          <t xml:space="preserve">1.7e+00</t>
        </is>
      </c>
    </row>
    <row r="51"/>
    <row r="52">
      <c r="A52" s="61" t="inlineStr">
        <is>
          <t xml:space="preserve">This experiment (Ψ(r), 6 features)</t>
        </is>
      </c>
      <c r="B52" s="60" t="inlineStr">
        <is>
          <t xml:space="preserve">Class centres</t>
        </is>
      </c>
      <c r="C52" s="60" t="inlineStr">
        <is>
          <t xml:space="preserve">STEP 4 passes</t>
        </is>
      </c>
      <c r="D52" s="60" t="inlineStr">
        <is>
          <t xml:space="preserve">TUPLAM</t>
        </is>
      </c>
      <c r="E52" s="60" t="inlineStr">
        <is>
          <t xml:space="preserve">Resubstitution</t>
        </is>
      </c>
      <c r="F52" s="60" t="inlineStr">
        <is>
          <t xml:space="preserve">LOO</t>
        </is>
      </c>
      <c r="G52" s="60" t="inlineStr">
        <is>
          <t xml:space="preserve">AUC resub.</t>
        </is>
      </c>
      <c r="H52" s="60" t="inlineStr">
        <is>
          <t xml:space="preserve">AUC LOO</t>
        </is>
      </c>
    </row>
    <row r="53">
      <c r="A53" s="65" t="inlineStr">
        <is>
          <t xml:space="preserve">template (default)</t>
        </is>
      </c>
      <c r="B53" s="84" t="inlineStr">
        <is>
          <t xml:space="preserve">running</t>
        </is>
      </c>
      <c r="C53" s="84">
        <v>2</v>
      </c>
      <c r="D53" s="91" t="inlineStr">
        <is>
          <t xml:space="preserve">{a₆, a₃, a₁, a₂, a₄}</t>
        </is>
      </c>
      <c r="E53" s="72">
        <v>0.7</v>
      </c>
      <c r="F53" s="72">
        <v>0.2</v>
      </c>
      <c r="G53" s="72">
        <v>0.6666666666666666</v>
      </c>
      <c r="H53" s="72">
        <v>0.2708333333333333</v>
      </c>
    </row>
    <row r="54">
      <c r="A54" s="65" t="inlineStr">
        <is>
          <t xml:space="preserve">running centres, 1 pass</t>
        </is>
      </c>
      <c r="B54" s="84" t="inlineStr">
        <is>
          <t xml:space="preserve">running</t>
        </is>
      </c>
      <c r="C54" s="84">
        <v>1</v>
      </c>
      <c r="D54" s="84" t="inlineStr">
        <is>
          <t xml:space="preserve">{a₆, a₃, a₁, a₂, a₄}</t>
        </is>
      </c>
      <c r="E54" s="72">
        <v>0.7</v>
      </c>
      <c r="F54" s="72">
        <v>0.1</v>
      </c>
      <c r="G54" s="72">
        <v>0.6666666666666666</v>
      </c>
      <c r="H54" s="72">
        <v>0.10416666666666667</v>
      </c>
    </row>
    <row r="55">
      <c r="A55" s="65" t="inlineStr">
        <is>
          <t xml:space="preserve">final centres, 2 passes</t>
        </is>
      </c>
      <c r="B55" s="84" t="inlineStr">
        <is>
          <t xml:space="preserve">final</t>
        </is>
      </c>
      <c r="C55" s="84">
        <v>2</v>
      </c>
      <c r="D55" s="84" t="inlineStr">
        <is>
          <t xml:space="preserve">{a₆, a₁, a₂, a₄, a₅}</t>
        </is>
      </c>
      <c r="E55" s="72">
        <v>0.5</v>
      </c>
      <c r="F55" s="72">
        <v>0.1</v>
      </c>
      <c r="G55" s="72">
        <v>0.5833333333333334</v>
      </c>
      <c r="H55" s="72">
        <v>0.25</v>
      </c>
    </row>
    <row r="56">
      <c r="A56" s="65" t="inlineStr">
        <is>
          <t xml:space="preserve">article</t>
        </is>
      </c>
      <c r="B56" s="84" t="inlineStr">
        <is>
          <t xml:space="preserve">final</t>
        </is>
      </c>
      <c r="C56" s="84">
        <v>1</v>
      </c>
      <c r="D56" s="84" t="inlineStr">
        <is>
          <t xml:space="preserve">{a₆, a₁, a₂, a₄, a₅}</t>
        </is>
      </c>
      <c r="E56" s="72">
        <v>0.5</v>
      </c>
      <c r="F56" s="72">
        <v>0.0</v>
      </c>
      <c r="G56" s="72">
        <v>0.5833333333333334</v>
      </c>
      <c r="H56" s="72">
        <v>0.08333333333333333</v>
      </c>
    </row>
    <row r="57"/>
    <row r="58" ht="21" customHeight="1">
      <c r="A58" s="101" t="inlineStr">
        <is>
          <t xml:space="preserve">Neither switch touches formulas (1)–(6) or the synthetic features: they only change the HAG (which features enter TUPLAM and the latent values r), and through them the meta-algorithm and its evaluation.</t>
        </is>
      </c>
      <c r="B58" s="101"/>
      <c r="C58" s="101"/>
      <c r="D58" s="101"/>
      <c r="E58" s="101"/>
      <c r="F58" s="101"/>
      <c r="G58" s="101"/>
      <c r="H58" s="101"/>
      <c r="I58" s="101"/>
    </row>
    <row r="59" ht="21" customHeight="1">
      <c r="A59" s="101" t="inlineStr">
        <is>
          <t xml:space="preserve">To check the article version yourself: set Parameters!B24 = 2 and Parameters!B25 = 1 — every sheet recalculates (the Validation sheet then warns that its engine reference is for the default).</t>
        </is>
      </c>
      <c r="B59" s="101"/>
      <c r="C59" s="101"/>
      <c r="D59" s="101"/>
      <c r="E59" s="101"/>
      <c r="F59" s="101"/>
      <c r="G59" s="101"/>
      <c r="H59" s="101"/>
      <c r="I59" s="101"/>
    </row>
  </sheetData>
  <mergeCells count="17">
    <mergeCell ref="A1:I1"/>
    <mergeCell ref="A3:I3"/>
    <mergeCell ref="A5:I5"/>
    <mergeCell ref="A6:I6"/>
    <mergeCell ref="A7:I7"/>
    <mergeCell ref="A8:I8"/>
    <mergeCell ref="A23:I23"/>
    <mergeCell ref="A24:I24"/>
    <mergeCell ref="A25:I25"/>
    <mergeCell ref="A27:I27"/>
    <mergeCell ref="A28:I28"/>
    <mergeCell ref="A29:I29"/>
    <mergeCell ref="A42:I42"/>
    <mergeCell ref="A43:I43"/>
    <mergeCell ref="A45:I45"/>
    <mergeCell ref="A58:I58"/>
    <mergeCell ref="A59:I59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O21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15" width="11.77734375" customWidth="1"/>
  </cols>
  <sheetData>
    <row r="1" ht="20" customHeight="1">
      <c r="A1" s="57" t="inlineStr">
        <is>
          <t xml:space="preserve">Step 1 · Normalized dataset — quantitative features mapped to [0, 1], nominal features unchanged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/>
    <row r="3">
      <c r="A3" s="58" t="inlineStr">
        <is>
          <t xml:space="preserve">Heart + Disease (10, 13, 2) after scale unification:  x′ = (x − min) / (max − min)  for j ∈ I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>
      <c r="A4" s="60" t="inlineStr">
        <is>
          <t xml:space="preserve">№</t>
        </is>
      </c>
      <c r="B4" s="60" t="inlineStr">
        <is>
          <t xml:space="preserve">x₁</t>
        </is>
      </c>
      <c r="C4" s="60" t="inlineStr">
        <is>
          <t xml:space="preserve">x₂</t>
        </is>
      </c>
      <c r="D4" s="60" t="inlineStr">
        <is>
          <t xml:space="preserve">x₃</t>
        </is>
      </c>
      <c r="E4" s="60" t="inlineStr">
        <is>
          <t xml:space="preserve">x₄</t>
        </is>
      </c>
      <c r="F4" s="60" t="inlineStr">
        <is>
          <t xml:space="preserve">x₅</t>
        </is>
      </c>
      <c r="G4" s="60" t="inlineStr">
        <is>
          <t xml:space="preserve">x₆</t>
        </is>
      </c>
      <c r="H4" s="60" t="inlineStr">
        <is>
          <t xml:space="preserve">x₇</t>
        </is>
      </c>
      <c r="I4" s="60" t="inlineStr">
        <is>
          <t xml:space="preserve">x₈</t>
        </is>
      </c>
      <c r="J4" s="60" t="inlineStr">
        <is>
          <t xml:space="preserve">x₉</t>
        </is>
      </c>
      <c r="K4" s="60" t="inlineStr">
        <is>
          <t xml:space="preserve">x₁₀</t>
        </is>
      </c>
      <c r="L4" s="60" t="inlineStr">
        <is>
          <t xml:space="preserve">x₁₁</t>
        </is>
      </c>
      <c r="M4" s="60" t="inlineStr">
        <is>
          <t xml:space="preserve">x₁₂</t>
        </is>
      </c>
      <c r="N4" s="60" t="inlineStr">
        <is>
          <t xml:space="preserve">x₁₃</t>
        </is>
      </c>
      <c r="O4" s="60" t="inlineStr">
        <is>
          <t xml:space="preserve">Class</t>
        </is>
      </c>
    </row>
    <row r="5">
      <c r="A5" s="64" t="inlineStr">
        <is>
          <t xml:space="preserve">S₁</t>
        </is>
      </c>
      <c r="B5" s="66">
        <f>IF(MAX(Dataset!B$3:B$12)=MIN(Dataset!B$3:B$12),0,(Dataset!B3-MIN(Dataset!B$3:B$12))/(MAX(Dataset!B$3:B$12)-MIN(Dataset!B$3:B$12)))</f>
        <v>0.777777777777778</v>
      </c>
      <c r="C5" s="67">
        <f>Dataset!C3</f>
        <v>1</v>
      </c>
      <c r="D5" s="67">
        <f>Dataset!D3</f>
        <v>4</v>
      </c>
      <c r="E5" s="66">
        <f>IF(MAX(Dataset!E$3:E$12)=MIN(Dataset!E$3:E$12),0,(Dataset!E3-MIN(Dataset!E$3:E$12))/(MAX(Dataset!E$3:E$12)-MIN(Dataset!E$3:E$12)))</f>
        <v>0.5</v>
      </c>
      <c r="F5" s="66">
        <f>IF(MAX(Dataset!F$3:F$12)=MIN(Dataset!F$3:F$12),0,(Dataset!F3-MIN(Dataset!F$3:F$12))/(MAX(Dataset!F$3:F$12)-MIN(Dataset!F$3:F$12)))</f>
        <v>0.374677002583979</v>
      </c>
      <c r="G5" s="67">
        <f>Dataset!G3</f>
        <v>0</v>
      </c>
      <c r="H5" s="67">
        <f>Dataset!H3</f>
        <v>2</v>
      </c>
      <c r="I5" s="66">
        <f>IF(MAX(Dataset!I$3:I$12)=MIN(Dataset!I$3:I$12),0,(Dataset!I3-MIN(Dataset!I$3:I$12))/(MAX(Dataset!I$3:I$12)-MIN(Dataset!I$3:I$12)))</f>
        <v>0.0615384615384615</v>
      </c>
      <c r="J5" s="67">
        <f>Dataset!J3</f>
        <v>0</v>
      </c>
      <c r="K5" s="66">
        <f>IF(MAX(Dataset!K$3:K$12)=MIN(Dataset!K$3:K$12),0,(Dataset!K3-MIN(Dataset!K$3:K$12))/(MAX(Dataset!K$3:K$12)-MIN(Dataset!K$3:K$12)))</f>
        <v>0.578947368421053</v>
      </c>
      <c r="L5" s="67">
        <f>Dataset!L3</f>
        <v>2</v>
      </c>
      <c r="M5" s="66">
        <f>IF(MAX(Dataset!M$3:M$12)=MIN(Dataset!M$3:M$12),0,(Dataset!M3-MIN(Dataset!M$3:M$12))/(MAX(Dataset!M$3:M$12)-MIN(Dataset!M$3:M$12)))</f>
        <v>1</v>
      </c>
      <c r="N5" s="67">
        <f>Dataset!N3</f>
        <v>3</v>
      </c>
      <c r="O5" s="68">
        <f>Dataset!O3</f>
        <v>2</v>
      </c>
    </row>
    <row r="6">
      <c r="A6" s="64" t="inlineStr">
        <is>
          <t xml:space="preserve">S₂</t>
        </is>
      </c>
      <c r="B6" s="66">
        <f>IF(MAX(Dataset!B$3:B$12)=MIN(Dataset!B$3:B$12),0,(Dataset!B4-MIN(Dataset!B$3:B$12))/(MAX(Dataset!B$3:B$12)-MIN(Dataset!B$3:B$12)))</f>
        <v>0.611111111111111</v>
      </c>
      <c r="C6" s="67">
        <f>Dataset!C4</f>
        <v>0</v>
      </c>
      <c r="D6" s="67">
        <f>Dataset!D4</f>
        <v>3</v>
      </c>
      <c r="E6" s="66">
        <f>IF(MAX(Dataset!E$3:E$12)=MIN(Dataset!E$3:E$12),0,(Dataset!E4-MIN(Dataset!E$3:E$12))/(MAX(Dataset!E$3:E$12)-MIN(Dataset!E$3:E$12)))</f>
        <v>0.125</v>
      </c>
      <c r="F6" s="66">
        <f>IF(MAX(Dataset!F$3:F$12)=MIN(Dataset!F$3:F$12),0,(Dataset!F4-MIN(Dataset!F$3:F$12))/(MAX(Dataset!F$3:F$12)-MIN(Dataset!F$3:F$12)))</f>
        <v>1</v>
      </c>
      <c r="G6" s="67">
        <f>Dataset!G4</f>
        <v>0</v>
      </c>
      <c r="H6" s="67">
        <f>Dataset!H4</f>
        <v>2</v>
      </c>
      <c r="I6" s="66">
        <f>IF(MAX(Dataset!I$3:I$12)=MIN(Dataset!I$3:I$12),0,(Dataset!I4-MIN(Dataset!I$3:I$12))/(MAX(Dataset!I$3:I$12)-MIN(Dataset!I$3:I$12)))</f>
        <v>0.846153846153846</v>
      </c>
      <c r="J6" s="67">
        <f>Dataset!J4</f>
        <v>0</v>
      </c>
      <c r="K6" s="66">
        <f>IF(MAX(Dataset!K$3:K$12)=MIN(Dataset!K$3:K$12),0,(Dataset!K4-MIN(Dataset!K$3:K$12))/(MAX(Dataset!K$3:K$12)-MIN(Dataset!K$3:K$12)))</f>
        <v>0.368421052631579</v>
      </c>
      <c r="L6" s="67">
        <f>Dataset!L4</f>
        <v>2</v>
      </c>
      <c r="M6" s="66">
        <f>IF(MAX(Dataset!M$3:M$12)=MIN(Dataset!M$3:M$12),0,(Dataset!M4-MIN(Dataset!M$3:M$12))/(MAX(Dataset!M$3:M$12)-MIN(Dataset!M$3:M$12)))</f>
        <v>0</v>
      </c>
      <c r="N6" s="67">
        <f>Dataset!N4</f>
        <v>7</v>
      </c>
      <c r="O6" s="68">
        <f>Dataset!O4</f>
        <v>1</v>
      </c>
    </row>
    <row r="7">
      <c r="A7" s="64" t="inlineStr">
        <is>
          <t xml:space="preserve">S₃</t>
        </is>
      </c>
      <c r="B7" s="66">
        <f>IF(MAX(Dataset!B$3:B$12)=MIN(Dataset!B$3:B$12),0,(Dataset!B5-MIN(Dataset!B$3:B$12))/(MAX(Dataset!B$3:B$12)-MIN(Dataset!B$3:B$12)))</f>
        <v>0.0555555555555556</v>
      </c>
      <c r="C7" s="67">
        <f>Dataset!C5</f>
        <v>1</v>
      </c>
      <c r="D7" s="67">
        <f>Dataset!D5</f>
        <v>2</v>
      </c>
      <c r="E7" s="66">
        <f>IF(MAX(Dataset!E$3:E$12)=MIN(Dataset!E$3:E$12),0,(Dataset!E5-MIN(Dataset!E$3:E$12))/(MAX(Dataset!E$3:E$12)-MIN(Dataset!E$3:E$12)))</f>
        <v>0.35</v>
      </c>
      <c r="F7" s="66">
        <f>IF(MAX(Dataset!F$3:F$12)=MIN(Dataset!F$3:F$12),0,(Dataset!F5-MIN(Dataset!F$3:F$12))/(MAX(Dataset!F$3:F$12)-MIN(Dataset!F$3:F$12)))</f>
        <v>0.217054263565891</v>
      </c>
      <c r="G7" s="67">
        <f>Dataset!G5</f>
        <v>0</v>
      </c>
      <c r="H7" s="67">
        <f>Dataset!H5</f>
        <v>0</v>
      </c>
      <c r="I7" s="66">
        <f>IF(MAX(Dataset!I$3:I$12)=MIN(Dataset!I$3:I$12),0,(Dataset!I5-MIN(Dataset!I$3:I$12))/(MAX(Dataset!I$3:I$12)-MIN(Dataset!I$3:I$12)))</f>
        <v>0.553846153846154</v>
      </c>
      <c r="J7" s="67">
        <f>Dataset!J5</f>
        <v>0</v>
      </c>
      <c r="K7" s="66">
        <f>IF(MAX(Dataset!K$3:K$12)=MIN(Dataset!K$3:K$12),0,(Dataset!K5-MIN(Dataset!K$3:K$12))/(MAX(Dataset!K$3:K$12)-MIN(Dataset!K$3:K$12)))</f>
        <v>0.0263157894736842</v>
      </c>
      <c r="L7" s="67">
        <f>Dataset!L5</f>
        <v>1</v>
      </c>
      <c r="M7" s="66">
        <f>IF(MAX(Dataset!M$3:M$12)=MIN(Dataset!M$3:M$12),0,(Dataset!M5-MIN(Dataset!M$3:M$12))/(MAX(Dataset!M$3:M$12)-MIN(Dataset!M$3:M$12)))</f>
        <v>0</v>
      </c>
      <c r="N7" s="67">
        <f>Dataset!N5</f>
        <v>7</v>
      </c>
      <c r="O7" s="68">
        <f>Dataset!O5</f>
        <v>2</v>
      </c>
    </row>
    <row r="8">
      <c r="A8" s="64" t="inlineStr">
        <is>
          <t xml:space="preserve">S₄</t>
        </is>
      </c>
      <c r="B8" s="66">
        <f>IF(MAX(Dataset!B$3:B$12)=MIN(Dataset!B$3:B$12),0,(Dataset!B6-MIN(Dataset!B$3:B$12))/(MAX(Dataset!B$3:B$12)-MIN(Dataset!B$3:B$12)))</f>
        <v>0.444444444444444</v>
      </c>
      <c r="C8" s="67">
        <f>Dataset!C6</f>
        <v>1</v>
      </c>
      <c r="D8" s="67">
        <f>Dataset!D6</f>
        <v>4</v>
      </c>
      <c r="E8" s="66">
        <f>IF(MAX(Dataset!E$3:E$12)=MIN(Dataset!E$3:E$12),0,(Dataset!E6-MIN(Dataset!E$3:E$12))/(MAX(Dataset!E$3:E$12)-MIN(Dataset!E$3:E$12)))</f>
        <v>0.45</v>
      </c>
      <c r="F8" s="66">
        <f>IF(MAX(Dataset!F$3:F$12)=MIN(Dataset!F$3:F$12),0,(Dataset!F6-MIN(Dataset!F$3:F$12))/(MAX(Dataset!F$3:F$12)-MIN(Dataset!F$3:F$12)))</f>
        <v>0.222222222222222</v>
      </c>
      <c r="G8" s="67">
        <f>Dataset!G6</f>
        <v>0</v>
      </c>
      <c r="H8" s="67">
        <f>Dataset!H6</f>
        <v>0</v>
      </c>
      <c r="I8" s="66">
        <f>IF(MAX(Dataset!I$3:I$12)=MIN(Dataset!I$3:I$12),0,(Dataset!I6-MIN(Dataset!I$3:I$12))/(MAX(Dataset!I$3:I$12)-MIN(Dataset!I$3:I$12)))</f>
        <v>0</v>
      </c>
      <c r="J8" s="67">
        <f>Dataset!J6</f>
        <v>1</v>
      </c>
      <c r="K8" s="66">
        <f>IF(MAX(Dataset!K$3:K$12)=MIN(Dataset!K$3:K$12),0,(Dataset!K6-MIN(Dataset!K$3:K$12))/(MAX(Dataset!K$3:K$12)-MIN(Dataset!K$3:K$12)))</f>
        <v>0</v>
      </c>
      <c r="L8" s="67">
        <f>Dataset!L6</f>
        <v>2</v>
      </c>
      <c r="M8" s="66">
        <f>IF(MAX(Dataset!M$3:M$12)=MIN(Dataset!M$3:M$12),0,(Dataset!M6-MIN(Dataset!M$3:M$12))/(MAX(Dataset!M$3:M$12)-MIN(Dataset!M$3:M$12)))</f>
        <v>0.333333333333333</v>
      </c>
      <c r="N8" s="67">
        <f>Dataset!N6</f>
        <v>7</v>
      </c>
      <c r="O8" s="68">
        <f>Dataset!O6</f>
        <v>1</v>
      </c>
    </row>
    <row r="9">
      <c r="A9" s="64" t="inlineStr">
        <is>
          <t xml:space="preserve">S₅</t>
        </is>
      </c>
      <c r="B9" s="66">
        <f>IF(MAX(Dataset!B$3:B$12)=MIN(Dataset!B$3:B$12),0,(Dataset!B7-MIN(Dataset!B$3:B$12))/(MAX(Dataset!B$3:B$12)-MIN(Dataset!B$3:B$12)))</f>
        <v>1</v>
      </c>
      <c r="C9" s="67">
        <f>Dataset!C7</f>
        <v>0</v>
      </c>
      <c r="D9" s="67">
        <f>Dataset!D7</f>
        <v>2</v>
      </c>
      <c r="E9" s="66">
        <f>IF(MAX(Dataset!E$3:E$12)=MIN(Dataset!E$3:E$12),0,(Dataset!E7-MIN(Dataset!E$3:E$12))/(MAX(Dataset!E$3:E$12)-MIN(Dataset!E$3:E$12)))</f>
        <v>0.25</v>
      </c>
      <c r="F9" s="66">
        <f>IF(MAX(Dataset!F$3:F$12)=MIN(Dataset!F$3:F$12),0,(Dataset!F7-MIN(Dataset!F$3:F$12))/(MAX(Dataset!F$3:F$12)-MIN(Dataset!F$3:F$12)))</f>
        <v>0.237726098191214</v>
      </c>
      <c r="G9" s="67">
        <f>Dataset!G7</f>
        <v>0</v>
      </c>
      <c r="H9" s="67">
        <f>Dataset!H7</f>
        <v>2</v>
      </c>
      <c r="I9" s="66">
        <f>IF(MAX(Dataset!I$3:I$12)=MIN(Dataset!I$3:I$12),0,(Dataset!I7-MIN(Dataset!I$3:I$12))/(MAX(Dataset!I$3:I$12)-MIN(Dataset!I$3:I$12)))</f>
        <v>0.246153846153846</v>
      </c>
      <c r="J9" s="67">
        <f>Dataset!J7</f>
        <v>1</v>
      </c>
      <c r="K9" s="66">
        <f>IF(MAX(Dataset!K$3:K$12)=MIN(Dataset!K$3:K$12),0,(Dataset!K7-MIN(Dataset!K$3:K$12))/(MAX(Dataset!K$3:K$12)-MIN(Dataset!K$3:K$12)))</f>
        <v>0</v>
      </c>
      <c r="L9" s="67">
        <f>Dataset!L7</f>
        <v>1</v>
      </c>
      <c r="M9" s="66">
        <f>IF(MAX(Dataset!M$3:M$12)=MIN(Dataset!M$3:M$12),0,(Dataset!M7-MIN(Dataset!M$3:M$12))/(MAX(Dataset!M$3:M$12)-MIN(Dataset!M$3:M$12)))</f>
        <v>0.333333333333333</v>
      </c>
      <c r="N9" s="67">
        <f>Dataset!N7</f>
        <v>3</v>
      </c>
      <c r="O9" s="68">
        <f>Dataset!O7</f>
        <v>1</v>
      </c>
    </row>
    <row r="10">
      <c r="A10" s="64" t="inlineStr">
        <is>
          <t xml:space="preserve">S₆</t>
        </is>
      </c>
      <c r="B10" s="66">
        <f>IF(MAX(Dataset!B$3:B$12)=MIN(Dataset!B$3:B$12),0,(Dataset!B8-MIN(Dataset!B$3:B$12))/(MAX(Dataset!B$3:B$12)-MIN(Dataset!B$3:B$12)))</f>
        <v>0.5</v>
      </c>
      <c r="C10" s="67">
        <f>Dataset!C8</f>
        <v>1</v>
      </c>
      <c r="D10" s="67">
        <f>Dataset!D8</f>
        <v>4</v>
      </c>
      <c r="E10" s="66">
        <f>IF(MAX(Dataset!E$3:E$12)=MIN(Dataset!E$3:E$12),0,(Dataset!E8-MIN(Dataset!E$3:E$12))/(MAX(Dataset!E$3:E$12)-MIN(Dataset!E$3:E$12)))</f>
        <v>0.25</v>
      </c>
      <c r="F10" s="66">
        <f>IF(MAX(Dataset!F$3:F$12)=MIN(Dataset!F$3:F$12),0,(Dataset!F8-MIN(Dataset!F$3:F$12))/(MAX(Dataset!F$3:F$12)-MIN(Dataset!F$3:F$12)))</f>
        <v>0</v>
      </c>
      <c r="G10" s="67">
        <f>Dataset!G8</f>
        <v>0</v>
      </c>
      <c r="H10" s="67">
        <f>Dataset!H8</f>
        <v>0</v>
      </c>
      <c r="I10" s="66">
        <f>IF(MAX(Dataset!I$3:I$12)=MIN(Dataset!I$3:I$12),0,(Dataset!I8-MIN(Dataset!I$3:I$12))/(MAX(Dataset!I$3:I$12)-MIN(Dataset!I$3:I$12)))</f>
        <v>0.538461538461538</v>
      </c>
      <c r="J10" s="67">
        <f>Dataset!J8</f>
        <v>0</v>
      </c>
      <c r="K10" s="66">
        <f>IF(MAX(Dataset!K$3:K$12)=MIN(Dataset!K$3:K$12),0,(Dataset!K8-MIN(Dataset!K$3:K$12))/(MAX(Dataset!K$3:K$12)-MIN(Dataset!K$3:K$12)))</f>
        <v>0.0526315789473684</v>
      </c>
      <c r="L10" s="67">
        <f>Dataset!L8</f>
        <v>1</v>
      </c>
      <c r="M10" s="66">
        <f>IF(MAX(Dataset!M$3:M$12)=MIN(Dataset!M$3:M$12),0,(Dataset!M8-MIN(Dataset!M$3:M$12))/(MAX(Dataset!M$3:M$12)-MIN(Dataset!M$3:M$12)))</f>
        <v>0</v>
      </c>
      <c r="N10" s="67">
        <f>Dataset!N8</f>
        <v>7</v>
      </c>
      <c r="O10" s="68">
        <f>Dataset!O8</f>
        <v>1</v>
      </c>
    </row>
    <row r="11">
      <c r="A11" s="64" t="inlineStr">
        <is>
          <t xml:space="preserve">S₇</t>
        </is>
      </c>
      <c r="B11" s="66">
        <f>IF(MAX(Dataset!B$3:B$12)=MIN(Dataset!B$3:B$12),0,(Dataset!B9-MIN(Dataset!B$3:B$12))/(MAX(Dataset!B$3:B$12)-MIN(Dataset!B$3:B$12)))</f>
        <v>0</v>
      </c>
      <c r="C11" s="67">
        <f>Dataset!C9</f>
        <v>1</v>
      </c>
      <c r="D11" s="67">
        <f>Dataset!D9</f>
        <v>3</v>
      </c>
      <c r="E11" s="66">
        <f>IF(MAX(Dataset!E$3:E$12)=MIN(Dataset!E$3:E$12),0,(Dataset!E9-MIN(Dataset!E$3:E$12))/(MAX(Dataset!E$3:E$12)-MIN(Dataset!E$3:E$12)))</f>
        <v>0.5</v>
      </c>
      <c r="F11" s="66">
        <f>IF(MAX(Dataset!F$3:F$12)=MIN(Dataset!F$3:F$12),0,(Dataset!F9-MIN(Dataset!F$3:F$12))/(MAX(Dataset!F$3:F$12)-MIN(Dataset!F$3:F$12)))</f>
        <v>0.204134366925065</v>
      </c>
      <c r="G11" s="67">
        <f>Dataset!G9</f>
        <v>1</v>
      </c>
      <c r="H11" s="67">
        <f>Dataset!H9</f>
        <v>2</v>
      </c>
      <c r="I11" s="66">
        <f>IF(MAX(Dataset!I$3:I$12)=MIN(Dataset!I$3:I$12),0,(Dataset!I9-MIN(Dataset!I$3:I$12))/(MAX(Dataset!I$3:I$12)-MIN(Dataset!I$3:I$12)))</f>
        <v>0.569230769230769</v>
      </c>
      <c r="J11" s="67">
        <f>Dataset!J9</f>
        <v>1</v>
      </c>
      <c r="K11" s="66">
        <f>IF(MAX(Dataset!K$3:K$12)=MIN(Dataset!K$3:K$12),0,(Dataset!K9-MIN(Dataset!K$3:K$12))/(MAX(Dataset!K$3:K$12)-MIN(Dataset!K$3:K$12)))</f>
        <v>0.105263157894737</v>
      </c>
      <c r="L11" s="67">
        <f>Dataset!L9</f>
        <v>2</v>
      </c>
      <c r="M11" s="66">
        <f>IF(MAX(Dataset!M$3:M$12)=MIN(Dataset!M$3:M$12),0,(Dataset!M9-MIN(Dataset!M$3:M$12))/(MAX(Dataset!M$3:M$12)-MIN(Dataset!M$3:M$12)))</f>
        <v>0.333333333333333</v>
      </c>
      <c r="N11" s="67">
        <f>Dataset!N9</f>
        <v>6</v>
      </c>
      <c r="O11" s="68">
        <f>Dataset!O9</f>
        <v>2</v>
      </c>
    </row>
    <row r="12">
      <c r="A12" s="64" t="inlineStr">
        <is>
          <t xml:space="preserve">S₈</t>
        </is>
      </c>
      <c r="B12" s="66">
        <f>IF(MAX(Dataset!B$3:B$12)=MIN(Dataset!B$3:B$12),0,(Dataset!B10-MIN(Dataset!B$3:B$12))/(MAX(Dataset!B$3:B$12)-MIN(Dataset!B$3:B$12)))</f>
        <v>0.166666666666667</v>
      </c>
      <c r="C12" s="67">
        <f>Dataset!C10</f>
        <v>1</v>
      </c>
      <c r="D12" s="67">
        <f>Dataset!D10</f>
        <v>4</v>
      </c>
      <c r="E12" s="66">
        <f>IF(MAX(Dataset!E$3:E$12)=MIN(Dataset!E$3:E$12),0,(Dataset!E10-MIN(Dataset!E$3:E$12))/(MAX(Dataset!E$3:E$12)-MIN(Dataset!E$3:E$12)))</f>
        <v>0</v>
      </c>
      <c r="F12" s="66">
        <f>IF(MAX(Dataset!F$3:F$12)=MIN(Dataset!F$3:F$12),0,(Dataset!F10-MIN(Dataset!F$3:F$12))/(MAX(Dataset!F$3:F$12)-MIN(Dataset!F$3:F$12)))</f>
        <v>0.160206718346253</v>
      </c>
      <c r="G12" s="67">
        <f>Dataset!G10</f>
        <v>0</v>
      </c>
      <c r="H12" s="67">
        <f>Dataset!H10</f>
        <v>2</v>
      </c>
      <c r="I12" s="66">
        <f>IF(MAX(Dataset!I$3:I$12)=MIN(Dataset!I$3:I$12),0,(Dataset!I10-MIN(Dataset!I$3:I$12))/(MAX(Dataset!I$3:I$12)-MIN(Dataset!I$3:I$12)))</f>
        <v>0.569230769230769</v>
      </c>
      <c r="J12" s="67">
        <f>Dataset!J10</f>
        <v>1</v>
      </c>
      <c r="K12" s="66">
        <f>IF(MAX(Dataset!K$3:K$12)=MIN(Dataset!K$3:K$12),0,(Dataset!K10-MIN(Dataset!K$3:K$12))/(MAX(Dataset!K$3:K$12)-MIN(Dataset!K$3:K$12)))</f>
        <v>0.263157894736842</v>
      </c>
      <c r="L12" s="67">
        <f>Dataset!L10</f>
        <v>2</v>
      </c>
      <c r="M12" s="66">
        <f>IF(MAX(Dataset!M$3:M$12)=MIN(Dataset!M$3:M$12),0,(Dataset!M10-MIN(Dataset!M$3:M$12))/(MAX(Dataset!M$3:M$12)-MIN(Dataset!M$3:M$12)))</f>
        <v>0.333333333333333</v>
      </c>
      <c r="N12" s="67">
        <f>Dataset!N10</f>
        <v>7</v>
      </c>
      <c r="O12" s="68">
        <f>Dataset!O10</f>
        <v>2</v>
      </c>
    </row>
    <row r="13">
      <c r="A13" s="64" t="inlineStr">
        <is>
          <t xml:space="preserve">S₉</t>
        </is>
      </c>
      <c r="B13" s="66">
        <f>IF(MAX(Dataset!B$3:B$12)=MIN(Dataset!B$3:B$12),0,(Dataset!B11-MIN(Dataset!B$3:B$12))/(MAX(Dataset!B$3:B$12)-MIN(Dataset!B$3:B$12)))</f>
        <v>0.222222222222222</v>
      </c>
      <c r="C13" s="67">
        <f>Dataset!C11</f>
        <v>1</v>
      </c>
      <c r="D13" s="67">
        <f>Dataset!D11</f>
        <v>4</v>
      </c>
      <c r="E13" s="66">
        <f>IF(MAX(Dataset!E$3:E$12)=MIN(Dataset!E$3:E$12),0,(Dataset!E11-MIN(Dataset!E$3:E$12))/(MAX(Dataset!E$3:E$12)-MIN(Dataset!E$3:E$12)))</f>
        <v>0.75</v>
      </c>
      <c r="F13" s="66">
        <f>IF(MAX(Dataset!F$3:F$12)=MIN(Dataset!F$3:F$12),0,(Dataset!F11-MIN(Dataset!F$3:F$12))/(MAX(Dataset!F$3:F$12)-MIN(Dataset!F$3:F$12)))</f>
        <v>0.299741602067184</v>
      </c>
      <c r="G13" s="67">
        <f>Dataset!G11</f>
        <v>0</v>
      </c>
      <c r="H13" s="67">
        <f>Dataset!H11</f>
        <v>2</v>
      </c>
      <c r="I13" s="66">
        <f>IF(MAX(Dataset!I$3:I$12)=MIN(Dataset!I$3:I$12),0,(Dataset!I11-MIN(Dataset!I$3:I$12))/(MAX(Dataset!I$3:I$12)-MIN(Dataset!I$3:I$12)))</f>
        <v>1</v>
      </c>
      <c r="J13" s="67">
        <f>Dataset!J11</f>
        <v>0</v>
      </c>
      <c r="K13" s="66">
        <f>IF(MAX(Dataset!K$3:K$12)=MIN(Dataset!K$3:K$12),0,(Dataset!K11-MIN(Dataset!K$3:K$12))/(MAX(Dataset!K$3:K$12)-MIN(Dataset!K$3:K$12)))</f>
        <v>0.263157894736842</v>
      </c>
      <c r="L13" s="67">
        <f>Dataset!L11</f>
        <v>2</v>
      </c>
      <c r="M13" s="66">
        <f>IF(MAX(Dataset!M$3:M$12)=MIN(Dataset!M$3:M$12),0,(Dataset!M11-MIN(Dataset!M$3:M$12))/(MAX(Dataset!M$3:M$12)-MIN(Dataset!M$3:M$12)))</f>
        <v>0.666666666666667</v>
      </c>
      <c r="N13" s="67">
        <f>Dataset!N11</f>
        <v>7</v>
      </c>
      <c r="O13" s="68">
        <f>Dataset!O11</f>
        <v>2</v>
      </c>
    </row>
    <row r="14">
      <c r="A14" s="64" t="inlineStr">
        <is>
          <t xml:space="preserve">S₁₀</t>
        </is>
      </c>
      <c r="B14" s="66">
        <f>IF(MAX(Dataset!B$3:B$12)=MIN(Dataset!B$3:B$12),0,(Dataset!B12-MIN(Dataset!B$3:B$12))/(MAX(Dataset!B$3:B$12)-MIN(Dataset!B$3:B$12)))</f>
        <v>0.388888888888889</v>
      </c>
      <c r="C14" s="67">
        <f>Dataset!C12</f>
        <v>0</v>
      </c>
      <c r="D14" s="67">
        <f>Dataset!D12</f>
        <v>4</v>
      </c>
      <c r="E14" s="66">
        <f>IF(MAX(Dataset!E$3:E$12)=MIN(Dataset!E$3:E$12),0,(Dataset!E12-MIN(Dataset!E$3:E$12))/(MAX(Dataset!E$3:E$12)-MIN(Dataset!E$3:E$12)))</f>
        <v>1</v>
      </c>
      <c r="F14" s="66">
        <f>IF(MAX(Dataset!F$3:F$12)=MIN(Dataset!F$3:F$12),0,(Dataset!F12-MIN(Dataset!F$3:F$12))/(MAX(Dataset!F$3:F$12)-MIN(Dataset!F$3:F$12)))</f>
        <v>0.594315245478036</v>
      </c>
      <c r="G14" s="67">
        <f>Dataset!G12</f>
        <v>0</v>
      </c>
      <c r="H14" s="67">
        <f>Dataset!H12</f>
        <v>2</v>
      </c>
      <c r="I14" s="66">
        <f>IF(MAX(Dataset!I$3:I$12)=MIN(Dataset!I$3:I$12),0,(Dataset!I12-MIN(Dataset!I$3:I$12))/(MAX(Dataset!I$3:I$12)-MIN(Dataset!I$3:I$12)))</f>
        <v>0.753846153846154</v>
      </c>
      <c r="J14" s="67">
        <f>Dataset!J12</f>
        <v>0</v>
      </c>
      <c r="K14" s="66">
        <f>IF(MAX(Dataset!K$3:K$12)=MIN(Dataset!K$3:K$12),0,(Dataset!K12-MIN(Dataset!K$3:K$12))/(MAX(Dataset!K$3:K$12)-MIN(Dataset!K$3:K$12)))</f>
        <v>1</v>
      </c>
      <c r="L14" s="67">
        <f>Dataset!L12</f>
        <v>2</v>
      </c>
      <c r="M14" s="66">
        <f>IF(MAX(Dataset!M$3:M$12)=MIN(Dataset!M$3:M$12),0,(Dataset!M12-MIN(Dataset!M$3:M$12))/(MAX(Dataset!M$3:M$12)-MIN(Dataset!M$3:M$12)))</f>
        <v>1</v>
      </c>
      <c r="N14" s="67">
        <f>Dataset!N12</f>
        <v>7</v>
      </c>
      <c r="O14" s="68">
        <f>Dataset!O12</f>
        <v>2</v>
      </c>
    </row>
    <row r="15">
      <c r="A15" s="69" t="inlineStr">
        <is>
          <t xml:space="preserve">Type</t>
        </is>
      </c>
      <c r="B15" s="69">
        <f>Dataset!B13</f>
        <v>1</v>
      </c>
      <c r="C15" s="69">
        <f>Dataset!C13</f>
        <v>0</v>
      </c>
      <c r="D15" s="69">
        <f>Dataset!D13</f>
        <v>0</v>
      </c>
      <c r="E15" s="69">
        <f>Dataset!E13</f>
        <v>1</v>
      </c>
      <c r="F15" s="69">
        <f>Dataset!F13</f>
        <v>1</v>
      </c>
      <c r="G15" s="69">
        <f>Dataset!G13</f>
        <v>0</v>
      </c>
      <c r="H15" s="69">
        <f>Dataset!H13</f>
        <v>0</v>
      </c>
      <c r="I15" s="69">
        <f>Dataset!I13</f>
        <v>1</v>
      </c>
      <c r="J15" s="69">
        <f>Dataset!J13</f>
        <v>0</v>
      </c>
      <c r="K15" s="69">
        <f>Dataset!K13</f>
        <v>1</v>
      </c>
      <c r="L15" s="69">
        <f>Dataset!L13</f>
        <v>0</v>
      </c>
      <c r="M15" s="69">
        <f>Dataset!M13</f>
        <v>1</v>
      </c>
      <c r="N15" s="69">
        <f>Dataset!N13</f>
        <v>0</v>
      </c>
      <c r="O15" s="69" t="inlineStr">
        <is>
          <t xml:space="preserve">1 = I</t>
        </is>
      </c>
    </row>
    <row r="16">
      <c r="A16" s="71" t="inlineStr">
        <is>
          <t xml:space="preserve">min</t>
        </is>
      </c>
      <c r="B16" s="70">
        <f>MIN(Dataset!B$3:B$12)</f>
        <v>56</v>
      </c>
      <c r="C16" s="70" t="inlineStr">
        <is>
          <t xml:space="preserve">—</t>
        </is>
      </c>
      <c r="D16" s="70" t="inlineStr">
        <is>
          <t xml:space="preserve">—</t>
        </is>
      </c>
      <c r="E16" s="70">
        <f>MIN(Dataset!E$3:E$12)</f>
        <v>110</v>
      </c>
      <c r="F16" s="70">
        <f>MIN(Dataset!F$3:F$12)</f>
        <v>177</v>
      </c>
      <c r="G16" s="70" t="inlineStr">
        <is>
          <t xml:space="preserve">—</t>
        </is>
      </c>
      <c r="H16" s="70" t="inlineStr">
        <is>
          <t xml:space="preserve">—</t>
        </is>
      </c>
      <c r="I16" s="70">
        <f>MIN(Dataset!I$3:I$12)</f>
        <v>105</v>
      </c>
      <c r="J16" s="70" t="inlineStr">
        <is>
          <t xml:space="preserve">—</t>
        </is>
      </c>
      <c r="K16" s="70">
        <f>MIN(Dataset!K$3:K$12)</f>
        <v>0.2</v>
      </c>
      <c r="L16" s="70" t="inlineStr">
        <is>
          <t xml:space="preserve">—</t>
        </is>
      </c>
      <c r="M16" s="70">
        <f>MIN(Dataset!M$3:M$12)</f>
        <v>0</v>
      </c>
      <c r="N16" s="70" t="inlineStr">
        <is>
          <t xml:space="preserve">—</t>
        </is>
      </c>
      <c r="O16" s="70" t="inlineStr">
        <is>
          <t xml:space="preserve"/>
        </is>
      </c>
    </row>
    <row r="17">
      <c r="A17" s="71" t="inlineStr">
        <is>
          <t xml:space="preserve">max</t>
        </is>
      </c>
      <c r="B17" s="70">
        <f>MAX(Dataset!B$3:B$12)</f>
        <v>74</v>
      </c>
      <c r="C17" s="70" t="inlineStr">
        <is>
          <t xml:space="preserve">—</t>
        </is>
      </c>
      <c r="D17" s="70" t="inlineStr">
        <is>
          <t xml:space="preserve">—</t>
        </is>
      </c>
      <c r="E17" s="70">
        <f>MAX(Dataset!E$3:E$12)</f>
        <v>150</v>
      </c>
      <c r="F17" s="70">
        <f>MAX(Dataset!F$3:F$12)</f>
        <v>564</v>
      </c>
      <c r="G17" s="70" t="inlineStr">
        <is>
          <t xml:space="preserve">—</t>
        </is>
      </c>
      <c r="H17" s="70" t="inlineStr">
        <is>
          <t xml:space="preserve">—</t>
        </is>
      </c>
      <c r="I17" s="70">
        <f>MAX(Dataset!I$3:I$12)</f>
        <v>170</v>
      </c>
      <c r="J17" s="70" t="inlineStr">
        <is>
          <t xml:space="preserve">—</t>
        </is>
      </c>
      <c r="K17" s="70">
        <f>MAX(Dataset!K$3:K$12)</f>
        <v>4</v>
      </c>
      <c r="L17" s="70" t="inlineStr">
        <is>
          <t xml:space="preserve">—</t>
        </is>
      </c>
      <c r="M17" s="70">
        <f>MAX(Dataset!M$3:M$12)</f>
        <v>3</v>
      </c>
      <c r="N17" s="70" t="inlineStr">
        <is>
          <t xml:space="preserve">—</t>
        </is>
      </c>
      <c r="O17" s="70" t="inlineStr">
        <is>
          <t xml:space="preserve"/>
        </is>
      </c>
    </row>
    <row r="18"/>
    <row r="19">
      <c r="A19" s="99" t="inlineStr">
        <is>
          <t xml:space="preserve">Type 1 = quantitative feature (set I): rescaled to [0, 1] with the fractional-linear (min–max) transform; min and max are taken over the training objects S₁ … S₁₀.</t>
        </is>
      </c>
    </row>
    <row r="20">
      <c r="A20" s="99" t="inlineStr">
        <is>
          <t xml:space="preserve">Type 0 = nominal feature (set J): the original code is kept, because the metric only asks whether two codes are equal.</t>
        </is>
      </c>
    </row>
    <row r="21">
      <c r="A21" s="99" t="inlineStr">
        <is>
          <t xml:space="preserve">A new object (Brace for Meta-algorithm) is rescaled with the same training min and max, so its values may fall outside [0, 1].</t>
        </is>
      </c>
    </row>
  </sheetData>
  <mergeCells count="2">
    <mergeCell ref="A1:O1"/>
    <mergeCell ref="A3:O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K44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11" width="11.77734375" customWidth="1"/>
  </cols>
  <sheetData>
    <row r="1" ht="20" customHeight="1">
      <c r="A1" s="57" t="inlineStr">
        <is>
          <t xml:space="preserve">Step 2 · Pairwise distances of the three base operators — ρ (Zhuravlev), ρ_I (quantitative part), ρ_J (nominal part)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/>
    <row r="3">
      <c r="A3" s="58" t="inlineStr">
        <is>
          <t xml:space="preserve">Operator ρ · Zhuravlev distance  ρ(Sᵢ, Sⱼ) = ρ_I + ρ_J  —  row = target object Sᵢ, column = Sⱼ in original order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>
      <c r="A4" s="60" t="inlineStr">
        <is>
          <t xml:space="preserve">ρ</t>
        </is>
      </c>
      <c r="B4" s="60" t="inlineStr">
        <is>
          <t xml:space="preserve">S₁</t>
        </is>
      </c>
      <c r="C4" s="60" t="inlineStr">
        <is>
          <t xml:space="preserve">S₂</t>
        </is>
      </c>
      <c r="D4" s="60" t="inlineStr">
        <is>
          <t xml:space="preserve">S₃</t>
        </is>
      </c>
      <c r="E4" s="60" t="inlineStr">
        <is>
          <t xml:space="preserve">S₄</t>
        </is>
      </c>
      <c r="F4" s="60" t="inlineStr">
        <is>
          <t xml:space="preserve">S₅</t>
        </is>
      </c>
      <c r="G4" s="60" t="inlineStr">
        <is>
          <t xml:space="preserve">S₆</t>
        </is>
      </c>
      <c r="H4" s="60" t="inlineStr">
        <is>
          <t xml:space="preserve">S₇</t>
        </is>
      </c>
      <c r="I4" s="60" t="inlineStr">
        <is>
          <t xml:space="preserve">S₈</t>
        </is>
      </c>
      <c r="J4" s="60" t="inlineStr">
        <is>
          <t xml:space="preserve">S₉</t>
        </is>
      </c>
      <c r="K4" s="60" t="inlineStr">
        <is>
          <t xml:space="preserve">S₁₀</t>
        </is>
      </c>
    </row>
    <row r="5">
      <c r="A5" s="64" t="inlineStr">
        <is>
          <t xml:space="preserve">S₁</t>
        </is>
      </c>
      <c r="B5" s="73">
        <f>ROUND(B18+B31,10)</f>
        <v>0</v>
      </c>
      <c r="C5" s="72">
        <f>ROUND(C18+C31,10)</f>
        <v>6.1621313645</v>
      </c>
      <c r="D5" s="72">
        <f>ROUND(D18+D31,10)</f>
        <v>7.0747842325</v>
      </c>
      <c r="E5" s="72">
        <f>ROUND(E18+E31,10)</f>
        <v>4.8429406103</v>
      </c>
      <c r="F5" s="72">
        <f>ROUND(F18+F31,10)</f>
        <v>6.0394025463</v>
      </c>
      <c r="G5" s="72">
        <f>ROUND(G18+G31,10)</f>
        <v>5.9056936468</v>
      </c>
      <c r="H5" s="72">
        <f>ROUND(H18+H31,10)</f>
        <v>6.5963635983</v>
      </c>
      <c r="I5" s="72">
        <f>ROUND(I18+I31,10)</f>
        <v>4.8157298434</v>
      </c>
      <c r="J5" s="72">
        <f>ROUND(J18+J31,10)</f>
        <v>3.4680753016</v>
      </c>
      <c r="K5" s="72">
        <f>ROUND(K18+K31,10)</f>
        <v>4.2218874557</v>
      </c>
    </row>
    <row r="6">
      <c r="A6" s="64" t="inlineStr">
        <is>
          <t xml:space="preserve">S₂</t>
        </is>
      </c>
      <c r="B6" s="72">
        <f>ROUND(B19+B32,10)</f>
        <v>6.1621313645</v>
      </c>
      <c r="C6" s="73">
        <f>ROUND(C19+C32,10)</f>
        <v>0</v>
      </c>
      <c r="D6" s="72">
        <f>ROUND(D19+D32,10)</f>
        <v>6.1979142475</v>
      </c>
      <c r="E6" s="72">
        <f>ROUND(E19+E32,10)</f>
        <v>6.8173526766</v>
      </c>
      <c r="F6" s="72">
        <f>ROUND(F19+F32,10)</f>
        <v>6.5779171767</v>
      </c>
      <c r="G6" s="72">
        <f>ROUND(G19+G32,10)</f>
        <v>5.8595928925</v>
      </c>
      <c r="H6" s="72">
        <f>ROUND(H19+H32,10)</f>
        <v>6.6553910492</v>
      </c>
      <c r="I6" s="72">
        <f>ROUND(I19+I32,10)</f>
        <v>5.1247572942</v>
      </c>
      <c r="J6" s="72">
        <f>ROUND(J19+J32,10)</f>
        <v>4.6399232652</v>
      </c>
      <c r="K6" s="72">
        <f>ROUND(K19+K32,10)</f>
        <v>4.2267936164</v>
      </c>
    </row>
    <row r="7">
      <c r="A7" s="64" t="inlineStr">
        <is>
          <t xml:space="preserve">S₃</t>
        </is>
      </c>
      <c r="B7" s="72">
        <f>ROUND(B20+B33,10)</f>
        <v>7.0747842325</v>
      </c>
      <c r="C7" s="72">
        <f>ROUND(C20+C33,10)</f>
        <v>6.1979142475</v>
      </c>
      <c r="D7" s="73">
        <f>ROUND(D20+D33,10)</f>
        <v>0</v>
      </c>
      <c r="E7" s="72">
        <f>ROUND(E20+E33,10)</f>
        <v>4.4075521242</v>
      </c>
      <c r="F7" s="72">
        <f>ROUND(F20+F33,10)</f>
        <v>5.7324577096</v>
      </c>
      <c r="G7" s="72">
        <f>ROUND(G20+G33,10)</f>
        <v>1.8031991129</v>
      </c>
      <c r="H7" s="72">
        <f>ROUND(H20+H33,10)</f>
        <v>6.6461407693</v>
      </c>
      <c r="I7" s="72">
        <f>ROUND(I20+I33,10)</f>
        <v>5.1035187103</v>
      </c>
      <c r="J7" s="72">
        <f>ROUND(J20+J33,10)</f>
        <v>4.9990166233</v>
      </c>
      <c r="K7" s="72">
        <f>ROUND(K20+K33,10)</f>
        <v>7.5342785258</v>
      </c>
    </row>
    <row r="8">
      <c r="A8" s="64" t="inlineStr">
        <is>
          <t xml:space="preserve">S₄</t>
        </is>
      </c>
      <c r="B8" s="72">
        <f>ROUND(B21+B34,10)</f>
        <v>4.8429406103</v>
      </c>
      <c r="C8" s="72">
        <f>ROUND(C21+C34,10)</f>
        <v>6.8173526766</v>
      </c>
      <c r="D8" s="72">
        <f>ROUND(D21+D34,10)</f>
        <v>4.4075521242</v>
      </c>
      <c r="E8" s="73">
        <f>ROUND(E21+E34,10)</f>
        <v>0</v>
      </c>
      <c r="F8" s="72">
        <f>ROUND(F21+F34,10)</f>
        <v>6.0172132777</v>
      </c>
      <c r="G8" s="72">
        <f>ROUND(G21+G34,10)</f>
        <v>3.4022042285</v>
      </c>
      <c r="H8" s="72">
        <f>ROUND(H21+H34,10)</f>
        <v>5.1870262269</v>
      </c>
      <c r="I8" s="72">
        <f>ROUND(I21+I34,10)</f>
        <v>2.6221819456</v>
      </c>
      <c r="J8" s="72">
        <f>ROUND(J21+J34,10)</f>
        <v>4.1962328301</v>
      </c>
      <c r="K8" s="72">
        <f>ROUND(K21+K34,10)</f>
        <v>6.3981613993</v>
      </c>
    </row>
    <row r="9">
      <c r="A9" s="64" t="inlineStr">
        <is>
          <t xml:space="preserve">S₅</t>
        </is>
      </c>
      <c r="B9" s="72">
        <f>ROUND(B22+B35,10)</f>
        <v>6.0394025463</v>
      </c>
      <c r="C9" s="72">
        <f>ROUND(C22+C35,10)</f>
        <v>6.5779171767</v>
      </c>
      <c r="D9" s="72">
        <f>ROUND(D22+D35,10)</f>
        <v>5.7324577096</v>
      </c>
      <c r="E9" s="72">
        <f>ROUND(E22+E35,10)</f>
        <v>6.0172132777</v>
      </c>
      <c r="F9" s="73">
        <f>ROUND(F22+F35,10)</f>
        <v>0</v>
      </c>
      <c r="G9" s="72">
        <f>ROUND(G22+G35,10)</f>
        <v>6.4159987028</v>
      </c>
      <c r="H9" s="72">
        <f>ROUND(H22+H35,10)</f>
        <v>6.7119318122</v>
      </c>
      <c r="I9" s="72">
        <f>ROUND(I22+I35,10)</f>
        <v>5.747087531</v>
      </c>
      <c r="J9" s="72">
        <f>ROUND(J22+J35,10)</f>
        <v>7.6901306636</v>
      </c>
      <c r="K9" s="72">
        <f>ROUND(K22+K35,10)</f>
        <v>7.8920592328</v>
      </c>
    </row>
    <row r="10">
      <c r="A10" s="64" t="inlineStr">
        <is>
          <t xml:space="preserve">S₆</t>
        </is>
      </c>
      <c r="B10" s="72">
        <f>ROUND(B23+B36,10)</f>
        <v>5.9056936468</v>
      </c>
      <c r="C10" s="72">
        <f>ROUND(C23+C36,10)</f>
        <v>5.8595928925</v>
      </c>
      <c r="D10" s="72">
        <f>ROUND(D23+D36,10)</f>
        <v>1.8031991129</v>
      </c>
      <c r="E10" s="72">
        <f>ROUND(E23+E36,10)</f>
        <v>3.4022042285</v>
      </c>
      <c r="F10" s="72">
        <f>ROUND(F23+F36,10)</f>
        <v>6.4159987028</v>
      </c>
      <c r="G10" s="73">
        <f>ROUND(G23+G36,10)</f>
        <v>0</v>
      </c>
      <c r="H10" s="72">
        <f>ROUND(H23+H36,10)</f>
        <v>7.37086851</v>
      </c>
      <c r="I10" s="72">
        <f>ROUND(I23+I36,10)</f>
        <v>4.3181689316</v>
      </c>
      <c r="J10" s="72">
        <f>ROUND(J23+J36,10)</f>
        <v>4.4162508238</v>
      </c>
      <c r="K10" s="72">
        <f>ROUND(K23+K36,10)</f>
        <v>6.618179393</v>
      </c>
    </row>
    <row r="11">
      <c r="A11" s="64" t="inlineStr">
        <is>
          <t xml:space="preserve">S₇</t>
        </is>
      </c>
      <c r="B11" s="72">
        <f>ROUND(B24+B37,10)</f>
        <v>6.5963635983</v>
      </c>
      <c r="C11" s="72">
        <f>ROUND(C24+C37,10)</f>
        <v>6.6553910492</v>
      </c>
      <c r="D11" s="72">
        <f>ROUND(D24+D37,10)</f>
        <v>6.6461407693</v>
      </c>
      <c r="E11" s="72">
        <f>ROUND(E24+E37,10)</f>
        <v>5.1870262269</v>
      </c>
      <c r="F11" s="72">
        <f>ROUND(F24+F37,10)</f>
        <v>6.7119318122</v>
      </c>
      <c r="G11" s="72">
        <f>ROUND(G24+G37,10)</f>
        <v>7.37086851</v>
      </c>
      <c r="H11" s="73">
        <f>ROUND(H24+H37,10)</f>
        <v>0</v>
      </c>
      <c r="I11" s="72">
        <f>ROUND(I24+I37,10)</f>
        <v>3.8684890521</v>
      </c>
      <c r="J11" s="72">
        <f>ROUND(J24+J37,10)</f>
        <v>5.4898267583</v>
      </c>
      <c r="K11" s="72">
        <f>ROUND(K24+K37,10)</f>
        <v>8.0250886608</v>
      </c>
    </row>
    <row r="12">
      <c r="A12" s="64" t="inlineStr">
        <is>
          <t xml:space="preserve">S₈</t>
        </is>
      </c>
      <c r="B12" s="72">
        <f>ROUND(B25+B38,10)</f>
        <v>4.8157298434</v>
      </c>
      <c r="C12" s="72">
        <f>ROUND(C25+C38,10)</f>
        <v>5.1247572942</v>
      </c>
      <c r="D12" s="72">
        <f>ROUND(D25+D38,10)</f>
        <v>5.1035187103</v>
      </c>
      <c r="E12" s="72">
        <f>ROUND(E25+E38,10)</f>
        <v>2.6221819456</v>
      </c>
      <c r="F12" s="72">
        <f>ROUND(F25+F38,10)</f>
        <v>5.747087531</v>
      </c>
      <c r="G12" s="72">
        <f>ROUND(G25+G38,10)</f>
        <v>4.3181689316</v>
      </c>
      <c r="H12" s="72">
        <f>ROUND(H25+H38,10)</f>
        <v>3.8684890521</v>
      </c>
      <c r="I12" s="73">
        <f>ROUND(I25+I38,10)</f>
        <v>0</v>
      </c>
      <c r="J12" s="72">
        <f>ROUND(J25+J38,10)</f>
        <v>2.7091930034</v>
      </c>
      <c r="K12" s="72">
        <f>ROUND(K25+K38,10)</f>
        <v>5.2444549059</v>
      </c>
    </row>
    <row r="13">
      <c r="A13" s="64" t="inlineStr">
        <is>
          <t xml:space="preserve">S₉</t>
        </is>
      </c>
      <c r="B13" s="72">
        <f>ROUND(B26+B39,10)</f>
        <v>3.4680753016</v>
      </c>
      <c r="C13" s="72">
        <f>ROUND(C26+C39,10)</f>
        <v>4.6399232652</v>
      </c>
      <c r="D13" s="72">
        <f>ROUND(D26+D39,10)</f>
        <v>4.9990166233</v>
      </c>
      <c r="E13" s="72">
        <f>ROUND(E26+E39,10)</f>
        <v>4.1962328301</v>
      </c>
      <c r="F13" s="72">
        <f>ROUND(F26+F39,10)</f>
        <v>7.6901306636</v>
      </c>
      <c r="G13" s="72">
        <f>ROUND(G26+G39,10)</f>
        <v>4.4162508238</v>
      </c>
      <c r="H13" s="72">
        <f>ROUND(H26+H39,10)</f>
        <v>5.4898267583</v>
      </c>
      <c r="I13" s="72">
        <f>ROUND(I26+I39,10)</f>
        <v>2.7091930034</v>
      </c>
      <c r="J13" s="73">
        <f>ROUND(J26+J39,10)</f>
        <v>0</v>
      </c>
      <c r="K13" s="72">
        <f>ROUND(K26+K39,10)</f>
        <v>3.0275695948</v>
      </c>
    </row>
    <row r="14">
      <c r="A14" s="64" t="inlineStr">
        <is>
          <t xml:space="preserve">S₁₀</t>
        </is>
      </c>
      <c r="B14" s="72">
        <f>ROUND(B27+B40,10)</f>
        <v>4.2218874557</v>
      </c>
      <c r="C14" s="72">
        <f>ROUND(C27+C40,10)</f>
        <v>4.2267936164</v>
      </c>
      <c r="D14" s="72">
        <f>ROUND(D27+D40,10)</f>
        <v>7.5342785258</v>
      </c>
      <c r="E14" s="72">
        <f>ROUND(E27+E40,10)</f>
        <v>6.3981613993</v>
      </c>
      <c r="F14" s="72">
        <f>ROUND(F27+F40,10)</f>
        <v>7.8920592328</v>
      </c>
      <c r="G14" s="72">
        <f>ROUND(G27+G40,10)</f>
        <v>6.618179393</v>
      </c>
      <c r="H14" s="72">
        <f>ROUND(H27+H40,10)</f>
        <v>8.0250886608</v>
      </c>
      <c r="I14" s="72">
        <f>ROUND(I27+I40,10)</f>
        <v>5.2444549059</v>
      </c>
      <c r="J14" s="72">
        <f>ROUND(J27+J40,10)</f>
        <v>3.0275695948</v>
      </c>
      <c r="K14" s="73">
        <f>ROUND(K27+K40,10)</f>
        <v>0</v>
      </c>
    </row>
    <row r="15"/>
    <row r="16">
      <c r="A16" s="58" t="inlineStr">
        <is>
          <t xml:space="preserve">Operator ρ_I · quantitative part  Σ(j∈I) |x′ⱼ − y′ⱼ|  (normalized values from Step 1)</t>
        </is>
      </c>
      <c r="B16" s="58"/>
      <c r="C16" s="58"/>
      <c r="D16" s="58"/>
      <c r="E16" s="58"/>
      <c r="F16" s="58"/>
      <c r="G16" s="58"/>
      <c r="H16" s="58"/>
      <c r="I16" s="58"/>
      <c r="J16" s="58"/>
      <c r="K16" s="58"/>
    </row>
    <row r="17">
      <c r="A17" s="60" t="inlineStr">
        <is>
          <t xml:space="preserve">ρ_I</t>
        </is>
      </c>
      <c r="B17" s="60" t="inlineStr">
        <is>
          <t xml:space="preserve">S₁</t>
        </is>
      </c>
      <c r="C17" s="60" t="inlineStr">
        <is>
          <t xml:space="preserve">S₂</t>
        </is>
      </c>
      <c r="D17" s="60" t="inlineStr">
        <is>
          <t xml:space="preserve">S₃</t>
        </is>
      </c>
      <c r="E17" s="60" t="inlineStr">
        <is>
          <t xml:space="preserve">S₄</t>
        </is>
      </c>
      <c r="F17" s="60" t="inlineStr">
        <is>
          <t xml:space="preserve">S₅</t>
        </is>
      </c>
      <c r="G17" s="60" t="inlineStr">
        <is>
          <t xml:space="preserve">S₆</t>
        </is>
      </c>
      <c r="H17" s="60" t="inlineStr">
        <is>
          <t xml:space="preserve">S₇</t>
        </is>
      </c>
      <c r="I17" s="60" t="inlineStr">
        <is>
          <t xml:space="preserve">S₈</t>
        </is>
      </c>
      <c r="J17" s="60" t="inlineStr">
        <is>
          <t xml:space="preserve">S₉</t>
        </is>
      </c>
      <c r="K17" s="60" t="inlineStr">
        <is>
          <t xml:space="preserve">S₁₀</t>
        </is>
      </c>
    </row>
    <row r="18">
      <c r="A18" s="64" t="inlineStr">
        <is>
          <t xml:space="preserve">S₁</t>
        </is>
      </c>
      <c r="B18" s="73">
        <f>ROUND(SUMPRODUCT(Dataset!$B$13:$N$13,ABS('Normalized Dataset'!$B$5:$N$5-'Normalized Dataset'!$B$5:$N$5)),10)</f>
        <v>0</v>
      </c>
      <c r="C18" s="72">
        <f>ROUND(SUMPRODUCT(Dataset!$B$13:$N$13,ABS('Normalized Dataset'!$B$5:$N$5-'Normalized Dataset'!$B$6:$N$6)),10)</f>
        <v>3.1621313645</v>
      </c>
      <c r="D18" s="72">
        <f>ROUND(SUMPRODUCT(Dataset!$B$13:$N$13,ABS('Normalized Dataset'!$B$5:$N$5-'Normalized Dataset'!$B$7:$N$7)),10)</f>
        <v>3.0747842325</v>
      </c>
      <c r="E18" s="72">
        <f>ROUND(SUMPRODUCT(Dataset!$B$13:$N$13,ABS('Normalized Dataset'!$B$5:$N$5-'Normalized Dataset'!$B$8:$N$8)),10)</f>
        <v>1.8429406103</v>
      </c>
      <c r="F18" s="72">
        <f>ROUND(SUMPRODUCT(Dataset!$B$13:$N$13,ABS('Normalized Dataset'!$B$5:$N$5-'Normalized Dataset'!$B$9:$N$9)),10)</f>
        <v>2.0394025463</v>
      </c>
      <c r="G18" s="72">
        <f>ROUND(SUMPRODUCT(Dataset!$B$13:$N$13,ABS('Normalized Dataset'!$B$5:$N$5-'Normalized Dataset'!$B$10:$N$10)),10)</f>
        <v>2.9056936468</v>
      </c>
      <c r="H18" s="72">
        <f>ROUND(SUMPRODUCT(Dataset!$B$13:$N$13,ABS('Normalized Dataset'!$B$5:$N$5-'Normalized Dataset'!$B$11:$N$11)),10)</f>
        <v>2.5963635983</v>
      </c>
      <c r="I18" s="72">
        <f>ROUND(SUMPRODUCT(Dataset!$B$13:$N$13,ABS('Normalized Dataset'!$B$5:$N$5-'Normalized Dataset'!$B$12:$N$12)),10)</f>
        <v>2.8157298434</v>
      </c>
      <c r="J18" s="72">
        <f>ROUND(SUMPRODUCT(Dataset!$B$13:$N$13,ABS('Normalized Dataset'!$B$5:$N$5-'Normalized Dataset'!$B$13:$N$13)),10)</f>
        <v>2.4680753016</v>
      </c>
      <c r="K18" s="72">
        <f>ROUND(SUMPRODUCT(Dataset!$B$13:$N$13,ABS('Normalized Dataset'!$B$5:$N$5-'Normalized Dataset'!$B$14:$N$14)),10)</f>
        <v>2.2218874557</v>
      </c>
    </row>
    <row r="19">
      <c r="A19" s="64" t="inlineStr">
        <is>
          <t xml:space="preserve">S₂</t>
        </is>
      </c>
      <c r="B19" s="72">
        <f>ROUND(SUMPRODUCT(Dataset!$B$13:$N$13,ABS('Normalized Dataset'!$B$6:$N$6-'Normalized Dataset'!$B$5:$N$5)),10)</f>
        <v>3.1621313645</v>
      </c>
      <c r="C19" s="73">
        <f>ROUND(SUMPRODUCT(Dataset!$B$13:$N$13,ABS('Normalized Dataset'!$B$6:$N$6-'Normalized Dataset'!$B$6:$N$6)),10)</f>
        <v>0</v>
      </c>
      <c r="D19" s="72">
        <f>ROUND(SUMPRODUCT(Dataset!$B$13:$N$13,ABS('Normalized Dataset'!$B$6:$N$6-'Normalized Dataset'!$B$7:$N$7)),10)</f>
        <v>2.1979142475</v>
      </c>
      <c r="E19" s="72">
        <f>ROUND(SUMPRODUCT(Dataset!$B$13:$N$13,ABS('Normalized Dataset'!$B$6:$N$6-'Normalized Dataset'!$B$8:$N$8)),10)</f>
        <v>2.8173526766</v>
      </c>
      <c r="F19" s="72">
        <f>ROUND(SUMPRODUCT(Dataset!$B$13:$N$13,ABS('Normalized Dataset'!$B$6:$N$6-'Normalized Dataset'!$B$9:$N$9)),10)</f>
        <v>2.5779171767</v>
      </c>
      <c r="G19" s="72">
        <f>ROUND(SUMPRODUCT(Dataset!$B$13:$N$13,ABS('Normalized Dataset'!$B$6:$N$6-'Normalized Dataset'!$B$10:$N$10)),10)</f>
        <v>1.8595928925</v>
      </c>
      <c r="H19" s="72">
        <f>ROUND(SUMPRODUCT(Dataset!$B$13:$N$13,ABS('Normalized Dataset'!$B$6:$N$6-'Normalized Dataset'!$B$11:$N$11)),10)</f>
        <v>2.6553910492</v>
      </c>
      <c r="I19" s="72">
        <f>ROUND(SUMPRODUCT(Dataset!$B$13:$N$13,ABS('Normalized Dataset'!$B$6:$N$6-'Normalized Dataset'!$B$12:$N$12)),10)</f>
        <v>2.1247572942</v>
      </c>
      <c r="J19" s="72">
        <f>ROUND(SUMPRODUCT(Dataset!$B$13:$N$13,ABS('Normalized Dataset'!$B$6:$N$6-'Normalized Dataset'!$B$13:$N$13)),10)</f>
        <v>2.6399232652</v>
      </c>
      <c r="K19" s="72">
        <f>ROUND(SUMPRODUCT(Dataset!$B$13:$N$13,ABS('Normalized Dataset'!$B$6:$N$6-'Normalized Dataset'!$B$14:$N$14)),10)</f>
        <v>3.2267936164</v>
      </c>
    </row>
    <row r="20">
      <c r="A20" s="64" t="inlineStr">
        <is>
          <t xml:space="preserve">S₃</t>
        </is>
      </c>
      <c r="B20" s="72">
        <f>ROUND(SUMPRODUCT(Dataset!$B$13:$N$13,ABS('Normalized Dataset'!$B$7:$N$7-'Normalized Dataset'!$B$5:$N$5)),10)</f>
        <v>3.0747842325</v>
      </c>
      <c r="C20" s="72">
        <f>ROUND(SUMPRODUCT(Dataset!$B$13:$N$13,ABS('Normalized Dataset'!$B$7:$N$7-'Normalized Dataset'!$B$6:$N$6)),10)</f>
        <v>2.1979142475</v>
      </c>
      <c r="D20" s="73">
        <f>ROUND(SUMPRODUCT(Dataset!$B$13:$N$13,ABS('Normalized Dataset'!$B$7:$N$7-'Normalized Dataset'!$B$7:$N$7)),10)</f>
        <v>0</v>
      </c>
      <c r="E20" s="72">
        <f>ROUND(SUMPRODUCT(Dataset!$B$13:$N$13,ABS('Normalized Dataset'!$B$7:$N$7-'Normalized Dataset'!$B$8:$N$8)),10)</f>
        <v>1.4075521242</v>
      </c>
      <c r="F20" s="72">
        <f>ROUND(SUMPRODUCT(Dataset!$B$13:$N$13,ABS('Normalized Dataset'!$B$7:$N$7-'Normalized Dataset'!$B$9:$N$9)),10)</f>
        <v>1.7324577096</v>
      </c>
      <c r="G20" s="72">
        <f>ROUND(SUMPRODUCT(Dataset!$B$13:$N$13,ABS('Normalized Dataset'!$B$7:$N$7-'Normalized Dataset'!$B$10:$N$10)),10)</f>
        <v>0.8031991129</v>
      </c>
      <c r="H20" s="72">
        <f>ROUND(SUMPRODUCT(Dataset!$B$13:$N$13,ABS('Normalized Dataset'!$B$7:$N$7-'Normalized Dataset'!$B$11:$N$11)),10)</f>
        <v>0.6461407693</v>
      </c>
      <c r="I20" s="72">
        <f>ROUND(SUMPRODUCT(Dataset!$B$13:$N$13,ABS('Normalized Dataset'!$B$7:$N$7-'Normalized Dataset'!$B$12:$N$12)),10)</f>
        <v>1.1035187103</v>
      </c>
      <c r="J20" s="72">
        <f>ROUND(SUMPRODUCT(Dataset!$B$13:$N$13,ABS('Normalized Dataset'!$B$7:$N$7-'Normalized Dataset'!$B$13:$N$13)),10)</f>
        <v>1.9990166233</v>
      </c>
      <c r="K20" s="72">
        <f>ROUND(SUMPRODUCT(Dataset!$B$13:$N$13,ABS('Normalized Dataset'!$B$7:$N$7-'Normalized Dataset'!$B$14:$N$14)),10)</f>
        <v>3.5342785258</v>
      </c>
    </row>
    <row r="21">
      <c r="A21" s="64" t="inlineStr">
        <is>
          <t xml:space="preserve">S₄</t>
        </is>
      </c>
      <c r="B21" s="72">
        <f>ROUND(SUMPRODUCT(Dataset!$B$13:$N$13,ABS('Normalized Dataset'!$B$8:$N$8-'Normalized Dataset'!$B$5:$N$5)),10)</f>
        <v>1.8429406103</v>
      </c>
      <c r="C21" s="72">
        <f>ROUND(SUMPRODUCT(Dataset!$B$13:$N$13,ABS('Normalized Dataset'!$B$8:$N$8-'Normalized Dataset'!$B$6:$N$6)),10)</f>
        <v>2.8173526766</v>
      </c>
      <c r="D21" s="72">
        <f>ROUND(SUMPRODUCT(Dataset!$B$13:$N$13,ABS('Normalized Dataset'!$B$8:$N$8-'Normalized Dataset'!$B$7:$N$7)),10)</f>
        <v>1.4075521242</v>
      </c>
      <c r="E21" s="73">
        <f>ROUND(SUMPRODUCT(Dataset!$B$13:$N$13,ABS('Normalized Dataset'!$B$8:$N$8-'Normalized Dataset'!$B$8:$N$8)),10)</f>
        <v>0</v>
      </c>
      <c r="F21" s="72">
        <f>ROUND(SUMPRODUCT(Dataset!$B$13:$N$13,ABS('Normalized Dataset'!$B$8:$N$8-'Normalized Dataset'!$B$9:$N$9)),10)</f>
        <v>1.0172132777</v>
      </c>
      <c r="G21" s="72">
        <f>ROUND(SUMPRODUCT(Dataset!$B$13:$N$13,ABS('Normalized Dataset'!$B$8:$N$8-'Normalized Dataset'!$B$10:$N$10)),10)</f>
        <v>1.4022042285</v>
      </c>
      <c r="H21" s="72">
        <f>ROUND(SUMPRODUCT(Dataset!$B$13:$N$13,ABS('Normalized Dataset'!$B$8:$N$8-'Normalized Dataset'!$B$11:$N$11)),10)</f>
        <v>1.1870262269</v>
      </c>
      <c r="I21" s="72">
        <f>ROUND(SUMPRODUCT(Dataset!$B$13:$N$13,ABS('Normalized Dataset'!$B$8:$N$8-'Normalized Dataset'!$B$12:$N$12)),10)</f>
        <v>1.6221819456</v>
      </c>
      <c r="J21" s="72">
        <f>ROUND(SUMPRODUCT(Dataset!$B$13:$N$13,ABS('Normalized Dataset'!$B$8:$N$8-'Normalized Dataset'!$B$13:$N$13)),10)</f>
        <v>2.1962328301</v>
      </c>
      <c r="K21" s="72">
        <f>ROUND(SUMPRODUCT(Dataset!$B$13:$N$13,ABS('Normalized Dataset'!$B$8:$N$8-'Normalized Dataset'!$B$14:$N$14)),10)</f>
        <v>3.3981613993</v>
      </c>
    </row>
    <row r="22">
      <c r="A22" s="64" t="inlineStr">
        <is>
          <t xml:space="preserve">S₅</t>
        </is>
      </c>
      <c r="B22" s="72">
        <f>ROUND(SUMPRODUCT(Dataset!$B$13:$N$13,ABS('Normalized Dataset'!$B$9:$N$9-'Normalized Dataset'!$B$5:$N$5)),10)</f>
        <v>2.0394025463</v>
      </c>
      <c r="C22" s="72">
        <f>ROUND(SUMPRODUCT(Dataset!$B$13:$N$13,ABS('Normalized Dataset'!$B$9:$N$9-'Normalized Dataset'!$B$6:$N$6)),10)</f>
        <v>2.5779171767</v>
      </c>
      <c r="D22" s="72">
        <f>ROUND(SUMPRODUCT(Dataset!$B$13:$N$13,ABS('Normalized Dataset'!$B$9:$N$9-'Normalized Dataset'!$B$7:$N$7)),10)</f>
        <v>1.7324577096</v>
      </c>
      <c r="E22" s="72">
        <f>ROUND(SUMPRODUCT(Dataset!$B$13:$N$13,ABS('Normalized Dataset'!$B$9:$N$9-'Normalized Dataset'!$B$8:$N$8)),10)</f>
        <v>1.0172132777</v>
      </c>
      <c r="F22" s="73">
        <f>ROUND(SUMPRODUCT(Dataset!$B$13:$N$13,ABS('Normalized Dataset'!$B$9:$N$9-'Normalized Dataset'!$B$9:$N$9)),10)</f>
        <v>0</v>
      </c>
      <c r="G22" s="72">
        <f>ROUND(SUMPRODUCT(Dataset!$B$13:$N$13,ABS('Normalized Dataset'!$B$9:$N$9-'Normalized Dataset'!$B$10:$N$10)),10)</f>
        <v>1.4159987028</v>
      </c>
      <c r="H22" s="72">
        <f>ROUND(SUMPRODUCT(Dataset!$B$13:$N$13,ABS('Normalized Dataset'!$B$9:$N$9-'Normalized Dataset'!$B$11:$N$11)),10)</f>
        <v>1.7119318122</v>
      </c>
      <c r="I22" s="72">
        <f>ROUND(SUMPRODUCT(Dataset!$B$13:$N$13,ABS('Normalized Dataset'!$B$9:$N$9-'Normalized Dataset'!$B$12:$N$12)),10)</f>
        <v>1.747087531</v>
      </c>
      <c r="J22" s="72">
        <f>ROUND(SUMPRODUCT(Dataset!$B$13:$N$13,ABS('Normalized Dataset'!$B$9:$N$9-'Normalized Dataset'!$B$13:$N$13)),10)</f>
        <v>2.6901306636</v>
      </c>
      <c r="K22" s="72">
        <f>ROUND(SUMPRODUCT(Dataset!$B$13:$N$13,ABS('Normalized Dataset'!$B$9:$N$9-'Normalized Dataset'!$B$14:$N$14)),10)</f>
        <v>3.8920592328</v>
      </c>
    </row>
    <row r="23">
      <c r="A23" s="64" t="inlineStr">
        <is>
          <t xml:space="preserve">S₆</t>
        </is>
      </c>
      <c r="B23" s="72">
        <f>ROUND(SUMPRODUCT(Dataset!$B$13:$N$13,ABS('Normalized Dataset'!$B$10:$N$10-'Normalized Dataset'!$B$5:$N$5)),10)</f>
        <v>2.9056936468</v>
      </c>
      <c r="C23" s="72">
        <f>ROUND(SUMPRODUCT(Dataset!$B$13:$N$13,ABS('Normalized Dataset'!$B$10:$N$10-'Normalized Dataset'!$B$6:$N$6)),10)</f>
        <v>1.8595928925</v>
      </c>
      <c r="D23" s="72">
        <f>ROUND(SUMPRODUCT(Dataset!$B$13:$N$13,ABS('Normalized Dataset'!$B$10:$N$10-'Normalized Dataset'!$B$7:$N$7)),10)</f>
        <v>0.8031991129</v>
      </c>
      <c r="E23" s="72">
        <f>ROUND(SUMPRODUCT(Dataset!$B$13:$N$13,ABS('Normalized Dataset'!$B$10:$N$10-'Normalized Dataset'!$B$8:$N$8)),10)</f>
        <v>1.4022042285</v>
      </c>
      <c r="F23" s="72">
        <f>ROUND(SUMPRODUCT(Dataset!$B$13:$N$13,ABS('Normalized Dataset'!$B$10:$N$10-'Normalized Dataset'!$B$9:$N$9)),10)</f>
        <v>1.4159987028</v>
      </c>
      <c r="G23" s="73">
        <f>ROUND(SUMPRODUCT(Dataset!$B$13:$N$13,ABS('Normalized Dataset'!$B$10:$N$10-'Normalized Dataset'!$B$10:$N$10)),10)</f>
        <v>0</v>
      </c>
      <c r="H23" s="72">
        <f>ROUND(SUMPRODUCT(Dataset!$B$13:$N$13,ABS('Normalized Dataset'!$B$10:$N$10-'Normalized Dataset'!$B$11:$N$11)),10)</f>
        <v>1.37086851</v>
      </c>
      <c r="I23" s="72">
        <f>ROUND(SUMPRODUCT(Dataset!$B$13:$N$13,ABS('Normalized Dataset'!$B$10:$N$10-'Normalized Dataset'!$B$12:$N$12)),10)</f>
        <v>1.3181689316</v>
      </c>
      <c r="J23" s="72">
        <f>ROUND(SUMPRODUCT(Dataset!$B$13:$N$13,ABS('Normalized Dataset'!$B$10:$N$10-'Normalized Dataset'!$B$13:$N$13)),10)</f>
        <v>2.4162508238</v>
      </c>
      <c r="K23" s="72">
        <f>ROUND(SUMPRODUCT(Dataset!$B$13:$N$13,ABS('Normalized Dataset'!$B$10:$N$10-'Normalized Dataset'!$B$14:$N$14)),10)</f>
        <v>3.618179393</v>
      </c>
    </row>
    <row r="24">
      <c r="A24" s="64" t="inlineStr">
        <is>
          <t xml:space="preserve">S₇</t>
        </is>
      </c>
      <c r="B24" s="72">
        <f>ROUND(SUMPRODUCT(Dataset!$B$13:$N$13,ABS('Normalized Dataset'!$B$11:$N$11-'Normalized Dataset'!$B$5:$N$5)),10)</f>
        <v>2.5963635983</v>
      </c>
      <c r="C24" s="72">
        <f>ROUND(SUMPRODUCT(Dataset!$B$13:$N$13,ABS('Normalized Dataset'!$B$11:$N$11-'Normalized Dataset'!$B$6:$N$6)),10)</f>
        <v>2.6553910492</v>
      </c>
      <c r="D24" s="72">
        <f>ROUND(SUMPRODUCT(Dataset!$B$13:$N$13,ABS('Normalized Dataset'!$B$11:$N$11-'Normalized Dataset'!$B$7:$N$7)),10)</f>
        <v>0.6461407693</v>
      </c>
      <c r="E24" s="72">
        <f>ROUND(SUMPRODUCT(Dataset!$B$13:$N$13,ABS('Normalized Dataset'!$B$11:$N$11-'Normalized Dataset'!$B$8:$N$8)),10)</f>
        <v>1.1870262269</v>
      </c>
      <c r="F24" s="72">
        <f>ROUND(SUMPRODUCT(Dataset!$B$13:$N$13,ABS('Normalized Dataset'!$B$11:$N$11-'Normalized Dataset'!$B$9:$N$9)),10)</f>
        <v>1.7119318122</v>
      </c>
      <c r="G24" s="72">
        <f>ROUND(SUMPRODUCT(Dataset!$B$13:$N$13,ABS('Normalized Dataset'!$B$11:$N$11-'Normalized Dataset'!$B$10:$N$10)),10)</f>
        <v>1.37086851</v>
      </c>
      <c r="H24" s="73">
        <f>ROUND(SUMPRODUCT(Dataset!$B$13:$N$13,ABS('Normalized Dataset'!$B$11:$N$11-'Normalized Dataset'!$B$11:$N$11)),10)</f>
        <v>0</v>
      </c>
      <c r="I24" s="72">
        <f>ROUND(SUMPRODUCT(Dataset!$B$13:$N$13,ABS('Normalized Dataset'!$B$11:$N$11-'Normalized Dataset'!$B$12:$N$12)),10)</f>
        <v>0.8684890521</v>
      </c>
      <c r="J24" s="72">
        <f>ROUND(SUMPRODUCT(Dataset!$B$13:$N$13,ABS('Normalized Dataset'!$B$11:$N$11-'Normalized Dataset'!$B$13:$N$13)),10)</f>
        <v>1.4898267583</v>
      </c>
      <c r="K24" s="72">
        <f>ROUND(SUMPRODUCT(Dataset!$B$13:$N$13,ABS('Normalized Dataset'!$B$11:$N$11-'Normalized Dataset'!$B$14:$N$14)),10)</f>
        <v>3.0250886608</v>
      </c>
    </row>
    <row r="25">
      <c r="A25" s="64" t="inlineStr">
        <is>
          <t xml:space="preserve">S₈</t>
        </is>
      </c>
      <c r="B25" s="72">
        <f>ROUND(SUMPRODUCT(Dataset!$B$13:$N$13,ABS('Normalized Dataset'!$B$12:$N$12-'Normalized Dataset'!$B$5:$N$5)),10)</f>
        <v>2.8157298434</v>
      </c>
      <c r="C25" s="72">
        <f>ROUND(SUMPRODUCT(Dataset!$B$13:$N$13,ABS('Normalized Dataset'!$B$12:$N$12-'Normalized Dataset'!$B$6:$N$6)),10)</f>
        <v>2.1247572942</v>
      </c>
      <c r="D25" s="72">
        <f>ROUND(SUMPRODUCT(Dataset!$B$13:$N$13,ABS('Normalized Dataset'!$B$12:$N$12-'Normalized Dataset'!$B$7:$N$7)),10)</f>
        <v>1.1035187103</v>
      </c>
      <c r="E25" s="72">
        <f>ROUND(SUMPRODUCT(Dataset!$B$13:$N$13,ABS('Normalized Dataset'!$B$12:$N$12-'Normalized Dataset'!$B$8:$N$8)),10)</f>
        <v>1.6221819456</v>
      </c>
      <c r="F25" s="72">
        <f>ROUND(SUMPRODUCT(Dataset!$B$13:$N$13,ABS('Normalized Dataset'!$B$12:$N$12-'Normalized Dataset'!$B$9:$N$9)),10)</f>
        <v>1.747087531</v>
      </c>
      <c r="G25" s="72">
        <f>ROUND(SUMPRODUCT(Dataset!$B$13:$N$13,ABS('Normalized Dataset'!$B$12:$N$12-'Normalized Dataset'!$B$10:$N$10)),10)</f>
        <v>1.3181689316</v>
      </c>
      <c r="H25" s="72">
        <f>ROUND(SUMPRODUCT(Dataset!$B$13:$N$13,ABS('Normalized Dataset'!$B$12:$N$12-'Normalized Dataset'!$B$11:$N$11)),10)</f>
        <v>0.8684890521</v>
      </c>
      <c r="I25" s="73">
        <f>ROUND(SUMPRODUCT(Dataset!$B$13:$N$13,ABS('Normalized Dataset'!$B$12:$N$12-'Normalized Dataset'!$B$12:$N$12)),10)</f>
        <v>0</v>
      </c>
      <c r="J25" s="72">
        <f>ROUND(SUMPRODUCT(Dataset!$B$13:$N$13,ABS('Normalized Dataset'!$B$12:$N$12-'Normalized Dataset'!$B$13:$N$13)),10)</f>
        <v>1.7091930034</v>
      </c>
      <c r="K25" s="72">
        <f>ROUND(SUMPRODUCT(Dataset!$B$13:$N$13,ABS('Normalized Dataset'!$B$12:$N$12-'Normalized Dataset'!$B$14:$N$14)),10)</f>
        <v>3.2444549059</v>
      </c>
    </row>
    <row r="26">
      <c r="A26" s="64" t="inlineStr">
        <is>
          <t xml:space="preserve">S₉</t>
        </is>
      </c>
      <c r="B26" s="72">
        <f>ROUND(SUMPRODUCT(Dataset!$B$13:$N$13,ABS('Normalized Dataset'!$B$13:$N$13-'Normalized Dataset'!$B$5:$N$5)),10)</f>
        <v>2.4680753016</v>
      </c>
      <c r="C26" s="72">
        <f>ROUND(SUMPRODUCT(Dataset!$B$13:$N$13,ABS('Normalized Dataset'!$B$13:$N$13-'Normalized Dataset'!$B$6:$N$6)),10)</f>
        <v>2.6399232652</v>
      </c>
      <c r="D26" s="72">
        <f>ROUND(SUMPRODUCT(Dataset!$B$13:$N$13,ABS('Normalized Dataset'!$B$13:$N$13-'Normalized Dataset'!$B$7:$N$7)),10)</f>
        <v>1.9990166233</v>
      </c>
      <c r="E26" s="72">
        <f>ROUND(SUMPRODUCT(Dataset!$B$13:$N$13,ABS('Normalized Dataset'!$B$13:$N$13-'Normalized Dataset'!$B$8:$N$8)),10)</f>
        <v>2.1962328301</v>
      </c>
      <c r="F26" s="72">
        <f>ROUND(SUMPRODUCT(Dataset!$B$13:$N$13,ABS('Normalized Dataset'!$B$13:$N$13-'Normalized Dataset'!$B$9:$N$9)),10)</f>
        <v>2.6901306636</v>
      </c>
      <c r="G26" s="72">
        <f>ROUND(SUMPRODUCT(Dataset!$B$13:$N$13,ABS('Normalized Dataset'!$B$13:$N$13-'Normalized Dataset'!$B$10:$N$10)),10)</f>
        <v>2.4162508238</v>
      </c>
      <c r="H26" s="72">
        <f>ROUND(SUMPRODUCT(Dataset!$B$13:$N$13,ABS('Normalized Dataset'!$B$13:$N$13-'Normalized Dataset'!$B$11:$N$11)),10)</f>
        <v>1.4898267583</v>
      </c>
      <c r="I26" s="72">
        <f>ROUND(SUMPRODUCT(Dataset!$B$13:$N$13,ABS('Normalized Dataset'!$B$13:$N$13-'Normalized Dataset'!$B$12:$N$12)),10)</f>
        <v>1.7091930034</v>
      </c>
      <c r="J26" s="73">
        <f>ROUND(SUMPRODUCT(Dataset!$B$13:$N$13,ABS('Normalized Dataset'!$B$13:$N$13-'Normalized Dataset'!$B$13:$N$13)),10)</f>
        <v>0</v>
      </c>
      <c r="K26" s="72">
        <f>ROUND(SUMPRODUCT(Dataset!$B$13:$N$13,ABS('Normalized Dataset'!$B$13:$N$13-'Normalized Dataset'!$B$14:$N$14)),10)</f>
        <v>2.0275695948</v>
      </c>
    </row>
    <row r="27">
      <c r="A27" s="64" t="inlineStr">
        <is>
          <t xml:space="preserve">S₁₀</t>
        </is>
      </c>
      <c r="B27" s="72">
        <f>ROUND(SUMPRODUCT(Dataset!$B$13:$N$13,ABS('Normalized Dataset'!$B$14:$N$14-'Normalized Dataset'!$B$5:$N$5)),10)</f>
        <v>2.2218874557</v>
      </c>
      <c r="C27" s="72">
        <f>ROUND(SUMPRODUCT(Dataset!$B$13:$N$13,ABS('Normalized Dataset'!$B$14:$N$14-'Normalized Dataset'!$B$6:$N$6)),10)</f>
        <v>3.2267936164</v>
      </c>
      <c r="D27" s="72">
        <f>ROUND(SUMPRODUCT(Dataset!$B$13:$N$13,ABS('Normalized Dataset'!$B$14:$N$14-'Normalized Dataset'!$B$7:$N$7)),10)</f>
        <v>3.5342785258</v>
      </c>
      <c r="E27" s="72">
        <f>ROUND(SUMPRODUCT(Dataset!$B$13:$N$13,ABS('Normalized Dataset'!$B$14:$N$14-'Normalized Dataset'!$B$8:$N$8)),10)</f>
        <v>3.3981613993</v>
      </c>
      <c r="F27" s="72">
        <f>ROUND(SUMPRODUCT(Dataset!$B$13:$N$13,ABS('Normalized Dataset'!$B$14:$N$14-'Normalized Dataset'!$B$9:$N$9)),10)</f>
        <v>3.8920592328</v>
      </c>
      <c r="G27" s="72">
        <f>ROUND(SUMPRODUCT(Dataset!$B$13:$N$13,ABS('Normalized Dataset'!$B$14:$N$14-'Normalized Dataset'!$B$10:$N$10)),10)</f>
        <v>3.618179393</v>
      </c>
      <c r="H27" s="72">
        <f>ROUND(SUMPRODUCT(Dataset!$B$13:$N$13,ABS('Normalized Dataset'!$B$14:$N$14-'Normalized Dataset'!$B$11:$N$11)),10)</f>
        <v>3.0250886608</v>
      </c>
      <c r="I27" s="72">
        <f>ROUND(SUMPRODUCT(Dataset!$B$13:$N$13,ABS('Normalized Dataset'!$B$14:$N$14-'Normalized Dataset'!$B$12:$N$12)),10)</f>
        <v>3.2444549059</v>
      </c>
      <c r="J27" s="72">
        <f>ROUND(SUMPRODUCT(Dataset!$B$13:$N$13,ABS('Normalized Dataset'!$B$14:$N$14-'Normalized Dataset'!$B$13:$N$13)),10)</f>
        <v>2.0275695948</v>
      </c>
      <c r="K27" s="73">
        <f>ROUND(SUMPRODUCT(Dataset!$B$13:$N$13,ABS('Normalized Dataset'!$B$14:$N$14-'Normalized Dataset'!$B$14:$N$14)),10)</f>
        <v>0</v>
      </c>
    </row>
    <row r="28"/>
    <row r="29">
      <c r="A29" s="58" t="inlineStr">
        <is>
          <t xml:space="preserve">Operator ρ_J · nominal part  Σ(j∈J) [xⱼ ≠ yⱼ]  (number of nominal features with different codes)</t>
        </is>
      </c>
      <c r="B29" s="58"/>
      <c r="C29" s="58"/>
      <c r="D29" s="58"/>
      <c r="E29" s="58"/>
      <c r="F29" s="58"/>
      <c r="G29" s="58"/>
      <c r="H29" s="58"/>
      <c r="I29" s="58"/>
      <c r="J29" s="58"/>
      <c r="K29" s="58"/>
    </row>
    <row r="30">
      <c r="A30" s="60" t="inlineStr">
        <is>
          <t xml:space="preserve">ρ_J</t>
        </is>
      </c>
      <c r="B30" s="60" t="inlineStr">
        <is>
          <t xml:space="preserve">S₁</t>
        </is>
      </c>
      <c r="C30" s="60" t="inlineStr">
        <is>
          <t xml:space="preserve">S₂</t>
        </is>
      </c>
      <c r="D30" s="60" t="inlineStr">
        <is>
          <t xml:space="preserve">S₃</t>
        </is>
      </c>
      <c r="E30" s="60" t="inlineStr">
        <is>
          <t xml:space="preserve">S₄</t>
        </is>
      </c>
      <c r="F30" s="60" t="inlineStr">
        <is>
          <t xml:space="preserve">S₅</t>
        </is>
      </c>
      <c r="G30" s="60" t="inlineStr">
        <is>
          <t xml:space="preserve">S₆</t>
        </is>
      </c>
      <c r="H30" s="60" t="inlineStr">
        <is>
          <t xml:space="preserve">S₇</t>
        </is>
      </c>
      <c r="I30" s="60" t="inlineStr">
        <is>
          <t xml:space="preserve">S₈</t>
        </is>
      </c>
      <c r="J30" s="60" t="inlineStr">
        <is>
          <t xml:space="preserve">S₉</t>
        </is>
      </c>
      <c r="K30" s="60" t="inlineStr">
        <is>
          <t xml:space="preserve">S₁₀</t>
        </is>
      </c>
    </row>
    <row r="31">
      <c r="A31" s="64" t="inlineStr">
        <is>
          <t xml:space="preserve">S₁</t>
        </is>
      </c>
      <c r="B31" s="75">
        <f>SUMPRODUCT((1-Dataset!$B$13:$N$13)*(Dataset!$B$3:$N$3&lt;&gt;Dataset!$B$3:$N$3))</f>
        <v>0</v>
      </c>
      <c r="C31" s="74">
        <f>SUMPRODUCT((1-Dataset!$B$13:$N$13)*(Dataset!$B$3:$N$3&lt;&gt;Dataset!$B$4:$N$4))</f>
        <v>3</v>
      </c>
      <c r="D31" s="74">
        <f>SUMPRODUCT((1-Dataset!$B$13:$N$13)*(Dataset!$B$3:$N$3&lt;&gt;Dataset!$B$5:$N$5))</f>
        <v>4</v>
      </c>
      <c r="E31" s="74">
        <f>SUMPRODUCT((1-Dataset!$B$13:$N$13)*(Dataset!$B$3:$N$3&lt;&gt;Dataset!$B$6:$N$6))</f>
        <v>3</v>
      </c>
      <c r="F31" s="74">
        <f>SUMPRODUCT((1-Dataset!$B$13:$N$13)*(Dataset!$B$3:$N$3&lt;&gt;Dataset!$B$7:$N$7))</f>
        <v>4</v>
      </c>
      <c r="G31" s="74">
        <f>SUMPRODUCT((1-Dataset!$B$13:$N$13)*(Dataset!$B$3:$N$3&lt;&gt;Dataset!$B$8:$N$8))</f>
        <v>3</v>
      </c>
      <c r="H31" s="74">
        <f>SUMPRODUCT((1-Dataset!$B$13:$N$13)*(Dataset!$B$3:$N$3&lt;&gt;Dataset!$B$9:$N$9))</f>
        <v>4</v>
      </c>
      <c r="I31" s="74">
        <f>SUMPRODUCT((1-Dataset!$B$13:$N$13)*(Dataset!$B$3:$N$3&lt;&gt;Dataset!$B$10:$N$10))</f>
        <v>2</v>
      </c>
      <c r="J31" s="74">
        <f>SUMPRODUCT((1-Dataset!$B$13:$N$13)*(Dataset!$B$3:$N$3&lt;&gt;Dataset!$B$11:$N$11))</f>
        <v>1</v>
      </c>
      <c r="K31" s="74">
        <f>SUMPRODUCT((1-Dataset!$B$13:$N$13)*(Dataset!$B$3:$N$3&lt;&gt;Dataset!$B$12:$N$12))</f>
        <v>2</v>
      </c>
    </row>
    <row r="32">
      <c r="A32" s="64" t="inlineStr">
        <is>
          <t xml:space="preserve">S₂</t>
        </is>
      </c>
      <c r="B32" s="74">
        <f>SUMPRODUCT((1-Dataset!$B$13:$N$13)*(Dataset!$B$4:$N$4&lt;&gt;Dataset!$B$3:$N$3))</f>
        <v>3</v>
      </c>
      <c r="C32" s="75">
        <f>SUMPRODUCT((1-Dataset!$B$13:$N$13)*(Dataset!$B$4:$N$4&lt;&gt;Dataset!$B$4:$N$4))</f>
        <v>0</v>
      </c>
      <c r="D32" s="74">
        <f>SUMPRODUCT((1-Dataset!$B$13:$N$13)*(Dataset!$B$4:$N$4&lt;&gt;Dataset!$B$5:$N$5))</f>
        <v>4</v>
      </c>
      <c r="E32" s="74">
        <f>SUMPRODUCT((1-Dataset!$B$13:$N$13)*(Dataset!$B$4:$N$4&lt;&gt;Dataset!$B$6:$N$6))</f>
        <v>4</v>
      </c>
      <c r="F32" s="74">
        <f>SUMPRODUCT((1-Dataset!$B$13:$N$13)*(Dataset!$B$4:$N$4&lt;&gt;Dataset!$B$7:$N$7))</f>
        <v>4</v>
      </c>
      <c r="G32" s="74">
        <f>SUMPRODUCT((1-Dataset!$B$13:$N$13)*(Dataset!$B$4:$N$4&lt;&gt;Dataset!$B$8:$N$8))</f>
        <v>4</v>
      </c>
      <c r="H32" s="74">
        <f>SUMPRODUCT((1-Dataset!$B$13:$N$13)*(Dataset!$B$4:$N$4&lt;&gt;Dataset!$B$9:$N$9))</f>
        <v>4</v>
      </c>
      <c r="I32" s="74">
        <f>SUMPRODUCT((1-Dataset!$B$13:$N$13)*(Dataset!$B$4:$N$4&lt;&gt;Dataset!$B$10:$N$10))</f>
        <v>3</v>
      </c>
      <c r="J32" s="74">
        <f>SUMPRODUCT((1-Dataset!$B$13:$N$13)*(Dataset!$B$4:$N$4&lt;&gt;Dataset!$B$11:$N$11))</f>
        <v>2</v>
      </c>
      <c r="K32" s="74">
        <f>SUMPRODUCT((1-Dataset!$B$13:$N$13)*(Dataset!$B$4:$N$4&lt;&gt;Dataset!$B$12:$N$12))</f>
        <v>1</v>
      </c>
    </row>
    <row r="33">
      <c r="A33" s="64" t="inlineStr">
        <is>
          <t xml:space="preserve">S₃</t>
        </is>
      </c>
      <c r="B33" s="74">
        <f>SUMPRODUCT((1-Dataset!$B$13:$N$13)*(Dataset!$B$5:$N$5&lt;&gt;Dataset!$B$3:$N$3))</f>
        <v>4</v>
      </c>
      <c r="C33" s="74">
        <f>SUMPRODUCT((1-Dataset!$B$13:$N$13)*(Dataset!$B$5:$N$5&lt;&gt;Dataset!$B$4:$N$4))</f>
        <v>4</v>
      </c>
      <c r="D33" s="75">
        <f>SUMPRODUCT((1-Dataset!$B$13:$N$13)*(Dataset!$B$5:$N$5&lt;&gt;Dataset!$B$5:$N$5))</f>
        <v>0</v>
      </c>
      <c r="E33" s="74">
        <f>SUMPRODUCT((1-Dataset!$B$13:$N$13)*(Dataset!$B$5:$N$5&lt;&gt;Dataset!$B$6:$N$6))</f>
        <v>3</v>
      </c>
      <c r="F33" s="74">
        <f>SUMPRODUCT((1-Dataset!$B$13:$N$13)*(Dataset!$B$5:$N$5&lt;&gt;Dataset!$B$7:$N$7))</f>
        <v>4</v>
      </c>
      <c r="G33" s="74">
        <f>SUMPRODUCT((1-Dataset!$B$13:$N$13)*(Dataset!$B$5:$N$5&lt;&gt;Dataset!$B$8:$N$8))</f>
        <v>1</v>
      </c>
      <c r="H33" s="74">
        <f>SUMPRODUCT((1-Dataset!$B$13:$N$13)*(Dataset!$B$5:$N$5&lt;&gt;Dataset!$B$9:$N$9))</f>
        <v>6</v>
      </c>
      <c r="I33" s="74">
        <f>SUMPRODUCT((1-Dataset!$B$13:$N$13)*(Dataset!$B$5:$N$5&lt;&gt;Dataset!$B$10:$N$10))</f>
        <v>4</v>
      </c>
      <c r="J33" s="74">
        <f>SUMPRODUCT((1-Dataset!$B$13:$N$13)*(Dataset!$B$5:$N$5&lt;&gt;Dataset!$B$11:$N$11))</f>
        <v>3</v>
      </c>
      <c r="K33" s="74">
        <f>SUMPRODUCT((1-Dataset!$B$13:$N$13)*(Dataset!$B$5:$N$5&lt;&gt;Dataset!$B$12:$N$12))</f>
        <v>4</v>
      </c>
    </row>
    <row r="34">
      <c r="A34" s="64" t="inlineStr">
        <is>
          <t xml:space="preserve">S₄</t>
        </is>
      </c>
      <c r="B34" s="74">
        <f>SUMPRODUCT((1-Dataset!$B$13:$N$13)*(Dataset!$B$6:$N$6&lt;&gt;Dataset!$B$3:$N$3))</f>
        <v>3</v>
      </c>
      <c r="C34" s="74">
        <f>SUMPRODUCT((1-Dataset!$B$13:$N$13)*(Dataset!$B$6:$N$6&lt;&gt;Dataset!$B$4:$N$4))</f>
        <v>4</v>
      </c>
      <c r="D34" s="74">
        <f>SUMPRODUCT((1-Dataset!$B$13:$N$13)*(Dataset!$B$6:$N$6&lt;&gt;Dataset!$B$5:$N$5))</f>
        <v>3</v>
      </c>
      <c r="E34" s="75">
        <f>SUMPRODUCT((1-Dataset!$B$13:$N$13)*(Dataset!$B$6:$N$6&lt;&gt;Dataset!$B$6:$N$6))</f>
        <v>0</v>
      </c>
      <c r="F34" s="74">
        <f>SUMPRODUCT((1-Dataset!$B$13:$N$13)*(Dataset!$B$6:$N$6&lt;&gt;Dataset!$B$7:$N$7))</f>
        <v>5</v>
      </c>
      <c r="G34" s="74">
        <f>SUMPRODUCT((1-Dataset!$B$13:$N$13)*(Dataset!$B$6:$N$6&lt;&gt;Dataset!$B$8:$N$8))</f>
        <v>2</v>
      </c>
      <c r="H34" s="74">
        <f>SUMPRODUCT((1-Dataset!$B$13:$N$13)*(Dataset!$B$6:$N$6&lt;&gt;Dataset!$B$9:$N$9))</f>
        <v>4</v>
      </c>
      <c r="I34" s="74">
        <f>SUMPRODUCT((1-Dataset!$B$13:$N$13)*(Dataset!$B$6:$N$6&lt;&gt;Dataset!$B$10:$N$10))</f>
        <v>1</v>
      </c>
      <c r="J34" s="74">
        <f>SUMPRODUCT((1-Dataset!$B$13:$N$13)*(Dataset!$B$6:$N$6&lt;&gt;Dataset!$B$11:$N$11))</f>
        <v>2</v>
      </c>
      <c r="K34" s="74">
        <f>SUMPRODUCT((1-Dataset!$B$13:$N$13)*(Dataset!$B$6:$N$6&lt;&gt;Dataset!$B$12:$N$12))</f>
        <v>3</v>
      </c>
    </row>
    <row r="35">
      <c r="A35" s="64" t="inlineStr">
        <is>
          <t xml:space="preserve">S₅</t>
        </is>
      </c>
      <c r="B35" s="74">
        <f>SUMPRODUCT((1-Dataset!$B$13:$N$13)*(Dataset!$B$7:$N$7&lt;&gt;Dataset!$B$3:$N$3))</f>
        <v>4</v>
      </c>
      <c r="C35" s="74">
        <f>SUMPRODUCT((1-Dataset!$B$13:$N$13)*(Dataset!$B$7:$N$7&lt;&gt;Dataset!$B$4:$N$4))</f>
        <v>4</v>
      </c>
      <c r="D35" s="74">
        <f>SUMPRODUCT((1-Dataset!$B$13:$N$13)*(Dataset!$B$7:$N$7&lt;&gt;Dataset!$B$5:$N$5))</f>
        <v>4</v>
      </c>
      <c r="E35" s="74">
        <f>SUMPRODUCT((1-Dataset!$B$13:$N$13)*(Dataset!$B$7:$N$7&lt;&gt;Dataset!$B$6:$N$6))</f>
        <v>5</v>
      </c>
      <c r="F35" s="75">
        <f>SUMPRODUCT((1-Dataset!$B$13:$N$13)*(Dataset!$B$7:$N$7&lt;&gt;Dataset!$B$7:$N$7))</f>
        <v>0</v>
      </c>
      <c r="G35" s="74">
        <f>SUMPRODUCT((1-Dataset!$B$13:$N$13)*(Dataset!$B$7:$N$7&lt;&gt;Dataset!$B$8:$N$8))</f>
        <v>5</v>
      </c>
      <c r="H35" s="74">
        <f>SUMPRODUCT((1-Dataset!$B$13:$N$13)*(Dataset!$B$7:$N$7&lt;&gt;Dataset!$B$9:$N$9))</f>
        <v>5</v>
      </c>
      <c r="I35" s="74">
        <f>SUMPRODUCT((1-Dataset!$B$13:$N$13)*(Dataset!$B$7:$N$7&lt;&gt;Dataset!$B$10:$N$10))</f>
        <v>4</v>
      </c>
      <c r="J35" s="74">
        <f>SUMPRODUCT((1-Dataset!$B$13:$N$13)*(Dataset!$B$7:$N$7&lt;&gt;Dataset!$B$11:$N$11))</f>
        <v>5</v>
      </c>
      <c r="K35" s="74">
        <f>SUMPRODUCT((1-Dataset!$B$13:$N$13)*(Dataset!$B$7:$N$7&lt;&gt;Dataset!$B$12:$N$12))</f>
        <v>4</v>
      </c>
    </row>
    <row r="36">
      <c r="A36" s="64" t="inlineStr">
        <is>
          <t xml:space="preserve">S₆</t>
        </is>
      </c>
      <c r="B36" s="74">
        <f>SUMPRODUCT((1-Dataset!$B$13:$N$13)*(Dataset!$B$8:$N$8&lt;&gt;Dataset!$B$3:$N$3))</f>
        <v>3</v>
      </c>
      <c r="C36" s="74">
        <f>SUMPRODUCT((1-Dataset!$B$13:$N$13)*(Dataset!$B$8:$N$8&lt;&gt;Dataset!$B$4:$N$4))</f>
        <v>4</v>
      </c>
      <c r="D36" s="74">
        <f>SUMPRODUCT((1-Dataset!$B$13:$N$13)*(Dataset!$B$8:$N$8&lt;&gt;Dataset!$B$5:$N$5))</f>
        <v>1</v>
      </c>
      <c r="E36" s="74">
        <f>SUMPRODUCT((1-Dataset!$B$13:$N$13)*(Dataset!$B$8:$N$8&lt;&gt;Dataset!$B$6:$N$6))</f>
        <v>2</v>
      </c>
      <c r="F36" s="74">
        <f>SUMPRODUCT((1-Dataset!$B$13:$N$13)*(Dataset!$B$8:$N$8&lt;&gt;Dataset!$B$7:$N$7))</f>
        <v>5</v>
      </c>
      <c r="G36" s="75">
        <f>SUMPRODUCT((1-Dataset!$B$13:$N$13)*(Dataset!$B$8:$N$8&lt;&gt;Dataset!$B$8:$N$8))</f>
        <v>0</v>
      </c>
      <c r="H36" s="74">
        <f>SUMPRODUCT((1-Dataset!$B$13:$N$13)*(Dataset!$B$8:$N$8&lt;&gt;Dataset!$B$9:$N$9))</f>
        <v>6</v>
      </c>
      <c r="I36" s="74">
        <f>SUMPRODUCT((1-Dataset!$B$13:$N$13)*(Dataset!$B$8:$N$8&lt;&gt;Dataset!$B$10:$N$10))</f>
        <v>3</v>
      </c>
      <c r="J36" s="74">
        <f>SUMPRODUCT((1-Dataset!$B$13:$N$13)*(Dataset!$B$8:$N$8&lt;&gt;Dataset!$B$11:$N$11))</f>
        <v>2</v>
      </c>
      <c r="K36" s="74">
        <f>SUMPRODUCT((1-Dataset!$B$13:$N$13)*(Dataset!$B$8:$N$8&lt;&gt;Dataset!$B$12:$N$12))</f>
        <v>3</v>
      </c>
    </row>
    <row r="37">
      <c r="A37" s="64" t="inlineStr">
        <is>
          <t xml:space="preserve">S₇</t>
        </is>
      </c>
      <c r="B37" s="74">
        <f>SUMPRODUCT((1-Dataset!$B$13:$N$13)*(Dataset!$B$9:$N$9&lt;&gt;Dataset!$B$3:$N$3))</f>
        <v>4</v>
      </c>
      <c r="C37" s="74">
        <f>SUMPRODUCT((1-Dataset!$B$13:$N$13)*(Dataset!$B$9:$N$9&lt;&gt;Dataset!$B$4:$N$4))</f>
        <v>4</v>
      </c>
      <c r="D37" s="74">
        <f>SUMPRODUCT((1-Dataset!$B$13:$N$13)*(Dataset!$B$9:$N$9&lt;&gt;Dataset!$B$5:$N$5))</f>
        <v>6</v>
      </c>
      <c r="E37" s="74">
        <f>SUMPRODUCT((1-Dataset!$B$13:$N$13)*(Dataset!$B$9:$N$9&lt;&gt;Dataset!$B$6:$N$6))</f>
        <v>4</v>
      </c>
      <c r="F37" s="74">
        <f>SUMPRODUCT((1-Dataset!$B$13:$N$13)*(Dataset!$B$9:$N$9&lt;&gt;Dataset!$B$7:$N$7))</f>
        <v>5</v>
      </c>
      <c r="G37" s="74">
        <f>SUMPRODUCT((1-Dataset!$B$13:$N$13)*(Dataset!$B$9:$N$9&lt;&gt;Dataset!$B$8:$N$8))</f>
        <v>6</v>
      </c>
      <c r="H37" s="75">
        <f>SUMPRODUCT((1-Dataset!$B$13:$N$13)*(Dataset!$B$9:$N$9&lt;&gt;Dataset!$B$9:$N$9))</f>
        <v>0</v>
      </c>
      <c r="I37" s="74">
        <f>SUMPRODUCT((1-Dataset!$B$13:$N$13)*(Dataset!$B$9:$N$9&lt;&gt;Dataset!$B$10:$N$10))</f>
        <v>3</v>
      </c>
      <c r="J37" s="74">
        <f>SUMPRODUCT((1-Dataset!$B$13:$N$13)*(Dataset!$B$9:$N$9&lt;&gt;Dataset!$B$11:$N$11))</f>
        <v>4</v>
      </c>
      <c r="K37" s="74">
        <f>SUMPRODUCT((1-Dataset!$B$13:$N$13)*(Dataset!$B$9:$N$9&lt;&gt;Dataset!$B$12:$N$12))</f>
        <v>5</v>
      </c>
    </row>
    <row r="38">
      <c r="A38" s="64" t="inlineStr">
        <is>
          <t xml:space="preserve">S₈</t>
        </is>
      </c>
      <c r="B38" s="74">
        <f>SUMPRODUCT((1-Dataset!$B$13:$N$13)*(Dataset!$B$10:$N$10&lt;&gt;Dataset!$B$3:$N$3))</f>
        <v>2</v>
      </c>
      <c r="C38" s="74">
        <f>SUMPRODUCT((1-Dataset!$B$13:$N$13)*(Dataset!$B$10:$N$10&lt;&gt;Dataset!$B$4:$N$4))</f>
        <v>3</v>
      </c>
      <c r="D38" s="74">
        <f>SUMPRODUCT((1-Dataset!$B$13:$N$13)*(Dataset!$B$10:$N$10&lt;&gt;Dataset!$B$5:$N$5))</f>
        <v>4</v>
      </c>
      <c r="E38" s="74">
        <f>SUMPRODUCT((1-Dataset!$B$13:$N$13)*(Dataset!$B$10:$N$10&lt;&gt;Dataset!$B$6:$N$6))</f>
        <v>1</v>
      </c>
      <c r="F38" s="74">
        <f>SUMPRODUCT((1-Dataset!$B$13:$N$13)*(Dataset!$B$10:$N$10&lt;&gt;Dataset!$B$7:$N$7))</f>
        <v>4</v>
      </c>
      <c r="G38" s="74">
        <f>SUMPRODUCT((1-Dataset!$B$13:$N$13)*(Dataset!$B$10:$N$10&lt;&gt;Dataset!$B$8:$N$8))</f>
        <v>3</v>
      </c>
      <c r="H38" s="74">
        <f>SUMPRODUCT((1-Dataset!$B$13:$N$13)*(Dataset!$B$10:$N$10&lt;&gt;Dataset!$B$9:$N$9))</f>
        <v>3</v>
      </c>
      <c r="I38" s="75">
        <f>SUMPRODUCT((1-Dataset!$B$13:$N$13)*(Dataset!$B$10:$N$10&lt;&gt;Dataset!$B$10:$N$10))</f>
        <v>0</v>
      </c>
      <c r="J38" s="74">
        <f>SUMPRODUCT((1-Dataset!$B$13:$N$13)*(Dataset!$B$10:$N$10&lt;&gt;Dataset!$B$11:$N$11))</f>
        <v>1</v>
      </c>
      <c r="K38" s="74">
        <f>SUMPRODUCT((1-Dataset!$B$13:$N$13)*(Dataset!$B$10:$N$10&lt;&gt;Dataset!$B$12:$N$12))</f>
        <v>2</v>
      </c>
    </row>
    <row r="39">
      <c r="A39" s="64" t="inlineStr">
        <is>
          <t xml:space="preserve">S₉</t>
        </is>
      </c>
      <c r="B39" s="74">
        <f>SUMPRODUCT((1-Dataset!$B$13:$N$13)*(Dataset!$B$11:$N$11&lt;&gt;Dataset!$B$3:$N$3))</f>
        <v>1</v>
      </c>
      <c r="C39" s="74">
        <f>SUMPRODUCT((1-Dataset!$B$13:$N$13)*(Dataset!$B$11:$N$11&lt;&gt;Dataset!$B$4:$N$4))</f>
        <v>2</v>
      </c>
      <c r="D39" s="74">
        <f>SUMPRODUCT((1-Dataset!$B$13:$N$13)*(Dataset!$B$11:$N$11&lt;&gt;Dataset!$B$5:$N$5))</f>
        <v>3</v>
      </c>
      <c r="E39" s="74">
        <f>SUMPRODUCT((1-Dataset!$B$13:$N$13)*(Dataset!$B$11:$N$11&lt;&gt;Dataset!$B$6:$N$6))</f>
        <v>2</v>
      </c>
      <c r="F39" s="74">
        <f>SUMPRODUCT((1-Dataset!$B$13:$N$13)*(Dataset!$B$11:$N$11&lt;&gt;Dataset!$B$7:$N$7))</f>
        <v>5</v>
      </c>
      <c r="G39" s="74">
        <f>SUMPRODUCT((1-Dataset!$B$13:$N$13)*(Dataset!$B$11:$N$11&lt;&gt;Dataset!$B$8:$N$8))</f>
        <v>2</v>
      </c>
      <c r="H39" s="74">
        <f>SUMPRODUCT((1-Dataset!$B$13:$N$13)*(Dataset!$B$11:$N$11&lt;&gt;Dataset!$B$9:$N$9))</f>
        <v>4</v>
      </c>
      <c r="I39" s="74">
        <f>SUMPRODUCT((1-Dataset!$B$13:$N$13)*(Dataset!$B$11:$N$11&lt;&gt;Dataset!$B$10:$N$10))</f>
        <v>1</v>
      </c>
      <c r="J39" s="75">
        <f>SUMPRODUCT((1-Dataset!$B$13:$N$13)*(Dataset!$B$11:$N$11&lt;&gt;Dataset!$B$11:$N$11))</f>
        <v>0</v>
      </c>
      <c r="K39" s="74">
        <f>SUMPRODUCT((1-Dataset!$B$13:$N$13)*(Dataset!$B$11:$N$11&lt;&gt;Dataset!$B$12:$N$12))</f>
        <v>1</v>
      </c>
    </row>
    <row r="40">
      <c r="A40" s="64" t="inlineStr">
        <is>
          <t xml:space="preserve">S₁₀</t>
        </is>
      </c>
      <c r="B40" s="74">
        <f>SUMPRODUCT((1-Dataset!$B$13:$N$13)*(Dataset!$B$12:$N$12&lt;&gt;Dataset!$B$3:$N$3))</f>
        <v>2</v>
      </c>
      <c r="C40" s="74">
        <f>SUMPRODUCT((1-Dataset!$B$13:$N$13)*(Dataset!$B$12:$N$12&lt;&gt;Dataset!$B$4:$N$4))</f>
        <v>1</v>
      </c>
      <c r="D40" s="74">
        <f>SUMPRODUCT((1-Dataset!$B$13:$N$13)*(Dataset!$B$12:$N$12&lt;&gt;Dataset!$B$5:$N$5))</f>
        <v>4</v>
      </c>
      <c r="E40" s="74">
        <f>SUMPRODUCT((1-Dataset!$B$13:$N$13)*(Dataset!$B$12:$N$12&lt;&gt;Dataset!$B$6:$N$6))</f>
        <v>3</v>
      </c>
      <c r="F40" s="74">
        <f>SUMPRODUCT((1-Dataset!$B$13:$N$13)*(Dataset!$B$12:$N$12&lt;&gt;Dataset!$B$7:$N$7))</f>
        <v>4</v>
      </c>
      <c r="G40" s="74">
        <f>SUMPRODUCT((1-Dataset!$B$13:$N$13)*(Dataset!$B$12:$N$12&lt;&gt;Dataset!$B$8:$N$8))</f>
        <v>3</v>
      </c>
      <c r="H40" s="74">
        <f>SUMPRODUCT((1-Dataset!$B$13:$N$13)*(Dataset!$B$12:$N$12&lt;&gt;Dataset!$B$9:$N$9))</f>
        <v>5</v>
      </c>
      <c r="I40" s="74">
        <f>SUMPRODUCT((1-Dataset!$B$13:$N$13)*(Dataset!$B$12:$N$12&lt;&gt;Dataset!$B$10:$N$10))</f>
        <v>2</v>
      </c>
      <c r="J40" s="74">
        <f>SUMPRODUCT((1-Dataset!$B$13:$N$13)*(Dataset!$B$12:$N$12&lt;&gt;Dataset!$B$11:$N$11))</f>
        <v>1</v>
      </c>
      <c r="K40" s="75">
        <f>SUMPRODUCT((1-Dataset!$B$13:$N$13)*(Dataset!$B$12:$N$12&lt;&gt;Dataset!$B$12:$N$12))</f>
        <v>0</v>
      </c>
    </row>
    <row r="41"/>
    <row r="42">
      <c r="A42" s="99" t="inlineStr">
        <is>
          <t xml:space="preserve">Each row lists the distances from the target object Sᵢ to S₁ … S₁₀ in their original order (image 1: S₁ → S₂, S₃, …, S₁₀).</t>
        </is>
      </c>
    </row>
    <row r="43">
      <c r="A43" s="99" t="inlineStr">
        <is>
          <t xml:space="preserve">The three blocks are the three base operators of the ensemble: the same Zhuravlev metric on all features, on the quantitative features only and on the nominal features only.</t>
        </is>
      </c>
    </row>
    <row r="44">
      <c r="A44" s="99" t="inlineStr">
        <is>
          <t xml:space="preserve">Distances are rounded to 10 decimals so that mathematically equal distances tie exactly. The diagonal (grey) is never used as a neighbour.</t>
        </is>
      </c>
    </row>
  </sheetData>
  <mergeCells count="4">
    <mergeCell ref="A1:K1"/>
    <mergeCell ref="A3:K3"/>
    <mergeCell ref="A16:K16"/>
    <mergeCell ref="A29:K29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K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0.77734375" customWidth="1"/>
    <col min="2" max="11" width="11.77734375" customWidth="1"/>
  </cols>
  <sheetData>
    <row r="1" ht="20" customHeight="1">
      <c r="A1" s="57" t="inlineStr">
        <is>
          <t xml:space="preserve">Step 3 · Operator ρ — neighbours of every object sorted by ascending ρ, original index and class kept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/>
    <row r="3">
      <c r="A3" s="58" t="inlineStr">
        <is>
          <t xml:space="preserve">Rank of Sⱼ in the neighbour list of Sᵢ under ρ  (self excluded; equal distances → smaller original index first)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>
      <c r="A4" s="60" t="inlineStr">
        <is>
          <t xml:space="preserve">Sᵢ \ Sⱼ</t>
        </is>
      </c>
      <c r="B4" s="60" t="inlineStr">
        <is>
          <t xml:space="preserve">S₁</t>
        </is>
      </c>
      <c r="C4" s="60" t="inlineStr">
        <is>
          <t xml:space="preserve">S₂</t>
        </is>
      </c>
      <c r="D4" s="60" t="inlineStr">
        <is>
          <t xml:space="preserve">S₃</t>
        </is>
      </c>
      <c r="E4" s="60" t="inlineStr">
        <is>
          <t xml:space="preserve">S₄</t>
        </is>
      </c>
      <c r="F4" s="60" t="inlineStr">
        <is>
          <t xml:space="preserve">S₅</t>
        </is>
      </c>
      <c r="G4" s="60" t="inlineStr">
        <is>
          <t xml:space="preserve">S₆</t>
        </is>
      </c>
      <c r="H4" s="60" t="inlineStr">
        <is>
          <t xml:space="preserve">S₇</t>
        </is>
      </c>
      <c r="I4" s="60" t="inlineStr">
        <is>
          <t xml:space="preserve">S₈</t>
        </is>
      </c>
      <c r="J4" s="60" t="inlineStr">
        <is>
          <t xml:space="preserve">S₉</t>
        </is>
      </c>
      <c r="K4" s="60" t="inlineStr">
        <is>
          <t xml:space="preserve">S₁₀</t>
        </is>
      </c>
    </row>
    <row r="5">
      <c r="A5" s="64" t="inlineStr">
        <is>
          <t xml:space="preserve">S₁</t>
        </is>
      </c>
      <c r="B5" s="75" t="inlineStr">
        <is>
          <t xml:space="preserve">—</t>
        </is>
      </c>
      <c r="C5" s="74">
        <f>1+SUMPRODUCT(('Zhuravlev Distances'!$B$5:$K$5&lt;'Zhuravlev Distances'!C$5)*(COLUMN('Zhuravlev Distances'!$B$5:$K$5)&lt;&gt;COLUMN('Zhuravlev Distances'!B$5)))+SUMPRODUCT(('Zhuravlev Distances'!$B$5:$K$5='Zhuravlev Distances'!C$5)*(COLUMN('Zhuravlev Distances'!$B$5:$K$5)&lt;COLUMN('Zhuravlev Distances'!C$5))*(COLUMN('Zhuravlev Distances'!$B$5:$K$5)&lt;&gt;COLUMN('Zhuravlev Distances'!B$5)))</f>
        <v>7</v>
      </c>
      <c r="D5" s="74">
        <f>1+SUMPRODUCT(('Zhuravlev Distances'!$B$5:$K$5&lt;'Zhuravlev Distances'!D$5)*(COLUMN('Zhuravlev Distances'!$B$5:$K$5)&lt;&gt;COLUMN('Zhuravlev Distances'!B$5)))+SUMPRODUCT(('Zhuravlev Distances'!$B$5:$K$5='Zhuravlev Distances'!D$5)*(COLUMN('Zhuravlev Distances'!$B$5:$K$5)&lt;COLUMN('Zhuravlev Distances'!D$5))*(COLUMN('Zhuravlev Distances'!$B$5:$K$5)&lt;&gt;COLUMN('Zhuravlev Distances'!B$5)))</f>
        <v>9</v>
      </c>
      <c r="E5" s="74">
        <f>1+SUMPRODUCT(('Zhuravlev Distances'!$B$5:$K$5&lt;'Zhuravlev Distances'!E$5)*(COLUMN('Zhuravlev Distances'!$B$5:$K$5)&lt;&gt;COLUMN('Zhuravlev Distances'!B$5)))+SUMPRODUCT(('Zhuravlev Distances'!$B$5:$K$5='Zhuravlev Distances'!E$5)*(COLUMN('Zhuravlev Distances'!$B$5:$K$5)&lt;COLUMN('Zhuravlev Distances'!E$5))*(COLUMN('Zhuravlev Distances'!$B$5:$K$5)&lt;&gt;COLUMN('Zhuravlev Distances'!B$5)))</f>
        <v>4</v>
      </c>
      <c r="F5" s="74">
        <f>1+SUMPRODUCT(('Zhuravlev Distances'!$B$5:$K$5&lt;'Zhuravlev Distances'!F$5)*(COLUMN('Zhuravlev Distances'!$B$5:$K$5)&lt;&gt;COLUMN('Zhuravlev Distances'!B$5)))+SUMPRODUCT(('Zhuravlev Distances'!$B$5:$K$5='Zhuravlev Distances'!F$5)*(COLUMN('Zhuravlev Distances'!$B$5:$K$5)&lt;COLUMN('Zhuravlev Distances'!F$5))*(COLUMN('Zhuravlev Distances'!$B$5:$K$5)&lt;&gt;COLUMN('Zhuravlev Distances'!B$5)))</f>
        <v>6</v>
      </c>
      <c r="G5" s="74">
        <f>1+SUMPRODUCT(('Zhuravlev Distances'!$B$5:$K$5&lt;'Zhuravlev Distances'!G$5)*(COLUMN('Zhuravlev Distances'!$B$5:$K$5)&lt;&gt;COLUMN('Zhuravlev Distances'!B$5)))+SUMPRODUCT(('Zhuravlev Distances'!$B$5:$K$5='Zhuravlev Distances'!G$5)*(COLUMN('Zhuravlev Distances'!$B$5:$K$5)&lt;COLUMN('Zhuravlev Distances'!G$5))*(COLUMN('Zhuravlev Distances'!$B$5:$K$5)&lt;&gt;COLUMN('Zhuravlev Distances'!B$5)))</f>
        <v>5</v>
      </c>
      <c r="H5" s="74">
        <f>1+SUMPRODUCT(('Zhuravlev Distances'!$B$5:$K$5&lt;'Zhuravlev Distances'!H$5)*(COLUMN('Zhuravlev Distances'!$B$5:$K$5)&lt;&gt;COLUMN('Zhuravlev Distances'!B$5)))+SUMPRODUCT(('Zhuravlev Distances'!$B$5:$K$5='Zhuravlev Distances'!H$5)*(COLUMN('Zhuravlev Distances'!$B$5:$K$5)&lt;COLUMN('Zhuravlev Distances'!H$5))*(COLUMN('Zhuravlev Distances'!$B$5:$K$5)&lt;&gt;COLUMN('Zhuravlev Distances'!B$5)))</f>
        <v>8</v>
      </c>
      <c r="I5" s="74">
        <f>1+SUMPRODUCT(('Zhuravlev Distances'!$B$5:$K$5&lt;'Zhuravlev Distances'!I$5)*(COLUMN('Zhuravlev Distances'!$B$5:$K$5)&lt;&gt;COLUMN('Zhuravlev Distances'!B$5)))+SUMPRODUCT(('Zhuravlev Distances'!$B$5:$K$5='Zhuravlev Distances'!I$5)*(COLUMN('Zhuravlev Distances'!$B$5:$K$5)&lt;COLUMN('Zhuravlev Distances'!I$5))*(COLUMN('Zhuravlev Distances'!$B$5:$K$5)&lt;&gt;COLUMN('Zhuravlev Distances'!B$5)))</f>
        <v>3</v>
      </c>
      <c r="J5" s="74">
        <f>1+SUMPRODUCT(('Zhuravlev Distances'!$B$5:$K$5&lt;'Zhuravlev Distances'!J$5)*(COLUMN('Zhuravlev Distances'!$B$5:$K$5)&lt;&gt;COLUMN('Zhuravlev Distances'!B$5)))+SUMPRODUCT(('Zhuravlev Distances'!$B$5:$K$5='Zhuravlev Distances'!J$5)*(COLUMN('Zhuravlev Distances'!$B$5:$K$5)&lt;COLUMN('Zhuravlev Distances'!J$5))*(COLUMN('Zhuravlev Distances'!$B$5:$K$5)&lt;&gt;COLUMN('Zhuravlev Distances'!B$5)))</f>
        <v>1</v>
      </c>
      <c r="K5" s="74">
        <f>1+SUMPRODUCT(('Zhuravlev Distances'!$B$5:$K$5&lt;'Zhuravlev Distances'!K$5)*(COLUMN('Zhuravlev Distances'!$B$5:$K$5)&lt;&gt;COLUMN('Zhuravlev Distances'!B$5)))+SUMPRODUCT(('Zhuravlev Distances'!$B$5:$K$5='Zhuravlev Distances'!K$5)*(COLUMN('Zhuravlev Distances'!$B$5:$K$5)&lt;COLUMN('Zhuravlev Distances'!K$5))*(COLUMN('Zhuravlev Distances'!$B$5:$K$5)&lt;&gt;COLUMN('Zhuravlev Distances'!B$5)))</f>
        <v>2</v>
      </c>
    </row>
    <row r="6">
      <c r="A6" s="64" t="inlineStr">
        <is>
          <t xml:space="preserve">S₂</t>
        </is>
      </c>
      <c r="B6" s="74">
        <f>1+SUMPRODUCT(('Zhuravlev Distances'!$B$6:$K$6&lt;'Zhuravlev Distances'!B$6)*(COLUMN('Zhuravlev Distances'!$B$6:$K$6)&lt;&gt;COLUMN('Zhuravlev Distances'!C$6)))+SUMPRODUCT(('Zhuravlev Distances'!$B$6:$K$6='Zhuravlev Distances'!B$6)*(COLUMN('Zhuravlev Distances'!$B$6:$K$6)&lt;COLUMN('Zhuravlev Distances'!B$6))*(COLUMN('Zhuravlev Distances'!$B$6:$K$6)&lt;&gt;COLUMN('Zhuravlev Distances'!C$6)))</f>
        <v>5</v>
      </c>
      <c r="C6" s="75" t="inlineStr">
        <is>
          <t xml:space="preserve">—</t>
        </is>
      </c>
      <c r="D6" s="74">
        <f>1+SUMPRODUCT(('Zhuravlev Distances'!$B$6:$K$6&lt;'Zhuravlev Distances'!D$6)*(COLUMN('Zhuravlev Distances'!$B$6:$K$6)&lt;&gt;COLUMN('Zhuravlev Distances'!C$6)))+SUMPRODUCT(('Zhuravlev Distances'!$B$6:$K$6='Zhuravlev Distances'!D$6)*(COLUMN('Zhuravlev Distances'!$B$6:$K$6)&lt;COLUMN('Zhuravlev Distances'!D$6))*(COLUMN('Zhuravlev Distances'!$B$6:$K$6)&lt;&gt;COLUMN('Zhuravlev Distances'!C$6)))</f>
        <v>6</v>
      </c>
      <c r="E6" s="74">
        <f>1+SUMPRODUCT(('Zhuravlev Distances'!$B$6:$K$6&lt;'Zhuravlev Distances'!E$6)*(COLUMN('Zhuravlev Distances'!$B$6:$K$6)&lt;&gt;COLUMN('Zhuravlev Distances'!C$6)))+SUMPRODUCT(('Zhuravlev Distances'!$B$6:$K$6='Zhuravlev Distances'!E$6)*(COLUMN('Zhuravlev Distances'!$B$6:$K$6)&lt;COLUMN('Zhuravlev Distances'!E$6))*(COLUMN('Zhuravlev Distances'!$B$6:$K$6)&lt;&gt;COLUMN('Zhuravlev Distances'!C$6)))</f>
        <v>9</v>
      </c>
      <c r="F6" s="74">
        <f>1+SUMPRODUCT(('Zhuravlev Distances'!$B$6:$K$6&lt;'Zhuravlev Distances'!F$6)*(COLUMN('Zhuravlev Distances'!$B$6:$K$6)&lt;&gt;COLUMN('Zhuravlev Distances'!C$6)))+SUMPRODUCT(('Zhuravlev Distances'!$B$6:$K$6='Zhuravlev Distances'!F$6)*(COLUMN('Zhuravlev Distances'!$B$6:$K$6)&lt;COLUMN('Zhuravlev Distances'!F$6))*(COLUMN('Zhuravlev Distances'!$B$6:$K$6)&lt;&gt;COLUMN('Zhuravlev Distances'!C$6)))</f>
        <v>7</v>
      </c>
      <c r="G6" s="74">
        <f>1+SUMPRODUCT(('Zhuravlev Distances'!$B$6:$K$6&lt;'Zhuravlev Distances'!G$6)*(COLUMN('Zhuravlev Distances'!$B$6:$K$6)&lt;&gt;COLUMN('Zhuravlev Distances'!C$6)))+SUMPRODUCT(('Zhuravlev Distances'!$B$6:$K$6='Zhuravlev Distances'!G$6)*(COLUMN('Zhuravlev Distances'!$B$6:$K$6)&lt;COLUMN('Zhuravlev Distances'!G$6))*(COLUMN('Zhuravlev Distances'!$B$6:$K$6)&lt;&gt;COLUMN('Zhuravlev Distances'!C$6)))</f>
        <v>4</v>
      </c>
      <c r="H6" s="74">
        <f>1+SUMPRODUCT(('Zhuravlev Distances'!$B$6:$K$6&lt;'Zhuravlev Distances'!H$6)*(COLUMN('Zhuravlev Distances'!$B$6:$K$6)&lt;&gt;COLUMN('Zhuravlev Distances'!C$6)))+SUMPRODUCT(('Zhuravlev Distances'!$B$6:$K$6='Zhuravlev Distances'!H$6)*(COLUMN('Zhuravlev Distances'!$B$6:$K$6)&lt;COLUMN('Zhuravlev Distances'!H$6))*(COLUMN('Zhuravlev Distances'!$B$6:$K$6)&lt;&gt;COLUMN('Zhuravlev Distances'!C$6)))</f>
        <v>8</v>
      </c>
      <c r="I6" s="74">
        <f>1+SUMPRODUCT(('Zhuravlev Distances'!$B$6:$K$6&lt;'Zhuravlev Distances'!I$6)*(COLUMN('Zhuravlev Distances'!$B$6:$K$6)&lt;&gt;COLUMN('Zhuravlev Distances'!C$6)))+SUMPRODUCT(('Zhuravlev Distances'!$B$6:$K$6='Zhuravlev Distances'!I$6)*(COLUMN('Zhuravlev Distances'!$B$6:$K$6)&lt;COLUMN('Zhuravlev Distances'!I$6))*(COLUMN('Zhuravlev Distances'!$B$6:$K$6)&lt;&gt;COLUMN('Zhuravlev Distances'!C$6)))</f>
        <v>3</v>
      </c>
      <c r="J6" s="74">
        <f>1+SUMPRODUCT(('Zhuravlev Distances'!$B$6:$K$6&lt;'Zhuravlev Distances'!J$6)*(COLUMN('Zhuravlev Distances'!$B$6:$K$6)&lt;&gt;COLUMN('Zhuravlev Distances'!C$6)))+SUMPRODUCT(('Zhuravlev Distances'!$B$6:$K$6='Zhuravlev Distances'!J$6)*(COLUMN('Zhuravlev Distances'!$B$6:$K$6)&lt;COLUMN('Zhuravlev Distances'!J$6))*(COLUMN('Zhuravlev Distances'!$B$6:$K$6)&lt;&gt;COLUMN('Zhuravlev Distances'!C$6)))</f>
        <v>2</v>
      </c>
      <c r="K6" s="74">
        <f>1+SUMPRODUCT(('Zhuravlev Distances'!$B$6:$K$6&lt;'Zhuravlev Distances'!K$6)*(COLUMN('Zhuravlev Distances'!$B$6:$K$6)&lt;&gt;COLUMN('Zhuravlev Distances'!C$6)))+SUMPRODUCT(('Zhuravlev Distances'!$B$6:$K$6='Zhuravlev Distances'!K$6)*(COLUMN('Zhuravlev Distances'!$B$6:$K$6)&lt;COLUMN('Zhuravlev Distances'!K$6))*(COLUMN('Zhuravlev Distances'!$B$6:$K$6)&lt;&gt;COLUMN('Zhuravlev Distances'!C$6)))</f>
        <v>1</v>
      </c>
    </row>
    <row r="7">
      <c r="A7" s="64" t="inlineStr">
        <is>
          <t xml:space="preserve">S₃</t>
        </is>
      </c>
      <c r="B7" s="74">
        <f>1+SUMPRODUCT(('Zhuravlev Distances'!$B$7:$K$7&lt;'Zhuravlev Distances'!B$7)*(COLUMN('Zhuravlev Distances'!$B$7:$K$7)&lt;&gt;COLUMN('Zhuravlev Distances'!D$7)))+SUMPRODUCT(('Zhuravlev Distances'!$B$7:$K$7='Zhuravlev Distances'!B$7)*(COLUMN('Zhuravlev Distances'!$B$7:$K$7)&lt;COLUMN('Zhuravlev Distances'!B$7))*(COLUMN('Zhuravlev Distances'!$B$7:$K$7)&lt;&gt;COLUMN('Zhuravlev Distances'!D$7)))</f>
        <v>8</v>
      </c>
      <c r="C7" s="74">
        <f>1+SUMPRODUCT(('Zhuravlev Distances'!$B$7:$K$7&lt;'Zhuravlev Distances'!C$7)*(COLUMN('Zhuravlev Distances'!$B$7:$K$7)&lt;&gt;COLUMN('Zhuravlev Distances'!D$7)))+SUMPRODUCT(('Zhuravlev Distances'!$B$7:$K$7='Zhuravlev Distances'!C$7)*(COLUMN('Zhuravlev Distances'!$B$7:$K$7)&lt;COLUMN('Zhuravlev Distances'!C$7))*(COLUMN('Zhuravlev Distances'!$B$7:$K$7)&lt;&gt;COLUMN('Zhuravlev Distances'!D$7)))</f>
        <v>6</v>
      </c>
      <c r="D7" s="75" t="inlineStr">
        <is>
          <t xml:space="preserve">—</t>
        </is>
      </c>
      <c r="E7" s="74">
        <f>1+SUMPRODUCT(('Zhuravlev Distances'!$B$7:$K$7&lt;'Zhuravlev Distances'!E$7)*(COLUMN('Zhuravlev Distances'!$B$7:$K$7)&lt;&gt;COLUMN('Zhuravlev Distances'!D$7)))+SUMPRODUCT(('Zhuravlev Distances'!$B$7:$K$7='Zhuravlev Distances'!E$7)*(COLUMN('Zhuravlev Distances'!$B$7:$K$7)&lt;COLUMN('Zhuravlev Distances'!E$7))*(COLUMN('Zhuravlev Distances'!$B$7:$K$7)&lt;&gt;COLUMN('Zhuravlev Distances'!D$7)))</f>
        <v>2</v>
      </c>
      <c r="F7" s="74">
        <f>1+SUMPRODUCT(('Zhuravlev Distances'!$B$7:$K$7&lt;'Zhuravlev Distances'!F$7)*(COLUMN('Zhuravlev Distances'!$B$7:$K$7)&lt;&gt;COLUMN('Zhuravlev Distances'!D$7)))+SUMPRODUCT(('Zhuravlev Distances'!$B$7:$K$7='Zhuravlev Distances'!F$7)*(COLUMN('Zhuravlev Distances'!$B$7:$K$7)&lt;COLUMN('Zhuravlev Distances'!F$7))*(COLUMN('Zhuravlev Distances'!$B$7:$K$7)&lt;&gt;COLUMN('Zhuravlev Distances'!D$7)))</f>
        <v>5</v>
      </c>
      <c r="G7" s="74">
        <f>1+SUMPRODUCT(('Zhuravlev Distances'!$B$7:$K$7&lt;'Zhuravlev Distances'!G$7)*(COLUMN('Zhuravlev Distances'!$B$7:$K$7)&lt;&gt;COLUMN('Zhuravlev Distances'!D$7)))+SUMPRODUCT(('Zhuravlev Distances'!$B$7:$K$7='Zhuravlev Distances'!G$7)*(COLUMN('Zhuravlev Distances'!$B$7:$K$7)&lt;COLUMN('Zhuravlev Distances'!G$7))*(COLUMN('Zhuravlev Distances'!$B$7:$K$7)&lt;&gt;COLUMN('Zhuravlev Distances'!D$7)))</f>
        <v>1</v>
      </c>
      <c r="H7" s="74">
        <f>1+SUMPRODUCT(('Zhuravlev Distances'!$B$7:$K$7&lt;'Zhuravlev Distances'!H$7)*(COLUMN('Zhuravlev Distances'!$B$7:$K$7)&lt;&gt;COLUMN('Zhuravlev Distances'!D$7)))+SUMPRODUCT(('Zhuravlev Distances'!$B$7:$K$7='Zhuravlev Distances'!H$7)*(COLUMN('Zhuravlev Distances'!$B$7:$K$7)&lt;COLUMN('Zhuravlev Distances'!H$7))*(COLUMN('Zhuravlev Distances'!$B$7:$K$7)&lt;&gt;COLUMN('Zhuravlev Distances'!D$7)))</f>
        <v>7</v>
      </c>
      <c r="I7" s="74">
        <f>1+SUMPRODUCT(('Zhuravlev Distances'!$B$7:$K$7&lt;'Zhuravlev Distances'!I$7)*(COLUMN('Zhuravlev Distances'!$B$7:$K$7)&lt;&gt;COLUMN('Zhuravlev Distances'!D$7)))+SUMPRODUCT(('Zhuravlev Distances'!$B$7:$K$7='Zhuravlev Distances'!I$7)*(COLUMN('Zhuravlev Distances'!$B$7:$K$7)&lt;COLUMN('Zhuravlev Distances'!I$7))*(COLUMN('Zhuravlev Distances'!$B$7:$K$7)&lt;&gt;COLUMN('Zhuravlev Distances'!D$7)))</f>
        <v>4</v>
      </c>
      <c r="J7" s="74">
        <f>1+SUMPRODUCT(('Zhuravlev Distances'!$B$7:$K$7&lt;'Zhuravlev Distances'!J$7)*(COLUMN('Zhuravlev Distances'!$B$7:$K$7)&lt;&gt;COLUMN('Zhuravlev Distances'!D$7)))+SUMPRODUCT(('Zhuravlev Distances'!$B$7:$K$7='Zhuravlev Distances'!J$7)*(COLUMN('Zhuravlev Distances'!$B$7:$K$7)&lt;COLUMN('Zhuravlev Distances'!J$7))*(COLUMN('Zhuravlev Distances'!$B$7:$K$7)&lt;&gt;COLUMN('Zhuravlev Distances'!D$7)))</f>
        <v>3</v>
      </c>
      <c r="K7" s="74">
        <f>1+SUMPRODUCT(('Zhuravlev Distances'!$B$7:$K$7&lt;'Zhuravlev Distances'!K$7)*(COLUMN('Zhuravlev Distances'!$B$7:$K$7)&lt;&gt;COLUMN('Zhuravlev Distances'!D$7)))+SUMPRODUCT(('Zhuravlev Distances'!$B$7:$K$7='Zhuravlev Distances'!K$7)*(COLUMN('Zhuravlev Distances'!$B$7:$K$7)&lt;COLUMN('Zhuravlev Distances'!K$7))*(COLUMN('Zhuravlev Distances'!$B$7:$K$7)&lt;&gt;COLUMN('Zhuravlev Distances'!D$7)))</f>
        <v>9</v>
      </c>
    </row>
    <row r="8">
      <c r="A8" s="64" t="inlineStr">
        <is>
          <t xml:space="preserve">S₄</t>
        </is>
      </c>
      <c r="B8" s="74">
        <f>1+SUMPRODUCT(('Zhuravlev Distances'!$B$8:$K$8&lt;'Zhuravlev Distances'!B$8)*(COLUMN('Zhuravlev Distances'!$B$8:$K$8)&lt;&gt;COLUMN('Zhuravlev Distances'!E$8)))+SUMPRODUCT(('Zhuravlev Distances'!$B$8:$K$8='Zhuravlev Distances'!B$8)*(COLUMN('Zhuravlev Distances'!$B$8:$K$8)&lt;COLUMN('Zhuravlev Distances'!B$8))*(COLUMN('Zhuravlev Distances'!$B$8:$K$8)&lt;&gt;COLUMN('Zhuravlev Distances'!E$8)))</f>
        <v>5</v>
      </c>
      <c r="C8" s="74">
        <f>1+SUMPRODUCT(('Zhuravlev Distances'!$B$8:$K$8&lt;'Zhuravlev Distances'!C$8)*(COLUMN('Zhuravlev Distances'!$B$8:$K$8)&lt;&gt;COLUMN('Zhuravlev Distances'!E$8)))+SUMPRODUCT(('Zhuravlev Distances'!$B$8:$K$8='Zhuravlev Distances'!C$8)*(COLUMN('Zhuravlev Distances'!$B$8:$K$8)&lt;COLUMN('Zhuravlev Distances'!C$8))*(COLUMN('Zhuravlev Distances'!$B$8:$K$8)&lt;&gt;COLUMN('Zhuravlev Distances'!E$8)))</f>
        <v>9</v>
      </c>
      <c r="D8" s="74">
        <f>1+SUMPRODUCT(('Zhuravlev Distances'!$B$8:$K$8&lt;'Zhuravlev Distances'!D$8)*(COLUMN('Zhuravlev Distances'!$B$8:$K$8)&lt;&gt;COLUMN('Zhuravlev Distances'!E$8)))+SUMPRODUCT(('Zhuravlev Distances'!$B$8:$K$8='Zhuravlev Distances'!D$8)*(COLUMN('Zhuravlev Distances'!$B$8:$K$8)&lt;COLUMN('Zhuravlev Distances'!D$8))*(COLUMN('Zhuravlev Distances'!$B$8:$K$8)&lt;&gt;COLUMN('Zhuravlev Distances'!E$8)))</f>
        <v>4</v>
      </c>
      <c r="E8" s="75" t="inlineStr">
        <is>
          <t xml:space="preserve">—</t>
        </is>
      </c>
      <c r="F8" s="74">
        <f>1+SUMPRODUCT(('Zhuravlev Distances'!$B$8:$K$8&lt;'Zhuravlev Distances'!F$8)*(COLUMN('Zhuravlev Distances'!$B$8:$K$8)&lt;&gt;COLUMN('Zhuravlev Distances'!E$8)))+SUMPRODUCT(('Zhuravlev Distances'!$B$8:$K$8='Zhuravlev Distances'!F$8)*(COLUMN('Zhuravlev Distances'!$B$8:$K$8)&lt;COLUMN('Zhuravlev Distances'!F$8))*(COLUMN('Zhuravlev Distances'!$B$8:$K$8)&lt;&gt;COLUMN('Zhuravlev Distances'!E$8)))</f>
        <v>7</v>
      </c>
      <c r="G8" s="74">
        <f>1+SUMPRODUCT(('Zhuravlev Distances'!$B$8:$K$8&lt;'Zhuravlev Distances'!G$8)*(COLUMN('Zhuravlev Distances'!$B$8:$K$8)&lt;&gt;COLUMN('Zhuravlev Distances'!E$8)))+SUMPRODUCT(('Zhuravlev Distances'!$B$8:$K$8='Zhuravlev Distances'!G$8)*(COLUMN('Zhuravlev Distances'!$B$8:$K$8)&lt;COLUMN('Zhuravlev Distances'!G$8))*(COLUMN('Zhuravlev Distances'!$B$8:$K$8)&lt;&gt;COLUMN('Zhuravlev Distances'!E$8)))</f>
        <v>2</v>
      </c>
      <c r="H8" s="74">
        <f>1+SUMPRODUCT(('Zhuravlev Distances'!$B$8:$K$8&lt;'Zhuravlev Distances'!H$8)*(COLUMN('Zhuravlev Distances'!$B$8:$K$8)&lt;&gt;COLUMN('Zhuravlev Distances'!E$8)))+SUMPRODUCT(('Zhuravlev Distances'!$B$8:$K$8='Zhuravlev Distances'!H$8)*(COLUMN('Zhuravlev Distances'!$B$8:$K$8)&lt;COLUMN('Zhuravlev Distances'!H$8))*(COLUMN('Zhuravlev Distances'!$B$8:$K$8)&lt;&gt;COLUMN('Zhuravlev Distances'!E$8)))</f>
        <v>6</v>
      </c>
      <c r="I8" s="74">
        <f>1+SUMPRODUCT(('Zhuravlev Distances'!$B$8:$K$8&lt;'Zhuravlev Distances'!I$8)*(COLUMN('Zhuravlev Distances'!$B$8:$K$8)&lt;&gt;COLUMN('Zhuravlev Distances'!E$8)))+SUMPRODUCT(('Zhuravlev Distances'!$B$8:$K$8='Zhuravlev Distances'!I$8)*(COLUMN('Zhuravlev Distances'!$B$8:$K$8)&lt;COLUMN('Zhuravlev Distances'!I$8))*(COLUMN('Zhuravlev Distances'!$B$8:$K$8)&lt;&gt;COLUMN('Zhuravlev Distances'!E$8)))</f>
        <v>1</v>
      </c>
      <c r="J8" s="74">
        <f>1+SUMPRODUCT(('Zhuravlev Distances'!$B$8:$K$8&lt;'Zhuravlev Distances'!J$8)*(COLUMN('Zhuravlev Distances'!$B$8:$K$8)&lt;&gt;COLUMN('Zhuravlev Distances'!E$8)))+SUMPRODUCT(('Zhuravlev Distances'!$B$8:$K$8='Zhuravlev Distances'!J$8)*(COLUMN('Zhuravlev Distances'!$B$8:$K$8)&lt;COLUMN('Zhuravlev Distances'!J$8))*(COLUMN('Zhuravlev Distances'!$B$8:$K$8)&lt;&gt;COLUMN('Zhuravlev Distances'!E$8)))</f>
        <v>3</v>
      </c>
      <c r="K8" s="74">
        <f>1+SUMPRODUCT(('Zhuravlev Distances'!$B$8:$K$8&lt;'Zhuravlev Distances'!K$8)*(COLUMN('Zhuravlev Distances'!$B$8:$K$8)&lt;&gt;COLUMN('Zhuravlev Distances'!E$8)))+SUMPRODUCT(('Zhuravlev Distances'!$B$8:$K$8='Zhuravlev Distances'!K$8)*(COLUMN('Zhuravlev Distances'!$B$8:$K$8)&lt;COLUMN('Zhuravlev Distances'!K$8))*(COLUMN('Zhuravlev Distances'!$B$8:$K$8)&lt;&gt;COLUMN('Zhuravlev Distances'!E$8)))</f>
        <v>8</v>
      </c>
    </row>
    <row r="9">
      <c r="A9" s="64" t="inlineStr">
        <is>
          <t xml:space="preserve">S₅</t>
        </is>
      </c>
      <c r="B9" s="74">
        <f>1+SUMPRODUCT(('Zhuravlev Distances'!$B$9:$K$9&lt;'Zhuravlev Distances'!B$9)*(COLUMN('Zhuravlev Distances'!$B$9:$K$9)&lt;&gt;COLUMN('Zhuravlev Distances'!F$9)))+SUMPRODUCT(('Zhuravlev Distances'!$B$9:$K$9='Zhuravlev Distances'!B$9)*(COLUMN('Zhuravlev Distances'!$B$9:$K$9)&lt;COLUMN('Zhuravlev Distances'!B$9))*(COLUMN('Zhuravlev Distances'!$B$9:$K$9)&lt;&gt;COLUMN('Zhuravlev Distances'!F$9)))</f>
        <v>4</v>
      </c>
      <c r="C9" s="74">
        <f>1+SUMPRODUCT(('Zhuravlev Distances'!$B$9:$K$9&lt;'Zhuravlev Distances'!C$9)*(COLUMN('Zhuravlev Distances'!$B$9:$K$9)&lt;&gt;COLUMN('Zhuravlev Distances'!F$9)))+SUMPRODUCT(('Zhuravlev Distances'!$B$9:$K$9='Zhuravlev Distances'!C$9)*(COLUMN('Zhuravlev Distances'!$B$9:$K$9)&lt;COLUMN('Zhuravlev Distances'!C$9))*(COLUMN('Zhuravlev Distances'!$B$9:$K$9)&lt;&gt;COLUMN('Zhuravlev Distances'!F$9)))</f>
        <v>6</v>
      </c>
      <c r="D9" s="74">
        <f>1+SUMPRODUCT(('Zhuravlev Distances'!$B$9:$K$9&lt;'Zhuravlev Distances'!D$9)*(COLUMN('Zhuravlev Distances'!$B$9:$K$9)&lt;&gt;COLUMN('Zhuravlev Distances'!F$9)))+SUMPRODUCT(('Zhuravlev Distances'!$B$9:$K$9='Zhuravlev Distances'!D$9)*(COLUMN('Zhuravlev Distances'!$B$9:$K$9)&lt;COLUMN('Zhuravlev Distances'!D$9))*(COLUMN('Zhuravlev Distances'!$B$9:$K$9)&lt;&gt;COLUMN('Zhuravlev Distances'!F$9)))</f>
        <v>1</v>
      </c>
      <c r="E9" s="74">
        <f>1+SUMPRODUCT(('Zhuravlev Distances'!$B$9:$K$9&lt;'Zhuravlev Distances'!E$9)*(COLUMN('Zhuravlev Distances'!$B$9:$K$9)&lt;&gt;COLUMN('Zhuravlev Distances'!F$9)))+SUMPRODUCT(('Zhuravlev Distances'!$B$9:$K$9='Zhuravlev Distances'!E$9)*(COLUMN('Zhuravlev Distances'!$B$9:$K$9)&lt;COLUMN('Zhuravlev Distances'!E$9))*(COLUMN('Zhuravlev Distances'!$B$9:$K$9)&lt;&gt;COLUMN('Zhuravlev Distances'!F$9)))</f>
        <v>3</v>
      </c>
      <c r="F9" s="75" t="inlineStr">
        <is>
          <t xml:space="preserve">—</t>
        </is>
      </c>
      <c r="G9" s="74">
        <f>1+SUMPRODUCT(('Zhuravlev Distances'!$B$9:$K$9&lt;'Zhuravlev Distances'!G$9)*(COLUMN('Zhuravlev Distances'!$B$9:$K$9)&lt;&gt;COLUMN('Zhuravlev Distances'!F$9)))+SUMPRODUCT(('Zhuravlev Distances'!$B$9:$K$9='Zhuravlev Distances'!G$9)*(COLUMN('Zhuravlev Distances'!$B$9:$K$9)&lt;COLUMN('Zhuravlev Distances'!G$9))*(COLUMN('Zhuravlev Distances'!$B$9:$K$9)&lt;&gt;COLUMN('Zhuravlev Distances'!F$9)))</f>
        <v>5</v>
      </c>
      <c r="H9" s="74">
        <f>1+SUMPRODUCT(('Zhuravlev Distances'!$B$9:$K$9&lt;'Zhuravlev Distances'!H$9)*(COLUMN('Zhuravlev Distances'!$B$9:$K$9)&lt;&gt;COLUMN('Zhuravlev Distances'!F$9)))+SUMPRODUCT(('Zhuravlev Distances'!$B$9:$K$9='Zhuravlev Distances'!H$9)*(COLUMN('Zhuravlev Distances'!$B$9:$K$9)&lt;COLUMN('Zhuravlev Distances'!H$9))*(COLUMN('Zhuravlev Distances'!$B$9:$K$9)&lt;&gt;COLUMN('Zhuravlev Distances'!F$9)))</f>
        <v>7</v>
      </c>
      <c r="I9" s="74">
        <f>1+SUMPRODUCT(('Zhuravlev Distances'!$B$9:$K$9&lt;'Zhuravlev Distances'!I$9)*(COLUMN('Zhuravlev Distances'!$B$9:$K$9)&lt;&gt;COLUMN('Zhuravlev Distances'!F$9)))+SUMPRODUCT(('Zhuravlev Distances'!$B$9:$K$9='Zhuravlev Distances'!I$9)*(COLUMN('Zhuravlev Distances'!$B$9:$K$9)&lt;COLUMN('Zhuravlev Distances'!I$9))*(COLUMN('Zhuravlev Distances'!$B$9:$K$9)&lt;&gt;COLUMN('Zhuravlev Distances'!F$9)))</f>
        <v>2</v>
      </c>
      <c r="J9" s="74">
        <f>1+SUMPRODUCT(('Zhuravlev Distances'!$B$9:$K$9&lt;'Zhuravlev Distances'!J$9)*(COLUMN('Zhuravlev Distances'!$B$9:$K$9)&lt;&gt;COLUMN('Zhuravlev Distances'!F$9)))+SUMPRODUCT(('Zhuravlev Distances'!$B$9:$K$9='Zhuravlev Distances'!J$9)*(COLUMN('Zhuravlev Distances'!$B$9:$K$9)&lt;COLUMN('Zhuravlev Distances'!J$9))*(COLUMN('Zhuravlev Distances'!$B$9:$K$9)&lt;&gt;COLUMN('Zhuravlev Distances'!F$9)))</f>
        <v>8</v>
      </c>
      <c r="K9" s="74">
        <f>1+SUMPRODUCT(('Zhuravlev Distances'!$B$9:$K$9&lt;'Zhuravlev Distances'!K$9)*(COLUMN('Zhuravlev Distances'!$B$9:$K$9)&lt;&gt;COLUMN('Zhuravlev Distances'!F$9)))+SUMPRODUCT(('Zhuravlev Distances'!$B$9:$K$9='Zhuravlev Distances'!K$9)*(COLUMN('Zhuravlev Distances'!$B$9:$K$9)&lt;COLUMN('Zhuravlev Distances'!K$9))*(COLUMN('Zhuravlev Distances'!$B$9:$K$9)&lt;&gt;COLUMN('Zhuravlev Distances'!F$9)))</f>
        <v>9</v>
      </c>
    </row>
    <row r="10">
      <c r="A10" s="64" t="inlineStr">
        <is>
          <t xml:space="preserve">S₆</t>
        </is>
      </c>
      <c r="B10" s="74">
        <f>1+SUMPRODUCT(('Zhuravlev Distances'!$B$10:$K$10&lt;'Zhuravlev Distances'!B$10)*(COLUMN('Zhuravlev Distances'!$B$10:$K$10)&lt;&gt;COLUMN('Zhuravlev Distances'!G$10)))+SUMPRODUCT(('Zhuravlev Distances'!$B$10:$K$10='Zhuravlev Distances'!B$10)*(COLUMN('Zhuravlev Distances'!$B$10:$K$10)&lt;COLUMN('Zhuravlev Distances'!B$10))*(COLUMN('Zhuravlev Distances'!$B$10:$K$10)&lt;&gt;COLUMN('Zhuravlev Distances'!G$10)))</f>
        <v>6</v>
      </c>
      <c r="C10" s="74">
        <f>1+SUMPRODUCT(('Zhuravlev Distances'!$B$10:$K$10&lt;'Zhuravlev Distances'!C$10)*(COLUMN('Zhuravlev Distances'!$B$10:$K$10)&lt;&gt;COLUMN('Zhuravlev Distances'!G$10)))+SUMPRODUCT(('Zhuravlev Distances'!$B$10:$K$10='Zhuravlev Distances'!C$10)*(COLUMN('Zhuravlev Distances'!$B$10:$K$10)&lt;COLUMN('Zhuravlev Distances'!C$10))*(COLUMN('Zhuravlev Distances'!$B$10:$K$10)&lt;&gt;COLUMN('Zhuravlev Distances'!G$10)))</f>
        <v>5</v>
      </c>
      <c r="D10" s="74">
        <f>1+SUMPRODUCT(('Zhuravlev Distances'!$B$10:$K$10&lt;'Zhuravlev Distances'!D$10)*(COLUMN('Zhuravlev Distances'!$B$10:$K$10)&lt;&gt;COLUMN('Zhuravlev Distances'!G$10)))+SUMPRODUCT(('Zhuravlev Distances'!$B$10:$K$10='Zhuravlev Distances'!D$10)*(COLUMN('Zhuravlev Distances'!$B$10:$K$10)&lt;COLUMN('Zhuravlev Distances'!D$10))*(COLUMN('Zhuravlev Distances'!$B$10:$K$10)&lt;&gt;COLUMN('Zhuravlev Distances'!G$10)))</f>
        <v>1</v>
      </c>
      <c r="E10" s="74">
        <f>1+SUMPRODUCT(('Zhuravlev Distances'!$B$10:$K$10&lt;'Zhuravlev Distances'!E$10)*(COLUMN('Zhuravlev Distances'!$B$10:$K$10)&lt;&gt;COLUMN('Zhuravlev Distances'!G$10)))+SUMPRODUCT(('Zhuravlev Distances'!$B$10:$K$10='Zhuravlev Distances'!E$10)*(COLUMN('Zhuravlev Distances'!$B$10:$K$10)&lt;COLUMN('Zhuravlev Distances'!E$10))*(COLUMN('Zhuravlev Distances'!$B$10:$K$10)&lt;&gt;COLUMN('Zhuravlev Distances'!G$10)))</f>
        <v>2</v>
      </c>
      <c r="F10" s="74">
        <f>1+SUMPRODUCT(('Zhuravlev Distances'!$B$10:$K$10&lt;'Zhuravlev Distances'!F$10)*(COLUMN('Zhuravlev Distances'!$B$10:$K$10)&lt;&gt;COLUMN('Zhuravlev Distances'!G$10)))+SUMPRODUCT(('Zhuravlev Distances'!$B$10:$K$10='Zhuravlev Distances'!F$10)*(COLUMN('Zhuravlev Distances'!$B$10:$K$10)&lt;COLUMN('Zhuravlev Distances'!F$10))*(COLUMN('Zhuravlev Distances'!$B$10:$K$10)&lt;&gt;COLUMN('Zhuravlev Distances'!G$10)))</f>
        <v>7</v>
      </c>
      <c r="G10" s="75" t="inlineStr">
        <is>
          <t xml:space="preserve">—</t>
        </is>
      </c>
      <c r="H10" s="74">
        <f>1+SUMPRODUCT(('Zhuravlev Distances'!$B$10:$K$10&lt;'Zhuravlev Distances'!H$10)*(COLUMN('Zhuravlev Distances'!$B$10:$K$10)&lt;&gt;COLUMN('Zhuravlev Distances'!G$10)))+SUMPRODUCT(('Zhuravlev Distances'!$B$10:$K$10='Zhuravlev Distances'!H$10)*(COLUMN('Zhuravlev Distances'!$B$10:$K$10)&lt;COLUMN('Zhuravlev Distances'!H$10))*(COLUMN('Zhuravlev Distances'!$B$10:$K$10)&lt;&gt;COLUMN('Zhuravlev Distances'!G$10)))</f>
        <v>9</v>
      </c>
      <c r="I10" s="74">
        <f>1+SUMPRODUCT(('Zhuravlev Distances'!$B$10:$K$10&lt;'Zhuravlev Distances'!I$10)*(COLUMN('Zhuravlev Distances'!$B$10:$K$10)&lt;&gt;COLUMN('Zhuravlev Distances'!G$10)))+SUMPRODUCT(('Zhuravlev Distances'!$B$10:$K$10='Zhuravlev Distances'!I$10)*(COLUMN('Zhuravlev Distances'!$B$10:$K$10)&lt;COLUMN('Zhuravlev Distances'!I$10))*(COLUMN('Zhuravlev Distances'!$B$10:$K$10)&lt;&gt;COLUMN('Zhuravlev Distances'!G$10)))</f>
        <v>3</v>
      </c>
      <c r="J10" s="74">
        <f>1+SUMPRODUCT(('Zhuravlev Distances'!$B$10:$K$10&lt;'Zhuravlev Distances'!J$10)*(COLUMN('Zhuravlev Distances'!$B$10:$K$10)&lt;&gt;COLUMN('Zhuravlev Distances'!G$10)))+SUMPRODUCT(('Zhuravlev Distances'!$B$10:$K$10='Zhuravlev Distances'!J$10)*(COLUMN('Zhuravlev Distances'!$B$10:$K$10)&lt;COLUMN('Zhuravlev Distances'!J$10))*(COLUMN('Zhuravlev Distances'!$B$10:$K$10)&lt;&gt;COLUMN('Zhuravlev Distances'!G$10)))</f>
        <v>4</v>
      </c>
      <c r="K10" s="74">
        <f>1+SUMPRODUCT(('Zhuravlev Distances'!$B$10:$K$10&lt;'Zhuravlev Distances'!K$10)*(COLUMN('Zhuravlev Distances'!$B$10:$K$10)&lt;&gt;COLUMN('Zhuravlev Distances'!G$10)))+SUMPRODUCT(('Zhuravlev Distances'!$B$10:$K$10='Zhuravlev Distances'!K$10)*(COLUMN('Zhuravlev Distances'!$B$10:$K$10)&lt;COLUMN('Zhuravlev Distances'!K$10))*(COLUMN('Zhuravlev Distances'!$B$10:$K$10)&lt;&gt;COLUMN('Zhuravlev Distances'!G$10)))</f>
        <v>8</v>
      </c>
    </row>
    <row r="11">
      <c r="A11" s="64" t="inlineStr">
        <is>
          <t xml:space="preserve">S₇</t>
        </is>
      </c>
      <c r="B11" s="74">
        <f>1+SUMPRODUCT(('Zhuravlev Distances'!$B$11:$K$11&lt;'Zhuravlev Distances'!B$11)*(COLUMN('Zhuravlev Distances'!$B$11:$K$11)&lt;&gt;COLUMN('Zhuravlev Distances'!H$11)))+SUMPRODUCT(('Zhuravlev Distances'!$B$11:$K$11='Zhuravlev Distances'!B$11)*(COLUMN('Zhuravlev Distances'!$B$11:$K$11)&lt;COLUMN('Zhuravlev Distances'!B$11))*(COLUMN('Zhuravlev Distances'!$B$11:$K$11)&lt;&gt;COLUMN('Zhuravlev Distances'!H$11)))</f>
        <v>4</v>
      </c>
      <c r="C11" s="74">
        <f>1+SUMPRODUCT(('Zhuravlev Distances'!$B$11:$K$11&lt;'Zhuravlev Distances'!C$11)*(COLUMN('Zhuravlev Distances'!$B$11:$K$11)&lt;&gt;COLUMN('Zhuravlev Distances'!H$11)))+SUMPRODUCT(('Zhuravlev Distances'!$B$11:$K$11='Zhuravlev Distances'!C$11)*(COLUMN('Zhuravlev Distances'!$B$11:$K$11)&lt;COLUMN('Zhuravlev Distances'!C$11))*(COLUMN('Zhuravlev Distances'!$B$11:$K$11)&lt;&gt;COLUMN('Zhuravlev Distances'!H$11)))</f>
        <v>6</v>
      </c>
      <c r="D11" s="74">
        <f>1+SUMPRODUCT(('Zhuravlev Distances'!$B$11:$K$11&lt;'Zhuravlev Distances'!D$11)*(COLUMN('Zhuravlev Distances'!$B$11:$K$11)&lt;&gt;COLUMN('Zhuravlev Distances'!H$11)))+SUMPRODUCT(('Zhuravlev Distances'!$B$11:$K$11='Zhuravlev Distances'!D$11)*(COLUMN('Zhuravlev Distances'!$B$11:$K$11)&lt;COLUMN('Zhuravlev Distances'!D$11))*(COLUMN('Zhuravlev Distances'!$B$11:$K$11)&lt;&gt;COLUMN('Zhuravlev Distances'!H$11)))</f>
        <v>5</v>
      </c>
      <c r="E11" s="74">
        <f>1+SUMPRODUCT(('Zhuravlev Distances'!$B$11:$K$11&lt;'Zhuravlev Distances'!E$11)*(COLUMN('Zhuravlev Distances'!$B$11:$K$11)&lt;&gt;COLUMN('Zhuravlev Distances'!H$11)))+SUMPRODUCT(('Zhuravlev Distances'!$B$11:$K$11='Zhuravlev Distances'!E$11)*(COLUMN('Zhuravlev Distances'!$B$11:$K$11)&lt;COLUMN('Zhuravlev Distances'!E$11))*(COLUMN('Zhuravlev Distances'!$B$11:$K$11)&lt;&gt;COLUMN('Zhuravlev Distances'!H$11)))</f>
        <v>2</v>
      </c>
      <c r="F11" s="74">
        <f>1+SUMPRODUCT(('Zhuravlev Distances'!$B$11:$K$11&lt;'Zhuravlev Distances'!F$11)*(COLUMN('Zhuravlev Distances'!$B$11:$K$11)&lt;&gt;COLUMN('Zhuravlev Distances'!H$11)))+SUMPRODUCT(('Zhuravlev Distances'!$B$11:$K$11='Zhuravlev Distances'!F$11)*(COLUMN('Zhuravlev Distances'!$B$11:$K$11)&lt;COLUMN('Zhuravlev Distances'!F$11))*(COLUMN('Zhuravlev Distances'!$B$11:$K$11)&lt;&gt;COLUMN('Zhuravlev Distances'!H$11)))</f>
        <v>7</v>
      </c>
      <c r="G11" s="74">
        <f>1+SUMPRODUCT(('Zhuravlev Distances'!$B$11:$K$11&lt;'Zhuravlev Distances'!G$11)*(COLUMN('Zhuravlev Distances'!$B$11:$K$11)&lt;&gt;COLUMN('Zhuravlev Distances'!H$11)))+SUMPRODUCT(('Zhuravlev Distances'!$B$11:$K$11='Zhuravlev Distances'!G$11)*(COLUMN('Zhuravlev Distances'!$B$11:$K$11)&lt;COLUMN('Zhuravlev Distances'!G$11))*(COLUMN('Zhuravlev Distances'!$B$11:$K$11)&lt;&gt;COLUMN('Zhuravlev Distances'!H$11)))</f>
        <v>8</v>
      </c>
      <c r="H11" s="75" t="inlineStr">
        <is>
          <t xml:space="preserve">—</t>
        </is>
      </c>
      <c r="I11" s="74">
        <f>1+SUMPRODUCT(('Zhuravlev Distances'!$B$11:$K$11&lt;'Zhuravlev Distances'!I$11)*(COLUMN('Zhuravlev Distances'!$B$11:$K$11)&lt;&gt;COLUMN('Zhuravlev Distances'!H$11)))+SUMPRODUCT(('Zhuravlev Distances'!$B$11:$K$11='Zhuravlev Distances'!I$11)*(COLUMN('Zhuravlev Distances'!$B$11:$K$11)&lt;COLUMN('Zhuravlev Distances'!I$11))*(COLUMN('Zhuravlev Distances'!$B$11:$K$11)&lt;&gt;COLUMN('Zhuravlev Distances'!H$11)))</f>
        <v>1</v>
      </c>
      <c r="J11" s="74">
        <f>1+SUMPRODUCT(('Zhuravlev Distances'!$B$11:$K$11&lt;'Zhuravlev Distances'!J$11)*(COLUMN('Zhuravlev Distances'!$B$11:$K$11)&lt;&gt;COLUMN('Zhuravlev Distances'!H$11)))+SUMPRODUCT(('Zhuravlev Distances'!$B$11:$K$11='Zhuravlev Distances'!J$11)*(COLUMN('Zhuravlev Distances'!$B$11:$K$11)&lt;COLUMN('Zhuravlev Distances'!J$11))*(COLUMN('Zhuravlev Distances'!$B$11:$K$11)&lt;&gt;COLUMN('Zhuravlev Distances'!H$11)))</f>
        <v>3</v>
      </c>
      <c r="K11" s="74">
        <f>1+SUMPRODUCT(('Zhuravlev Distances'!$B$11:$K$11&lt;'Zhuravlev Distances'!K$11)*(COLUMN('Zhuravlev Distances'!$B$11:$K$11)&lt;&gt;COLUMN('Zhuravlev Distances'!H$11)))+SUMPRODUCT(('Zhuravlev Distances'!$B$11:$K$11='Zhuravlev Distances'!K$11)*(COLUMN('Zhuravlev Distances'!$B$11:$K$11)&lt;COLUMN('Zhuravlev Distances'!K$11))*(COLUMN('Zhuravlev Distances'!$B$11:$K$11)&lt;&gt;COLUMN('Zhuravlev Distances'!H$11)))</f>
        <v>9</v>
      </c>
    </row>
    <row r="12">
      <c r="A12" s="64" t="inlineStr">
        <is>
          <t xml:space="preserve">S₈</t>
        </is>
      </c>
      <c r="B12" s="74">
        <f>1+SUMPRODUCT(('Zhuravlev Distances'!$B$12:$K$12&lt;'Zhuravlev Distances'!B$12)*(COLUMN('Zhuravlev Distances'!$B$12:$K$12)&lt;&gt;COLUMN('Zhuravlev Distances'!I$12)))+SUMPRODUCT(('Zhuravlev Distances'!$B$12:$K$12='Zhuravlev Distances'!B$12)*(COLUMN('Zhuravlev Distances'!$B$12:$K$12)&lt;COLUMN('Zhuravlev Distances'!B$12))*(COLUMN('Zhuravlev Distances'!$B$12:$K$12)&lt;&gt;COLUMN('Zhuravlev Distances'!I$12)))</f>
        <v>5</v>
      </c>
      <c r="C12" s="74">
        <f>1+SUMPRODUCT(('Zhuravlev Distances'!$B$12:$K$12&lt;'Zhuravlev Distances'!C$12)*(COLUMN('Zhuravlev Distances'!$B$12:$K$12)&lt;&gt;COLUMN('Zhuravlev Distances'!I$12)))+SUMPRODUCT(('Zhuravlev Distances'!$B$12:$K$12='Zhuravlev Distances'!C$12)*(COLUMN('Zhuravlev Distances'!$B$12:$K$12)&lt;COLUMN('Zhuravlev Distances'!C$12))*(COLUMN('Zhuravlev Distances'!$B$12:$K$12)&lt;&gt;COLUMN('Zhuravlev Distances'!I$12)))</f>
        <v>7</v>
      </c>
      <c r="D12" s="74">
        <f>1+SUMPRODUCT(('Zhuravlev Distances'!$B$12:$K$12&lt;'Zhuravlev Distances'!D$12)*(COLUMN('Zhuravlev Distances'!$B$12:$K$12)&lt;&gt;COLUMN('Zhuravlev Distances'!I$12)))+SUMPRODUCT(('Zhuravlev Distances'!$B$12:$K$12='Zhuravlev Distances'!D$12)*(COLUMN('Zhuravlev Distances'!$B$12:$K$12)&lt;COLUMN('Zhuravlev Distances'!D$12))*(COLUMN('Zhuravlev Distances'!$B$12:$K$12)&lt;&gt;COLUMN('Zhuravlev Distances'!I$12)))</f>
        <v>6</v>
      </c>
      <c r="E12" s="74">
        <f>1+SUMPRODUCT(('Zhuravlev Distances'!$B$12:$K$12&lt;'Zhuravlev Distances'!E$12)*(COLUMN('Zhuravlev Distances'!$B$12:$K$12)&lt;&gt;COLUMN('Zhuravlev Distances'!I$12)))+SUMPRODUCT(('Zhuravlev Distances'!$B$12:$K$12='Zhuravlev Distances'!E$12)*(COLUMN('Zhuravlev Distances'!$B$12:$K$12)&lt;COLUMN('Zhuravlev Distances'!E$12))*(COLUMN('Zhuravlev Distances'!$B$12:$K$12)&lt;&gt;COLUMN('Zhuravlev Distances'!I$12)))</f>
        <v>1</v>
      </c>
      <c r="F12" s="74">
        <f>1+SUMPRODUCT(('Zhuravlev Distances'!$B$12:$K$12&lt;'Zhuravlev Distances'!F$12)*(COLUMN('Zhuravlev Distances'!$B$12:$K$12)&lt;&gt;COLUMN('Zhuravlev Distances'!I$12)))+SUMPRODUCT(('Zhuravlev Distances'!$B$12:$K$12='Zhuravlev Distances'!F$12)*(COLUMN('Zhuravlev Distances'!$B$12:$K$12)&lt;COLUMN('Zhuravlev Distances'!F$12))*(COLUMN('Zhuravlev Distances'!$B$12:$K$12)&lt;&gt;COLUMN('Zhuravlev Distances'!I$12)))</f>
        <v>9</v>
      </c>
      <c r="G12" s="74">
        <f>1+SUMPRODUCT(('Zhuravlev Distances'!$B$12:$K$12&lt;'Zhuravlev Distances'!G$12)*(COLUMN('Zhuravlev Distances'!$B$12:$K$12)&lt;&gt;COLUMN('Zhuravlev Distances'!I$12)))+SUMPRODUCT(('Zhuravlev Distances'!$B$12:$K$12='Zhuravlev Distances'!G$12)*(COLUMN('Zhuravlev Distances'!$B$12:$K$12)&lt;COLUMN('Zhuravlev Distances'!G$12))*(COLUMN('Zhuravlev Distances'!$B$12:$K$12)&lt;&gt;COLUMN('Zhuravlev Distances'!I$12)))</f>
        <v>4</v>
      </c>
      <c r="H12" s="74">
        <f>1+SUMPRODUCT(('Zhuravlev Distances'!$B$12:$K$12&lt;'Zhuravlev Distances'!H$12)*(COLUMN('Zhuravlev Distances'!$B$12:$K$12)&lt;&gt;COLUMN('Zhuravlev Distances'!I$12)))+SUMPRODUCT(('Zhuravlev Distances'!$B$12:$K$12='Zhuravlev Distances'!H$12)*(COLUMN('Zhuravlev Distances'!$B$12:$K$12)&lt;COLUMN('Zhuravlev Distances'!H$12))*(COLUMN('Zhuravlev Distances'!$B$12:$K$12)&lt;&gt;COLUMN('Zhuravlev Distances'!I$12)))</f>
        <v>3</v>
      </c>
      <c r="I12" s="75" t="inlineStr">
        <is>
          <t xml:space="preserve">—</t>
        </is>
      </c>
      <c r="J12" s="74">
        <f>1+SUMPRODUCT(('Zhuravlev Distances'!$B$12:$K$12&lt;'Zhuravlev Distances'!J$12)*(COLUMN('Zhuravlev Distances'!$B$12:$K$12)&lt;&gt;COLUMN('Zhuravlev Distances'!I$12)))+SUMPRODUCT(('Zhuravlev Distances'!$B$12:$K$12='Zhuravlev Distances'!J$12)*(COLUMN('Zhuravlev Distances'!$B$12:$K$12)&lt;COLUMN('Zhuravlev Distances'!J$12))*(COLUMN('Zhuravlev Distances'!$B$12:$K$12)&lt;&gt;COLUMN('Zhuravlev Distances'!I$12)))</f>
        <v>2</v>
      </c>
      <c r="K12" s="74">
        <f>1+SUMPRODUCT(('Zhuravlev Distances'!$B$12:$K$12&lt;'Zhuravlev Distances'!K$12)*(COLUMN('Zhuravlev Distances'!$B$12:$K$12)&lt;&gt;COLUMN('Zhuravlev Distances'!I$12)))+SUMPRODUCT(('Zhuravlev Distances'!$B$12:$K$12='Zhuravlev Distances'!K$12)*(COLUMN('Zhuravlev Distances'!$B$12:$K$12)&lt;COLUMN('Zhuravlev Distances'!K$12))*(COLUMN('Zhuravlev Distances'!$B$12:$K$12)&lt;&gt;COLUMN('Zhuravlev Distances'!I$12)))</f>
        <v>8</v>
      </c>
    </row>
    <row r="13">
      <c r="A13" s="64" t="inlineStr">
        <is>
          <t xml:space="preserve">S₉</t>
        </is>
      </c>
      <c r="B13" s="74">
        <f>1+SUMPRODUCT(('Zhuravlev Distances'!$B$13:$K$13&lt;'Zhuravlev Distances'!B$13)*(COLUMN('Zhuravlev Distances'!$B$13:$K$13)&lt;&gt;COLUMN('Zhuravlev Distances'!J$13)))+SUMPRODUCT(('Zhuravlev Distances'!$B$13:$K$13='Zhuravlev Distances'!B$13)*(COLUMN('Zhuravlev Distances'!$B$13:$K$13)&lt;COLUMN('Zhuravlev Distances'!B$13))*(COLUMN('Zhuravlev Distances'!$B$13:$K$13)&lt;&gt;COLUMN('Zhuravlev Distances'!J$13)))</f>
        <v>3</v>
      </c>
      <c r="C13" s="74">
        <f>1+SUMPRODUCT(('Zhuravlev Distances'!$B$13:$K$13&lt;'Zhuravlev Distances'!C$13)*(COLUMN('Zhuravlev Distances'!$B$13:$K$13)&lt;&gt;COLUMN('Zhuravlev Distances'!J$13)))+SUMPRODUCT(('Zhuravlev Distances'!$B$13:$K$13='Zhuravlev Distances'!C$13)*(COLUMN('Zhuravlev Distances'!$B$13:$K$13)&lt;COLUMN('Zhuravlev Distances'!C$13))*(COLUMN('Zhuravlev Distances'!$B$13:$K$13)&lt;&gt;COLUMN('Zhuravlev Distances'!J$13)))</f>
        <v>6</v>
      </c>
      <c r="D13" s="74">
        <f>1+SUMPRODUCT(('Zhuravlev Distances'!$B$13:$K$13&lt;'Zhuravlev Distances'!D$13)*(COLUMN('Zhuravlev Distances'!$B$13:$K$13)&lt;&gt;COLUMN('Zhuravlev Distances'!J$13)))+SUMPRODUCT(('Zhuravlev Distances'!$B$13:$K$13='Zhuravlev Distances'!D$13)*(COLUMN('Zhuravlev Distances'!$B$13:$K$13)&lt;COLUMN('Zhuravlev Distances'!D$13))*(COLUMN('Zhuravlev Distances'!$B$13:$K$13)&lt;&gt;COLUMN('Zhuravlev Distances'!J$13)))</f>
        <v>7</v>
      </c>
      <c r="E13" s="74">
        <f>1+SUMPRODUCT(('Zhuravlev Distances'!$B$13:$K$13&lt;'Zhuravlev Distances'!E$13)*(COLUMN('Zhuravlev Distances'!$B$13:$K$13)&lt;&gt;COLUMN('Zhuravlev Distances'!J$13)))+SUMPRODUCT(('Zhuravlev Distances'!$B$13:$K$13='Zhuravlev Distances'!E$13)*(COLUMN('Zhuravlev Distances'!$B$13:$K$13)&lt;COLUMN('Zhuravlev Distances'!E$13))*(COLUMN('Zhuravlev Distances'!$B$13:$K$13)&lt;&gt;COLUMN('Zhuravlev Distances'!J$13)))</f>
        <v>4</v>
      </c>
      <c r="F13" s="74">
        <f>1+SUMPRODUCT(('Zhuravlev Distances'!$B$13:$K$13&lt;'Zhuravlev Distances'!F$13)*(COLUMN('Zhuravlev Distances'!$B$13:$K$13)&lt;&gt;COLUMN('Zhuravlev Distances'!J$13)))+SUMPRODUCT(('Zhuravlev Distances'!$B$13:$K$13='Zhuravlev Distances'!F$13)*(COLUMN('Zhuravlev Distances'!$B$13:$K$13)&lt;COLUMN('Zhuravlev Distances'!F$13))*(COLUMN('Zhuravlev Distances'!$B$13:$K$13)&lt;&gt;COLUMN('Zhuravlev Distances'!J$13)))</f>
        <v>9</v>
      </c>
      <c r="G13" s="74">
        <f>1+SUMPRODUCT(('Zhuravlev Distances'!$B$13:$K$13&lt;'Zhuravlev Distances'!G$13)*(COLUMN('Zhuravlev Distances'!$B$13:$K$13)&lt;&gt;COLUMN('Zhuravlev Distances'!J$13)))+SUMPRODUCT(('Zhuravlev Distances'!$B$13:$K$13='Zhuravlev Distances'!G$13)*(COLUMN('Zhuravlev Distances'!$B$13:$K$13)&lt;COLUMN('Zhuravlev Distances'!G$13))*(COLUMN('Zhuravlev Distances'!$B$13:$K$13)&lt;&gt;COLUMN('Zhuravlev Distances'!J$13)))</f>
        <v>5</v>
      </c>
      <c r="H13" s="74">
        <f>1+SUMPRODUCT(('Zhuravlev Distances'!$B$13:$K$13&lt;'Zhuravlev Distances'!H$13)*(COLUMN('Zhuravlev Distances'!$B$13:$K$13)&lt;&gt;COLUMN('Zhuravlev Distances'!J$13)))+SUMPRODUCT(('Zhuravlev Distances'!$B$13:$K$13='Zhuravlev Distances'!H$13)*(COLUMN('Zhuravlev Distances'!$B$13:$K$13)&lt;COLUMN('Zhuravlev Distances'!H$13))*(COLUMN('Zhuravlev Distances'!$B$13:$K$13)&lt;&gt;COLUMN('Zhuravlev Distances'!J$13)))</f>
        <v>8</v>
      </c>
      <c r="I13" s="74">
        <f>1+SUMPRODUCT(('Zhuravlev Distances'!$B$13:$K$13&lt;'Zhuravlev Distances'!I$13)*(COLUMN('Zhuravlev Distances'!$B$13:$K$13)&lt;&gt;COLUMN('Zhuravlev Distances'!J$13)))+SUMPRODUCT(('Zhuravlev Distances'!$B$13:$K$13='Zhuravlev Distances'!I$13)*(COLUMN('Zhuravlev Distances'!$B$13:$K$13)&lt;COLUMN('Zhuravlev Distances'!I$13))*(COLUMN('Zhuravlev Distances'!$B$13:$K$13)&lt;&gt;COLUMN('Zhuravlev Distances'!J$13)))</f>
        <v>1</v>
      </c>
      <c r="J13" s="75" t="inlineStr">
        <is>
          <t xml:space="preserve">—</t>
        </is>
      </c>
      <c r="K13" s="74">
        <f>1+SUMPRODUCT(('Zhuravlev Distances'!$B$13:$K$13&lt;'Zhuravlev Distances'!K$13)*(COLUMN('Zhuravlev Distances'!$B$13:$K$13)&lt;&gt;COLUMN('Zhuravlev Distances'!J$13)))+SUMPRODUCT(('Zhuravlev Distances'!$B$13:$K$13='Zhuravlev Distances'!K$13)*(COLUMN('Zhuravlev Distances'!$B$13:$K$13)&lt;COLUMN('Zhuravlev Distances'!K$13))*(COLUMN('Zhuravlev Distances'!$B$13:$K$13)&lt;&gt;COLUMN('Zhuravlev Distances'!J$13)))</f>
        <v>2</v>
      </c>
    </row>
    <row r="14">
      <c r="A14" s="64" t="inlineStr">
        <is>
          <t xml:space="preserve">S₁₀</t>
        </is>
      </c>
      <c r="B14" s="74">
        <f>1+SUMPRODUCT(('Zhuravlev Distances'!$B$14:$K$14&lt;'Zhuravlev Distances'!B$14)*(COLUMN('Zhuravlev Distances'!$B$14:$K$14)&lt;&gt;COLUMN('Zhuravlev Distances'!K$14)))+SUMPRODUCT(('Zhuravlev Distances'!$B$14:$K$14='Zhuravlev Distances'!B$14)*(COLUMN('Zhuravlev Distances'!$B$14:$K$14)&lt;COLUMN('Zhuravlev Distances'!B$14))*(COLUMN('Zhuravlev Distances'!$B$14:$K$14)&lt;&gt;COLUMN('Zhuravlev Distances'!K$14)))</f>
        <v>2</v>
      </c>
      <c r="C14" s="74">
        <f>1+SUMPRODUCT(('Zhuravlev Distances'!$B$14:$K$14&lt;'Zhuravlev Distances'!C$14)*(COLUMN('Zhuravlev Distances'!$B$14:$K$14)&lt;&gt;COLUMN('Zhuravlev Distances'!K$14)))+SUMPRODUCT(('Zhuravlev Distances'!$B$14:$K$14='Zhuravlev Distances'!C$14)*(COLUMN('Zhuravlev Distances'!$B$14:$K$14)&lt;COLUMN('Zhuravlev Distances'!C$14))*(COLUMN('Zhuravlev Distances'!$B$14:$K$14)&lt;&gt;COLUMN('Zhuravlev Distances'!K$14)))</f>
        <v>3</v>
      </c>
      <c r="D14" s="74">
        <f>1+SUMPRODUCT(('Zhuravlev Distances'!$B$14:$K$14&lt;'Zhuravlev Distances'!D$14)*(COLUMN('Zhuravlev Distances'!$B$14:$K$14)&lt;&gt;COLUMN('Zhuravlev Distances'!K$14)))+SUMPRODUCT(('Zhuravlev Distances'!$B$14:$K$14='Zhuravlev Distances'!D$14)*(COLUMN('Zhuravlev Distances'!$B$14:$K$14)&lt;COLUMN('Zhuravlev Distances'!D$14))*(COLUMN('Zhuravlev Distances'!$B$14:$K$14)&lt;&gt;COLUMN('Zhuravlev Distances'!K$14)))</f>
        <v>7</v>
      </c>
      <c r="E14" s="74">
        <f>1+SUMPRODUCT(('Zhuravlev Distances'!$B$14:$K$14&lt;'Zhuravlev Distances'!E$14)*(COLUMN('Zhuravlev Distances'!$B$14:$K$14)&lt;&gt;COLUMN('Zhuravlev Distances'!K$14)))+SUMPRODUCT(('Zhuravlev Distances'!$B$14:$K$14='Zhuravlev Distances'!E$14)*(COLUMN('Zhuravlev Distances'!$B$14:$K$14)&lt;COLUMN('Zhuravlev Distances'!E$14))*(COLUMN('Zhuravlev Distances'!$B$14:$K$14)&lt;&gt;COLUMN('Zhuravlev Distances'!K$14)))</f>
        <v>5</v>
      </c>
      <c r="F14" s="74">
        <f>1+SUMPRODUCT(('Zhuravlev Distances'!$B$14:$K$14&lt;'Zhuravlev Distances'!F$14)*(COLUMN('Zhuravlev Distances'!$B$14:$K$14)&lt;&gt;COLUMN('Zhuravlev Distances'!K$14)))+SUMPRODUCT(('Zhuravlev Distances'!$B$14:$K$14='Zhuravlev Distances'!F$14)*(COLUMN('Zhuravlev Distances'!$B$14:$K$14)&lt;COLUMN('Zhuravlev Distances'!F$14))*(COLUMN('Zhuravlev Distances'!$B$14:$K$14)&lt;&gt;COLUMN('Zhuravlev Distances'!K$14)))</f>
        <v>8</v>
      </c>
      <c r="G14" s="74">
        <f>1+SUMPRODUCT(('Zhuravlev Distances'!$B$14:$K$14&lt;'Zhuravlev Distances'!G$14)*(COLUMN('Zhuravlev Distances'!$B$14:$K$14)&lt;&gt;COLUMN('Zhuravlev Distances'!K$14)))+SUMPRODUCT(('Zhuravlev Distances'!$B$14:$K$14='Zhuravlev Distances'!G$14)*(COLUMN('Zhuravlev Distances'!$B$14:$K$14)&lt;COLUMN('Zhuravlev Distances'!G$14))*(COLUMN('Zhuravlev Distances'!$B$14:$K$14)&lt;&gt;COLUMN('Zhuravlev Distances'!K$14)))</f>
        <v>6</v>
      </c>
      <c r="H14" s="74">
        <f>1+SUMPRODUCT(('Zhuravlev Distances'!$B$14:$K$14&lt;'Zhuravlev Distances'!H$14)*(COLUMN('Zhuravlev Distances'!$B$14:$K$14)&lt;&gt;COLUMN('Zhuravlev Distances'!K$14)))+SUMPRODUCT(('Zhuravlev Distances'!$B$14:$K$14='Zhuravlev Distances'!H$14)*(COLUMN('Zhuravlev Distances'!$B$14:$K$14)&lt;COLUMN('Zhuravlev Distances'!H$14))*(COLUMN('Zhuravlev Distances'!$B$14:$K$14)&lt;&gt;COLUMN('Zhuravlev Distances'!K$14)))</f>
        <v>9</v>
      </c>
      <c r="I14" s="74">
        <f>1+SUMPRODUCT(('Zhuravlev Distances'!$B$14:$K$14&lt;'Zhuravlev Distances'!I$14)*(COLUMN('Zhuravlev Distances'!$B$14:$K$14)&lt;&gt;COLUMN('Zhuravlev Distances'!K$14)))+SUMPRODUCT(('Zhuravlev Distances'!$B$14:$K$14='Zhuravlev Distances'!I$14)*(COLUMN('Zhuravlev Distances'!$B$14:$K$14)&lt;COLUMN('Zhuravlev Distances'!I$14))*(COLUMN('Zhuravlev Distances'!$B$14:$K$14)&lt;&gt;COLUMN('Zhuravlev Distances'!K$14)))</f>
        <v>4</v>
      </c>
      <c r="J14" s="74">
        <f>1+SUMPRODUCT(('Zhuravlev Distances'!$B$14:$K$14&lt;'Zhuravlev Distances'!J$14)*(COLUMN('Zhuravlev Distances'!$B$14:$K$14)&lt;&gt;COLUMN('Zhuravlev Distances'!K$14)))+SUMPRODUCT(('Zhuravlev Distances'!$B$14:$K$14='Zhuravlev Distances'!J$14)*(COLUMN('Zhuravlev Distances'!$B$14:$K$14)&lt;COLUMN('Zhuravlev Distances'!J$14))*(COLUMN('Zhuravlev Distances'!$B$14:$K$14)&lt;&gt;COLUMN('Zhuravlev Distances'!K$14)))</f>
        <v>1</v>
      </c>
      <c r="K14" s="75" t="inlineStr">
        <is>
          <t xml:space="preserve">—</t>
        </is>
      </c>
    </row>
    <row r="15"/>
    <row r="16">
      <c r="A16" s="59" t="str">
        <f>"S₁  ·  class "&amp;Dataset!$O$3&amp;"  —  neighbours in ascending ρ  (target row 5 of the rank matrix)"</f>
        <v>S₁  ·  class 2  —  neighbours in ascending ρ  (target row 5 of the rank matrix)</v>
      </c>
      <c r="B16" s="59"/>
      <c r="C16" s="59"/>
      <c r="D16" s="59"/>
      <c r="E16" s="59"/>
      <c r="F16" s="59"/>
      <c r="G16" s="59"/>
      <c r="H16" s="59"/>
      <c r="I16" s="59"/>
      <c r="J16" s="59"/>
    </row>
    <row r="17">
      <c r="A17" s="60" t="inlineStr">
        <is>
          <t xml:space="preserve">Rank</t>
        </is>
      </c>
      <c r="B17" s="60">
        <v>1</v>
      </c>
      <c r="C17" s="60">
        <v>2</v>
      </c>
      <c r="D17" s="60">
        <v>3</v>
      </c>
      <c r="E17" s="60">
        <v>4</v>
      </c>
      <c r="F17" s="60">
        <v>5</v>
      </c>
      <c r="G17" s="60">
        <v>6</v>
      </c>
      <c r="H17" s="60">
        <v>7</v>
      </c>
      <c r="I17" s="60">
        <v>8</v>
      </c>
      <c r="J17" s="60">
        <v>9</v>
      </c>
    </row>
    <row r="18">
      <c r="A18" s="65" t="inlineStr">
        <is>
          <t xml:space="preserve">k-neighbourhood</t>
        </is>
      </c>
      <c r="B18" s="78" t="str">
        <f>IF(AND(B$17&gt;='Parameters'!$B$9,B$17&lt;='Parameters'!$B$10,MOD(B$17-'Parameters'!$B$9,2)=0),"k = "&amp;B$17,"")</f>
        <v/>
      </c>
      <c r="C18" s="78" t="str">
        <f>IF(AND(C$17&gt;='Parameters'!$B$9,C$17&lt;='Parameters'!$B$10,MOD(C$17-'Parameters'!$B$9,2)=0),"k = "&amp;C$17,"")</f>
        <v/>
      </c>
      <c r="D18" s="78" t="str">
        <f>IF(AND(D$17&gt;='Parameters'!$B$9,D$17&lt;='Parameters'!$B$10,MOD(D$17-'Parameters'!$B$9,2)=0),"k = "&amp;D$17,"")</f>
        <v>k = 3</v>
      </c>
      <c r="E18" s="78" t="str">
        <f>IF(AND(E$17&gt;='Parameters'!$B$9,E$17&lt;='Parameters'!$B$10,MOD(E$17-'Parameters'!$B$9,2)=0),"k = "&amp;E$17,"")</f>
        <v/>
      </c>
      <c r="F18" s="78" t="str">
        <f>IF(AND(F$17&gt;='Parameters'!$B$9,F$17&lt;='Parameters'!$B$10,MOD(F$17-'Parameters'!$B$9,2)=0),"k = "&amp;F$17,"")</f>
        <v>k = 5</v>
      </c>
      <c r="G18" s="78" t="str">
        <f>IF(AND(G$17&gt;='Parameters'!$B$9,G$17&lt;='Parameters'!$B$10,MOD(G$17-'Parameters'!$B$9,2)=0),"k = "&amp;G$17,"")</f>
        <v/>
      </c>
      <c r="H18" s="78" t="str">
        <f>IF(AND(H$17&gt;='Parameters'!$B$9,H$17&lt;='Parameters'!$B$10,MOD(H$17-'Parameters'!$B$9,2)=0),"k = "&amp;H$17,"")</f>
        <v/>
      </c>
      <c r="I18" s="78" t="str">
        <f>IF(AND(I$17&gt;='Parameters'!$B$9,I$17&lt;='Parameters'!$B$10,MOD(I$17-'Parameters'!$B$9,2)=0),"k = "&amp;I$17,"")</f>
        <v/>
      </c>
      <c r="J18" s="78" t="str">
        <f>IF(AND(J$17&gt;='Parameters'!$B$9,J$17&lt;='Parameters'!$B$10,MOD(J$17-'Parameters'!$B$9,2)=0),"k = "&amp;J$17,"")</f>
        <v/>
      </c>
    </row>
    <row r="19">
      <c r="A19" s="65" t="inlineStr">
        <is>
          <t xml:space="preserve">Neighbour</t>
        </is>
      </c>
      <c r="B19" s="64" t="str">
        <f>INDEX('Zhuravlev Distances'!$B$4:$K$4,B20)</f>
        <v>S₉</v>
      </c>
      <c r="C19" s="64" t="str">
        <f>INDEX('Zhuravlev Distances'!$B$4:$K$4,C20)</f>
        <v>S₁₀</v>
      </c>
      <c r="D19" s="64" t="str">
        <f>INDEX('Zhuravlev Distances'!$B$4:$K$4,D20)</f>
        <v>S₈</v>
      </c>
      <c r="E19" s="64" t="str">
        <f>INDEX('Zhuravlev Distances'!$B$4:$K$4,E20)</f>
        <v>S₄</v>
      </c>
      <c r="F19" s="64" t="str">
        <f>INDEX('Zhuravlev Distances'!$B$4:$K$4,F20)</f>
        <v>S₆</v>
      </c>
      <c r="G19" s="64" t="str">
        <f>INDEX('Zhuravlev Distances'!$B$4:$K$4,G20)</f>
        <v>S₅</v>
      </c>
      <c r="H19" s="64" t="str">
        <f>INDEX('Zhuravlev Distances'!$B$4:$K$4,H20)</f>
        <v>S₂</v>
      </c>
      <c r="I19" s="64" t="str">
        <f>INDEX('Zhuravlev Distances'!$B$4:$K$4,I20)</f>
        <v>S₇</v>
      </c>
      <c r="J19" s="64" t="str">
        <f>INDEX('Zhuravlev Distances'!$B$4:$K$4,J20)</f>
        <v>S₃</v>
      </c>
    </row>
    <row r="20">
      <c r="A20" s="65" t="inlineStr">
        <is>
          <t xml:space="preserve">Original index</t>
        </is>
      </c>
      <c r="B20" s="76">
        <f>MATCH(B$17,$B$5:$K$5,0)</f>
        <v>9</v>
      </c>
      <c r="C20" s="76">
        <f>MATCH(C$17,$B$5:$K$5,0)</f>
        <v>10</v>
      </c>
      <c r="D20" s="76">
        <f>MATCH(D$17,$B$5:$K$5,0)</f>
        <v>8</v>
      </c>
      <c r="E20" s="76">
        <f>MATCH(E$17,$B$5:$K$5,0)</f>
        <v>4</v>
      </c>
      <c r="F20" s="76">
        <f>MATCH(F$17,$B$5:$K$5,0)</f>
        <v>6</v>
      </c>
      <c r="G20" s="76">
        <f>MATCH(G$17,$B$5:$K$5,0)</f>
        <v>5</v>
      </c>
      <c r="H20" s="76">
        <f>MATCH(H$17,$B$5:$K$5,0)</f>
        <v>2</v>
      </c>
      <c r="I20" s="76">
        <f>MATCH(I$17,$B$5:$K$5,0)</f>
        <v>7</v>
      </c>
      <c r="J20" s="76">
        <f>MATCH(J$17,$B$5:$K$5,0)</f>
        <v>3</v>
      </c>
    </row>
    <row r="21">
      <c r="A21" s="65" t="inlineStr">
        <is>
          <t xml:space="preserve">ρ(S₁, neighbour)</t>
        </is>
      </c>
      <c r="B21" s="72">
        <f>INDEX('Zhuravlev Distances'!$B$5:$K$5,B20)</f>
        <v>3.4680753016</v>
      </c>
      <c r="C21" s="72">
        <f>INDEX('Zhuravlev Distances'!$B$5:$K$5,C20)</f>
        <v>4.2218874557</v>
      </c>
      <c r="D21" s="72">
        <f>INDEX('Zhuravlev Distances'!$B$5:$K$5,D20)</f>
        <v>4.8157298434</v>
      </c>
      <c r="E21" s="72">
        <f>INDEX('Zhuravlev Distances'!$B$5:$K$5,E20)</f>
        <v>4.8429406103</v>
      </c>
      <c r="F21" s="72">
        <f>INDEX('Zhuravlev Distances'!$B$5:$K$5,F20)</f>
        <v>5.9056936468</v>
      </c>
      <c r="G21" s="72">
        <f>INDEX('Zhuravlev Distances'!$B$5:$K$5,G20)</f>
        <v>6.0394025463</v>
      </c>
      <c r="H21" s="72">
        <f>INDEX('Zhuravlev Distances'!$B$5:$K$5,H20)</f>
        <v>6.1621313645</v>
      </c>
      <c r="I21" s="72">
        <f>INDEX('Zhuravlev Distances'!$B$5:$K$5,I20)</f>
        <v>6.5963635983</v>
      </c>
      <c r="J21" s="72">
        <f>INDEX('Zhuravlev Distances'!$B$5:$K$5,J20)</f>
        <v>7.0747842325</v>
      </c>
    </row>
    <row r="22">
      <c r="A22" s="65" t="inlineStr">
        <is>
          <t xml:space="preserve">Class</t>
        </is>
      </c>
      <c r="B22" s="68">
        <f>INDEX(Dataset!$O$3:$O$12,B20)</f>
        <v>2</v>
      </c>
      <c r="C22" s="68">
        <f>INDEX(Dataset!$O$3:$O$12,C20)</f>
        <v>2</v>
      </c>
      <c r="D22" s="68">
        <f>INDEX(Dataset!$O$3:$O$12,D20)</f>
        <v>2</v>
      </c>
      <c r="E22" s="68">
        <f>INDEX(Dataset!$O$3:$O$12,E20)</f>
        <v>1</v>
      </c>
      <c r="F22" s="68">
        <f>INDEX(Dataset!$O$3:$O$12,F20)</f>
        <v>1</v>
      </c>
      <c r="G22" s="68">
        <f>INDEX(Dataset!$O$3:$O$12,G20)</f>
        <v>1</v>
      </c>
      <c r="H22" s="68">
        <f>INDEX(Dataset!$O$3:$O$12,H20)</f>
        <v>1</v>
      </c>
      <c r="I22" s="68">
        <f>INDEX(Dataset!$O$3:$O$12,I20)</f>
        <v>2</v>
      </c>
      <c r="J22" s="68">
        <f>INDEX(Dataset!$O$3:$O$12,J20)</f>
        <v>2</v>
      </c>
    </row>
    <row r="23">
      <c r="A23" s="65" t="inlineStr">
        <is>
          <t xml:space="preserve">Same class as S₁</t>
        </is>
      </c>
      <c r="B23" s="74">
        <f>IF(B22=Dataset!$O$3,1,0)</f>
        <v>1</v>
      </c>
      <c r="C23" s="74">
        <f>IF(C22=Dataset!$O$3,1,0)</f>
        <v>1</v>
      </c>
      <c r="D23" s="74">
        <f>IF(D22=Dataset!$O$3,1,0)</f>
        <v>1</v>
      </c>
      <c r="E23" s="74">
        <f>IF(E22=Dataset!$O$3,1,0)</f>
        <v>0</v>
      </c>
      <c r="F23" s="74">
        <f>IF(F22=Dataset!$O$3,1,0)</f>
        <v>0</v>
      </c>
      <c r="G23" s="74">
        <f>IF(G22=Dataset!$O$3,1,0)</f>
        <v>0</v>
      </c>
      <c r="H23" s="74">
        <f>IF(H22=Dataset!$O$3,1,0)</f>
        <v>0</v>
      </c>
      <c r="I23" s="74">
        <f>IF(I22=Dataset!$O$3,1,0)</f>
        <v>1</v>
      </c>
      <c r="J23" s="74">
        <f>IF(J22=Dataset!$O$3,1,0)</f>
        <v>1</v>
      </c>
    </row>
    <row r="24">
      <c r="A24" s="65" t="inlineStr">
        <is>
          <t xml:space="preserve">Same-class count μ (1 … rank)</t>
        </is>
      </c>
      <c r="B24" s="74">
        <f>SUM($B23:B23)</f>
        <v>1</v>
      </c>
      <c r="C24" s="74">
        <f>SUM($B23:C23)</f>
        <v>2</v>
      </c>
      <c r="D24" s="74">
        <f>SUM($B23:D23)</f>
        <v>3</v>
      </c>
      <c r="E24" s="74">
        <f>SUM($B23:E23)</f>
        <v>3</v>
      </c>
      <c r="F24" s="74">
        <f>SUM($B23:F23)</f>
        <v>3</v>
      </c>
      <c r="G24" s="74">
        <f>SUM($B23:G23)</f>
        <v>3</v>
      </c>
      <c r="H24" s="74">
        <f>SUM($B23:H23)</f>
        <v>3</v>
      </c>
      <c r="I24" s="74">
        <f>SUM($B23:I23)</f>
        <v>4</v>
      </c>
      <c r="J24" s="74">
        <f>SUM($B23:J23)</f>
        <v>5</v>
      </c>
    </row>
    <row r="25">
      <c r="A25" s="65" t="inlineStr">
        <is>
          <t xml:space="preserve">K1 count χ₁ (1 … rank)</t>
        </is>
      </c>
      <c r="B25" s="74">
        <f>COUNTIF($B22:B22,1)</f>
        <v>0</v>
      </c>
      <c r="C25" s="74">
        <f>COUNTIF($B22:C22,1)</f>
        <v>0</v>
      </c>
      <c r="D25" s="74">
        <f>COUNTIF($B22:D22,1)</f>
        <v>0</v>
      </c>
      <c r="E25" s="74">
        <f>COUNTIF($B22:E22,1)</f>
        <v>1</v>
      </c>
      <c r="F25" s="74">
        <f>COUNTIF($B22:F22,1)</f>
        <v>2</v>
      </c>
      <c r="G25" s="74">
        <f>COUNTIF($B22:G22,1)</f>
        <v>3</v>
      </c>
      <c r="H25" s="74">
        <f>COUNTIF($B22:H22,1)</f>
        <v>4</v>
      </c>
      <c r="I25" s="74">
        <f>COUNTIF($B22:I22,1)</f>
        <v>4</v>
      </c>
      <c r="J25" s="74">
        <f>COUNTIF($B22:J22,1)</f>
        <v>4</v>
      </c>
    </row>
    <row r="26"/>
    <row r="27">
      <c r="A27" s="59" t="str">
        <f>"S₂  ·  class "&amp;Dataset!$O$4&amp;"  —  neighbours in ascending ρ  (target row 6 of the rank matrix)"</f>
        <v>S₂  ·  class 1  —  neighbours in ascending ρ  (target row 6 of the rank matrix)</v>
      </c>
      <c r="B27" s="59"/>
      <c r="C27" s="59"/>
      <c r="D27" s="59"/>
      <c r="E27" s="59"/>
      <c r="F27" s="59"/>
      <c r="G27" s="59"/>
      <c r="H27" s="59"/>
      <c r="I27" s="59"/>
      <c r="J27" s="59"/>
    </row>
    <row r="28">
      <c r="A28" s="60" t="inlineStr">
        <is>
          <t xml:space="preserve">Rank</t>
        </is>
      </c>
      <c r="B28" s="60">
        <v>1</v>
      </c>
      <c r="C28" s="60">
        <v>2</v>
      </c>
      <c r="D28" s="60">
        <v>3</v>
      </c>
      <c r="E28" s="60">
        <v>4</v>
      </c>
      <c r="F28" s="60">
        <v>5</v>
      </c>
      <c r="G28" s="60">
        <v>6</v>
      </c>
      <c r="H28" s="60">
        <v>7</v>
      </c>
      <c r="I28" s="60">
        <v>8</v>
      </c>
      <c r="J28" s="60">
        <v>9</v>
      </c>
    </row>
    <row r="29">
      <c r="A29" s="65" t="inlineStr">
        <is>
          <t xml:space="preserve">k-neighbourhood</t>
        </is>
      </c>
      <c r="B29" s="78" t="str">
        <f>IF(AND(B$28&gt;='Parameters'!$B$9,B$28&lt;='Parameters'!$B$10,MOD(B$28-'Parameters'!$B$9,2)=0),"k = "&amp;B$28,"")</f>
        <v/>
      </c>
      <c r="C29" s="78" t="str">
        <f>IF(AND(C$28&gt;='Parameters'!$B$9,C$28&lt;='Parameters'!$B$10,MOD(C$28-'Parameters'!$B$9,2)=0),"k = "&amp;C$28,"")</f>
        <v/>
      </c>
      <c r="D29" s="78" t="str">
        <f>IF(AND(D$28&gt;='Parameters'!$B$9,D$28&lt;='Parameters'!$B$10,MOD(D$28-'Parameters'!$B$9,2)=0),"k = "&amp;D$28,"")</f>
        <v>k = 3</v>
      </c>
      <c r="E29" s="78" t="str">
        <f>IF(AND(E$28&gt;='Parameters'!$B$9,E$28&lt;='Parameters'!$B$10,MOD(E$28-'Parameters'!$B$9,2)=0),"k = "&amp;E$28,"")</f>
        <v/>
      </c>
      <c r="F29" s="78" t="str">
        <f>IF(AND(F$28&gt;='Parameters'!$B$9,F$28&lt;='Parameters'!$B$10,MOD(F$28-'Parameters'!$B$9,2)=0),"k = "&amp;F$28,"")</f>
        <v>k = 5</v>
      </c>
      <c r="G29" s="78" t="str">
        <f>IF(AND(G$28&gt;='Parameters'!$B$9,G$28&lt;='Parameters'!$B$10,MOD(G$28-'Parameters'!$B$9,2)=0),"k = "&amp;G$28,"")</f>
        <v/>
      </c>
      <c r="H29" s="78" t="str">
        <f>IF(AND(H$28&gt;='Parameters'!$B$9,H$28&lt;='Parameters'!$B$10,MOD(H$28-'Parameters'!$B$9,2)=0),"k = "&amp;H$28,"")</f>
        <v/>
      </c>
      <c r="I29" s="78" t="str">
        <f>IF(AND(I$28&gt;='Parameters'!$B$9,I$28&lt;='Parameters'!$B$10,MOD(I$28-'Parameters'!$B$9,2)=0),"k = "&amp;I$28,"")</f>
        <v/>
      </c>
      <c r="J29" s="78" t="str">
        <f>IF(AND(J$28&gt;='Parameters'!$B$9,J$28&lt;='Parameters'!$B$10,MOD(J$28-'Parameters'!$B$9,2)=0),"k = "&amp;J$28,"")</f>
        <v/>
      </c>
    </row>
    <row r="30">
      <c r="A30" s="65" t="inlineStr">
        <is>
          <t xml:space="preserve">Neighbour</t>
        </is>
      </c>
      <c r="B30" s="64" t="str">
        <f>INDEX('Zhuravlev Distances'!$B$4:$K$4,B31)</f>
        <v>S₁₀</v>
      </c>
      <c r="C30" s="64" t="str">
        <f>INDEX('Zhuravlev Distances'!$B$4:$K$4,C31)</f>
        <v>S₉</v>
      </c>
      <c r="D30" s="64" t="str">
        <f>INDEX('Zhuravlev Distances'!$B$4:$K$4,D31)</f>
        <v>S₈</v>
      </c>
      <c r="E30" s="64" t="str">
        <f>INDEX('Zhuravlev Distances'!$B$4:$K$4,E31)</f>
        <v>S₆</v>
      </c>
      <c r="F30" s="64" t="str">
        <f>INDEX('Zhuravlev Distances'!$B$4:$K$4,F31)</f>
        <v>S₁</v>
      </c>
      <c r="G30" s="64" t="str">
        <f>INDEX('Zhuravlev Distances'!$B$4:$K$4,G31)</f>
        <v>S₃</v>
      </c>
      <c r="H30" s="64" t="str">
        <f>INDEX('Zhuravlev Distances'!$B$4:$K$4,H31)</f>
        <v>S₅</v>
      </c>
      <c r="I30" s="64" t="str">
        <f>INDEX('Zhuravlev Distances'!$B$4:$K$4,I31)</f>
        <v>S₇</v>
      </c>
      <c r="J30" s="64" t="str">
        <f>INDEX('Zhuravlev Distances'!$B$4:$K$4,J31)</f>
        <v>S₄</v>
      </c>
    </row>
    <row r="31">
      <c r="A31" s="65" t="inlineStr">
        <is>
          <t xml:space="preserve">Original index</t>
        </is>
      </c>
      <c r="B31" s="76">
        <f>MATCH(B$28,$B$6:$K$6,0)</f>
        <v>10</v>
      </c>
      <c r="C31" s="76">
        <f>MATCH(C$28,$B$6:$K$6,0)</f>
        <v>9</v>
      </c>
      <c r="D31" s="76">
        <f>MATCH(D$28,$B$6:$K$6,0)</f>
        <v>8</v>
      </c>
      <c r="E31" s="76">
        <f>MATCH(E$28,$B$6:$K$6,0)</f>
        <v>6</v>
      </c>
      <c r="F31" s="76">
        <f>MATCH(F$28,$B$6:$K$6,0)</f>
        <v>1</v>
      </c>
      <c r="G31" s="76">
        <f>MATCH(G$28,$B$6:$K$6,0)</f>
        <v>3</v>
      </c>
      <c r="H31" s="76">
        <f>MATCH(H$28,$B$6:$K$6,0)</f>
        <v>5</v>
      </c>
      <c r="I31" s="76">
        <f>MATCH(I$28,$B$6:$K$6,0)</f>
        <v>7</v>
      </c>
      <c r="J31" s="76">
        <f>MATCH(J$28,$B$6:$K$6,0)</f>
        <v>4</v>
      </c>
    </row>
    <row r="32">
      <c r="A32" s="65" t="inlineStr">
        <is>
          <t xml:space="preserve">ρ(S₂, neighbour)</t>
        </is>
      </c>
      <c r="B32" s="72">
        <f>INDEX('Zhuravlev Distances'!$B$6:$K$6,B31)</f>
        <v>4.2267936164</v>
      </c>
      <c r="C32" s="72">
        <f>INDEX('Zhuravlev Distances'!$B$6:$K$6,C31)</f>
        <v>4.6399232652</v>
      </c>
      <c r="D32" s="72">
        <f>INDEX('Zhuravlev Distances'!$B$6:$K$6,D31)</f>
        <v>5.1247572942</v>
      </c>
      <c r="E32" s="72">
        <f>INDEX('Zhuravlev Distances'!$B$6:$K$6,E31)</f>
        <v>5.8595928925</v>
      </c>
      <c r="F32" s="72">
        <f>INDEX('Zhuravlev Distances'!$B$6:$K$6,F31)</f>
        <v>6.1621313645</v>
      </c>
      <c r="G32" s="72">
        <f>INDEX('Zhuravlev Distances'!$B$6:$K$6,G31)</f>
        <v>6.1979142475</v>
      </c>
      <c r="H32" s="72">
        <f>INDEX('Zhuravlev Distances'!$B$6:$K$6,H31)</f>
        <v>6.5779171767</v>
      </c>
      <c r="I32" s="72">
        <f>INDEX('Zhuravlev Distances'!$B$6:$K$6,I31)</f>
        <v>6.6553910492</v>
      </c>
      <c r="J32" s="72">
        <f>INDEX('Zhuravlev Distances'!$B$6:$K$6,J31)</f>
        <v>6.8173526766</v>
      </c>
    </row>
    <row r="33">
      <c r="A33" s="65" t="inlineStr">
        <is>
          <t xml:space="preserve">Class</t>
        </is>
      </c>
      <c r="B33" s="68">
        <f>INDEX(Dataset!$O$3:$O$12,B31)</f>
        <v>2</v>
      </c>
      <c r="C33" s="68">
        <f>INDEX(Dataset!$O$3:$O$12,C31)</f>
        <v>2</v>
      </c>
      <c r="D33" s="68">
        <f>INDEX(Dataset!$O$3:$O$12,D31)</f>
        <v>2</v>
      </c>
      <c r="E33" s="68">
        <f>INDEX(Dataset!$O$3:$O$12,E31)</f>
        <v>1</v>
      </c>
      <c r="F33" s="68">
        <f>INDEX(Dataset!$O$3:$O$12,F31)</f>
        <v>2</v>
      </c>
      <c r="G33" s="68">
        <f>INDEX(Dataset!$O$3:$O$12,G31)</f>
        <v>2</v>
      </c>
      <c r="H33" s="68">
        <f>INDEX(Dataset!$O$3:$O$12,H31)</f>
        <v>1</v>
      </c>
      <c r="I33" s="68">
        <f>INDEX(Dataset!$O$3:$O$12,I31)</f>
        <v>2</v>
      </c>
      <c r="J33" s="68">
        <f>INDEX(Dataset!$O$3:$O$12,J31)</f>
        <v>1</v>
      </c>
    </row>
    <row r="34">
      <c r="A34" s="65" t="inlineStr">
        <is>
          <t xml:space="preserve">Same class as S₂</t>
        </is>
      </c>
      <c r="B34" s="74">
        <f>IF(B33=Dataset!$O$4,1,0)</f>
        <v>0</v>
      </c>
      <c r="C34" s="74">
        <f>IF(C33=Dataset!$O$4,1,0)</f>
        <v>0</v>
      </c>
      <c r="D34" s="74">
        <f>IF(D33=Dataset!$O$4,1,0)</f>
        <v>0</v>
      </c>
      <c r="E34" s="74">
        <f>IF(E33=Dataset!$O$4,1,0)</f>
        <v>1</v>
      </c>
      <c r="F34" s="74">
        <f>IF(F33=Dataset!$O$4,1,0)</f>
        <v>0</v>
      </c>
      <c r="G34" s="74">
        <f>IF(G33=Dataset!$O$4,1,0)</f>
        <v>0</v>
      </c>
      <c r="H34" s="74">
        <f>IF(H33=Dataset!$O$4,1,0)</f>
        <v>1</v>
      </c>
      <c r="I34" s="74">
        <f>IF(I33=Dataset!$O$4,1,0)</f>
        <v>0</v>
      </c>
      <c r="J34" s="74">
        <f>IF(J33=Dataset!$O$4,1,0)</f>
        <v>1</v>
      </c>
    </row>
    <row r="35">
      <c r="A35" s="65" t="inlineStr">
        <is>
          <t xml:space="preserve">Same-class count μ (1 … rank)</t>
        </is>
      </c>
      <c r="B35" s="74">
        <f>SUM($B34:B34)</f>
        <v>0</v>
      </c>
      <c r="C35" s="74">
        <f>SUM($B34:C34)</f>
        <v>0</v>
      </c>
      <c r="D35" s="74">
        <f>SUM($B34:D34)</f>
        <v>0</v>
      </c>
      <c r="E35" s="74">
        <f>SUM($B34:E34)</f>
        <v>1</v>
      </c>
      <c r="F35" s="74">
        <f>SUM($B34:F34)</f>
        <v>1</v>
      </c>
      <c r="G35" s="74">
        <f>SUM($B34:G34)</f>
        <v>1</v>
      </c>
      <c r="H35" s="74">
        <f>SUM($B34:H34)</f>
        <v>2</v>
      </c>
      <c r="I35" s="74">
        <f>SUM($B34:I34)</f>
        <v>2</v>
      </c>
      <c r="J35" s="74">
        <f>SUM($B34:J34)</f>
        <v>3</v>
      </c>
    </row>
    <row r="36">
      <c r="A36" s="65" t="inlineStr">
        <is>
          <t xml:space="preserve">K1 count χ₁ (1 … rank)</t>
        </is>
      </c>
      <c r="B36" s="74">
        <f>COUNTIF($B33:B33,1)</f>
        <v>0</v>
      </c>
      <c r="C36" s="74">
        <f>COUNTIF($B33:C33,1)</f>
        <v>0</v>
      </c>
      <c r="D36" s="74">
        <f>COUNTIF($B33:D33,1)</f>
        <v>0</v>
      </c>
      <c r="E36" s="74">
        <f>COUNTIF($B33:E33,1)</f>
        <v>1</v>
      </c>
      <c r="F36" s="74">
        <f>COUNTIF($B33:F33,1)</f>
        <v>1</v>
      </c>
      <c r="G36" s="74">
        <f>COUNTIF($B33:G33,1)</f>
        <v>1</v>
      </c>
      <c r="H36" s="74">
        <f>COUNTIF($B33:H33,1)</f>
        <v>2</v>
      </c>
      <c r="I36" s="74">
        <f>COUNTIF($B33:I33,1)</f>
        <v>2</v>
      </c>
      <c r="J36" s="74">
        <f>COUNTIF($B33:J33,1)</f>
        <v>3</v>
      </c>
    </row>
    <row r="37"/>
    <row r="38">
      <c r="A38" s="59" t="str">
        <f>"S₃  ·  class "&amp;Dataset!$O$5&amp;"  —  neighbours in ascending ρ  (target row 7 of the rank matrix)"</f>
        <v>S₃  ·  class 2  —  neighbours in ascending ρ  (target row 7 of the rank matrix)</v>
      </c>
      <c r="B38" s="59"/>
      <c r="C38" s="59"/>
      <c r="D38" s="59"/>
      <c r="E38" s="59"/>
      <c r="F38" s="59"/>
      <c r="G38" s="59"/>
      <c r="H38" s="59"/>
      <c r="I38" s="59"/>
      <c r="J38" s="59"/>
    </row>
    <row r="39">
      <c r="A39" s="60" t="inlineStr">
        <is>
          <t xml:space="preserve">Rank</t>
        </is>
      </c>
      <c r="B39" s="60">
        <v>1</v>
      </c>
      <c r="C39" s="60">
        <v>2</v>
      </c>
      <c r="D39" s="60">
        <v>3</v>
      </c>
      <c r="E39" s="60">
        <v>4</v>
      </c>
      <c r="F39" s="60">
        <v>5</v>
      </c>
      <c r="G39" s="60">
        <v>6</v>
      </c>
      <c r="H39" s="60">
        <v>7</v>
      </c>
      <c r="I39" s="60">
        <v>8</v>
      </c>
      <c r="J39" s="60">
        <v>9</v>
      </c>
    </row>
    <row r="40">
      <c r="A40" s="65" t="inlineStr">
        <is>
          <t xml:space="preserve">k-neighbourhood</t>
        </is>
      </c>
      <c r="B40" s="78" t="str">
        <f>IF(AND(B$39&gt;='Parameters'!$B$9,B$39&lt;='Parameters'!$B$10,MOD(B$39-'Parameters'!$B$9,2)=0),"k = "&amp;B$39,"")</f>
        <v/>
      </c>
      <c r="C40" s="78" t="str">
        <f>IF(AND(C$39&gt;='Parameters'!$B$9,C$39&lt;='Parameters'!$B$10,MOD(C$39-'Parameters'!$B$9,2)=0),"k = "&amp;C$39,"")</f>
        <v/>
      </c>
      <c r="D40" s="78" t="str">
        <f>IF(AND(D$39&gt;='Parameters'!$B$9,D$39&lt;='Parameters'!$B$10,MOD(D$39-'Parameters'!$B$9,2)=0),"k = "&amp;D$39,"")</f>
        <v>k = 3</v>
      </c>
      <c r="E40" s="78" t="str">
        <f>IF(AND(E$39&gt;='Parameters'!$B$9,E$39&lt;='Parameters'!$B$10,MOD(E$39-'Parameters'!$B$9,2)=0),"k = "&amp;E$39,"")</f>
        <v/>
      </c>
      <c r="F40" s="78" t="str">
        <f>IF(AND(F$39&gt;='Parameters'!$B$9,F$39&lt;='Parameters'!$B$10,MOD(F$39-'Parameters'!$B$9,2)=0),"k = "&amp;F$39,"")</f>
        <v>k = 5</v>
      </c>
      <c r="G40" s="78" t="str">
        <f>IF(AND(G$39&gt;='Parameters'!$B$9,G$39&lt;='Parameters'!$B$10,MOD(G$39-'Parameters'!$B$9,2)=0),"k = "&amp;G$39,"")</f>
        <v/>
      </c>
      <c r="H40" s="78" t="str">
        <f>IF(AND(H$39&gt;='Parameters'!$B$9,H$39&lt;='Parameters'!$B$10,MOD(H$39-'Parameters'!$B$9,2)=0),"k = "&amp;H$39,"")</f>
        <v/>
      </c>
      <c r="I40" s="78" t="str">
        <f>IF(AND(I$39&gt;='Parameters'!$B$9,I$39&lt;='Parameters'!$B$10,MOD(I$39-'Parameters'!$B$9,2)=0),"k = "&amp;I$39,"")</f>
        <v/>
      </c>
      <c r="J40" s="78" t="str">
        <f>IF(AND(J$39&gt;='Parameters'!$B$9,J$39&lt;='Parameters'!$B$10,MOD(J$39-'Parameters'!$B$9,2)=0),"k = "&amp;J$39,"")</f>
        <v/>
      </c>
    </row>
    <row r="41">
      <c r="A41" s="65" t="inlineStr">
        <is>
          <t xml:space="preserve">Neighbour</t>
        </is>
      </c>
      <c r="B41" s="64" t="str">
        <f>INDEX('Zhuravlev Distances'!$B$4:$K$4,B42)</f>
        <v>S₆</v>
      </c>
      <c r="C41" s="64" t="str">
        <f>INDEX('Zhuravlev Distances'!$B$4:$K$4,C42)</f>
        <v>S₄</v>
      </c>
      <c r="D41" s="64" t="str">
        <f>INDEX('Zhuravlev Distances'!$B$4:$K$4,D42)</f>
        <v>S₉</v>
      </c>
      <c r="E41" s="64" t="str">
        <f>INDEX('Zhuravlev Distances'!$B$4:$K$4,E42)</f>
        <v>S₈</v>
      </c>
      <c r="F41" s="64" t="str">
        <f>INDEX('Zhuravlev Distances'!$B$4:$K$4,F42)</f>
        <v>S₅</v>
      </c>
      <c r="G41" s="64" t="str">
        <f>INDEX('Zhuravlev Distances'!$B$4:$K$4,G42)</f>
        <v>S₂</v>
      </c>
      <c r="H41" s="64" t="str">
        <f>INDEX('Zhuravlev Distances'!$B$4:$K$4,H42)</f>
        <v>S₇</v>
      </c>
      <c r="I41" s="64" t="str">
        <f>INDEX('Zhuravlev Distances'!$B$4:$K$4,I42)</f>
        <v>S₁</v>
      </c>
      <c r="J41" s="64" t="str">
        <f>INDEX('Zhuravlev Distances'!$B$4:$K$4,J42)</f>
        <v>S₁₀</v>
      </c>
    </row>
    <row r="42">
      <c r="A42" s="65" t="inlineStr">
        <is>
          <t xml:space="preserve">Original index</t>
        </is>
      </c>
      <c r="B42" s="76">
        <f>MATCH(B$39,$B$7:$K$7,0)</f>
        <v>6</v>
      </c>
      <c r="C42" s="76">
        <f>MATCH(C$39,$B$7:$K$7,0)</f>
        <v>4</v>
      </c>
      <c r="D42" s="76">
        <f>MATCH(D$39,$B$7:$K$7,0)</f>
        <v>9</v>
      </c>
      <c r="E42" s="76">
        <f>MATCH(E$39,$B$7:$K$7,0)</f>
        <v>8</v>
      </c>
      <c r="F42" s="76">
        <f>MATCH(F$39,$B$7:$K$7,0)</f>
        <v>5</v>
      </c>
      <c r="G42" s="76">
        <f>MATCH(G$39,$B$7:$K$7,0)</f>
        <v>2</v>
      </c>
      <c r="H42" s="76">
        <f>MATCH(H$39,$B$7:$K$7,0)</f>
        <v>7</v>
      </c>
      <c r="I42" s="76">
        <f>MATCH(I$39,$B$7:$K$7,0)</f>
        <v>1</v>
      </c>
      <c r="J42" s="76">
        <f>MATCH(J$39,$B$7:$K$7,0)</f>
        <v>10</v>
      </c>
    </row>
    <row r="43">
      <c r="A43" s="65" t="inlineStr">
        <is>
          <t xml:space="preserve">ρ(S₃, neighbour)</t>
        </is>
      </c>
      <c r="B43" s="72">
        <f>INDEX('Zhuravlev Distances'!$B$7:$K$7,B42)</f>
        <v>1.8031991129</v>
      </c>
      <c r="C43" s="72">
        <f>INDEX('Zhuravlev Distances'!$B$7:$K$7,C42)</f>
        <v>4.4075521242</v>
      </c>
      <c r="D43" s="72">
        <f>INDEX('Zhuravlev Distances'!$B$7:$K$7,D42)</f>
        <v>4.9990166233</v>
      </c>
      <c r="E43" s="72">
        <f>INDEX('Zhuravlev Distances'!$B$7:$K$7,E42)</f>
        <v>5.1035187103</v>
      </c>
      <c r="F43" s="72">
        <f>INDEX('Zhuravlev Distances'!$B$7:$K$7,F42)</f>
        <v>5.7324577096</v>
      </c>
      <c r="G43" s="72">
        <f>INDEX('Zhuravlev Distances'!$B$7:$K$7,G42)</f>
        <v>6.1979142475</v>
      </c>
      <c r="H43" s="72">
        <f>INDEX('Zhuravlev Distances'!$B$7:$K$7,H42)</f>
        <v>6.6461407693</v>
      </c>
      <c r="I43" s="72">
        <f>INDEX('Zhuravlev Distances'!$B$7:$K$7,I42)</f>
        <v>7.0747842325</v>
      </c>
      <c r="J43" s="72">
        <f>INDEX('Zhuravlev Distances'!$B$7:$K$7,J42)</f>
        <v>7.5342785258</v>
      </c>
    </row>
    <row r="44">
      <c r="A44" s="65" t="inlineStr">
        <is>
          <t xml:space="preserve">Class</t>
        </is>
      </c>
      <c r="B44" s="68">
        <f>INDEX(Dataset!$O$3:$O$12,B42)</f>
        <v>1</v>
      </c>
      <c r="C44" s="68">
        <f>INDEX(Dataset!$O$3:$O$12,C42)</f>
        <v>1</v>
      </c>
      <c r="D44" s="68">
        <f>INDEX(Dataset!$O$3:$O$12,D42)</f>
        <v>2</v>
      </c>
      <c r="E44" s="68">
        <f>INDEX(Dataset!$O$3:$O$12,E42)</f>
        <v>2</v>
      </c>
      <c r="F44" s="68">
        <f>INDEX(Dataset!$O$3:$O$12,F42)</f>
        <v>1</v>
      </c>
      <c r="G44" s="68">
        <f>INDEX(Dataset!$O$3:$O$12,G42)</f>
        <v>1</v>
      </c>
      <c r="H44" s="68">
        <f>INDEX(Dataset!$O$3:$O$12,H42)</f>
        <v>2</v>
      </c>
      <c r="I44" s="68">
        <f>INDEX(Dataset!$O$3:$O$12,I42)</f>
        <v>2</v>
      </c>
      <c r="J44" s="68">
        <f>INDEX(Dataset!$O$3:$O$12,J42)</f>
        <v>2</v>
      </c>
    </row>
    <row r="45">
      <c r="A45" s="65" t="inlineStr">
        <is>
          <t xml:space="preserve">Same class as S₃</t>
        </is>
      </c>
      <c r="B45" s="74">
        <f>IF(B44=Dataset!$O$5,1,0)</f>
        <v>0</v>
      </c>
      <c r="C45" s="74">
        <f>IF(C44=Dataset!$O$5,1,0)</f>
        <v>0</v>
      </c>
      <c r="D45" s="74">
        <f>IF(D44=Dataset!$O$5,1,0)</f>
        <v>1</v>
      </c>
      <c r="E45" s="74">
        <f>IF(E44=Dataset!$O$5,1,0)</f>
        <v>1</v>
      </c>
      <c r="F45" s="74">
        <f>IF(F44=Dataset!$O$5,1,0)</f>
        <v>0</v>
      </c>
      <c r="G45" s="74">
        <f>IF(G44=Dataset!$O$5,1,0)</f>
        <v>0</v>
      </c>
      <c r="H45" s="74">
        <f>IF(H44=Dataset!$O$5,1,0)</f>
        <v>1</v>
      </c>
      <c r="I45" s="74">
        <f>IF(I44=Dataset!$O$5,1,0)</f>
        <v>1</v>
      </c>
      <c r="J45" s="74">
        <f>IF(J44=Dataset!$O$5,1,0)</f>
        <v>1</v>
      </c>
    </row>
    <row r="46">
      <c r="A46" s="65" t="inlineStr">
        <is>
          <t xml:space="preserve">Same-class count μ (1 … rank)</t>
        </is>
      </c>
      <c r="B46" s="74">
        <f>SUM($B45:B45)</f>
        <v>0</v>
      </c>
      <c r="C46" s="74">
        <f>SUM($B45:C45)</f>
        <v>0</v>
      </c>
      <c r="D46" s="74">
        <f>SUM($B45:D45)</f>
        <v>1</v>
      </c>
      <c r="E46" s="74">
        <f>SUM($B45:E45)</f>
        <v>2</v>
      </c>
      <c r="F46" s="74">
        <f>SUM($B45:F45)</f>
        <v>2</v>
      </c>
      <c r="G46" s="74">
        <f>SUM($B45:G45)</f>
        <v>2</v>
      </c>
      <c r="H46" s="74">
        <f>SUM($B45:H45)</f>
        <v>3</v>
      </c>
      <c r="I46" s="74">
        <f>SUM($B45:I45)</f>
        <v>4</v>
      </c>
      <c r="J46" s="74">
        <f>SUM($B45:J45)</f>
        <v>5</v>
      </c>
    </row>
    <row r="47">
      <c r="A47" s="65" t="inlineStr">
        <is>
          <t xml:space="preserve">K1 count χ₁ (1 … rank)</t>
        </is>
      </c>
      <c r="B47" s="74">
        <f>COUNTIF($B44:B44,1)</f>
        <v>1</v>
      </c>
      <c r="C47" s="74">
        <f>COUNTIF($B44:C44,1)</f>
        <v>2</v>
      </c>
      <c r="D47" s="74">
        <f>COUNTIF($B44:D44,1)</f>
        <v>2</v>
      </c>
      <c r="E47" s="74">
        <f>COUNTIF($B44:E44,1)</f>
        <v>2</v>
      </c>
      <c r="F47" s="74">
        <f>COUNTIF($B44:F44,1)</f>
        <v>3</v>
      </c>
      <c r="G47" s="74">
        <f>COUNTIF($B44:G44,1)</f>
        <v>4</v>
      </c>
      <c r="H47" s="74">
        <f>COUNTIF($B44:H44,1)</f>
        <v>4</v>
      </c>
      <c r="I47" s="74">
        <f>COUNTIF($B44:I44,1)</f>
        <v>4</v>
      </c>
      <c r="J47" s="74">
        <f>COUNTIF($B44:J44,1)</f>
        <v>4</v>
      </c>
    </row>
    <row r="48"/>
    <row r="49">
      <c r="A49" s="59" t="str">
        <f>"S₄  ·  class "&amp;Dataset!$O$6&amp;"  —  neighbours in ascending ρ  (target row 8 of the rank matrix)"</f>
        <v>S₄  ·  class 1  —  neighbours in ascending ρ  (target row 8 of the rank matrix)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0" t="inlineStr">
        <is>
          <t xml:space="preserve">Rank</t>
        </is>
      </c>
      <c r="B50" s="60">
        <v>1</v>
      </c>
      <c r="C50" s="60">
        <v>2</v>
      </c>
      <c r="D50" s="60">
        <v>3</v>
      </c>
      <c r="E50" s="60">
        <v>4</v>
      </c>
      <c r="F50" s="60">
        <v>5</v>
      </c>
      <c r="G50" s="60">
        <v>6</v>
      </c>
      <c r="H50" s="60">
        <v>7</v>
      </c>
      <c r="I50" s="60">
        <v>8</v>
      </c>
      <c r="J50" s="60">
        <v>9</v>
      </c>
    </row>
    <row r="51">
      <c r="A51" s="65" t="inlineStr">
        <is>
          <t xml:space="preserve">k-neighbourhood</t>
        </is>
      </c>
      <c r="B51" s="78" t="str">
        <f>IF(AND(B$50&gt;='Parameters'!$B$9,B$50&lt;='Parameters'!$B$10,MOD(B$50-'Parameters'!$B$9,2)=0),"k = "&amp;B$50,"")</f>
        <v/>
      </c>
      <c r="C51" s="78" t="str">
        <f>IF(AND(C$50&gt;='Parameters'!$B$9,C$50&lt;='Parameters'!$B$10,MOD(C$50-'Parameters'!$B$9,2)=0),"k = "&amp;C$50,"")</f>
        <v/>
      </c>
      <c r="D51" s="78" t="str">
        <f>IF(AND(D$50&gt;='Parameters'!$B$9,D$50&lt;='Parameters'!$B$10,MOD(D$50-'Parameters'!$B$9,2)=0),"k = "&amp;D$50,"")</f>
        <v>k = 3</v>
      </c>
      <c r="E51" s="78" t="str">
        <f>IF(AND(E$50&gt;='Parameters'!$B$9,E$50&lt;='Parameters'!$B$10,MOD(E$50-'Parameters'!$B$9,2)=0),"k = "&amp;E$50,"")</f>
        <v/>
      </c>
      <c r="F51" s="78" t="str">
        <f>IF(AND(F$50&gt;='Parameters'!$B$9,F$50&lt;='Parameters'!$B$10,MOD(F$50-'Parameters'!$B$9,2)=0),"k = "&amp;F$50,"")</f>
        <v>k = 5</v>
      </c>
      <c r="G51" s="78" t="str">
        <f>IF(AND(G$50&gt;='Parameters'!$B$9,G$50&lt;='Parameters'!$B$10,MOD(G$50-'Parameters'!$B$9,2)=0),"k = "&amp;G$50,"")</f>
        <v/>
      </c>
      <c r="H51" s="78" t="str">
        <f>IF(AND(H$50&gt;='Parameters'!$B$9,H$50&lt;='Parameters'!$B$10,MOD(H$50-'Parameters'!$B$9,2)=0),"k = "&amp;H$50,"")</f>
        <v/>
      </c>
      <c r="I51" s="78" t="str">
        <f>IF(AND(I$50&gt;='Parameters'!$B$9,I$50&lt;='Parameters'!$B$10,MOD(I$50-'Parameters'!$B$9,2)=0),"k = "&amp;I$50,"")</f>
        <v/>
      </c>
      <c r="J51" s="78" t="str">
        <f>IF(AND(J$50&gt;='Parameters'!$B$9,J$50&lt;='Parameters'!$B$10,MOD(J$50-'Parameters'!$B$9,2)=0),"k = "&amp;J$50,"")</f>
        <v/>
      </c>
    </row>
    <row r="52">
      <c r="A52" s="65" t="inlineStr">
        <is>
          <t xml:space="preserve">Neighbour</t>
        </is>
      </c>
      <c r="B52" s="64" t="str">
        <f>INDEX('Zhuravlev Distances'!$B$4:$K$4,B53)</f>
        <v>S₈</v>
      </c>
      <c r="C52" s="64" t="str">
        <f>INDEX('Zhuravlev Distances'!$B$4:$K$4,C53)</f>
        <v>S₆</v>
      </c>
      <c r="D52" s="64" t="str">
        <f>INDEX('Zhuravlev Distances'!$B$4:$K$4,D53)</f>
        <v>S₉</v>
      </c>
      <c r="E52" s="64" t="str">
        <f>INDEX('Zhuravlev Distances'!$B$4:$K$4,E53)</f>
        <v>S₃</v>
      </c>
      <c r="F52" s="64" t="str">
        <f>INDEX('Zhuravlev Distances'!$B$4:$K$4,F53)</f>
        <v>S₁</v>
      </c>
      <c r="G52" s="64" t="str">
        <f>INDEX('Zhuravlev Distances'!$B$4:$K$4,G53)</f>
        <v>S₇</v>
      </c>
      <c r="H52" s="64" t="str">
        <f>INDEX('Zhuravlev Distances'!$B$4:$K$4,H53)</f>
        <v>S₅</v>
      </c>
      <c r="I52" s="64" t="str">
        <f>INDEX('Zhuravlev Distances'!$B$4:$K$4,I53)</f>
        <v>S₁₀</v>
      </c>
      <c r="J52" s="64" t="str">
        <f>INDEX('Zhuravlev Distances'!$B$4:$K$4,J53)</f>
        <v>S₂</v>
      </c>
    </row>
    <row r="53">
      <c r="A53" s="65" t="inlineStr">
        <is>
          <t xml:space="preserve">Original index</t>
        </is>
      </c>
      <c r="B53" s="76">
        <f>MATCH(B$50,$B$8:$K$8,0)</f>
        <v>8</v>
      </c>
      <c r="C53" s="76">
        <f>MATCH(C$50,$B$8:$K$8,0)</f>
        <v>6</v>
      </c>
      <c r="D53" s="76">
        <f>MATCH(D$50,$B$8:$K$8,0)</f>
        <v>9</v>
      </c>
      <c r="E53" s="76">
        <f>MATCH(E$50,$B$8:$K$8,0)</f>
        <v>3</v>
      </c>
      <c r="F53" s="76">
        <f>MATCH(F$50,$B$8:$K$8,0)</f>
        <v>1</v>
      </c>
      <c r="G53" s="76">
        <f>MATCH(G$50,$B$8:$K$8,0)</f>
        <v>7</v>
      </c>
      <c r="H53" s="76">
        <f>MATCH(H$50,$B$8:$K$8,0)</f>
        <v>5</v>
      </c>
      <c r="I53" s="76">
        <f>MATCH(I$50,$B$8:$K$8,0)</f>
        <v>10</v>
      </c>
      <c r="J53" s="76">
        <f>MATCH(J$50,$B$8:$K$8,0)</f>
        <v>2</v>
      </c>
    </row>
    <row r="54">
      <c r="A54" s="65" t="inlineStr">
        <is>
          <t xml:space="preserve">ρ(S₄, neighbour)</t>
        </is>
      </c>
      <c r="B54" s="72">
        <f>INDEX('Zhuravlev Distances'!$B$8:$K$8,B53)</f>
        <v>2.6221819456</v>
      </c>
      <c r="C54" s="72">
        <f>INDEX('Zhuravlev Distances'!$B$8:$K$8,C53)</f>
        <v>3.4022042285</v>
      </c>
      <c r="D54" s="72">
        <f>INDEX('Zhuravlev Distances'!$B$8:$K$8,D53)</f>
        <v>4.1962328301</v>
      </c>
      <c r="E54" s="72">
        <f>INDEX('Zhuravlev Distances'!$B$8:$K$8,E53)</f>
        <v>4.4075521242</v>
      </c>
      <c r="F54" s="72">
        <f>INDEX('Zhuravlev Distances'!$B$8:$K$8,F53)</f>
        <v>4.8429406103</v>
      </c>
      <c r="G54" s="72">
        <f>INDEX('Zhuravlev Distances'!$B$8:$K$8,G53)</f>
        <v>5.1870262269</v>
      </c>
      <c r="H54" s="72">
        <f>INDEX('Zhuravlev Distances'!$B$8:$K$8,H53)</f>
        <v>6.0172132777</v>
      </c>
      <c r="I54" s="72">
        <f>INDEX('Zhuravlev Distances'!$B$8:$K$8,I53)</f>
        <v>6.3981613993</v>
      </c>
      <c r="J54" s="72">
        <f>INDEX('Zhuravlev Distances'!$B$8:$K$8,J53)</f>
        <v>6.8173526766</v>
      </c>
    </row>
    <row r="55">
      <c r="A55" s="65" t="inlineStr">
        <is>
          <t xml:space="preserve">Class</t>
        </is>
      </c>
      <c r="B55" s="68">
        <f>INDEX(Dataset!$O$3:$O$12,B53)</f>
        <v>2</v>
      </c>
      <c r="C55" s="68">
        <f>INDEX(Dataset!$O$3:$O$12,C53)</f>
        <v>1</v>
      </c>
      <c r="D55" s="68">
        <f>INDEX(Dataset!$O$3:$O$12,D53)</f>
        <v>2</v>
      </c>
      <c r="E55" s="68">
        <f>INDEX(Dataset!$O$3:$O$12,E53)</f>
        <v>2</v>
      </c>
      <c r="F55" s="68">
        <f>INDEX(Dataset!$O$3:$O$12,F53)</f>
        <v>2</v>
      </c>
      <c r="G55" s="68">
        <f>INDEX(Dataset!$O$3:$O$12,G53)</f>
        <v>2</v>
      </c>
      <c r="H55" s="68">
        <f>INDEX(Dataset!$O$3:$O$12,H53)</f>
        <v>1</v>
      </c>
      <c r="I55" s="68">
        <f>INDEX(Dataset!$O$3:$O$12,I53)</f>
        <v>2</v>
      </c>
      <c r="J55" s="68">
        <f>INDEX(Dataset!$O$3:$O$12,J53)</f>
        <v>1</v>
      </c>
    </row>
    <row r="56">
      <c r="A56" s="65" t="inlineStr">
        <is>
          <t xml:space="preserve">Same class as S₄</t>
        </is>
      </c>
      <c r="B56" s="74">
        <f>IF(B55=Dataset!$O$6,1,0)</f>
        <v>0</v>
      </c>
      <c r="C56" s="74">
        <f>IF(C55=Dataset!$O$6,1,0)</f>
        <v>1</v>
      </c>
      <c r="D56" s="74">
        <f>IF(D55=Dataset!$O$6,1,0)</f>
        <v>0</v>
      </c>
      <c r="E56" s="74">
        <f>IF(E55=Dataset!$O$6,1,0)</f>
        <v>0</v>
      </c>
      <c r="F56" s="74">
        <f>IF(F55=Dataset!$O$6,1,0)</f>
        <v>0</v>
      </c>
      <c r="G56" s="74">
        <f>IF(G55=Dataset!$O$6,1,0)</f>
        <v>0</v>
      </c>
      <c r="H56" s="74">
        <f>IF(H55=Dataset!$O$6,1,0)</f>
        <v>1</v>
      </c>
      <c r="I56" s="74">
        <f>IF(I55=Dataset!$O$6,1,0)</f>
        <v>0</v>
      </c>
      <c r="J56" s="74">
        <f>IF(J55=Dataset!$O$6,1,0)</f>
        <v>1</v>
      </c>
    </row>
    <row r="57">
      <c r="A57" s="65" t="inlineStr">
        <is>
          <t xml:space="preserve">Same-class count μ (1 … rank)</t>
        </is>
      </c>
      <c r="B57" s="74">
        <f>SUM($B56:B56)</f>
        <v>0</v>
      </c>
      <c r="C57" s="74">
        <f>SUM($B56:C56)</f>
        <v>1</v>
      </c>
      <c r="D57" s="74">
        <f>SUM($B56:D56)</f>
        <v>1</v>
      </c>
      <c r="E57" s="74">
        <f>SUM($B56:E56)</f>
        <v>1</v>
      </c>
      <c r="F57" s="74">
        <f>SUM($B56:F56)</f>
        <v>1</v>
      </c>
      <c r="G57" s="74">
        <f>SUM($B56:G56)</f>
        <v>1</v>
      </c>
      <c r="H57" s="74">
        <f>SUM($B56:H56)</f>
        <v>2</v>
      </c>
      <c r="I57" s="74">
        <f>SUM($B56:I56)</f>
        <v>2</v>
      </c>
      <c r="J57" s="74">
        <f>SUM($B56:J56)</f>
        <v>3</v>
      </c>
    </row>
    <row r="58">
      <c r="A58" s="65" t="inlineStr">
        <is>
          <t xml:space="preserve">K1 count χ₁ (1 … rank)</t>
        </is>
      </c>
      <c r="B58" s="74">
        <f>COUNTIF($B55:B55,1)</f>
        <v>0</v>
      </c>
      <c r="C58" s="74">
        <f>COUNTIF($B55:C55,1)</f>
        <v>1</v>
      </c>
      <c r="D58" s="74">
        <f>COUNTIF($B55:D55,1)</f>
        <v>1</v>
      </c>
      <c r="E58" s="74">
        <f>COUNTIF($B55:E55,1)</f>
        <v>1</v>
      </c>
      <c r="F58" s="74">
        <f>COUNTIF($B55:F55,1)</f>
        <v>1</v>
      </c>
      <c r="G58" s="74">
        <f>COUNTIF($B55:G55,1)</f>
        <v>1</v>
      </c>
      <c r="H58" s="74">
        <f>COUNTIF($B55:H55,1)</f>
        <v>2</v>
      </c>
      <c r="I58" s="74">
        <f>COUNTIF($B55:I55,1)</f>
        <v>2</v>
      </c>
      <c r="J58" s="74">
        <f>COUNTIF($B55:J55,1)</f>
        <v>3</v>
      </c>
    </row>
    <row r="59"/>
    <row r="60">
      <c r="A60" s="59" t="str">
        <f>"S₅  ·  class "&amp;Dataset!$O$7&amp;"  —  neighbours in ascending ρ  (target row 9 of the rank matrix)"</f>
        <v>S₅  ·  class 1  —  neighbours in ascending ρ  (target row 9 of the rank matrix)</v>
      </c>
      <c r="B60" s="59"/>
      <c r="C60" s="59"/>
      <c r="D60" s="59"/>
      <c r="E60" s="59"/>
      <c r="F60" s="59"/>
      <c r="G60" s="59"/>
      <c r="H60" s="59"/>
      <c r="I60" s="59"/>
      <c r="J60" s="59"/>
    </row>
    <row r="61">
      <c r="A61" s="60" t="inlineStr">
        <is>
          <t xml:space="preserve">Rank</t>
        </is>
      </c>
      <c r="B61" s="60">
        <v>1</v>
      </c>
      <c r="C61" s="60">
        <v>2</v>
      </c>
      <c r="D61" s="60">
        <v>3</v>
      </c>
      <c r="E61" s="60">
        <v>4</v>
      </c>
      <c r="F61" s="60">
        <v>5</v>
      </c>
      <c r="G61" s="60">
        <v>6</v>
      </c>
      <c r="H61" s="60">
        <v>7</v>
      </c>
      <c r="I61" s="60">
        <v>8</v>
      </c>
      <c r="J61" s="60">
        <v>9</v>
      </c>
    </row>
    <row r="62">
      <c r="A62" s="65" t="inlineStr">
        <is>
          <t xml:space="preserve">k-neighbourhood</t>
        </is>
      </c>
      <c r="B62" s="78" t="str">
        <f>IF(AND(B$61&gt;='Parameters'!$B$9,B$61&lt;='Parameters'!$B$10,MOD(B$61-'Parameters'!$B$9,2)=0),"k = "&amp;B$61,"")</f>
        <v/>
      </c>
      <c r="C62" s="78" t="str">
        <f>IF(AND(C$61&gt;='Parameters'!$B$9,C$61&lt;='Parameters'!$B$10,MOD(C$61-'Parameters'!$B$9,2)=0),"k = "&amp;C$61,"")</f>
        <v/>
      </c>
      <c r="D62" s="78" t="str">
        <f>IF(AND(D$61&gt;='Parameters'!$B$9,D$61&lt;='Parameters'!$B$10,MOD(D$61-'Parameters'!$B$9,2)=0),"k = "&amp;D$61,"")</f>
        <v>k = 3</v>
      </c>
      <c r="E62" s="78" t="str">
        <f>IF(AND(E$61&gt;='Parameters'!$B$9,E$61&lt;='Parameters'!$B$10,MOD(E$61-'Parameters'!$B$9,2)=0),"k = "&amp;E$61,"")</f>
        <v/>
      </c>
      <c r="F62" s="78" t="str">
        <f>IF(AND(F$61&gt;='Parameters'!$B$9,F$61&lt;='Parameters'!$B$10,MOD(F$61-'Parameters'!$B$9,2)=0),"k = "&amp;F$61,"")</f>
        <v>k = 5</v>
      </c>
      <c r="G62" s="78" t="str">
        <f>IF(AND(G$61&gt;='Parameters'!$B$9,G$61&lt;='Parameters'!$B$10,MOD(G$61-'Parameters'!$B$9,2)=0),"k = "&amp;G$61,"")</f>
        <v/>
      </c>
      <c r="H62" s="78" t="str">
        <f>IF(AND(H$61&gt;='Parameters'!$B$9,H$61&lt;='Parameters'!$B$10,MOD(H$61-'Parameters'!$B$9,2)=0),"k = "&amp;H$61,"")</f>
        <v/>
      </c>
      <c r="I62" s="78" t="str">
        <f>IF(AND(I$61&gt;='Parameters'!$B$9,I$61&lt;='Parameters'!$B$10,MOD(I$61-'Parameters'!$B$9,2)=0),"k = "&amp;I$61,"")</f>
        <v/>
      </c>
      <c r="J62" s="78" t="str">
        <f>IF(AND(J$61&gt;='Parameters'!$B$9,J$61&lt;='Parameters'!$B$10,MOD(J$61-'Parameters'!$B$9,2)=0),"k = "&amp;J$61,"")</f>
        <v/>
      </c>
    </row>
    <row r="63">
      <c r="A63" s="65" t="inlineStr">
        <is>
          <t xml:space="preserve">Neighbour</t>
        </is>
      </c>
      <c r="B63" s="64" t="str">
        <f>INDEX('Zhuravlev Distances'!$B$4:$K$4,B64)</f>
        <v>S₃</v>
      </c>
      <c r="C63" s="64" t="str">
        <f>INDEX('Zhuravlev Distances'!$B$4:$K$4,C64)</f>
        <v>S₈</v>
      </c>
      <c r="D63" s="64" t="str">
        <f>INDEX('Zhuravlev Distances'!$B$4:$K$4,D64)</f>
        <v>S₄</v>
      </c>
      <c r="E63" s="64" t="str">
        <f>INDEX('Zhuravlev Distances'!$B$4:$K$4,E64)</f>
        <v>S₁</v>
      </c>
      <c r="F63" s="64" t="str">
        <f>INDEX('Zhuravlev Distances'!$B$4:$K$4,F64)</f>
        <v>S₆</v>
      </c>
      <c r="G63" s="64" t="str">
        <f>INDEX('Zhuravlev Distances'!$B$4:$K$4,G64)</f>
        <v>S₂</v>
      </c>
      <c r="H63" s="64" t="str">
        <f>INDEX('Zhuravlev Distances'!$B$4:$K$4,H64)</f>
        <v>S₇</v>
      </c>
      <c r="I63" s="64" t="str">
        <f>INDEX('Zhuravlev Distances'!$B$4:$K$4,I64)</f>
        <v>S₉</v>
      </c>
      <c r="J63" s="64" t="str">
        <f>INDEX('Zhuravlev Distances'!$B$4:$K$4,J64)</f>
        <v>S₁₀</v>
      </c>
    </row>
    <row r="64">
      <c r="A64" s="65" t="inlineStr">
        <is>
          <t xml:space="preserve">Original index</t>
        </is>
      </c>
      <c r="B64" s="76">
        <f>MATCH(B$61,$B$9:$K$9,0)</f>
        <v>3</v>
      </c>
      <c r="C64" s="76">
        <f>MATCH(C$61,$B$9:$K$9,0)</f>
        <v>8</v>
      </c>
      <c r="D64" s="76">
        <f>MATCH(D$61,$B$9:$K$9,0)</f>
        <v>4</v>
      </c>
      <c r="E64" s="76">
        <f>MATCH(E$61,$B$9:$K$9,0)</f>
        <v>1</v>
      </c>
      <c r="F64" s="76">
        <f>MATCH(F$61,$B$9:$K$9,0)</f>
        <v>6</v>
      </c>
      <c r="G64" s="76">
        <f>MATCH(G$61,$B$9:$K$9,0)</f>
        <v>2</v>
      </c>
      <c r="H64" s="76">
        <f>MATCH(H$61,$B$9:$K$9,0)</f>
        <v>7</v>
      </c>
      <c r="I64" s="76">
        <f>MATCH(I$61,$B$9:$K$9,0)</f>
        <v>9</v>
      </c>
      <c r="J64" s="76">
        <f>MATCH(J$61,$B$9:$K$9,0)</f>
        <v>10</v>
      </c>
    </row>
    <row r="65">
      <c r="A65" s="65" t="inlineStr">
        <is>
          <t xml:space="preserve">ρ(S₅, neighbour)</t>
        </is>
      </c>
      <c r="B65" s="72">
        <f>INDEX('Zhuravlev Distances'!$B$9:$K$9,B64)</f>
        <v>5.7324577096</v>
      </c>
      <c r="C65" s="72">
        <f>INDEX('Zhuravlev Distances'!$B$9:$K$9,C64)</f>
        <v>5.747087531</v>
      </c>
      <c r="D65" s="72">
        <f>INDEX('Zhuravlev Distances'!$B$9:$K$9,D64)</f>
        <v>6.0172132777</v>
      </c>
      <c r="E65" s="72">
        <f>INDEX('Zhuravlev Distances'!$B$9:$K$9,E64)</f>
        <v>6.0394025463</v>
      </c>
      <c r="F65" s="72">
        <f>INDEX('Zhuravlev Distances'!$B$9:$K$9,F64)</f>
        <v>6.4159987028</v>
      </c>
      <c r="G65" s="72">
        <f>INDEX('Zhuravlev Distances'!$B$9:$K$9,G64)</f>
        <v>6.5779171767</v>
      </c>
      <c r="H65" s="72">
        <f>INDEX('Zhuravlev Distances'!$B$9:$K$9,H64)</f>
        <v>6.7119318122</v>
      </c>
      <c r="I65" s="72">
        <f>INDEX('Zhuravlev Distances'!$B$9:$K$9,I64)</f>
        <v>7.6901306636</v>
      </c>
      <c r="J65" s="72">
        <f>INDEX('Zhuravlev Distances'!$B$9:$K$9,J64)</f>
        <v>7.8920592328</v>
      </c>
    </row>
    <row r="66">
      <c r="A66" s="65" t="inlineStr">
        <is>
          <t xml:space="preserve">Class</t>
        </is>
      </c>
      <c r="B66" s="68">
        <f>INDEX(Dataset!$O$3:$O$12,B64)</f>
        <v>2</v>
      </c>
      <c r="C66" s="68">
        <f>INDEX(Dataset!$O$3:$O$12,C64)</f>
        <v>2</v>
      </c>
      <c r="D66" s="68">
        <f>INDEX(Dataset!$O$3:$O$12,D64)</f>
        <v>1</v>
      </c>
      <c r="E66" s="68">
        <f>INDEX(Dataset!$O$3:$O$12,E64)</f>
        <v>2</v>
      </c>
      <c r="F66" s="68">
        <f>INDEX(Dataset!$O$3:$O$12,F64)</f>
        <v>1</v>
      </c>
      <c r="G66" s="68">
        <f>INDEX(Dataset!$O$3:$O$12,G64)</f>
        <v>1</v>
      </c>
      <c r="H66" s="68">
        <f>INDEX(Dataset!$O$3:$O$12,H64)</f>
        <v>2</v>
      </c>
      <c r="I66" s="68">
        <f>INDEX(Dataset!$O$3:$O$12,I64)</f>
        <v>2</v>
      </c>
      <c r="J66" s="68">
        <f>INDEX(Dataset!$O$3:$O$12,J64)</f>
        <v>2</v>
      </c>
    </row>
    <row r="67">
      <c r="A67" s="65" t="inlineStr">
        <is>
          <t xml:space="preserve">Same class as S₅</t>
        </is>
      </c>
      <c r="B67" s="74">
        <f>IF(B66=Dataset!$O$7,1,0)</f>
        <v>0</v>
      </c>
      <c r="C67" s="74">
        <f>IF(C66=Dataset!$O$7,1,0)</f>
        <v>0</v>
      </c>
      <c r="D67" s="74">
        <f>IF(D66=Dataset!$O$7,1,0)</f>
        <v>1</v>
      </c>
      <c r="E67" s="74">
        <f>IF(E66=Dataset!$O$7,1,0)</f>
        <v>0</v>
      </c>
      <c r="F67" s="74">
        <f>IF(F66=Dataset!$O$7,1,0)</f>
        <v>1</v>
      </c>
      <c r="G67" s="74">
        <f>IF(G66=Dataset!$O$7,1,0)</f>
        <v>1</v>
      </c>
      <c r="H67" s="74">
        <f>IF(H66=Dataset!$O$7,1,0)</f>
        <v>0</v>
      </c>
      <c r="I67" s="74">
        <f>IF(I66=Dataset!$O$7,1,0)</f>
        <v>0</v>
      </c>
      <c r="J67" s="74">
        <f>IF(J66=Dataset!$O$7,1,0)</f>
        <v>0</v>
      </c>
    </row>
    <row r="68">
      <c r="A68" s="65" t="inlineStr">
        <is>
          <t xml:space="preserve">Same-class count μ (1 … rank)</t>
        </is>
      </c>
      <c r="B68" s="74">
        <f>SUM($B67:B67)</f>
        <v>0</v>
      </c>
      <c r="C68" s="74">
        <f>SUM($B67:C67)</f>
        <v>0</v>
      </c>
      <c r="D68" s="74">
        <f>SUM($B67:D67)</f>
        <v>1</v>
      </c>
      <c r="E68" s="74">
        <f>SUM($B67:E67)</f>
        <v>1</v>
      </c>
      <c r="F68" s="74">
        <f>SUM($B67:F67)</f>
        <v>2</v>
      </c>
      <c r="G68" s="74">
        <f>SUM($B67:G67)</f>
        <v>3</v>
      </c>
      <c r="H68" s="74">
        <f>SUM($B67:H67)</f>
        <v>3</v>
      </c>
      <c r="I68" s="74">
        <f>SUM($B67:I67)</f>
        <v>3</v>
      </c>
      <c r="J68" s="74">
        <f>SUM($B67:J67)</f>
        <v>3</v>
      </c>
    </row>
    <row r="69">
      <c r="A69" s="65" t="inlineStr">
        <is>
          <t xml:space="preserve">K1 count χ₁ (1 … rank)</t>
        </is>
      </c>
      <c r="B69" s="74">
        <f>COUNTIF($B66:B66,1)</f>
        <v>0</v>
      </c>
      <c r="C69" s="74">
        <f>COUNTIF($B66:C66,1)</f>
        <v>0</v>
      </c>
      <c r="D69" s="74">
        <f>COUNTIF($B66:D66,1)</f>
        <v>1</v>
      </c>
      <c r="E69" s="74">
        <f>COUNTIF($B66:E66,1)</f>
        <v>1</v>
      </c>
      <c r="F69" s="74">
        <f>COUNTIF($B66:F66,1)</f>
        <v>2</v>
      </c>
      <c r="G69" s="74">
        <f>COUNTIF($B66:G66,1)</f>
        <v>3</v>
      </c>
      <c r="H69" s="74">
        <f>COUNTIF($B66:H66,1)</f>
        <v>3</v>
      </c>
      <c r="I69" s="74">
        <f>COUNTIF($B66:I66,1)</f>
        <v>3</v>
      </c>
      <c r="J69" s="74">
        <f>COUNTIF($B66:J66,1)</f>
        <v>3</v>
      </c>
    </row>
    <row r="70"/>
    <row r="71">
      <c r="A71" s="59" t="str">
        <f>"S₆  ·  class "&amp;Dataset!$O$8&amp;"  —  neighbours in ascending ρ  (target row 10 of the rank matrix)"</f>
        <v>S₆  ·  class 1  —  neighbours in ascending ρ  (target row 10 of the rank matrix)</v>
      </c>
      <c r="B71" s="59"/>
      <c r="C71" s="59"/>
      <c r="D71" s="59"/>
      <c r="E71" s="59"/>
      <c r="F71" s="59"/>
      <c r="G71" s="59"/>
      <c r="H71" s="59"/>
      <c r="I71" s="59"/>
      <c r="J71" s="59"/>
    </row>
    <row r="72">
      <c r="A72" s="60" t="inlineStr">
        <is>
          <t xml:space="preserve">Rank</t>
        </is>
      </c>
      <c r="B72" s="60">
        <v>1</v>
      </c>
      <c r="C72" s="60">
        <v>2</v>
      </c>
      <c r="D72" s="60">
        <v>3</v>
      </c>
      <c r="E72" s="60">
        <v>4</v>
      </c>
      <c r="F72" s="60">
        <v>5</v>
      </c>
      <c r="G72" s="60">
        <v>6</v>
      </c>
      <c r="H72" s="60">
        <v>7</v>
      </c>
      <c r="I72" s="60">
        <v>8</v>
      </c>
      <c r="J72" s="60">
        <v>9</v>
      </c>
    </row>
    <row r="73">
      <c r="A73" s="65" t="inlineStr">
        <is>
          <t xml:space="preserve">k-neighbourhood</t>
        </is>
      </c>
      <c r="B73" s="78" t="str">
        <f>IF(AND(B$72&gt;='Parameters'!$B$9,B$72&lt;='Parameters'!$B$10,MOD(B$72-'Parameters'!$B$9,2)=0),"k = "&amp;B$72,"")</f>
        <v/>
      </c>
      <c r="C73" s="78" t="str">
        <f>IF(AND(C$72&gt;='Parameters'!$B$9,C$72&lt;='Parameters'!$B$10,MOD(C$72-'Parameters'!$B$9,2)=0),"k = "&amp;C$72,"")</f>
        <v/>
      </c>
      <c r="D73" s="78" t="str">
        <f>IF(AND(D$72&gt;='Parameters'!$B$9,D$72&lt;='Parameters'!$B$10,MOD(D$72-'Parameters'!$B$9,2)=0),"k = "&amp;D$72,"")</f>
        <v>k = 3</v>
      </c>
      <c r="E73" s="78" t="str">
        <f>IF(AND(E$72&gt;='Parameters'!$B$9,E$72&lt;='Parameters'!$B$10,MOD(E$72-'Parameters'!$B$9,2)=0),"k = "&amp;E$72,"")</f>
        <v/>
      </c>
      <c r="F73" s="78" t="str">
        <f>IF(AND(F$72&gt;='Parameters'!$B$9,F$72&lt;='Parameters'!$B$10,MOD(F$72-'Parameters'!$B$9,2)=0),"k = "&amp;F$72,"")</f>
        <v>k = 5</v>
      </c>
      <c r="G73" s="78" t="str">
        <f>IF(AND(G$72&gt;='Parameters'!$B$9,G$72&lt;='Parameters'!$B$10,MOD(G$72-'Parameters'!$B$9,2)=0),"k = "&amp;G$72,"")</f>
        <v/>
      </c>
      <c r="H73" s="78" t="str">
        <f>IF(AND(H$72&gt;='Parameters'!$B$9,H$72&lt;='Parameters'!$B$10,MOD(H$72-'Parameters'!$B$9,2)=0),"k = "&amp;H$72,"")</f>
        <v/>
      </c>
      <c r="I73" s="78" t="str">
        <f>IF(AND(I$72&gt;='Parameters'!$B$9,I$72&lt;='Parameters'!$B$10,MOD(I$72-'Parameters'!$B$9,2)=0),"k = "&amp;I$72,"")</f>
        <v/>
      </c>
      <c r="J73" s="78" t="str">
        <f>IF(AND(J$72&gt;='Parameters'!$B$9,J$72&lt;='Parameters'!$B$10,MOD(J$72-'Parameters'!$B$9,2)=0),"k = "&amp;J$72,"")</f>
        <v/>
      </c>
    </row>
    <row r="74">
      <c r="A74" s="65" t="inlineStr">
        <is>
          <t xml:space="preserve">Neighbour</t>
        </is>
      </c>
      <c r="B74" s="64" t="str">
        <f>INDEX('Zhuravlev Distances'!$B$4:$K$4,B75)</f>
        <v>S₃</v>
      </c>
      <c r="C74" s="64" t="str">
        <f>INDEX('Zhuravlev Distances'!$B$4:$K$4,C75)</f>
        <v>S₄</v>
      </c>
      <c r="D74" s="64" t="str">
        <f>INDEX('Zhuravlev Distances'!$B$4:$K$4,D75)</f>
        <v>S₈</v>
      </c>
      <c r="E74" s="64" t="str">
        <f>INDEX('Zhuravlev Distances'!$B$4:$K$4,E75)</f>
        <v>S₉</v>
      </c>
      <c r="F74" s="64" t="str">
        <f>INDEX('Zhuravlev Distances'!$B$4:$K$4,F75)</f>
        <v>S₂</v>
      </c>
      <c r="G74" s="64" t="str">
        <f>INDEX('Zhuravlev Distances'!$B$4:$K$4,G75)</f>
        <v>S₁</v>
      </c>
      <c r="H74" s="64" t="str">
        <f>INDEX('Zhuravlev Distances'!$B$4:$K$4,H75)</f>
        <v>S₅</v>
      </c>
      <c r="I74" s="64" t="str">
        <f>INDEX('Zhuravlev Distances'!$B$4:$K$4,I75)</f>
        <v>S₁₀</v>
      </c>
      <c r="J74" s="64" t="str">
        <f>INDEX('Zhuravlev Distances'!$B$4:$K$4,J75)</f>
        <v>S₇</v>
      </c>
    </row>
    <row r="75">
      <c r="A75" s="65" t="inlineStr">
        <is>
          <t xml:space="preserve">Original index</t>
        </is>
      </c>
      <c r="B75" s="76">
        <f>MATCH(B$72,$B$10:$K$10,0)</f>
        <v>3</v>
      </c>
      <c r="C75" s="76">
        <f>MATCH(C$72,$B$10:$K$10,0)</f>
        <v>4</v>
      </c>
      <c r="D75" s="76">
        <f>MATCH(D$72,$B$10:$K$10,0)</f>
        <v>8</v>
      </c>
      <c r="E75" s="76">
        <f>MATCH(E$72,$B$10:$K$10,0)</f>
        <v>9</v>
      </c>
      <c r="F75" s="76">
        <f>MATCH(F$72,$B$10:$K$10,0)</f>
        <v>2</v>
      </c>
      <c r="G75" s="76">
        <f>MATCH(G$72,$B$10:$K$10,0)</f>
        <v>1</v>
      </c>
      <c r="H75" s="76">
        <f>MATCH(H$72,$B$10:$K$10,0)</f>
        <v>5</v>
      </c>
      <c r="I75" s="76">
        <f>MATCH(I$72,$B$10:$K$10,0)</f>
        <v>10</v>
      </c>
      <c r="J75" s="76">
        <f>MATCH(J$72,$B$10:$K$10,0)</f>
        <v>7</v>
      </c>
    </row>
    <row r="76">
      <c r="A76" s="65" t="inlineStr">
        <is>
          <t xml:space="preserve">ρ(S₆, neighbour)</t>
        </is>
      </c>
      <c r="B76" s="72">
        <f>INDEX('Zhuravlev Distances'!$B$10:$K$10,B75)</f>
        <v>1.8031991129</v>
      </c>
      <c r="C76" s="72">
        <f>INDEX('Zhuravlev Distances'!$B$10:$K$10,C75)</f>
        <v>3.4022042285</v>
      </c>
      <c r="D76" s="72">
        <f>INDEX('Zhuravlev Distances'!$B$10:$K$10,D75)</f>
        <v>4.3181689316</v>
      </c>
      <c r="E76" s="72">
        <f>INDEX('Zhuravlev Distances'!$B$10:$K$10,E75)</f>
        <v>4.4162508238</v>
      </c>
      <c r="F76" s="72">
        <f>INDEX('Zhuravlev Distances'!$B$10:$K$10,F75)</f>
        <v>5.8595928925</v>
      </c>
      <c r="G76" s="72">
        <f>INDEX('Zhuravlev Distances'!$B$10:$K$10,G75)</f>
        <v>5.9056936468</v>
      </c>
      <c r="H76" s="72">
        <f>INDEX('Zhuravlev Distances'!$B$10:$K$10,H75)</f>
        <v>6.4159987028</v>
      </c>
      <c r="I76" s="72">
        <f>INDEX('Zhuravlev Distances'!$B$10:$K$10,I75)</f>
        <v>6.618179393</v>
      </c>
      <c r="J76" s="72">
        <f>INDEX('Zhuravlev Distances'!$B$10:$K$10,J75)</f>
        <v>7.37086851</v>
      </c>
    </row>
    <row r="77">
      <c r="A77" s="65" t="inlineStr">
        <is>
          <t xml:space="preserve">Class</t>
        </is>
      </c>
      <c r="B77" s="68">
        <f>INDEX(Dataset!$O$3:$O$12,B75)</f>
        <v>2</v>
      </c>
      <c r="C77" s="68">
        <f>INDEX(Dataset!$O$3:$O$12,C75)</f>
        <v>1</v>
      </c>
      <c r="D77" s="68">
        <f>INDEX(Dataset!$O$3:$O$12,D75)</f>
        <v>2</v>
      </c>
      <c r="E77" s="68">
        <f>INDEX(Dataset!$O$3:$O$12,E75)</f>
        <v>2</v>
      </c>
      <c r="F77" s="68">
        <f>INDEX(Dataset!$O$3:$O$12,F75)</f>
        <v>1</v>
      </c>
      <c r="G77" s="68">
        <f>INDEX(Dataset!$O$3:$O$12,G75)</f>
        <v>2</v>
      </c>
      <c r="H77" s="68">
        <f>INDEX(Dataset!$O$3:$O$12,H75)</f>
        <v>1</v>
      </c>
      <c r="I77" s="68">
        <f>INDEX(Dataset!$O$3:$O$12,I75)</f>
        <v>2</v>
      </c>
      <c r="J77" s="68">
        <f>INDEX(Dataset!$O$3:$O$12,J75)</f>
        <v>2</v>
      </c>
    </row>
    <row r="78">
      <c r="A78" s="65" t="inlineStr">
        <is>
          <t xml:space="preserve">Same class as S₆</t>
        </is>
      </c>
      <c r="B78" s="74">
        <f>IF(B77=Dataset!$O$8,1,0)</f>
        <v>0</v>
      </c>
      <c r="C78" s="74">
        <f>IF(C77=Dataset!$O$8,1,0)</f>
        <v>1</v>
      </c>
      <c r="D78" s="74">
        <f>IF(D77=Dataset!$O$8,1,0)</f>
        <v>0</v>
      </c>
      <c r="E78" s="74">
        <f>IF(E77=Dataset!$O$8,1,0)</f>
        <v>0</v>
      </c>
      <c r="F78" s="74">
        <f>IF(F77=Dataset!$O$8,1,0)</f>
        <v>1</v>
      </c>
      <c r="G78" s="74">
        <f>IF(G77=Dataset!$O$8,1,0)</f>
        <v>0</v>
      </c>
      <c r="H78" s="74">
        <f>IF(H77=Dataset!$O$8,1,0)</f>
        <v>1</v>
      </c>
      <c r="I78" s="74">
        <f>IF(I77=Dataset!$O$8,1,0)</f>
        <v>0</v>
      </c>
      <c r="J78" s="74">
        <f>IF(J77=Dataset!$O$8,1,0)</f>
        <v>0</v>
      </c>
    </row>
    <row r="79">
      <c r="A79" s="65" t="inlineStr">
        <is>
          <t xml:space="preserve">Same-class count μ (1 … rank)</t>
        </is>
      </c>
      <c r="B79" s="74">
        <f>SUM($B78:B78)</f>
        <v>0</v>
      </c>
      <c r="C79" s="74">
        <f>SUM($B78:C78)</f>
        <v>1</v>
      </c>
      <c r="D79" s="74">
        <f>SUM($B78:D78)</f>
        <v>1</v>
      </c>
      <c r="E79" s="74">
        <f>SUM($B78:E78)</f>
        <v>1</v>
      </c>
      <c r="F79" s="74">
        <f>SUM($B78:F78)</f>
        <v>2</v>
      </c>
      <c r="G79" s="74">
        <f>SUM($B78:G78)</f>
        <v>2</v>
      </c>
      <c r="H79" s="74">
        <f>SUM($B78:H78)</f>
        <v>3</v>
      </c>
      <c r="I79" s="74">
        <f>SUM($B78:I78)</f>
        <v>3</v>
      </c>
      <c r="J79" s="74">
        <f>SUM($B78:J78)</f>
        <v>3</v>
      </c>
    </row>
    <row r="80">
      <c r="A80" s="65" t="inlineStr">
        <is>
          <t xml:space="preserve">K1 count χ₁ (1 … rank)</t>
        </is>
      </c>
      <c r="B80" s="74">
        <f>COUNTIF($B77:B77,1)</f>
        <v>0</v>
      </c>
      <c r="C80" s="74">
        <f>COUNTIF($B77:C77,1)</f>
        <v>1</v>
      </c>
      <c r="D80" s="74">
        <f>COUNTIF($B77:D77,1)</f>
        <v>1</v>
      </c>
      <c r="E80" s="74">
        <f>COUNTIF($B77:E77,1)</f>
        <v>1</v>
      </c>
      <c r="F80" s="74">
        <f>COUNTIF($B77:F77,1)</f>
        <v>2</v>
      </c>
      <c r="G80" s="74">
        <f>COUNTIF($B77:G77,1)</f>
        <v>2</v>
      </c>
      <c r="H80" s="74">
        <f>COUNTIF($B77:H77,1)</f>
        <v>3</v>
      </c>
      <c r="I80" s="74">
        <f>COUNTIF($B77:I77,1)</f>
        <v>3</v>
      </c>
      <c r="J80" s="74">
        <f>COUNTIF($B77:J77,1)</f>
        <v>3</v>
      </c>
    </row>
    <row r="81"/>
    <row r="82">
      <c r="A82" s="59" t="str">
        <f>"S₇  ·  class "&amp;Dataset!$O$9&amp;"  —  neighbours in ascending ρ  (target row 11 of the rank matrix)"</f>
        <v>S₇  ·  class 2  —  neighbours in ascending ρ  (target row 11 of the rank matrix)</v>
      </c>
      <c r="B82" s="59"/>
      <c r="C82" s="59"/>
      <c r="D82" s="59"/>
      <c r="E82" s="59"/>
      <c r="F82" s="59"/>
      <c r="G82" s="59"/>
      <c r="H82" s="59"/>
      <c r="I82" s="59"/>
      <c r="J82" s="59"/>
    </row>
    <row r="83">
      <c r="A83" s="60" t="inlineStr">
        <is>
          <t xml:space="preserve">Rank</t>
        </is>
      </c>
      <c r="B83" s="60">
        <v>1</v>
      </c>
      <c r="C83" s="60">
        <v>2</v>
      </c>
      <c r="D83" s="60">
        <v>3</v>
      </c>
      <c r="E83" s="60">
        <v>4</v>
      </c>
      <c r="F83" s="60">
        <v>5</v>
      </c>
      <c r="G83" s="60">
        <v>6</v>
      </c>
      <c r="H83" s="60">
        <v>7</v>
      </c>
      <c r="I83" s="60">
        <v>8</v>
      </c>
      <c r="J83" s="60">
        <v>9</v>
      </c>
    </row>
    <row r="84">
      <c r="A84" s="65" t="inlineStr">
        <is>
          <t xml:space="preserve">k-neighbourhood</t>
        </is>
      </c>
      <c r="B84" s="78" t="str">
        <f>IF(AND(B$83&gt;='Parameters'!$B$9,B$83&lt;='Parameters'!$B$10,MOD(B$83-'Parameters'!$B$9,2)=0),"k = "&amp;B$83,"")</f>
        <v/>
      </c>
      <c r="C84" s="78" t="str">
        <f>IF(AND(C$83&gt;='Parameters'!$B$9,C$83&lt;='Parameters'!$B$10,MOD(C$83-'Parameters'!$B$9,2)=0),"k = "&amp;C$83,"")</f>
        <v/>
      </c>
      <c r="D84" s="78" t="str">
        <f>IF(AND(D$83&gt;='Parameters'!$B$9,D$83&lt;='Parameters'!$B$10,MOD(D$83-'Parameters'!$B$9,2)=0),"k = "&amp;D$83,"")</f>
        <v>k = 3</v>
      </c>
      <c r="E84" s="78" t="str">
        <f>IF(AND(E$83&gt;='Parameters'!$B$9,E$83&lt;='Parameters'!$B$10,MOD(E$83-'Parameters'!$B$9,2)=0),"k = "&amp;E$83,"")</f>
        <v/>
      </c>
      <c r="F84" s="78" t="str">
        <f>IF(AND(F$83&gt;='Parameters'!$B$9,F$83&lt;='Parameters'!$B$10,MOD(F$83-'Parameters'!$B$9,2)=0),"k = "&amp;F$83,"")</f>
        <v>k = 5</v>
      </c>
      <c r="G84" s="78" t="str">
        <f>IF(AND(G$83&gt;='Parameters'!$B$9,G$83&lt;='Parameters'!$B$10,MOD(G$83-'Parameters'!$B$9,2)=0),"k = "&amp;G$83,"")</f>
        <v/>
      </c>
      <c r="H84" s="78" t="str">
        <f>IF(AND(H$83&gt;='Parameters'!$B$9,H$83&lt;='Parameters'!$B$10,MOD(H$83-'Parameters'!$B$9,2)=0),"k = "&amp;H$83,"")</f>
        <v/>
      </c>
      <c r="I84" s="78" t="str">
        <f>IF(AND(I$83&gt;='Parameters'!$B$9,I$83&lt;='Parameters'!$B$10,MOD(I$83-'Parameters'!$B$9,2)=0),"k = "&amp;I$83,"")</f>
        <v/>
      </c>
      <c r="J84" s="78" t="str">
        <f>IF(AND(J$83&gt;='Parameters'!$B$9,J$83&lt;='Parameters'!$B$10,MOD(J$83-'Parameters'!$B$9,2)=0),"k = "&amp;J$83,"")</f>
        <v/>
      </c>
    </row>
    <row r="85">
      <c r="A85" s="65" t="inlineStr">
        <is>
          <t xml:space="preserve">Neighbour</t>
        </is>
      </c>
      <c r="B85" s="64" t="str">
        <f>INDEX('Zhuravlev Distances'!$B$4:$K$4,B86)</f>
        <v>S₈</v>
      </c>
      <c r="C85" s="64" t="str">
        <f>INDEX('Zhuravlev Distances'!$B$4:$K$4,C86)</f>
        <v>S₄</v>
      </c>
      <c r="D85" s="64" t="str">
        <f>INDEX('Zhuravlev Distances'!$B$4:$K$4,D86)</f>
        <v>S₉</v>
      </c>
      <c r="E85" s="64" t="str">
        <f>INDEX('Zhuravlev Distances'!$B$4:$K$4,E86)</f>
        <v>S₁</v>
      </c>
      <c r="F85" s="64" t="str">
        <f>INDEX('Zhuravlev Distances'!$B$4:$K$4,F86)</f>
        <v>S₃</v>
      </c>
      <c r="G85" s="64" t="str">
        <f>INDEX('Zhuravlev Distances'!$B$4:$K$4,G86)</f>
        <v>S₂</v>
      </c>
      <c r="H85" s="64" t="str">
        <f>INDEX('Zhuravlev Distances'!$B$4:$K$4,H86)</f>
        <v>S₅</v>
      </c>
      <c r="I85" s="64" t="str">
        <f>INDEX('Zhuravlev Distances'!$B$4:$K$4,I86)</f>
        <v>S₆</v>
      </c>
      <c r="J85" s="64" t="str">
        <f>INDEX('Zhuravlev Distances'!$B$4:$K$4,J86)</f>
        <v>S₁₀</v>
      </c>
    </row>
    <row r="86">
      <c r="A86" s="65" t="inlineStr">
        <is>
          <t xml:space="preserve">Original index</t>
        </is>
      </c>
      <c r="B86" s="76">
        <f>MATCH(B$83,$B$11:$K$11,0)</f>
        <v>8</v>
      </c>
      <c r="C86" s="76">
        <f>MATCH(C$83,$B$11:$K$11,0)</f>
        <v>4</v>
      </c>
      <c r="D86" s="76">
        <f>MATCH(D$83,$B$11:$K$11,0)</f>
        <v>9</v>
      </c>
      <c r="E86" s="76">
        <f>MATCH(E$83,$B$11:$K$11,0)</f>
        <v>1</v>
      </c>
      <c r="F86" s="76">
        <f>MATCH(F$83,$B$11:$K$11,0)</f>
        <v>3</v>
      </c>
      <c r="G86" s="76">
        <f>MATCH(G$83,$B$11:$K$11,0)</f>
        <v>2</v>
      </c>
      <c r="H86" s="76">
        <f>MATCH(H$83,$B$11:$K$11,0)</f>
        <v>5</v>
      </c>
      <c r="I86" s="76">
        <f>MATCH(I$83,$B$11:$K$11,0)</f>
        <v>6</v>
      </c>
      <c r="J86" s="76">
        <f>MATCH(J$83,$B$11:$K$11,0)</f>
        <v>10</v>
      </c>
    </row>
    <row r="87">
      <c r="A87" s="65" t="inlineStr">
        <is>
          <t xml:space="preserve">ρ(S₇, neighbour)</t>
        </is>
      </c>
      <c r="B87" s="72">
        <f>INDEX('Zhuravlev Distances'!$B$11:$K$11,B86)</f>
        <v>3.8684890521</v>
      </c>
      <c r="C87" s="72">
        <f>INDEX('Zhuravlev Distances'!$B$11:$K$11,C86)</f>
        <v>5.1870262269</v>
      </c>
      <c r="D87" s="72">
        <f>INDEX('Zhuravlev Distances'!$B$11:$K$11,D86)</f>
        <v>5.4898267583</v>
      </c>
      <c r="E87" s="72">
        <f>INDEX('Zhuravlev Distances'!$B$11:$K$11,E86)</f>
        <v>6.5963635983</v>
      </c>
      <c r="F87" s="72">
        <f>INDEX('Zhuravlev Distances'!$B$11:$K$11,F86)</f>
        <v>6.6461407693</v>
      </c>
      <c r="G87" s="72">
        <f>INDEX('Zhuravlev Distances'!$B$11:$K$11,G86)</f>
        <v>6.6553910492</v>
      </c>
      <c r="H87" s="72">
        <f>INDEX('Zhuravlev Distances'!$B$11:$K$11,H86)</f>
        <v>6.7119318122</v>
      </c>
      <c r="I87" s="72">
        <f>INDEX('Zhuravlev Distances'!$B$11:$K$11,I86)</f>
        <v>7.37086851</v>
      </c>
      <c r="J87" s="72">
        <f>INDEX('Zhuravlev Distances'!$B$11:$K$11,J86)</f>
        <v>8.0250886608</v>
      </c>
    </row>
    <row r="88">
      <c r="A88" s="65" t="inlineStr">
        <is>
          <t xml:space="preserve">Class</t>
        </is>
      </c>
      <c r="B88" s="68">
        <f>INDEX(Dataset!$O$3:$O$12,B86)</f>
        <v>2</v>
      </c>
      <c r="C88" s="68">
        <f>INDEX(Dataset!$O$3:$O$12,C86)</f>
        <v>1</v>
      </c>
      <c r="D88" s="68">
        <f>INDEX(Dataset!$O$3:$O$12,D86)</f>
        <v>2</v>
      </c>
      <c r="E88" s="68">
        <f>INDEX(Dataset!$O$3:$O$12,E86)</f>
        <v>2</v>
      </c>
      <c r="F88" s="68">
        <f>INDEX(Dataset!$O$3:$O$12,F86)</f>
        <v>2</v>
      </c>
      <c r="G88" s="68">
        <f>INDEX(Dataset!$O$3:$O$12,G86)</f>
        <v>1</v>
      </c>
      <c r="H88" s="68">
        <f>INDEX(Dataset!$O$3:$O$12,H86)</f>
        <v>1</v>
      </c>
      <c r="I88" s="68">
        <f>INDEX(Dataset!$O$3:$O$12,I86)</f>
        <v>1</v>
      </c>
      <c r="J88" s="68">
        <f>INDEX(Dataset!$O$3:$O$12,J86)</f>
        <v>2</v>
      </c>
    </row>
    <row r="89">
      <c r="A89" s="65" t="inlineStr">
        <is>
          <t xml:space="preserve">Same class as S₇</t>
        </is>
      </c>
      <c r="B89" s="74">
        <f>IF(B88=Dataset!$O$9,1,0)</f>
        <v>1</v>
      </c>
      <c r="C89" s="74">
        <f>IF(C88=Dataset!$O$9,1,0)</f>
        <v>0</v>
      </c>
      <c r="D89" s="74">
        <f>IF(D88=Dataset!$O$9,1,0)</f>
        <v>1</v>
      </c>
      <c r="E89" s="74">
        <f>IF(E88=Dataset!$O$9,1,0)</f>
        <v>1</v>
      </c>
      <c r="F89" s="74">
        <f>IF(F88=Dataset!$O$9,1,0)</f>
        <v>1</v>
      </c>
      <c r="G89" s="74">
        <f>IF(G88=Dataset!$O$9,1,0)</f>
        <v>0</v>
      </c>
      <c r="H89" s="74">
        <f>IF(H88=Dataset!$O$9,1,0)</f>
        <v>0</v>
      </c>
      <c r="I89" s="74">
        <f>IF(I88=Dataset!$O$9,1,0)</f>
        <v>0</v>
      </c>
      <c r="J89" s="74">
        <f>IF(J88=Dataset!$O$9,1,0)</f>
        <v>1</v>
      </c>
    </row>
    <row r="90">
      <c r="A90" s="65" t="inlineStr">
        <is>
          <t xml:space="preserve">Same-class count μ (1 … rank)</t>
        </is>
      </c>
      <c r="B90" s="74">
        <f>SUM($B89:B89)</f>
        <v>1</v>
      </c>
      <c r="C90" s="74">
        <f>SUM($B89:C89)</f>
        <v>1</v>
      </c>
      <c r="D90" s="74">
        <f>SUM($B89:D89)</f>
        <v>2</v>
      </c>
      <c r="E90" s="74">
        <f>SUM($B89:E89)</f>
        <v>3</v>
      </c>
      <c r="F90" s="74">
        <f>SUM($B89:F89)</f>
        <v>4</v>
      </c>
      <c r="G90" s="74">
        <f>SUM($B89:G89)</f>
        <v>4</v>
      </c>
      <c r="H90" s="74">
        <f>SUM($B89:H89)</f>
        <v>4</v>
      </c>
      <c r="I90" s="74">
        <f>SUM($B89:I89)</f>
        <v>4</v>
      </c>
      <c r="J90" s="74">
        <f>SUM($B89:J89)</f>
        <v>5</v>
      </c>
    </row>
    <row r="91">
      <c r="A91" s="65" t="inlineStr">
        <is>
          <t xml:space="preserve">K1 count χ₁ (1 … rank)</t>
        </is>
      </c>
      <c r="B91" s="74">
        <f>COUNTIF($B88:B88,1)</f>
        <v>0</v>
      </c>
      <c r="C91" s="74">
        <f>COUNTIF($B88:C88,1)</f>
        <v>1</v>
      </c>
      <c r="D91" s="74">
        <f>COUNTIF($B88:D88,1)</f>
        <v>1</v>
      </c>
      <c r="E91" s="74">
        <f>COUNTIF($B88:E88,1)</f>
        <v>1</v>
      </c>
      <c r="F91" s="74">
        <f>COUNTIF($B88:F88,1)</f>
        <v>1</v>
      </c>
      <c r="G91" s="74">
        <f>COUNTIF($B88:G88,1)</f>
        <v>2</v>
      </c>
      <c r="H91" s="74">
        <f>COUNTIF($B88:H88,1)</f>
        <v>3</v>
      </c>
      <c r="I91" s="74">
        <f>COUNTIF($B88:I88,1)</f>
        <v>4</v>
      </c>
      <c r="J91" s="74">
        <f>COUNTIF($B88:J88,1)</f>
        <v>4</v>
      </c>
    </row>
    <row r="92"/>
    <row r="93">
      <c r="A93" s="59" t="str">
        <f>"S₈  ·  class "&amp;Dataset!$O$10&amp;"  —  neighbours in ascending ρ  (target row 12 of the rank matrix)"</f>
        <v>S₈  ·  class 2  —  neighbours in ascending ρ  (target row 12 of the rank matrix)</v>
      </c>
      <c r="B93" s="59"/>
      <c r="C93" s="59"/>
      <c r="D93" s="59"/>
      <c r="E93" s="59"/>
      <c r="F93" s="59"/>
      <c r="G93" s="59"/>
      <c r="H93" s="59"/>
      <c r="I93" s="59"/>
      <c r="J93" s="59"/>
    </row>
    <row r="94">
      <c r="A94" s="60" t="inlineStr">
        <is>
          <t xml:space="preserve">Rank</t>
        </is>
      </c>
      <c r="B94" s="60">
        <v>1</v>
      </c>
      <c r="C94" s="60">
        <v>2</v>
      </c>
      <c r="D94" s="60">
        <v>3</v>
      </c>
      <c r="E94" s="60">
        <v>4</v>
      </c>
      <c r="F94" s="60">
        <v>5</v>
      </c>
      <c r="G94" s="60">
        <v>6</v>
      </c>
      <c r="H94" s="60">
        <v>7</v>
      </c>
      <c r="I94" s="60">
        <v>8</v>
      </c>
      <c r="J94" s="60">
        <v>9</v>
      </c>
    </row>
    <row r="95">
      <c r="A95" s="65" t="inlineStr">
        <is>
          <t xml:space="preserve">k-neighbourhood</t>
        </is>
      </c>
      <c r="B95" s="78" t="str">
        <f>IF(AND(B$94&gt;='Parameters'!$B$9,B$94&lt;='Parameters'!$B$10,MOD(B$94-'Parameters'!$B$9,2)=0),"k = "&amp;B$94,"")</f>
        <v/>
      </c>
      <c r="C95" s="78" t="str">
        <f>IF(AND(C$94&gt;='Parameters'!$B$9,C$94&lt;='Parameters'!$B$10,MOD(C$94-'Parameters'!$B$9,2)=0),"k = "&amp;C$94,"")</f>
        <v/>
      </c>
      <c r="D95" s="78" t="str">
        <f>IF(AND(D$94&gt;='Parameters'!$B$9,D$94&lt;='Parameters'!$B$10,MOD(D$94-'Parameters'!$B$9,2)=0),"k = "&amp;D$94,"")</f>
        <v>k = 3</v>
      </c>
      <c r="E95" s="78" t="str">
        <f>IF(AND(E$94&gt;='Parameters'!$B$9,E$94&lt;='Parameters'!$B$10,MOD(E$94-'Parameters'!$B$9,2)=0),"k = "&amp;E$94,"")</f>
        <v/>
      </c>
      <c r="F95" s="78" t="str">
        <f>IF(AND(F$94&gt;='Parameters'!$B$9,F$94&lt;='Parameters'!$B$10,MOD(F$94-'Parameters'!$B$9,2)=0),"k = "&amp;F$94,"")</f>
        <v>k = 5</v>
      </c>
      <c r="G95" s="78" t="str">
        <f>IF(AND(G$94&gt;='Parameters'!$B$9,G$94&lt;='Parameters'!$B$10,MOD(G$94-'Parameters'!$B$9,2)=0),"k = "&amp;G$94,"")</f>
        <v/>
      </c>
      <c r="H95" s="78" t="str">
        <f>IF(AND(H$94&gt;='Parameters'!$B$9,H$94&lt;='Parameters'!$B$10,MOD(H$94-'Parameters'!$B$9,2)=0),"k = "&amp;H$94,"")</f>
        <v/>
      </c>
      <c r="I95" s="78" t="str">
        <f>IF(AND(I$94&gt;='Parameters'!$B$9,I$94&lt;='Parameters'!$B$10,MOD(I$94-'Parameters'!$B$9,2)=0),"k = "&amp;I$94,"")</f>
        <v/>
      </c>
      <c r="J95" s="78" t="str">
        <f>IF(AND(J$94&gt;='Parameters'!$B$9,J$94&lt;='Parameters'!$B$10,MOD(J$94-'Parameters'!$B$9,2)=0),"k = "&amp;J$94,"")</f>
        <v/>
      </c>
    </row>
    <row r="96">
      <c r="A96" s="65" t="inlineStr">
        <is>
          <t xml:space="preserve">Neighbour</t>
        </is>
      </c>
      <c r="B96" s="64" t="str">
        <f>INDEX('Zhuravlev Distances'!$B$4:$K$4,B97)</f>
        <v>S₄</v>
      </c>
      <c r="C96" s="64" t="str">
        <f>INDEX('Zhuravlev Distances'!$B$4:$K$4,C97)</f>
        <v>S₉</v>
      </c>
      <c r="D96" s="64" t="str">
        <f>INDEX('Zhuravlev Distances'!$B$4:$K$4,D97)</f>
        <v>S₇</v>
      </c>
      <c r="E96" s="64" t="str">
        <f>INDEX('Zhuravlev Distances'!$B$4:$K$4,E97)</f>
        <v>S₆</v>
      </c>
      <c r="F96" s="64" t="str">
        <f>INDEX('Zhuravlev Distances'!$B$4:$K$4,F97)</f>
        <v>S₁</v>
      </c>
      <c r="G96" s="64" t="str">
        <f>INDEX('Zhuravlev Distances'!$B$4:$K$4,G97)</f>
        <v>S₃</v>
      </c>
      <c r="H96" s="64" t="str">
        <f>INDEX('Zhuravlev Distances'!$B$4:$K$4,H97)</f>
        <v>S₂</v>
      </c>
      <c r="I96" s="64" t="str">
        <f>INDEX('Zhuravlev Distances'!$B$4:$K$4,I97)</f>
        <v>S₁₀</v>
      </c>
      <c r="J96" s="64" t="str">
        <f>INDEX('Zhuravlev Distances'!$B$4:$K$4,J97)</f>
        <v>S₅</v>
      </c>
    </row>
    <row r="97">
      <c r="A97" s="65" t="inlineStr">
        <is>
          <t xml:space="preserve">Original index</t>
        </is>
      </c>
      <c r="B97" s="76">
        <f>MATCH(B$94,$B$12:$K$12,0)</f>
        <v>4</v>
      </c>
      <c r="C97" s="76">
        <f>MATCH(C$94,$B$12:$K$12,0)</f>
        <v>9</v>
      </c>
      <c r="D97" s="76">
        <f>MATCH(D$94,$B$12:$K$12,0)</f>
        <v>7</v>
      </c>
      <c r="E97" s="76">
        <f>MATCH(E$94,$B$12:$K$12,0)</f>
        <v>6</v>
      </c>
      <c r="F97" s="76">
        <f>MATCH(F$94,$B$12:$K$12,0)</f>
        <v>1</v>
      </c>
      <c r="G97" s="76">
        <f>MATCH(G$94,$B$12:$K$12,0)</f>
        <v>3</v>
      </c>
      <c r="H97" s="76">
        <f>MATCH(H$94,$B$12:$K$12,0)</f>
        <v>2</v>
      </c>
      <c r="I97" s="76">
        <f>MATCH(I$94,$B$12:$K$12,0)</f>
        <v>10</v>
      </c>
      <c r="J97" s="76">
        <f>MATCH(J$94,$B$12:$K$12,0)</f>
        <v>5</v>
      </c>
    </row>
    <row r="98">
      <c r="A98" s="65" t="inlineStr">
        <is>
          <t xml:space="preserve">ρ(S₈, neighbour)</t>
        </is>
      </c>
      <c r="B98" s="72">
        <f>INDEX('Zhuravlev Distances'!$B$12:$K$12,B97)</f>
        <v>2.6221819456</v>
      </c>
      <c r="C98" s="72">
        <f>INDEX('Zhuravlev Distances'!$B$12:$K$12,C97)</f>
        <v>2.7091930034</v>
      </c>
      <c r="D98" s="72">
        <f>INDEX('Zhuravlev Distances'!$B$12:$K$12,D97)</f>
        <v>3.8684890521</v>
      </c>
      <c r="E98" s="72">
        <f>INDEX('Zhuravlev Distances'!$B$12:$K$12,E97)</f>
        <v>4.3181689316</v>
      </c>
      <c r="F98" s="72">
        <f>INDEX('Zhuravlev Distances'!$B$12:$K$12,F97)</f>
        <v>4.8157298434</v>
      </c>
      <c r="G98" s="72">
        <f>INDEX('Zhuravlev Distances'!$B$12:$K$12,G97)</f>
        <v>5.1035187103</v>
      </c>
      <c r="H98" s="72">
        <f>INDEX('Zhuravlev Distances'!$B$12:$K$12,H97)</f>
        <v>5.1247572942</v>
      </c>
      <c r="I98" s="72">
        <f>INDEX('Zhuravlev Distances'!$B$12:$K$12,I97)</f>
        <v>5.2444549059</v>
      </c>
      <c r="J98" s="72">
        <f>INDEX('Zhuravlev Distances'!$B$12:$K$12,J97)</f>
        <v>5.747087531</v>
      </c>
    </row>
    <row r="99">
      <c r="A99" s="65" t="inlineStr">
        <is>
          <t xml:space="preserve">Class</t>
        </is>
      </c>
      <c r="B99" s="68">
        <f>INDEX(Dataset!$O$3:$O$12,B97)</f>
        <v>1</v>
      </c>
      <c r="C99" s="68">
        <f>INDEX(Dataset!$O$3:$O$12,C97)</f>
        <v>2</v>
      </c>
      <c r="D99" s="68">
        <f>INDEX(Dataset!$O$3:$O$12,D97)</f>
        <v>2</v>
      </c>
      <c r="E99" s="68">
        <f>INDEX(Dataset!$O$3:$O$12,E97)</f>
        <v>1</v>
      </c>
      <c r="F99" s="68">
        <f>INDEX(Dataset!$O$3:$O$12,F97)</f>
        <v>2</v>
      </c>
      <c r="G99" s="68">
        <f>INDEX(Dataset!$O$3:$O$12,G97)</f>
        <v>2</v>
      </c>
      <c r="H99" s="68">
        <f>INDEX(Dataset!$O$3:$O$12,H97)</f>
        <v>1</v>
      </c>
      <c r="I99" s="68">
        <f>INDEX(Dataset!$O$3:$O$12,I97)</f>
        <v>2</v>
      </c>
      <c r="J99" s="68">
        <f>INDEX(Dataset!$O$3:$O$12,J97)</f>
        <v>1</v>
      </c>
    </row>
    <row r="100">
      <c r="A100" s="65" t="inlineStr">
        <is>
          <t xml:space="preserve">Same class as S₈</t>
        </is>
      </c>
      <c r="B100" s="74">
        <f>IF(B99=Dataset!$O$10,1,0)</f>
        <v>0</v>
      </c>
      <c r="C100" s="74">
        <f>IF(C99=Dataset!$O$10,1,0)</f>
        <v>1</v>
      </c>
      <c r="D100" s="74">
        <f>IF(D99=Dataset!$O$10,1,0)</f>
        <v>1</v>
      </c>
      <c r="E100" s="74">
        <f>IF(E99=Dataset!$O$10,1,0)</f>
        <v>0</v>
      </c>
      <c r="F100" s="74">
        <f>IF(F99=Dataset!$O$10,1,0)</f>
        <v>1</v>
      </c>
      <c r="G100" s="74">
        <f>IF(G99=Dataset!$O$10,1,0)</f>
        <v>1</v>
      </c>
      <c r="H100" s="74">
        <f>IF(H99=Dataset!$O$10,1,0)</f>
        <v>0</v>
      </c>
      <c r="I100" s="74">
        <f>IF(I99=Dataset!$O$10,1,0)</f>
        <v>1</v>
      </c>
      <c r="J100" s="74">
        <f>IF(J99=Dataset!$O$10,1,0)</f>
        <v>0</v>
      </c>
    </row>
    <row r="101">
      <c r="A101" s="65" t="inlineStr">
        <is>
          <t xml:space="preserve">Same-class count μ (1 … rank)</t>
        </is>
      </c>
      <c r="B101" s="74">
        <f>SUM($B100:B100)</f>
        <v>0</v>
      </c>
      <c r="C101" s="74">
        <f>SUM($B100:C100)</f>
        <v>1</v>
      </c>
      <c r="D101" s="74">
        <f>SUM($B100:D100)</f>
        <v>2</v>
      </c>
      <c r="E101" s="74">
        <f>SUM($B100:E100)</f>
        <v>2</v>
      </c>
      <c r="F101" s="74">
        <f>SUM($B100:F100)</f>
        <v>3</v>
      </c>
      <c r="G101" s="74">
        <f>SUM($B100:G100)</f>
        <v>4</v>
      </c>
      <c r="H101" s="74">
        <f>SUM($B100:H100)</f>
        <v>4</v>
      </c>
      <c r="I101" s="74">
        <f>SUM($B100:I100)</f>
        <v>5</v>
      </c>
      <c r="J101" s="74">
        <f>SUM($B100:J100)</f>
        <v>5</v>
      </c>
    </row>
    <row r="102">
      <c r="A102" s="65" t="inlineStr">
        <is>
          <t xml:space="preserve">K1 count χ₁ (1 … rank)</t>
        </is>
      </c>
      <c r="B102" s="74">
        <f>COUNTIF($B99:B99,1)</f>
        <v>1</v>
      </c>
      <c r="C102" s="74">
        <f>COUNTIF($B99:C99,1)</f>
        <v>1</v>
      </c>
      <c r="D102" s="74">
        <f>COUNTIF($B99:D99,1)</f>
        <v>1</v>
      </c>
      <c r="E102" s="74">
        <f>COUNTIF($B99:E99,1)</f>
        <v>2</v>
      </c>
      <c r="F102" s="74">
        <f>COUNTIF($B99:F99,1)</f>
        <v>2</v>
      </c>
      <c r="G102" s="74">
        <f>COUNTIF($B99:G99,1)</f>
        <v>2</v>
      </c>
      <c r="H102" s="74">
        <f>COUNTIF($B99:H99,1)</f>
        <v>3</v>
      </c>
      <c r="I102" s="74">
        <f>COUNTIF($B99:I99,1)</f>
        <v>3</v>
      </c>
      <c r="J102" s="74">
        <f>COUNTIF($B99:J99,1)</f>
        <v>4</v>
      </c>
    </row>
    <row r="103"/>
    <row r="104">
      <c r="A104" s="59" t="str">
        <f>"S₉  ·  class "&amp;Dataset!$O$11&amp;"  —  neighbours in ascending ρ  (target row 13 of the rank matrix)"</f>
        <v>S₉  ·  class 2  —  neighbours in ascending ρ  (target row 13 of the rank matrix)</v>
      </c>
      <c r="B104" s="59"/>
      <c r="C104" s="59"/>
      <c r="D104" s="59"/>
      <c r="E104" s="59"/>
      <c r="F104" s="59"/>
      <c r="G104" s="59"/>
      <c r="H104" s="59"/>
      <c r="I104" s="59"/>
      <c r="J104" s="59"/>
    </row>
    <row r="105">
      <c r="A105" s="60" t="inlineStr">
        <is>
          <t xml:space="preserve">Rank</t>
        </is>
      </c>
      <c r="B105" s="60">
        <v>1</v>
      </c>
      <c r="C105" s="60">
        <v>2</v>
      </c>
      <c r="D105" s="60">
        <v>3</v>
      </c>
      <c r="E105" s="60">
        <v>4</v>
      </c>
      <c r="F105" s="60">
        <v>5</v>
      </c>
      <c r="G105" s="60">
        <v>6</v>
      </c>
      <c r="H105" s="60">
        <v>7</v>
      </c>
      <c r="I105" s="60">
        <v>8</v>
      </c>
      <c r="J105" s="60">
        <v>9</v>
      </c>
    </row>
    <row r="106">
      <c r="A106" s="65" t="inlineStr">
        <is>
          <t xml:space="preserve">k-neighbourhood</t>
        </is>
      </c>
      <c r="B106" s="78" t="str">
        <f>IF(AND(B$105&gt;='Parameters'!$B$9,B$105&lt;='Parameters'!$B$10,MOD(B$105-'Parameters'!$B$9,2)=0),"k = "&amp;B$105,"")</f>
        <v/>
      </c>
      <c r="C106" s="78" t="str">
        <f>IF(AND(C$105&gt;='Parameters'!$B$9,C$105&lt;='Parameters'!$B$10,MOD(C$105-'Parameters'!$B$9,2)=0),"k = "&amp;C$105,"")</f>
        <v/>
      </c>
      <c r="D106" s="78" t="str">
        <f>IF(AND(D$105&gt;='Parameters'!$B$9,D$105&lt;='Parameters'!$B$10,MOD(D$105-'Parameters'!$B$9,2)=0),"k = "&amp;D$105,"")</f>
        <v>k = 3</v>
      </c>
      <c r="E106" s="78" t="str">
        <f>IF(AND(E$105&gt;='Parameters'!$B$9,E$105&lt;='Parameters'!$B$10,MOD(E$105-'Parameters'!$B$9,2)=0),"k = "&amp;E$105,"")</f>
        <v/>
      </c>
      <c r="F106" s="78" t="str">
        <f>IF(AND(F$105&gt;='Parameters'!$B$9,F$105&lt;='Parameters'!$B$10,MOD(F$105-'Parameters'!$B$9,2)=0),"k = "&amp;F$105,"")</f>
        <v>k = 5</v>
      </c>
      <c r="G106" s="78" t="str">
        <f>IF(AND(G$105&gt;='Parameters'!$B$9,G$105&lt;='Parameters'!$B$10,MOD(G$105-'Parameters'!$B$9,2)=0),"k = "&amp;G$105,"")</f>
        <v/>
      </c>
      <c r="H106" s="78" t="str">
        <f>IF(AND(H$105&gt;='Parameters'!$B$9,H$105&lt;='Parameters'!$B$10,MOD(H$105-'Parameters'!$B$9,2)=0),"k = "&amp;H$105,"")</f>
        <v/>
      </c>
      <c r="I106" s="78" t="str">
        <f>IF(AND(I$105&gt;='Parameters'!$B$9,I$105&lt;='Parameters'!$B$10,MOD(I$105-'Parameters'!$B$9,2)=0),"k = "&amp;I$105,"")</f>
        <v/>
      </c>
      <c r="J106" s="78" t="str">
        <f>IF(AND(J$105&gt;='Parameters'!$B$9,J$105&lt;='Parameters'!$B$10,MOD(J$105-'Parameters'!$B$9,2)=0),"k = "&amp;J$105,"")</f>
        <v/>
      </c>
    </row>
    <row r="107">
      <c r="A107" s="65" t="inlineStr">
        <is>
          <t xml:space="preserve">Neighbour</t>
        </is>
      </c>
      <c r="B107" s="64" t="str">
        <f>INDEX('Zhuravlev Distances'!$B$4:$K$4,B108)</f>
        <v>S₈</v>
      </c>
      <c r="C107" s="64" t="str">
        <f>INDEX('Zhuravlev Distances'!$B$4:$K$4,C108)</f>
        <v>S₁₀</v>
      </c>
      <c r="D107" s="64" t="str">
        <f>INDEX('Zhuravlev Distances'!$B$4:$K$4,D108)</f>
        <v>S₁</v>
      </c>
      <c r="E107" s="64" t="str">
        <f>INDEX('Zhuravlev Distances'!$B$4:$K$4,E108)</f>
        <v>S₄</v>
      </c>
      <c r="F107" s="64" t="str">
        <f>INDEX('Zhuravlev Distances'!$B$4:$K$4,F108)</f>
        <v>S₆</v>
      </c>
      <c r="G107" s="64" t="str">
        <f>INDEX('Zhuravlev Distances'!$B$4:$K$4,G108)</f>
        <v>S₂</v>
      </c>
      <c r="H107" s="64" t="str">
        <f>INDEX('Zhuravlev Distances'!$B$4:$K$4,H108)</f>
        <v>S₃</v>
      </c>
      <c r="I107" s="64" t="str">
        <f>INDEX('Zhuravlev Distances'!$B$4:$K$4,I108)</f>
        <v>S₇</v>
      </c>
      <c r="J107" s="64" t="str">
        <f>INDEX('Zhuravlev Distances'!$B$4:$K$4,J108)</f>
        <v>S₅</v>
      </c>
    </row>
    <row r="108">
      <c r="A108" s="65" t="inlineStr">
        <is>
          <t xml:space="preserve">Original index</t>
        </is>
      </c>
      <c r="B108" s="76">
        <f>MATCH(B$105,$B$13:$K$13,0)</f>
        <v>8</v>
      </c>
      <c r="C108" s="76">
        <f>MATCH(C$105,$B$13:$K$13,0)</f>
        <v>10</v>
      </c>
      <c r="D108" s="76">
        <f>MATCH(D$105,$B$13:$K$13,0)</f>
        <v>1</v>
      </c>
      <c r="E108" s="76">
        <f>MATCH(E$105,$B$13:$K$13,0)</f>
        <v>4</v>
      </c>
      <c r="F108" s="76">
        <f>MATCH(F$105,$B$13:$K$13,0)</f>
        <v>6</v>
      </c>
      <c r="G108" s="76">
        <f>MATCH(G$105,$B$13:$K$13,0)</f>
        <v>2</v>
      </c>
      <c r="H108" s="76">
        <f>MATCH(H$105,$B$13:$K$13,0)</f>
        <v>3</v>
      </c>
      <c r="I108" s="76">
        <f>MATCH(I$105,$B$13:$K$13,0)</f>
        <v>7</v>
      </c>
      <c r="J108" s="76">
        <f>MATCH(J$105,$B$13:$K$13,0)</f>
        <v>5</v>
      </c>
    </row>
    <row r="109">
      <c r="A109" s="65" t="inlineStr">
        <is>
          <t xml:space="preserve">ρ(S₉, neighbour)</t>
        </is>
      </c>
      <c r="B109" s="72">
        <f>INDEX('Zhuravlev Distances'!$B$13:$K$13,B108)</f>
        <v>2.7091930034</v>
      </c>
      <c r="C109" s="72">
        <f>INDEX('Zhuravlev Distances'!$B$13:$K$13,C108)</f>
        <v>3.0275695948</v>
      </c>
      <c r="D109" s="72">
        <f>INDEX('Zhuravlev Distances'!$B$13:$K$13,D108)</f>
        <v>3.4680753016</v>
      </c>
      <c r="E109" s="72">
        <f>INDEX('Zhuravlev Distances'!$B$13:$K$13,E108)</f>
        <v>4.1962328301</v>
      </c>
      <c r="F109" s="72">
        <f>INDEX('Zhuravlev Distances'!$B$13:$K$13,F108)</f>
        <v>4.4162508238</v>
      </c>
      <c r="G109" s="72">
        <f>INDEX('Zhuravlev Distances'!$B$13:$K$13,G108)</f>
        <v>4.6399232652</v>
      </c>
      <c r="H109" s="72">
        <f>INDEX('Zhuravlev Distances'!$B$13:$K$13,H108)</f>
        <v>4.9990166233</v>
      </c>
      <c r="I109" s="72">
        <f>INDEX('Zhuravlev Distances'!$B$13:$K$13,I108)</f>
        <v>5.4898267583</v>
      </c>
      <c r="J109" s="72">
        <f>INDEX('Zhuravlev Distances'!$B$13:$K$13,J108)</f>
        <v>7.6901306636</v>
      </c>
    </row>
    <row r="110">
      <c r="A110" s="65" t="inlineStr">
        <is>
          <t xml:space="preserve">Class</t>
        </is>
      </c>
      <c r="B110" s="68">
        <f>INDEX(Dataset!$O$3:$O$12,B108)</f>
        <v>2</v>
      </c>
      <c r="C110" s="68">
        <f>INDEX(Dataset!$O$3:$O$12,C108)</f>
        <v>2</v>
      </c>
      <c r="D110" s="68">
        <f>INDEX(Dataset!$O$3:$O$12,D108)</f>
        <v>2</v>
      </c>
      <c r="E110" s="68">
        <f>INDEX(Dataset!$O$3:$O$12,E108)</f>
        <v>1</v>
      </c>
      <c r="F110" s="68">
        <f>INDEX(Dataset!$O$3:$O$12,F108)</f>
        <v>1</v>
      </c>
      <c r="G110" s="68">
        <f>INDEX(Dataset!$O$3:$O$12,G108)</f>
        <v>1</v>
      </c>
      <c r="H110" s="68">
        <f>INDEX(Dataset!$O$3:$O$12,H108)</f>
        <v>2</v>
      </c>
      <c r="I110" s="68">
        <f>INDEX(Dataset!$O$3:$O$12,I108)</f>
        <v>2</v>
      </c>
      <c r="J110" s="68">
        <f>INDEX(Dataset!$O$3:$O$12,J108)</f>
        <v>1</v>
      </c>
    </row>
    <row r="111">
      <c r="A111" s="65" t="inlineStr">
        <is>
          <t xml:space="preserve">Same class as S₉</t>
        </is>
      </c>
      <c r="B111" s="74">
        <f>IF(B110=Dataset!$O$11,1,0)</f>
        <v>1</v>
      </c>
      <c r="C111" s="74">
        <f>IF(C110=Dataset!$O$11,1,0)</f>
        <v>1</v>
      </c>
      <c r="D111" s="74">
        <f>IF(D110=Dataset!$O$11,1,0)</f>
        <v>1</v>
      </c>
      <c r="E111" s="74">
        <f>IF(E110=Dataset!$O$11,1,0)</f>
        <v>0</v>
      </c>
      <c r="F111" s="74">
        <f>IF(F110=Dataset!$O$11,1,0)</f>
        <v>0</v>
      </c>
      <c r="G111" s="74">
        <f>IF(G110=Dataset!$O$11,1,0)</f>
        <v>0</v>
      </c>
      <c r="H111" s="74">
        <f>IF(H110=Dataset!$O$11,1,0)</f>
        <v>1</v>
      </c>
      <c r="I111" s="74">
        <f>IF(I110=Dataset!$O$11,1,0)</f>
        <v>1</v>
      </c>
      <c r="J111" s="74">
        <f>IF(J110=Dataset!$O$11,1,0)</f>
        <v>0</v>
      </c>
    </row>
    <row r="112">
      <c r="A112" s="65" t="inlineStr">
        <is>
          <t xml:space="preserve">Same-class count μ (1 … rank)</t>
        </is>
      </c>
      <c r="B112" s="74">
        <f>SUM($B111:B111)</f>
        <v>1</v>
      </c>
      <c r="C112" s="74">
        <f>SUM($B111:C111)</f>
        <v>2</v>
      </c>
      <c r="D112" s="74">
        <f>SUM($B111:D111)</f>
        <v>3</v>
      </c>
      <c r="E112" s="74">
        <f>SUM($B111:E111)</f>
        <v>3</v>
      </c>
      <c r="F112" s="74">
        <f>SUM($B111:F111)</f>
        <v>3</v>
      </c>
      <c r="G112" s="74">
        <f>SUM($B111:G111)</f>
        <v>3</v>
      </c>
      <c r="H112" s="74">
        <f>SUM($B111:H111)</f>
        <v>4</v>
      </c>
      <c r="I112" s="74">
        <f>SUM($B111:I111)</f>
        <v>5</v>
      </c>
      <c r="J112" s="74">
        <f>SUM($B111:J111)</f>
        <v>5</v>
      </c>
    </row>
    <row r="113">
      <c r="A113" s="65" t="inlineStr">
        <is>
          <t xml:space="preserve">K1 count χ₁ (1 … rank)</t>
        </is>
      </c>
      <c r="B113" s="74">
        <f>COUNTIF($B110:B110,1)</f>
        <v>0</v>
      </c>
      <c r="C113" s="74">
        <f>COUNTIF($B110:C110,1)</f>
        <v>0</v>
      </c>
      <c r="D113" s="74">
        <f>COUNTIF($B110:D110,1)</f>
        <v>0</v>
      </c>
      <c r="E113" s="74">
        <f>COUNTIF($B110:E110,1)</f>
        <v>1</v>
      </c>
      <c r="F113" s="74">
        <f>COUNTIF($B110:F110,1)</f>
        <v>2</v>
      </c>
      <c r="G113" s="74">
        <f>COUNTIF($B110:G110,1)</f>
        <v>3</v>
      </c>
      <c r="H113" s="74">
        <f>COUNTIF($B110:H110,1)</f>
        <v>3</v>
      </c>
      <c r="I113" s="74">
        <f>COUNTIF($B110:I110,1)</f>
        <v>3</v>
      </c>
      <c r="J113" s="74">
        <f>COUNTIF($B110:J110,1)</f>
        <v>4</v>
      </c>
    </row>
    <row r="114"/>
    <row r="115">
      <c r="A115" s="59" t="str">
        <f>"S₁₀  ·  class "&amp;Dataset!$O$12&amp;"  —  neighbours in ascending ρ  (target row 14 of the rank matrix)"</f>
        <v>S₁₀  ·  class 2  —  neighbours in ascending ρ  (target row 14 of the rank matrix)</v>
      </c>
      <c r="B115" s="59"/>
      <c r="C115" s="59"/>
      <c r="D115" s="59"/>
      <c r="E115" s="59"/>
      <c r="F115" s="59"/>
      <c r="G115" s="59"/>
      <c r="H115" s="59"/>
      <c r="I115" s="59"/>
      <c r="J115" s="59"/>
    </row>
    <row r="116">
      <c r="A116" s="60" t="inlineStr">
        <is>
          <t xml:space="preserve">Rank</t>
        </is>
      </c>
      <c r="B116" s="60">
        <v>1</v>
      </c>
      <c r="C116" s="60">
        <v>2</v>
      </c>
      <c r="D116" s="60">
        <v>3</v>
      </c>
      <c r="E116" s="60">
        <v>4</v>
      </c>
      <c r="F116" s="60">
        <v>5</v>
      </c>
      <c r="G116" s="60">
        <v>6</v>
      </c>
      <c r="H116" s="60">
        <v>7</v>
      </c>
      <c r="I116" s="60">
        <v>8</v>
      </c>
      <c r="J116" s="60">
        <v>9</v>
      </c>
    </row>
    <row r="117">
      <c r="A117" s="65" t="inlineStr">
        <is>
          <t xml:space="preserve">k-neighbourhood</t>
        </is>
      </c>
      <c r="B117" s="78" t="str">
        <f>IF(AND(B$116&gt;='Parameters'!$B$9,B$116&lt;='Parameters'!$B$10,MOD(B$116-'Parameters'!$B$9,2)=0),"k = "&amp;B$116,"")</f>
        <v/>
      </c>
      <c r="C117" s="78" t="str">
        <f>IF(AND(C$116&gt;='Parameters'!$B$9,C$116&lt;='Parameters'!$B$10,MOD(C$116-'Parameters'!$B$9,2)=0),"k = "&amp;C$116,"")</f>
        <v/>
      </c>
      <c r="D117" s="78" t="str">
        <f>IF(AND(D$116&gt;='Parameters'!$B$9,D$116&lt;='Parameters'!$B$10,MOD(D$116-'Parameters'!$B$9,2)=0),"k = "&amp;D$116,"")</f>
        <v>k = 3</v>
      </c>
      <c r="E117" s="78" t="str">
        <f>IF(AND(E$116&gt;='Parameters'!$B$9,E$116&lt;='Parameters'!$B$10,MOD(E$116-'Parameters'!$B$9,2)=0),"k = "&amp;E$116,"")</f>
        <v/>
      </c>
      <c r="F117" s="78" t="str">
        <f>IF(AND(F$116&gt;='Parameters'!$B$9,F$116&lt;='Parameters'!$B$10,MOD(F$116-'Parameters'!$B$9,2)=0),"k = "&amp;F$116,"")</f>
        <v>k = 5</v>
      </c>
      <c r="G117" s="78" t="str">
        <f>IF(AND(G$116&gt;='Parameters'!$B$9,G$116&lt;='Parameters'!$B$10,MOD(G$116-'Parameters'!$B$9,2)=0),"k = "&amp;G$116,"")</f>
        <v/>
      </c>
      <c r="H117" s="78" t="str">
        <f>IF(AND(H$116&gt;='Parameters'!$B$9,H$116&lt;='Parameters'!$B$10,MOD(H$116-'Parameters'!$B$9,2)=0),"k = "&amp;H$116,"")</f>
        <v/>
      </c>
      <c r="I117" s="78" t="str">
        <f>IF(AND(I$116&gt;='Parameters'!$B$9,I$116&lt;='Parameters'!$B$10,MOD(I$116-'Parameters'!$B$9,2)=0),"k = "&amp;I$116,"")</f>
        <v/>
      </c>
      <c r="J117" s="78" t="str">
        <f>IF(AND(J$116&gt;='Parameters'!$B$9,J$116&lt;='Parameters'!$B$10,MOD(J$116-'Parameters'!$B$9,2)=0),"k = "&amp;J$116,"")</f>
        <v/>
      </c>
    </row>
    <row r="118">
      <c r="A118" s="65" t="inlineStr">
        <is>
          <t xml:space="preserve">Neighbour</t>
        </is>
      </c>
      <c r="B118" s="64" t="str">
        <f>INDEX('Zhuravlev Distances'!$B$4:$K$4,B119)</f>
        <v>S₉</v>
      </c>
      <c r="C118" s="64" t="str">
        <f>INDEX('Zhuravlev Distances'!$B$4:$K$4,C119)</f>
        <v>S₁</v>
      </c>
      <c r="D118" s="64" t="str">
        <f>INDEX('Zhuravlev Distances'!$B$4:$K$4,D119)</f>
        <v>S₂</v>
      </c>
      <c r="E118" s="64" t="str">
        <f>INDEX('Zhuravlev Distances'!$B$4:$K$4,E119)</f>
        <v>S₈</v>
      </c>
      <c r="F118" s="64" t="str">
        <f>INDEX('Zhuravlev Distances'!$B$4:$K$4,F119)</f>
        <v>S₄</v>
      </c>
      <c r="G118" s="64" t="str">
        <f>INDEX('Zhuravlev Distances'!$B$4:$K$4,G119)</f>
        <v>S₆</v>
      </c>
      <c r="H118" s="64" t="str">
        <f>INDEX('Zhuravlev Distances'!$B$4:$K$4,H119)</f>
        <v>S₃</v>
      </c>
      <c r="I118" s="64" t="str">
        <f>INDEX('Zhuravlev Distances'!$B$4:$K$4,I119)</f>
        <v>S₅</v>
      </c>
      <c r="J118" s="64" t="str">
        <f>INDEX('Zhuravlev Distances'!$B$4:$K$4,J119)</f>
        <v>S₇</v>
      </c>
    </row>
    <row r="119">
      <c r="A119" s="65" t="inlineStr">
        <is>
          <t xml:space="preserve">Original index</t>
        </is>
      </c>
      <c r="B119" s="76">
        <f>MATCH(B$116,$B$14:$K$14,0)</f>
        <v>9</v>
      </c>
      <c r="C119" s="76">
        <f>MATCH(C$116,$B$14:$K$14,0)</f>
        <v>1</v>
      </c>
      <c r="D119" s="76">
        <f>MATCH(D$116,$B$14:$K$14,0)</f>
        <v>2</v>
      </c>
      <c r="E119" s="76">
        <f>MATCH(E$116,$B$14:$K$14,0)</f>
        <v>8</v>
      </c>
      <c r="F119" s="76">
        <f>MATCH(F$116,$B$14:$K$14,0)</f>
        <v>4</v>
      </c>
      <c r="G119" s="76">
        <f>MATCH(G$116,$B$14:$K$14,0)</f>
        <v>6</v>
      </c>
      <c r="H119" s="76">
        <f>MATCH(H$116,$B$14:$K$14,0)</f>
        <v>3</v>
      </c>
      <c r="I119" s="76">
        <f>MATCH(I$116,$B$14:$K$14,0)</f>
        <v>5</v>
      </c>
      <c r="J119" s="76">
        <f>MATCH(J$116,$B$14:$K$14,0)</f>
        <v>7</v>
      </c>
    </row>
    <row r="120">
      <c r="A120" s="65" t="inlineStr">
        <is>
          <t xml:space="preserve">ρ(S₁₀, neighbour)</t>
        </is>
      </c>
      <c r="B120" s="72">
        <f>INDEX('Zhuravlev Distances'!$B$14:$K$14,B119)</f>
        <v>3.0275695948</v>
      </c>
      <c r="C120" s="72">
        <f>INDEX('Zhuravlev Distances'!$B$14:$K$14,C119)</f>
        <v>4.2218874557</v>
      </c>
      <c r="D120" s="72">
        <f>INDEX('Zhuravlev Distances'!$B$14:$K$14,D119)</f>
        <v>4.2267936164</v>
      </c>
      <c r="E120" s="72">
        <f>INDEX('Zhuravlev Distances'!$B$14:$K$14,E119)</f>
        <v>5.2444549059</v>
      </c>
      <c r="F120" s="72">
        <f>INDEX('Zhuravlev Distances'!$B$14:$K$14,F119)</f>
        <v>6.3981613993</v>
      </c>
      <c r="G120" s="72">
        <f>INDEX('Zhuravlev Distances'!$B$14:$K$14,G119)</f>
        <v>6.618179393</v>
      </c>
      <c r="H120" s="72">
        <f>INDEX('Zhuravlev Distances'!$B$14:$K$14,H119)</f>
        <v>7.5342785258</v>
      </c>
      <c r="I120" s="72">
        <f>INDEX('Zhuravlev Distances'!$B$14:$K$14,I119)</f>
        <v>7.8920592328</v>
      </c>
      <c r="J120" s="72">
        <f>INDEX('Zhuravlev Distances'!$B$14:$K$14,J119)</f>
        <v>8.0250886608</v>
      </c>
    </row>
    <row r="121">
      <c r="A121" s="65" t="inlineStr">
        <is>
          <t xml:space="preserve">Class</t>
        </is>
      </c>
      <c r="B121" s="68">
        <f>INDEX(Dataset!$O$3:$O$12,B119)</f>
        <v>2</v>
      </c>
      <c r="C121" s="68">
        <f>INDEX(Dataset!$O$3:$O$12,C119)</f>
        <v>2</v>
      </c>
      <c r="D121" s="68">
        <f>INDEX(Dataset!$O$3:$O$12,D119)</f>
        <v>1</v>
      </c>
      <c r="E121" s="68">
        <f>INDEX(Dataset!$O$3:$O$12,E119)</f>
        <v>2</v>
      </c>
      <c r="F121" s="68">
        <f>INDEX(Dataset!$O$3:$O$12,F119)</f>
        <v>1</v>
      </c>
      <c r="G121" s="68">
        <f>INDEX(Dataset!$O$3:$O$12,G119)</f>
        <v>1</v>
      </c>
      <c r="H121" s="68">
        <f>INDEX(Dataset!$O$3:$O$12,H119)</f>
        <v>2</v>
      </c>
      <c r="I121" s="68">
        <f>INDEX(Dataset!$O$3:$O$12,I119)</f>
        <v>1</v>
      </c>
      <c r="J121" s="68">
        <f>INDEX(Dataset!$O$3:$O$12,J119)</f>
        <v>2</v>
      </c>
    </row>
    <row r="122">
      <c r="A122" s="65" t="inlineStr">
        <is>
          <t xml:space="preserve">Same class as S₁₀</t>
        </is>
      </c>
      <c r="B122" s="74">
        <f>IF(B121=Dataset!$O$12,1,0)</f>
        <v>1</v>
      </c>
      <c r="C122" s="74">
        <f>IF(C121=Dataset!$O$12,1,0)</f>
        <v>1</v>
      </c>
      <c r="D122" s="74">
        <f>IF(D121=Dataset!$O$12,1,0)</f>
        <v>0</v>
      </c>
      <c r="E122" s="74">
        <f>IF(E121=Dataset!$O$12,1,0)</f>
        <v>1</v>
      </c>
      <c r="F122" s="74">
        <f>IF(F121=Dataset!$O$12,1,0)</f>
        <v>0</v>
      </c>
      <c r="G122" s="74">
        <f>IF(G121=Dataset!$O$12,1,0)</f>
        <v>0</v>
      </c>
      <c r="H122" s="74">
        <f>IF(H121=Dataset!$O$12,1,0)</f>
        <v>1</v>
      </c>
      <c r="I122" s="74">
        <f>IF(I121=Dataset!$O$12,1,0)</f>
        <v>0</v>
      </c>
      <c r="J122" s="74">
        <f>IF(J121=Dataset!$O$12,1,0)</f>
        <v>1</v>
      </c>
    </row>
    <row r="123">
      <c r="A123" s="65" t="inlineStr">
        <is>
          <t xml:space="preserve">Same-class count μ (1 … rank)</t>
        </is>
      </c>
      <c r="B123" s="74">
        <f>SUM($B122:B122)</f>
        <v>1</v>
      </c>
      <c r="C123" s="74">
        <f>SUM($B122:C122)</f>
        <v>2</v>
      </c>
      <c r="D123" s="74">
        <f>SUM($B122:D122)</f>
        <v>2</v>
      </c>
      <c r="E123" s="74">
        <f>SUM($B122:E122)</f>
        <v>3</v>
      </c>
      <c r="F123" s="74">
        <f>SUM($B122:F122)</f>
        <v>3</v>
      </c>
      <c r="G123" s="74">
        <f>SUM($B122:G122)</f>
        <v>3</v>
      </c>
      <c r="H123" s="74">
        <f>SUM($B122:H122)</f>
        <v>4</v>
      </c>
      <c r="I123" s="74">
        <f>SUM($B122:I122)</f>
        <v>4</v>
      </c>
      <c r="J123" s="74">
        <f>SUM($B122:J122)</f>
        <v>5</v>
      </c>
    </row>
    <row r="124">
      <c r="A124" s="65" t="inlineStr">
        <is>
          <t xml:space="preserve">K1 count χ₁ (1 … rank)</t>
        </is>
      </c>
      <c r="B124" s="74">
        <f>COUNTIF($B121:B121,1)</f>
        <v>0</v>
      </c>
      <c r="C124" s="74">
        <f>COUNTIF($B121:C121,1)</f>
        <v>0</v>
      </c>
      <c r="D124" s="74">
        <f>COUNTIF($B121:D121,1)</f>
        <v>1</v>
      </c>
      <c r="E124" s="74">
        <f>COUNTIF($B121:E121,1)</f>
        <v>1</v>
      </c>
      <c r="F124" s="74">
        <f>COUNTIF($B121:F121,1)</f>
        <v>2</v>
      </c>
      <c r="G124" s="74">
        <f>COUNTIF($B121:G121,1)</f>
        <v>3</v>
      </c>
      <c r="H124" s="74">
        <f>COUNTIF($B121:H121,1)</f>
        <v>3</v>
      </c>
      <c r="I124" s="74">
        <f>COUNTIF($B121:I121,1)</f>
        <v>4</v>
      </c>
      <c r="J124" s="74">
        <f>COUNTIF($B121:J121,1)</f>
        <v>4</v>
      </c>
    </row>
    <row r="125"/>
    <row r="126">
      <c r="A126" s="99" t="inlineStr">
        <is>
          <t xml:space="preserve">Ranks use the distances of Step 2: rank = 1 + #{objects closer than Sⱼ} + #{objects at the same distance with a smaller original index}; the target itself is excluded.</t>
        </is>
      </c>
    </row>
    <row r="127">
      <c r="A127" s="99" t="inlineStr">
        <is>
          <t xml:space="preserve">Yellow cells mark the nested neighbourhoods of the permitted k (odd, k_min … k_max from the Parameters sheet).</t>
        </is>
      </c>
    </row>
    <row r="128">
      <c r="A128" s="99" t="inlineStr">
        <is>
          <t xml:space="preserve">μ (same-class count) needs the class of the target — it is used only on the training side (formulas (1)–(4)).</t>
        </is>
      </c>
    </row>
    <row r="129">
      <c r="A129" s="99" t="inlineStr">
        <is>
          <t xml:space="preserve">χ₁ (number of K1 objects among the first k) does not use the class of the target — it gives the synthetic feature (5) and is computed the same way for a new object.</t>
        </is>
      </c>
    </row>
  </sheetData>
  <mergeCells count="12">
    <mergeCell ref="A1:K1"/>
    <mergeCell ref="A3:K3"/>
    <mergeCell ref="A16:J16"/>
    <mergeCell ref="A27:J27"/>
    <mergeCell ref="A38:J38"/>
    <mergeCell ref="A49:J49"/>
    <mergeCell ref="A60:J60"/>
    <mergeCell ref="A71:J71"/>
    <mergeCell ref="A82:J82"/>
    <mergeCell ref="A93:J93"/>
    <mergeCell ref="A104:J104"/>
    <mergeCell ref="A115:J115"/>
  </mergeCells>
  <conditionalFormatting sqref="B23:J23">
    <cfRule type="cellIs" dxfId="0" priority="1" operator="equal">
      <formula>1</formula>
    </cfRule>
  </conditionalFormatting>
  <conditionalFormatting sqref="B18:J18">
    <cfRule type="expression" dxfId="1" priority="2">
      <formula>B$18&lt;&gt;""</formula>
    </cfRule>
  </conditionalFormatting>
  <conditionalFormatting sqref="B24:J24">
    <cfRule type="expression" dxfId="1" priority="3">
      <formula>B$18&lt;&gt;""</formula>
    </cfRule>
  </conditionalFormatting>
  <conditionalFormatting sqref="B25:J25">
    <cfRule type="expression" dxfId="1" priority="4">
      <formula>B$18&lt;&gt;""</formula>
    </cfRule>
  </conditionalFormatting>
  <conditionalFormatting sqref="B34:J34">
    <cfRule type="cellIs" dxfId="0" priority="5" operator="equal">
      <formula>1</formula>
    </cfRule>
  </conditionalFormatting>
  <conditionalFormatting sqref="B29:J29">
    <cfRule type="expression" dxfId="1" priority="6">
      <formula>B$29&lt;&gt;""</formula>
    </cfRule>
  </conditionalFormatting>
  <conditionalFormatting sqref="B35:J35">
    <cfRule type="expression" dxfId="1" priority="7">
      <formula>B$29&lt;&gt;""</formula>
    </cfRule>
  </conditionalFormatting>
  <conditionalFormatting sqref="B36:J36">
    <cfRule type="expression" dxfId="1" priority="8">
      <formula>B$29&lt;&gt;""</formula>
    </cfRule>
  </conditionalFormatting>
  <conditionalFormatting sqref="B45:J45">
    <cfRule type="cellIs" dxfId="0" priority="9" operator="equal">
      <formula>1</formula>
    </cfRule>
  </conditionalFormatting>
  <conditionalFormatting sqref="B40:J40">
    <cfRule type="expression" dxfId="1" priority="10">
      <formula>B$40&lt;&gt;""</formula>
    </cfRule>
  </conditionalFormatting>
  <conditionalFormatting sqref="B46:J46">
    <cfRule type="expression" dxfId="1" priority="11">
      <formula>B$40&lt;&gt;""</formula>
    </cfRule>
  </conditionalFormatting>
  <conditionalFormatting sqref="B47:J47">
    <cfRule type="expression" dxfId="1" priority="12">
      <formula>B$40&lt;&gt;""</formula>
    </cfRule>
  </conditionalFormatting>
  <conditionalFormatting sqref="B56:J56">
    <cfRule type="cellIs" dxfId="0" priority="13" operator="equal">
      <formula>1</formula>
    </cfRule>
  </conditionalFormatting>
  <conditionalFormatting sqref="B51:J51">
    <cfRule type="expression" dxfId="1" priority="14">
      <formula>B$51&lt;&gt;""</formula>
    </cfRule>
  </conditionalFormatting>
  <conditionalFormatting sqref="B57:J57">
    <cfRule type="expression" dxfId="1" priority="15">
      <formula>B$51&lt;&gt;""</formula>
    </cfRule>
  </conditionalFormatting>
  <conditionalFormatting sqref="B58:J58">
    <cfRule type="expression" dxfId="1" priority="16">
      <formula>B$51&lt;&gt;""</formula>
    </cfRule>
  </conditionalFormatting>
  <conditionalFormatting sqref="B67:J67">
    <cfRule type="cellIs" dxfId="0" priority="17" operator="equal">
      <formula>1</formula>
    </cfRule>
  </conditionalFormatting>
  <conditionalFormatting sqref="B62:J62">
    <cfRule type="expression" dxfId="1" priority="18">
      <formula>B$62&lt;&gt;""</formula>
    </cfRule>
  </conditionalFormatting>
  <conditionalFormatting sqref="B68:J68">
    <cfRule type="expression" dxfId="1" priority="19">
      <formula>B$62&lt;&gt;""</formula>
    </cfRule>
  </conditionalFormatting>
  <conditionalFormatting sqref="B69:J69">
    <cfRule type="expression" dxfId="1" priority="20">
      <formula>B$62&lt;&gt;""</formula>
    </cfRule>
  </conditionalFormatting>
  <conditionalFormatting sqref="B78:J78">
    <cfRule type="cellIs" dxfId="0" priority="21" operator="equal">
      <formula>1</formula>
    </cfRule>
  </conditionalFormatting>
  <conditionalFormatting sqref="B73:J73">
    <cfRule type="expression" dxfId="1" priority="22">
      <formula>B$73&lt;&gt;""</formula>
    </cfRule>
  </conditionalFormatting>
  <conditionalFormatting sqref="B79:J79">
    <cfRule type="expression" dxfId="1" priority="23">
      <formula>B$73&lt;&gt;""</formula>
    </cfRule>
  </conditionalFormatting>
  <conditionalFormatting sqref="B80:J80">
    <cfRule type="expression" dxfId="1" priority="24">
      <formula>B$73&lt;&gt;""</formula>
    </cfRule>
  </conditionalFormatting>
  <conditionalFormatting sqref="B89:J89">
    <cfRule type="cellIs" dxfId="0" priority="25" operator="equal">
      <formula>1</formula>
    </cfRule>
  </conditionalFormatting>
  <conditionalFormatting sqref="B84:J84">
    <cfRule type="expression" dxfId="1" priority="26">
      <formula>B$84&lt;&gt;""</formula>
    </cfRule>
  </conditionalFormatting>
  <conditionalFormatting sqref="B90:J90">
    <cfRule type="expression" dxfId="1" priority="27">
      <formula>B$84&lt;&gt;""</formula>
    </cfRule>
  </conditionalFormatting>
  <conditionalFormatting sqref="B91:J91">
    <cfRule type="expression" dxfId="1" priority="28">
      <formula>B$84&lt;&gt;""</formula>
    </cfRule>
  </conditionalFormatting>
  <conditionalFormatting sqref="B100:J100">
    <cfRule type="cellIs" dxfId="0" priority="29" operator="equal">
      <formula>1</formula>
    </cfRule>
  </conditionalFormatting>
  <conditionalFormatting sqref="B95:J95">
    <cfRule type="expression" dxfId="1" priority="30">
      <formula>B$95&lt;&gt;""</formula>
    </cfRule>
  </conditionalFormatting>
  <conditionalFormatting sqref="B101:J101">
    <cfRule type="expression" dxfId="1" priority="31">
      <formula>B$95&lt;&gt;""</formula>
    </cfRule>
  </conditionalFormatting>
  <conditionalFormatting sqref="B102:J102">
    <cfRule type="expression" dxfId="1" priority="32">
      <formula>B$95&lt;&gt;""</formula>
    </cfRule>
  </conditionalFormatting>
  <conditionalFormatting sqref="B111:J111">
    <cfRule type="cellIs" dxfId="0" priority="33" operator="equal">
      <formula>1</formula>
    </cfRule>
  </conditionalFormatting>
  <conditionalFormatting sqref="B106:J106">
    <cfRule type="expression" dxfId="1" priority="34">
      <formula>B$106&lt;&gt;""</formula>
    </cfRule>
  </conditionalFormatting>
  <conditionalFormatting sqref="B112:J112">
    <cfRule type="expression" dxfId="1" priority="35">
      <formula>B$106&lt;&gt;""</formula>
    </cfRule>
  </conditionalFormatting>
  <conditionalFormatting sqref="B113:J113">
    <cfRule type="expression" dxfId="1" priority="36">
      <formula>B$106&lt;&gt;""</formula>
    </cfRule>
  </conditionalFormatting>
  <conditionalFormatting sqref="B122:J122">
    <cfRule type="cellIs" dxfId="0" priority="37" operator="equal">
      <formula>1</formula>
    </cfRule>
  </conditionalFormatting>
  <conditionalFormatting sqref="B117:J117">
    <cfRule type="expression" dxfId="1" priority="38">
      <formula>B$117&lt;&gt;""</formula>
    </cfRule>
  </conditionalFormatting>
  <conditionalFormatting sqref="B123:J123">
    <cfRule type="expression" dxfId="1" priority="39">
      <formula>B$117&lt;&gt;""</formula>
    </cfRule>
  </conditionalFormatting>
  <conditionalFormatting sqref="B124:J124">
    <cfRule type="expression" dxfId="1" priority="40">
      <formula>B$117&lt;&gt;""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K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0.77734375" customWidth="1"/>
    <col min="2" max="11" width="11.77734375" customWidth="1"/>
  </cols>
  <sheetData>
    <row r="1" ht="20" customHeight="1">
      <c r="A1" s="57" t="inlineStr">
        <is>
          <t xml:space="preserve">Step 3 · Operator ρ_I — neighbours of every object sorted by ascending ρ_I, original index and class kept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/>
    <row r="3">
      <c r="A3" s="58" t="inlineStr">
        <is>
          <t xml:space="preserve">Rank of Sⱼ in the neighbour list of Sᵢ under ρ_I  (self excluded; equal distances → smaller original index first)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>
      <c r="A4" s="60" t="inlineStr">
        <is>
          <t xml:space="preserve">Sᵢ \ Sⱼ</t>
        </is>
      </c>
      <c r="B4" s="60" t="inlineStr">
        <is>
          <t xml:space="preserve">S₁</t>
        </is>
      </c>
      <c r="C4" s="60" t="inlineStr">
        <is>
          <t xml:space="preserve">S₂</t>
        </is>
      </c>
      <c r="D4" s="60" t="inlineStr">
        <is>
          <t xml:space="preserve">S₃</t>
        </is>
      </c>
      <c r="E4" s="60" t="inlineStr">
        <is>
          <t xml:space="preserve">S₄</t>
        </is>
      </c>
      <c r="F4" s="60" t="inlineStr">
        <is>
          <t xml:space="preserve">S₅</t>
        </is>
      </c>
      <c r="G4" s="60" t="inlineStr">
        <is>
          <t xml:space="preserve">S₆</t>
        </is>
      </c>
      <c r="H4" s="60" t="inlineStr">
        <is>
          <t xml:space="preserve">S₇</t>
        </is>
      </c>
      <c r="I4" s="60" t="inlineStr">
        <is>
          <t xml:space="preserve">S₈</t>
        </is>
      </c>
      <c r="J4" s="60" t="inlineStr">
        <is>
          <t xml:space="preserve">S₉</t>
        </is>
      </c>
      <c r="K4" s="60" t="inlineStr">
        <is>
          <t xml:space="preserve">S₁₀</t>
        </is>
      </c>
    </row>
    <row r="5">
      <c r="A5" s="64" t="inlineStr">
        <is>
          <t xml:space="preserve">S₁</t>
        </is>
      </c>
      <c r="B5" s="75" t="inlineStr">
        <is>
          <t xml:space="preserve">—</t>
        </is>
      </c>
      <c r="C5" s="74">
        <f>1+SUMPRODUCT(('Zhuravlev Distances'!$B$18:$K$18&lt;'Zhuravlev Distances'!C$18)*(COLUMN('Zhuravlev Distances'!$B$18:$K$18)&lt;&gt;COLUMN('Zhuravlev Distances'!B$18)))+SUMPRODUCT(('Zhuravlev Distances'!$B$18:$K$18='Zhuravlev Distances'!C$18)*(COLUMN('Zhuravlev Distances'!$B$18:$K$18)&lt;COLUMN('Zhuravlev Distances'!C$18))*(COLUMN('Zhuravlev Distances'!$B$18:$K$18)&lt;&gt;COLUMN('Zhuravlev Distances'!B$18)))</f>
        <v>9</v>
      </c>
      <c r="D5" s="74">
        <f>1+SUMPRODUCT(('Zhuravlev Distances'!$B$18:$K$18&lt;'Zhuravlev Distances'!D$18)*(COLUMN('Zhuravlev Distances'!$B$18:$K$18)&lt;&gt;COLUMN('Zhuravlev Distances'!B$18)))+SUMPRODUCT(('Zhuravlev Distances'!$B$18:$K$18='Zhuravlev Distances'!D$18)*(COLUMN('Zhuravlev Distances'!$B$18:$K$18)&lt;COLUMN('Zhuravlev Distances'!D$18))*(COLUMN('Zhuravlev Distances'!$B$18:$K$18)&lt;&gt;COLUMN('Zhuravlev Distances'!B$18)))</f>
        <v>8</v>
      </c>
      <c r="E5" s="74">
        <f>1+SUMPRODUCT(('Zhuravlev Distances'!$B$18:$K$18&lt;'Zhuravlev Distances'!E$18)*(COLUMN('Zhuravlev Distances'!$B$18:$K$18)&lt;&gt;COLUMN('Zhuravlev Distances'!B$18)))+SUMPRODUCT(('Zhuravlev Distances'!$B$18:$K$18='Zhuravlev Distances'!E$18)*(COLUMN('Zhuravlev Distances'!$B$18:$K$18)&lt;COLUMN('Zhuravlev Distances'!E$18))*(COLUMN('Zhuravlev Distances'!$B$18:$K$18)&lt;&gt;COLUMN('Zhuravlev Distances'!B$18)))</f>
        <v>1</v>
      </c>
      <c r="F5" s="74">
        <f>1+SUMPRODUCT(('Zhuravlev Distances'!$B$18:$K$18&lt;'Zhuravlev Distances'!F$18)*(COLUMN('Zhuravlev Distances'!$B$18:$K$18)&lt;&gt;COLUMN('Zhuravlev Distances'!B$18)))+SUMPRODUCT(('Zhuravlev Distances'!$B$18:$K$18='Zhuravlev Distances'!F$18)*(COLUMN('Zhuravlev Distances'!$B$18:$K$18)&lt;COLUMN('Zhuravlev Distances'!F$18))*(COLUMN('Zhuravlev Distances'!$B$18:$K$18)&lt;&gt;COLUMN('Zhuravlev Distances'!B$18)))</f>
        <v>2</v>
      </c>
      <c r="G5" s="74">
        <f>1+SUMPRODUCT(('Zhuravlev Distances'!$B$18:$K$18&lt;'Zhuravlev Distances'!G$18)*(COLUMN('Zhuravlev Distances'!$B$18:$K$18)&lt;&gt;COLUMN('Zhuravlev Distances'!B$18)))+SUMPRODUCT(('Zhuravlev Distances'!$B$18:$K$18='Zhuravlev Distances'!G$18)*(COLUMN('Zhuravlev Distances'!$B$18:$K$18)&lt;COLUMN('Zhuravlev Distances'!G$18))*(COLUMN('Zhuravlev Distances'!$B$18:$K$18)&lt;&gt;COLUMN('Zhuravlev Distances'!B$18)))</f>
        <v>7</v>
      </c>
      <c r="H5" s="74">
        <f>1+SUMPRODUCT(('Zhuravlev Distances'!$B$18:$K$18&lt;'Zhuravlev Distances'!H$18)*(COLUMN('Zhuravlev Distances'!$B$18:$K$18)&lt;&gt;COLUMN('Zhuravlev Distances'!B$18)))+SUMPRODUCT(('Zhuravlev Distances'!$B$18:$K$18='Zhuravlev Distances'!H$18)*(COLUMN('Zhuravlev Distances'!$B$18:$K$18)&lt;COLUMN('Zhuravlev Distances'!H$18))*(COLUMN('Zhuravlev Distances'!$B$18:$K$18)&lt;&gt;COLUMN('Zhuravlev Distances'!B$18)))</f>
        <v>5</v>
      </c>
      <c r="I5" s="74">
        <f>1+SUMPRODUCT(('Zhuravlev Distances'!$B$18:$K$18&lt;'Zhuravlev Distances'!I$18)*(COLUMN('Zhuravlev Distances'!$B$18:$K$18)&lt;&gt;COLUMN('Zhuravlev Distances'!B$18)))+SUMPRODUCT(('Zhuravlev Distances'!$B$18:$K$18='Zhuravlev Distances'!I$18)*(COLUMN('Zhuravlev Distances'!$B$18:$K$18)&lt;COLUMN('Zhuravlev Distances'!I$18))*(COLUMN('Zhuravlev Distances'!$B$18:$K$18)&lt;&gt;COLUMN('Zhuravlev Distances'!B$18)))</f>
        <v>6</v>
      </c>
      <c r="J5" s="74">
        <f>1+SUMPRODUCT(('Zhuravlev Distances'!$B$18:$K$18&lt;'Zhuravlev Distances'!J$18)*(COLUMN('Zhuravlev Distances'!$B$18:$K$18)&lt;&gt;COLUMN('Zhuravlev Distances'!B$18)))+SUMPRODUCT(('Zhuravlev Distances'!$B$18:$K$18='Zhuravlev Distances'!J$18)*(COLUMN('Zhuravlev Distances'!$B$18:$K$18)&lt;COLUMN('Zhuravlev Distances'!J$18))*(COLUMN('Zhuravlev Distances'!$B$18:$K$18)&lt;&gt;COLUMN('Zhuravlev Distances'!B$18)))</f>
        <v>4</v>
      </c>
      <c r="K5" s="74">
        <f>1+SUMPRODUCT(('Zhuravlev Distances'!$B$18:$K$18&lt;'Zhuravlev Distances'!K$18)*(COLUMN('Zhuravlev Distances'!$B$18:$K$18)&lt;&gt;COLUMN('Zhuravlev Distances'!B$18)))+SUMPRODUCT(('Zhuravlev Distances'!$B$18:$K$18='Zhuravlev Distances'!K$18)*(COLUMN('Zhuravlev Distances'!$B$18:$K$18)&lt;COLUMN('Zhuravlev Distances'!K$18))*(COLUMN('Zhuravlev Distances'!$B$18:$K$18)&lt;&gt;COLUMN('Zhuravlev Distances'!B$18)))</f>
        <v>3</v>
      </c>
    </row>
    <row r="6">
      <c r="A6" s="64" t="inlineStr">
        <is>
          <t xml:space="preserve">S₂</t>
        </is>
      </c>
      <c r="B6" s="74">
        <f>1+SUMPRODUCT(('Zhuravlev Distances'!$B$19:$K$19&lt;'Zhuravlev Distances'!B$19)*(COLUMN('Zhuravlev Distances'!$B$19:$K$19)&lt;&gt;COLUMN('Zhuravlev Distances'!C$19)))+SUMPRODUCT(('Zhuravlev Distances'!$B$19:$K$19='Zhuravlev Distances'!B$19)*(COLUMN('Zhuravlev Distances'!$B$19:$K$19)&lt;COLUMN('Zhuravlev Distances'!B$19))*(COLUMN('Zhuravlev Distances'!$B$19:$K$19)&lt;&gt;COLUMN('Zhuravlev Distances'!C$19)))</f>
        <v>8</v>
      </c>
      <c r="C6" s="75" t="inlineStr">
        <is>
          <t xml:space="preserve">—</t>
        </is>
      </c>
      <c r="D6" s="74">
        <f>1+SUMPRODUCT(('Zhuravlev Distances'!$B$19:$K$19&lt;'Zhuravlev Distances'!D$19)*(COLUMN('Zhuravlev Distances'!$B$19:$K$19)&lt;&gt;COLUMN('Zhuravlev Distances'!C$19)))+SUMPRODUCT(('Zhuravlev Distances'!$B$19:$K$19='Zhuravlev Distances'!D$19)*(COLUMN('Zhuravlev Distances'!$B$19:$K$19)&lt;COLUMN('Zhuravlev Distances'!D$19))*(COLUMN('Zhuravlev Distances'!$B$19:$K$19)&lt;&gt;COLUMN('Zhuravlev Distances'!C$19)))</f>
        <v>3</v>
      </c>
      <c r="E6" s="74">
        <f>1+SUMPRODUCT(('Zhuravlev Distances'!$B$19:$K$19&lt;'Zhuravlev Distances'!E$19)*(COLUMN('Zhuravlev Distances'!$B$19:$K$19)&lt;&gt;COLUMN('Zhuravlev Distances'!C$19)))+SUMPRODUCT(('Zhuravlev Distances'!$B$19:$K$19='Zhuravlev Distances'!E$19)*(COLUMN('Zhuravlev Distances'!$B$19:$K$19)&lt;COLUMN('Zhuravlev Distances'!E$19))*(COLUMN('Zhuravlev Distances'!$B$19:$K$19)&lt;&gt;COLUMN('Zhuravlev Distances'!C$19)))</f>
        <v>7</v>
      </c>
      <c r="F6" s="74">
        <f>1+SUMPRODUCT(('Zhuravlev Distances'!$B$19:$K$19&lt;'Zhuravlev Distances'!F$19)*(COLUMN('Zhuravlev Distances'!$B$19:$K$19)&lt;&gt;COLUMN('Zhuravlev Distances'!C$19)))+SUMPRODUCT(('Zhuravlev Distances'!$B$19:$K$19='Zhuravlev Distances'!F$19)*(COLUMN('Zhuravlev Distances'!$B$19:$K$19)&lt;COLUMN('Zhuravlev Distances'!F$19))*(COLUMN('Zhuravlev Distances'!$B$19:$K$19)&lt;&gt;COLUMN('Zhuravlev Distances'!C$19)))</f>
        <v>4</v>
      </c>
      <c r="G6" s="74">
        <f>1+SUMPRODUCT(('Zhuravlev Distances'!$B$19:$K$19&lt;'Zhuravlev Distances'!G$19)*(COLUMN('Zhuravlev Distances'!$B$19:$K$19)&lt;&gt;COLUMN('Zhuravlev Distances'!C$19)))+SUMPRODUCT(('Zhuravlev Distances'!$B$19:$K$19='Zhuravlev Distances'!G$19)*(COLUMN('Zhuravlev Distances'!$B$19:$K$19)&lt;COLUMN('Zhuravlev Distances'!G$19))*(COLUMN('Zhuravlev Distances'!$B$19:$K$19)&lt;&gt;COLUMN('Zhuravlev Distances'!C$19)))</f>
        <v>1</v>
      </c>
      <c r="H6" s="74">
        <f>1+SUMPRODUCT(('Zhuravlev Distances'!$B$19:$K$19&lt;'Zhuravlev Distances'!H$19)*(COLUMN('Zhuravlev Distances'!$B$19:$K$19)&lt;&gt;COLUMN('Zhuravlev Distances'!C$19)))+SUMPRODUCT(('Zhuravlev Distances'!$B$19:$K$19='Zhuravlev Distances'!H$19)*(COLUMN('Zhuravlev Distances'!$B$19:$K$19)&lt;COLUMN('Zhuravlev Distances'!H$19))*(COLUMN('Zhuravlev Distances'!$B$19:$K$19)&lt;&gt;COLUMN('Zhuravlev Distances'!C$19)))</f>
        <v>6</v>
      </c>
      <c r="I6" s="74">
        <f>1+SUMPRODUCT(('Zhuravlev Distances'!$B$19:$K$19&lt;'Zhuravlev Distances'!I$19)*(COLUMN('Zhuravlev Distances'!$B$19:$K$19)&lt;&gt;COLUMN('Zhuravlev Distances'!C$19)))+SUMPRODUCT(('Zhuravlev Distances'!$B$19:$K$19='Zhuravlev Distances'!I$19)*(COLUMN('Zhuravlev Distances'!$B$19:$K$19)&lt;COLUMN('Zhuravlev Distances'!I$19))*(COLUMN('Zhuravlev Distances'!$B$19:$K$19)&lt;&gt;COLUMN('Zhuravlev Distances'!C$19)))</f>
        <v>2</v>
      </c>
      <c r="J6" s="74">
        <f>1+SUMPRODUCT(('Zhuravlev Distances'!$B$19:$K$19&lt;'Zhuravlev Distances'!J$19)*(COLUMN('Zhuravlev Distances'!$B$19:$K$19)&lt;&gt;COLUMN('Zhuravlev Distances'!C$19)))+SUMPRODUCT(('Zhuravlev Distances'!$B$19:$K$19='Zhuravlev Distances'!J$19)*(COLUMN('Zhuravlev Distances'!$B$19:$K$19)&lt;COLUMN('Zhuravlev Distances'!J$19))*(COLUMN('Zhuravlev Distances'!$B$19:$K$19)&lt;&gt;COLUMN('Zhuravlev Distances'!C$19)))</f>
        <v>5</v>
      </c>
      <c r="K6" s="74">
        <f>1+SUMPRODUCT(('Zhuravlev Distances'!$B$19:$K$19&lt;'Zhuravlev Distances'!K$19)*(COLUMN('Zhuravlev Distances'!$B$19:$K$19)&lt;&gt;COLUMN('Zhuravlev Distances'!C$19)))+SUMPRODUCT(('Zhuravlev Distances'!$B$19:$K$19='Zhuravlev Distances'!K$19)*(COLUMN('Zhuravlev Distances'!$B$19:$K$19)&lt;COLUMN('Zhuravlev Distances'!K$19))*(COLUMN('Zhuravlev Distances'!$B$19:$K$19)&lt;&gt;COLUMN('Zhuravlev Distances'!C$19)))</f>
        <v>9</v>
      </c>
    </row>
    <row r="7">
      <c r="A7" s="64" t="inlineStr">
        <is>
          <t xml:space="preserve">S₃</t>
        </is>
      </c>
      <c r="B7" s="74">
        <f>1+SUMPRODUCT(('Zhuravlev Distances'!$B$20:$K$20&lt;'Zhuravlev Distances'!B$20)*(COLUMN('Zhuravlev Distances'!$B$20:$K$20)&lt;&gt;COLUMN('Zhuravlev Distances'!D$20)))+SUMPRODUCT(('Zhuravlev Distances'!$B$20:$K$20='Zhuravlev Distances'!B$20)*(COLUMN('Zhuravlev Distances'!$B$20:$K$20)&lt;COLUMN('Zhuravlev Distances'!B$20))*(COLUMN('Zhuravlev Distances'!$B$20:$K$20)&lt;&gt;COLUMN('Zhuravlev Distances'!D$20)))</f>
        <v>8</v>
      </c>
      <c r="C7" s="74">
        <f>1+SUMPRODUCT(('Zhuravlev Distances'!$B$20:$K$20&lt;'Zhuravlev Distances'!C$20)*(COLUMN('Zhuravlev Distances'!$B$20:$K$20)&lt;&gt;COLUMN('Zhuravlev Distances'!D$20)))+SUMPRODUCT(('Zhuravlev Distances'!$B$20:$K$20='Zhuravlev Distances'!C$20)*(COLUMN('Zhuravlev Distances'!$B$20:$K$20)&lt;COLUMN('Zhuravlev Distances'!C$20))*(COLUMN('Zhuravlev Distances'!$B$20:$K$20)&lt;&gt;COLUMN('Zhuravlev Distances'!D$20)))</f>
        <v>7</v>
      </c>
      <c r="D7" s="75" t="inlineStr">
        <is>
          <t xml:space="preserve">—</t>
        </is>
      </c>
      <c r="E7" s="74">
        <f>1+SUMPRODUCT(('Zhuravlev Distances'!$B$20:$K$20&lt;'Zhuravlev Distances'!E$20)*(COLUMN('Zhuravlev Distances'!$B$20:$K$20)&lt;&gt;COLUMN('Zhuravlev Distances'!D$20)))+SUMPRODUCT(('Zhuravlev Distances'!$B$20:$K$20='Zhuravlev Distances'!E$20)*(COLUMN('Zhuravlev Distances'!$B$20:$K$20)&lt;COLUMN('Zhuravlev Distances'!E$20))*(COLUMN('Zhuravlev Distances'!$B$20:$K$20)&lt;&gt;COLUMN('Zhuravlev Distances'!D$20)))</f>
        <v>4</v>
      </c>
      <c r="F7" s="74">
        <f>1+SUMPRODUCT(('Zhuravlev Distances'!$B$20:$K$20&lt;'Zhuravlev Distances'!F$20)*(COLUMN('Zhuravlev Distances'!$B$20:$K$20)&lt;&gt;COLUMN('Zhuravlev Distances'!D$20)))+SUMPRODUCT(('Zhuravlev Distances'!$B$20:$K$20='Zhuravlev Distances'!F$20)*(COLUMN('Zhuravlev Distances'!$B$20:$K$20)&lt;COLUMN('Zhuravlev Distances'!F$20))*(COLUMN('Zhuravlev Distances'!$B$20:$K$20)&lt;&gt;COLUMN('Zhuravlev Distances'!D$20)))</f>
        <v>5</v>
      </c>
      <c r="G7" s="74">
        <f>1+SUMPRODUCT(('Zhuravlev Distances'!$B$20:$K$20&lt;'Zhuravlev Distances'!G$20)*(COLUMN('Zhuravlev Distances'!$B$20:$K$20)&lt;&gt;COLUMN('Zhuravlev Distances'!D$20)))+SUMPRODUCT(('Zhuravlev Distances'!$B$20:$K$20='Zhuravlev Distances'!G$20)*(COLUMN('Zhuravlev Distances'!$B$20:$K$20)&lt;COLUMN('Zhuravlev Distances'!G$20))*(COLUMN('Zhuravlev Distances'!$B$20:$K$20)&lt;&gt;COLUMN('Zhuravlev Distances'!D$20)))</f>
        <v>2</v>
      </c>
      <c r="H7" s="74">
        <f>1+SUMPRODUCT(('Zhuravlev Distances'!$B$20:$K$20&lt;'Zhuravlev Distances'!H$20)*(COLUMN('Zhuravlev Distances'!$B$20:$K$20)&lt;&gt;COLUMN('Zhuravlev Distances'!D$20)))+SUMPRODUCT(('Zhuravlev Distances'!$B$20:$K$20='Zhuravlev Distances'!H$20)*(COLUMN('Zhuravlev Distances'!$B$20:$K$20)&lt;COLUMN('Zhuravlev Distances'!H$20))*(COLUMN('Zhuravlev Distances'!$B$20:$K$20)&lt;&gt;COLUMN('Zhuravlev Distances'!D$20)))</f>
        <v>1</v>
      </c>
      <c r="I7" s="74">
        <f>1+SUMPRODUCT(('Zhuravlev Distances'!$B$20:$K$20&lt;'Zhuravlev Distances'!I$20)*(COLUMN('Zhuravlev Distances'!$B$20:$K$20)&lt;&gt;COLUMN('Zhuravlev Distances'!D$20)))+SUMPRODUCT(('Zhuravlev Distances'!$B$20:$K$20='Zhuravlev Distances'!I$20)*(COLUMN('Zhuravlev Distances'!$B$20:$K$20)&lt;COLUMN('Zhuravlev Distances'!I$20))*(COLUMN('Zhuravlev Distances'!$B$20:$K$20)&lt;&gt;COLUMN('Zhuravlev Distances'!D$20)))</f>
        <v>3</v>
      </c>
      <c r="J7" s="74">
        <f>1+SUMPRODUCT(('Zhuravlev Distances'!$B$20:$K$20&lt;'Zhuravlev Distances'!J$20)*(COLUMN('Zhuravlev Distances'!$B$20:$K$20)&lt;&gt;COLUMN('Zhuravlev Distances'!D$20)))+SUMPRODUCT(('Zhuravlev Distances'!$B$20:$K$20='Zhuravlev Distances'!J$20)*(COLUMN('Zhuravlev Distances'!$B$20:$K$20)&lt;COLUMN('Zhuravlev Distances'!J$20))*(COLUMN('Zhuravlev Distances'!$B$20:$K$20)&lt;&gt;COLUMN('Zhuravlev Distances'!D$20)))</f>
        <v>6</v>
      </c>
      <c r="K7" s="74">
        <f>1+SUMPRODUCT(('Zhuravlev Distances'!$B$20:$K$20&lt;'Zhuravlev Distances'!K$20)*(COLUMN('Zhuravlev Distances'!$B$20:$K$20)&lt;&gt;COLUMN('Zhuravlev Distances'!D$20)))+SUMPRODUCT(('Zhuravlev Distances'!$B$20:$K$20='Zhuravlev Distances'!K$20)*(COLUMN('Zhuravlev Distances'!$B$20:$K$20)&lt;COLUMN('Zhuravlev Distances'!K$20))*(COLUMN('Zhuravlev Distances'!$B$20:$K$20)&lt;&gt;COLUMN('Zhuravlev Distances'!D$20)))</f>
        <v>9</v>
      </c>
    </row>
    <row r="8">
      <c r="A8" s="64" t="inlineStr">
        <is>
          <t xml:space="preserve">S₄</t>
        </is>
      </c>
      <c r="B8" s="74">
        <f>1+SUMPRODUCT(('Zhuravlev Distances'!$B$21:$K$21&lt;'Zhuravlev Distances'!B$21)*(COLUMN('Zhuravlev Distances'!$B$21:$K$21)&lt;&gt;COLUMN('Zhuravlev Distances'!E$21)))+SUMPRODUCT(('Zhuravlev Distances'!$B$21:$K$21='Zhuravlev Distances'!B$21)*(COLUMN('Zhuravlev Distances'!$B$21:$K$21)&lt;COLUMN('Zhuravlev Distances'!B$21))*(COLUMN('Zhuravlev Distances'!$B$21:$K$21)&lt;&gt;COLUMN('Zhuravlev Distances'!E$21)))</f>
        <v>6</v>
      </c>
      <c r="C8" s="74">
        <f>1+SUMPRODUCT(('Zhuravlev Distances'!$B$21:$K$21&lt;'Zhuravlev Distances'!C$21)*(COLUMN('Zhuravlev Distances'!$B$21:$K$21)&lt;&gt;COLUMN('Zhuravlev Distances'!E$21)))+SUMPRODUCT(('Zhuravlev Distances'!$B$21:$K$21='Zhuravlev Distances'!C$21)*(COLUMN('Zhuravlev Distances'!$B$21:$K$21)&lt;COLUMN('Zhuravlev Distances'!C$21))*(COLUMN('Zhuravlev Distances'!$B$21:$K$21)&lt;&gt;COLUMN('Zhuravlev Distances'!E$21)))</f>
        <v>8</v>
      </c>
      <c r="D8" s="74">
        <f>1+SUMPRODUCT(('Zhuravlev Distances'!$B$21:$K$21&lt;'Zhuravlev Distances'!D$21)*(COLUMN('Zhuravlev Distances'!$B$21:$K$21)&lt;&gt;COLUMN('Zhuravlev Distances'!E$21)))+SUMPRODUCT(('Zhuravlev Distances'!$B$21:$K$21='Zhuravlev Distances'!D$21)*(COLUMN('Zhuravlev Distances'!$B$21:$K$21)&lt;COLUMN('Zhuravlev Distances'!D$21))*(COLUMN('Zhuravlev Distances'!$B$21:$K$21)&lt;&gt;COLUMN('Zhuravlev Distances'!E$21)))</f>
        <v>4</v>
      </c>
      <c r="E8" s="75" t="inlineStr">
        <is>
          <t xml:space="preserve">—</t>
        </is>
      </c>
      <c r="F8" s="74">
        <f>1+SUMPRODUCT(('Zhuravlev Distances'!$B$21:$K$21&lt;'Zhuravlev Distances'!F$21)*(COLUMN('Zhuravlev Distances'!$B$21:$K$21)&lt;&gt;COLUMN('Zhuravlev Distances'!E$21)))+SUMPRODUCT(('Zhuravlev Distances'!$B$21:$K$21='Zhuravlev Distances'!F$21)*(COLUMN('Zhuravlev Distances'!$B$21:$K$21)&lt;COLUMN('Zhuravlev Distances'!F$21))*(COLUMN('Zhuravlev Distances'!$B$21:$K$21)&lt;&gt;COLUMN('Zhuravlev Distances'!E$21)))</f>
        <v>1</v>
      </c>
      <c r="G8" s="74">
        <f>1+SUMPRODUCT(('Zhuravlev Distances'!$B$21:$K$21&lt;'Zhuravlev Distances'!G$21)*(COLUMN('Zhuravlev Distances'!$B$21:$K$21)&lt;&gt;COLUMN('Zhuravlev Distances'!E$21)))+SUMPRODUCT(('Zhuravlev Distances'!$B$21:$K$21='Zhuravlev Distances'!G$21)*(COLUMN('Zhuravlev Distances'!$B$21:$K$21)&lt;COLUMN('Zhuravlev Distances'!G$21))*(COLUMN('Zhuravlev Distances'!$B$21:$K$21)&lt;&gt;COLUMN('Zhuravlev Distances'!E$21)))</f>
        <v>3</v>
      </c>
      <c r="H8" s="74">
        <f>1+SUMPRODUCT(('Zhuravlev Distances'!$B$21:$K$21&lt;'Zhuravlev Distances'!H$21)*(COLUMN('Zhuravlev Distances'!$B$21:$K$21)&lt;&gt;COLUMN('Zhuravlev Distances'!E$21)))+SUMPRODUCT(('Zhuravlev Distances'!$B$21:$K$21='Zhuravlev Distances'!H$21)*(COLUMN('Zhuravlev Distances'!$B$21:$K$21)&lt;COLUMN('Zhuravlev Distances'!H$21))*(COLUMN('Zhuravlev Distances'!$B$21:$K$21)&lt;&gt;COLUMN('Zhuravlev Distances'!E$21)))</f>
        <v>2</v>
      </c>
      <c r="I8" s="74">
        <f>1+SUMPRODUCT(('Zhuravlev Distances'!$B$21:$K$21&lt;'Zhuravlev Distances'!I$21)*(COLUMN('Zhuravlev Distances'!$B$21:$K$21)&lt;&gt;COLUMN('Zhuravlev Distances'!E$21)))+SUMPRODUCT(('Zhuravlev Distances'!$B$21:$K$21='Zhuravlev Distances'!I$21)*(COLUMN('Zhuravlev Distances'!$B$21:$K$21)&lt;COLUMN('Zhuravlev Distances'!I$21))*(COLUMN('Zhuravlev Distances'!$B$21:$K$21)&lt;&gt;COLUMN('Zhuravlev Distances'!E$21)))</f>
        <v>5</v>
      </c>
      <c r="J8" s="74">
        <f>1+SUMPRODUCT(('Zhuravlev Distances'!$B$21:$K$21&lt;'Zhuravlev Distances'!J$21)*(COLUMN('Zhuravlev Distances'!$B$21:$K$21)&lt;&gt;COLUMN('Zhuravlev Distances'!E$21)))+SUMPRODUCT(('Zhuravlev Distances'!$B$21:$K$21='Zhuravlev Distances'!J$21)*(COLUMN('Zhuravlev Distances'!$B$21:$K$21)&lt;COLUMN('Zhuravlev Distances'!J$21))*(COLUMN('Zhuravlev Distances'!$B$21:$K$21)&lt;&gt;COLUMN('Zhuravlev Distances'!E$21)))</f>
        <v>7</v>
      </c>
      <c r="K8" s="74">
        <f>1+SUMPRODUCT(('Zhuravlev Distances'!$B$21:$K$21&lt;'Zhuravlev Distances'!K$21)*(COLUMN('Zhuravlev Distances'!$B$21:$K$21)&lt;&gt;COLUMN('Zhuravlev Distances'!E$21)))+SUMPRODUCT(('Zhuravlev Distances'!$B$21:$K$21='Zhuravlev Distances'!K$21)*(COLUMN('Zhuravlev Distances'!$B$21:$K$21)&lt;COLUMN('Zhuravlev Distances'!K$21))*(COLUMN('Zhuravlev Distances'!$B$21:$K$21)&lt;&gt;COLUMN('Zhuravlev Distances'!E$21)))</f>
        <v>9</v>
      </c>
    </row>
    <row r="9">
      <c r="A9" s="64" t="inlineStr">
        <is>
          <t xml:space="preserve">S₅</t>
        </is>
      </c>
      <c r="B9" s="74">
        <f>1+SUMPRODUCT(('Zhuravlev Distances'!$B$22:$K$22&lt;'Zhuravlev Distances'!B$22)*(COLUMN('Zhuravlev Distances'!$B$22:$K$22)&lt;&gt;COLUMN('Zhuravlev Distances'!F$22)))+SUMPRODUCT(('Zhuravlev Distances'!$B$22:$K$22='Zhuravlev Distances'!B$22)*(COLUMN('Zhuravlev Distances'!$B$22:$K$22)&lt;COLUMN('Zhuravlev Distances'!B$22))*(COLUMN('Zhuravlev Distances'!$B$22:$K$22)&lt;&gt;COLUMN('Zhuravlev Distances'!F$22)))</f>
        <v>6</v>
      </c>
      <c r="C9" s="74">
        <f>1+SUMPRODUCT(('Zhuravlev Distances'!$B$22:$K$22&lt;'Zhuravlev Distances'!C$22)*(COLUMN('Zhuravlev Distances'!$B$22:$K$22)&lt;&gt;COLUMN('Zhuravlev Distances'!F$22)))+SUMPRODUCT(('Zhuravlev Distances'!$B$22:$K$22='Zhuravlev Distances'!C$22)*(COLUMN('Zhuravlev Distances'!$B$22:$K$22)&lt;COLUMN('Zhuravlev Distances'!C$22))*(COLUMN('Zhuravlev Distances'!$B$22:$K$22)&lt;&gt;COLUMN('Zhuravlev Distances'!F$22)))</f>
        <v>7</v>
      </c>
      <c r="D9" s="74">
        <f>1+SUMPRODUCT(('Zhuravlev Distances'!$B$22:$K$22&lt;'Zhuravlev Distances'!D$22)*(COLUMN('Zhuravlev Distances'!$B$22:$K$22)&lt;&gt;COLUMN('Zhuravlev Distances'!F$22)))+SUMPRODUCT(('Zhuravlev Distances'!$B$22:$K$22='Zhuravlev Distances'!D$22)*(COLUMN('Zhuravlev Distances'!$B$22:$K$22)&lt;COLUMN('Zhuravlev Distances'!D$22))*(COLUMN('Zhuravlev Distances'!$B$22:$K$22)&lt;&gt;COLUMN('Zhuravlev Distances'!F$22)))</f>
        <v>4</v>
      </c>
      <c r="E9" s="74">
        <f>1+SUMPRODUCT(('Zhuravlev Distances'!$B$22:$K$22&lt;'Zhuravlev Distances'!E$22)*(COLUMN('Zhuravlev Distances'!$B$22:$K$22)&lt;&gt;COLUMN('Zhuravlev Distances'!F$22)))+SUMPRODUCT(('Zhuravlev Distances'!$B$22:$K$22='Zhuravlev Distances'!E$22)*(COLUMN('Zhuravlev Distances'!$B$22:$K$22)&lt;COLUMN('Zhuravlev Distances'!E$22))*(COLUMN('Zhuravlev Distances'!$B$22:$K$22)&lt;&gt;COLUMN('Zhuravlev Distances'!F$22)))</f>
        <v>1</v>
      </c>
      <c r="F9" s="75" t="inlineStr">
        <is>
          <t xml:space="preserve">—</t>
        </is>
      </c>
      <c r="G9" s="74">
        <f>1+SUMPRODUCT(('Zhuravlev Distances'!$B$22:$K$22&lt;'Zhuravlev Distances'!G$22)*(COLUMN('Zhuravlev Distances'!$B$22:$K$22)&lt;&gt;COLUMN('Zhuravlev Distances'!F$22)))+SUMPRODUCT(('Zhuravlev Distances'!$B$22:$K$22='Zhuravlev Distances'!G$22)*(COLUMN('Zhuravlev Distances'!$B$22:$K$22)&lt;COLUMN('Zhuravlev Distances'!G$22))*(COLUMN('Zhuravlev Distances'!$B$22:$K$22)&lt;&gt;COLUMN('Zhuravlev Distances'!F$22)))</f>
        <v>2</v>
      </c>
      <c r="H9" s="74">
        <f>1+SUMPRODUCT(('Zhuravlev Distances'!$B$22:$K$22&lt;'Zhuravlev Distances'!H$22)*(COLUMN('Zhuravlev Distances'!$B$22:$K$22)&lt;&gt;COLUMN('Zhuravlev Distances'!F$22)))+SUMPRODUCT(('Zhuravlev Distances'!$B$22:$K$22='Zhuravlev Distances'!H$22)*(COLUMN('Zhuravlev Distances'!$B$22:$K$22)&lt;COLUMN('Zhuravlev Distances'!H$22))*(COLUMN('Zhuravlev Distances'!$B$22:$K$22)&lt;&gt;COLUMN('Zhuravlev Distances'!F$22)))</f>
        <v>3</v>
      </c>
      <c r="I9" s="74">
        <f>1+SUMPRODUCT(('Zhuravlev Distances'!$B$22:$K$22&lt;'Zhuravlev Distances'!I$22)*(COLUMN('Zhuravlev Distances'!$B$22:$K$22)&lt;&gt;COLUMN('Zhuravlev Distances'!F$22)))+SUMPRODUCT(('Zhuravlev Distances'!$B$22:$K$22='Zhuravlev Distances'!I$22)*(COLUMN('Zhuravlev Distances'!$B$22:$K$22)&lt;COLUMN('Zhuravlev Distances'!I$22))*(COLUMN('Zhuravlev Distances'!$B$22:$K$22)&lt;&gt;COLUMN('Zhuravlev Distances'!F$22)))</f>
        <v>5</v>
      </c>
      <c r="J9" s="74">
        <f>1+SUMPRODUCT(('Zhuravlev Distances'!$B$22:$K$22&lt;'Zhuravlev Distances'!J$22)*(COLUMN('Zhuravlev Distances'!$B$22:$K$22)&lt;&gt;COLUMN('Zhuravlev Distances'!F$22)))+SUMPRODUCT(('Zhuravlev Distances'!$B$22:$K$22='Zhuravlev Distances'!J$22)*(COLUMN('Zhuravlev Distances'!$B$22:$K$22)&lt;COLUMN('Zhuravlev Distances'!J$22))*(COLUMN('Zhuravlev Distances'!$B$22:$K$22)&lt;&gt;COLUMN('Zhuravlev Distances'!F$22)))</f>
        <v>8</v>
      </c>
      <c r="K9" s="74">
        <f>1+SUMPRODUCT(('Zhuravlev Distances'!$B$22:$K$22&lt;'Zhuravlev Distances'!K$22)*(COLUMN('Zhuravlev Distances'!$B$22:$K$22)&lt;&gt;COLUMN('Zhuravlev Distances'!F$22)))+SUMPRODUCT(('Zhuravlev Distances'!$B$22:$K$22='Zhuravlev Distances'!K$22)*(COLUMN('Zhuravlev Distances'!$B$22:$K$22)&lt;COLUMN('Zhuravlev Distances'!K$22))*(COLUMN('Zhuravlev Distances'!$B$22:$K$22)&lt;&gt;COLUMN('Zhuravlev Distances'!F$22)))</f>
        <v>9</v>
      </c>
    </row>
    <row r="10">
      <c r="A10" s="64" t="inlineStr">
        <is>
          <t xml:space="preserve">S₆</t>
        </is>
      </c>
      <c r="B10" s="74">
        <f>1+SUMPRODUCT(('Zhuravlev Distances'!$B$23:$K$23&lt;'Zhuravlev Distances'!B$23)*(COLUMN('Zhuravlev Distances'!$B$23:$K$23)&lt;&gt;COLUMN('Zhuravlev Distances'!G$23)))+SUMPRODUCT(('Zhuravlev Distances'!$B$23:$K$23='Zhuravlev Distances'!B$23)*(COLUMN('Zhuravlev Distances'!$B$23:$K$23)&lt;COLUMN('Zhuravlev Distances'!B$23))*(COLUMN('Zhuravlev Distances'!$B$23:$K$23)&lt;&gt;COLUMN('Zhuravlev Distances'!G$23)))</f>
        <v>8</v>
      </c>
      <c r="C10" s="74">
        <f>1+SUMPRODUCT(('Zhuravlev Distances'!$B$23:$K$23&lt;'Zhuravlev Distances'!C$23)*(COLUMN('Zhuravlev Distances'!$B$23:$K$23)&lt;&gt;COLUMN('Zhuravlev Distances'!G$23)))+SUMPRODUCT(('Zhuravlev Distances'!$B$23:$K$23='Zhuravlev Distances'!C$23)*(COLUMN('Zhuravlev Distances'!$B$23:$K$23)&lt;COLUMN('Zhuravlev Distances'!C$23))*(COLUMN('Zhuravlev Distances'!$B$23:$K$23)&lt;&gt;COLUMN('Zhuravlev Distances'!G$23)))</f>
        <v>6</v>
      </c>
      <c r="D10" s="74">
        <f>1+SUMPRODUCT(('Zhuravlev Distances'!$B$23:$K$23&lt;'Zhuravlev Distances'!D$23)*(COLUMN('Zhuravlev Distances'!$B$23:$K$23)&lt;&gt;COLUMN('Zhuravlev Distances'!G$23)))+SUMPRODUCT(('Zhuravlev Distances'!$B$23:$K$23='Zhuravlev Distances'!D$23)*(COLUMN('Zhuravlev Distances'!$B$23:$K$23)&lt;COLUMN('Zhuravlev Distances'!D$23))*(COLUMN('Zhuravlev Distances'!$B$23:$K$23)&lt;&gt;COLUMN('Zhuravlev Distances'!G$23)))</f>
        <v>1</v>
      </c>
      <c r="E10" s="74">
        <f>1+SUMPRODUCT(('Zhuravlev Distances'!$B$23:$K$23&lt;'Zhuravlev Distances'!E$23)*(COLUMN('Zhuravlev Distances'!$B$23:$K$23)&lt;&gt;COLUMN('Zhuravlev Distances'!G$23)))+SUMPRODUCT(('Zhuravlev Distances'!$B$23:$K$23='Zhuravlev Distances'!E$23)*(COLUMN('Zhuravlev Distances'!$B$23:$K$23)&lt;COLUMN('Zhuravlev Distances'!E$23))*(COLUMN('Zhuravlev Distances'!$B$23:$K$23)&lt;&gt;COLUMN('Zhuravlev Distances'!G$23)))</f>
        <v>4</v>
      </c>
      <c r="F10" s="74">
        <f>1+SUMPRODUCT(('Zhuravlev Distances'!$B$23:$K$23&lt;'Zhuravlev Distances'!F$23)*(COLUMN('Zhuravlev Distances'!$B$23:$K$23)&lt;&gt;COLUMN('Zhuravlev Distances'!G$23)))+SUMPRODUCT(('Zhuravlev Distances'!$B$23:$K$23='Zhuravlev Distances'!F$23)*(COLUMN('Zhuravlev Distances'!$B$23:$K$23)&lt;COLUMN('Zhuravlev Distances'!F$23))*(COLUMN('Zhuravlev Distances'!$B$23:$K$23)&lt;&gt;COLUMN('Zhuravlev Distances'!G$23)))</f>
        <v>5</v>
      </c>
      <c r="G10" s="75" t="inlineStr">
        <is>
          <t xml:space="preserve">—</t>
        </is>
      </c>
      <c r="H10" s="74">
        <f>1+SUMPRODUCT(('Zhuravlev Distances'!$B$23:$K$23&lt;'Zhuravlev Distances'!H$23)*(COLUMN('Zhuravlev Distances'!$B$23:$K$23)&lt;&gt;COLUMN('Zhuravlev Distances'!G$23)))+SUMPRODUCT(('Zhuravlev Distances'!$B$23:$K$23='Zhuravlev Distances'!H$23)*(COLUMN('Zhuravlev Distances'!$B$23:$K$23)&lt;COLUMN('Zhuravlev Distances'!H$23))*(COLUMN('Zhuravlev Distances'!$B$23:$K$23)&lt;&gt;COLUMN('Zhuravlev Distances'!G$23)))</f>
        <v>3</v>
      </c>
      <c r="I10" s="74">
        <f>1+SUMPRODUCT(('Zhuravlev Distances'!$B$23:$K$23&lt;'Zhuravlev Distances'!I$23)*(COLUMN('Zhuravlev Distances'!$B$23:$K$23)&lt;&gt;COLUMN('Zhuravlev Distances'!G$23)))+SUMPRODUCT(('Zhuravlev Distances'!$B$23:$K$23='Zhuravlev Distances'!I$23)*(COLUMN('Zhuravlev Distances'!$B$23:$K$23)&lt;COLUMN('Zhuravlev Distances'!I$23))*(COLUMN('Zhuravlev Distances'!$B$23:$K$23)&lt;&gt;COLUMN('Zhuravlev Distances'!G$23)))</f>
        <v>2</v>
      </c>
      <c r="J10" s="74">
        <f>1+SUMPRODUCT(('Zhuravlev Distances'!$B$23:$K$23&lt;'Zhuravlev Distances'!J$23)*(COLUMN('Zhuravlev Distances'!$B$23:$K$23)&lt;&gt;COLUMN('Zhuravlev Distances'!G$23)))+SUMPRODUCT(('Zhuravlev Distances'!$B$23:$K$23='Zhuravlev Distances'!J$23)*(COLUMN('Zhuravlev Distances'!$B$23:$K$23)&lt;COLUMN('Zhuravlev Distances'!J$23))*(COLUMN('Zhuravlev Distances'!$B$23:$K$23)&lt;&gt;COLUMN('Zhuravlev Distances'!G$23)))</f>
        <v>7</v>
      </c>
      <c r="K10" s="74">
        <f>1+SUMPRODUCT(('Zhuravlev Distances'!$B$23:$K$23&lt;'Zhuravlev Distances'!K$23)*(COLUMN('Zhuravlev Distances'!$B$23:$K$23)&lt;&gt;COLUMN('Zhuravlev Distances'!G$23)))+SUMPRODUCT(('Zhuravlev Distances'!$B$23:$K$23='Zhuravlev Distances'!K$23)*(COLUMN('Zhuravlev Distances'!$B$23:$K$23)&lt;COLUMN('Zhuravlev Distances'!K$23))*(COLUMN('Zhuravlev Distances'!$B$23:$K$23)&lt;&gt;COLUMN('Zhuravlev Distances'!G$23)))</f>
        <v>9</v>
      </c>
    </row>
    <row r="11">
      <c r="A11" s="64" t="inlineStr">
        <is>
          <t xml:space="preserve">S₇</t>
        </is>
      </c>
      <c r="B11" s="74">
        <f>1+SUMPRODUCT(('Zhuravlev Distances'!$B$24:$K$24&lt;'Zhuravlev Distances'!B$24)*(COLUMN('Zhuravlev Distances'!$B$24:$K$24)&lt;&gt;COLUMN('Zhuravlev Distances'!H$24)))+SUMPRODUCT(('Zhuravlev Distances'!$B$24:$K$24='Zhuravlev Distances'!B$24)*(COLUMN('Zhuravlev Distances'!$B$24:$K$24)&lt;COLUMN('Zhuravlev Distances'!B$24))*(COLUMN('Zhuravlev Distances'!$B$24:$K$24)&lt;&gt;COLUMN('Zhuravlev Distances'!H$24)))</f>
        <v>7</v>
      </c>
      <c r="C11" s="74">
        <f>1+SUMPRODUCT(('Zhuravlev Distances'!$B$24:$K$24&lt;'Zhuravlev Distances'!C$24)*(COLUMN('Zhuravlev Distances'!$B$24:$K$24)&lt;&gt;COLUMN('Zhuravlev Distances'!H$24)))+SUMPRODUCT(('Zhuravlev Distances'!$B$24:$K$24='Zhuravlev Distances'!C$24)*(COLUMN('Zhuravlev Distances'!$B$24:$K$24)&lt;COLUMN('Zhuravlev Distances'!C$24))*(COLUMN('Zhuravlev Distances'!$B$24:$K$24)&lt;&gt;COLUMN('Zhuravlev Distances'!H$24)))</f>
        <v>8</v>
      </c>
      <c r="D11" s="74">
        <f>1+SUMPRODUCT(('Zhuravlev Distances'!$B$24:$K$24&lt;'Zhuravlev Distances'!D$24)*(COLUMN('Zhuravlev Distances'!$B$24:$K$24)&lt;&gt;COLUMN('Zhuravlev Distances'!H$24)))+SUMPRODUCT(('Zhuravlev Distances'!$B$24:$K$24='Zhuravlev Distances'!D$24)*(COLUMN('Zhuravlev Distances'!$B$24:$K$24)&lt;COLUMN('Zhuravlev Distances'!D$24))*(COLUMN('Zhuravlev Distances'!$B$24:$K$24)&lt;&gt;COLUMN('Zhuravlev Distances'!H$24)))</f>
        <v>1</v>
      </c>
      <c r="E11" s="74">
        <f>1+SUMPRODUCT(('Zhuravlev Distances'!$B$24:$K$24&lt;'Zhuravlev Distances'!E$24)*(COLUMN('Zhuravlev Distances'!$B$24:$K$24)&lt;&gt;COLUMN('Zhuravlev Distances'!H$24)))+SUMPRODUCT(('Zhuravlev Distances'!$B$24:$K$24='Zhuravlev Distances'!E$24)*(COLUMN('Zhuravlev Distances'!$B$24:$K$24)&lt;COLUMN('Zhuravlev Distances'!E$24))*(COLUMN('Zhuravlev Distances'!$B$24:$K$24)&lt;&gt;COLUMN('Zhuravlev Distances'!H$24)))</f>
        <v>3</v>
      </c>
      <c r="F11" s="74">
        <f>1+SUMPRODUCT(('Zhuravlev Distances'!$B$24:$K$24&lt;'Zhuravlev Distances'!F$24)*(COLUMN('Zhuravlev Distances'!$B$24:$K$24)&lt;&gt;COLUMN('Zhuravlev Distances'!H$24)))+SUMPRODUCT(('Zhuravlev Distances'!$B$24:$K$24='Zhuravlev Distances'!F$24)*(COLUMN('Zhuravlev Distances'!$B$24:$K$24)&lt;COLUMN('Zhuravlev Distances'!F$24))*(COLUMN('Zhuravlev Distances'!$B$24:$K$24)&lt;&gt;COLUMN('Zhuravlev Distances'!H$24)))</f>
        <v>6</v>
      </c>
      <c r="G11" s="74">
        <f>1+SUMPRODUCT(('Zhuravlev Distances'!$B$24:$K$24&lt;'Zhuravlev Distances'!G$24)*(COLUMN('Zhuravlev Distances'!$B$24:$K$24)&lt;&gt;COLUMN('Zhuravlev Distances'!H$24)))+SUMPRODUCT(('Zhuravlev Distances'!$B$24:$K$24='Zhuravlev Distances'!G$24)*(COLUMN('Zhuravlev Distances'!$B$24:$K$24)&lt;COLUMN('Zhuravlev Distances'!G$24))*(COLUMN('Zhuravlev Distances'!$B$24:$K$24)&lt;&gt;COLUMN('Zhuravlev Distances'!H$24)))</f>
        <v>4</v>
      </c>
      <c r="H11" s="75" t="inlineStr">
        <is>
          <t xml:space="preserve">—</t>
        </is>
      </c>
      <c r="I11" s="74">
        <f>1+SUMPRODUCT(('Zhuravlev Distances'!$B$24:$K$24&lt;'Zhuravlev Distances'!I$24)*(COLUMN('Zhuravlev Distances'!$B$24:$K$24)&lt;&gt;COLUMN('Zhuravlev Distances'!H$24)))+SUMPRODUCT(('Zhuravlev Distances'!$B$24:$K$24='Zhuravlev Distances'!I$24)*(COLUMN('Zhuravlev Distances'!$B$24:$K$24)&lt;COLUMN('Zhuravlev Distances'!I$24))*(COLUMN('Zhuravlev Distances'!$B$24:$K$24)&lt;&gt;COLUMN('Zhuravlev Distances'!H$24)))</f>
        <v>2</v>
      </c>
      <c r="J11" s="74">
        <f>1+SUMPRODUCT(('Zhuravlev Distances'!$B$24:$K$24&lt;'Zhuravlev Distances'!J$24)*(COLUMN('Zhuravlev Distances'!$B$24:$K$24)&lt;&gt;COLUMN('Zhuravlev Distances'!H$24)))+SUMPRODUCT(('Zhuravlev Distances'!$B$24:$K$24='Zhuravlev Distances'!J$24)*(COLUMN('Zhuravlev Distances'!$B$24:$K$24)&lt;COLUMN('Zhuravlev Distances'!J$24))*(COLUMN('Zhuravlev Distances'!$B$24:$K$24)&lt;&gt;COLUMN('Zhuravlev Distances'!H$24)))</f>
        <v>5</v>
      </c>
      <c r="K11" s="74">
        <f>1+SUMPRODUCT(('Zhuravlev Distances'!$B$24:$K$24&lt;'Zhuravlev Distances'!K$24)*(COLUMN('Zhuravlev Distances'!$B$24:$K$24)&lt;&gt;COLUMN('Zhuravlev Distances'!H$24)))+SUMPRODUCT(('Zhuravlev Distances'!$B$24:$K$24='Zhuravlev Distances'!K$24)*(COLUMN('Zhuravlev Distances'!$B$24:$K$24)&lt;COLUMN('Zhuravlev Distances'!K$24))*(COLUMN('Zhuravlev Distances'!$B$24:$K$24)&lt;&gt;COLUMN('Zhuravlev Distances'!H$24)))</f>
        <v>9</v>
      </c>
    </row>
    <row r="12">
      <c r="A12" s="64" t="inlineStr">
        <is>
          <t xml:space="preserve">S₈</t>
        </is>
      </c>
      <c r="B12" s="74">
        <f>1+SUMPRODUCT(('Zhuravlev Distances'!$B$25:$K$25&lt;'Zhuravlev Distances'!B$25)*(COLUMN('Zhuravlev Distances'!$B$25:$K$25)&lt;&gt;COLUMN('Zhuravlev Distances'!I$25)))+SUMPRODUCT(('Zhuravlev Distances'!$B$25:$K$25='Zhuravlev Distances'!B$25)*(COLUMN('Zhuravlev Distances'!$B$25:$K$25)&lt;COLUMN('Zhuravlev Distances'!B$25))*(COLUMN('Zhuravlev Distances'!$B$25:$K$25)&lt;&gt;COLUMN('Zhuravlev Distances'!I$25)))</f>
        <v>8</v>
      </c>
      <c r="C12" s="74">
        <f>1+SUMPRODUCT(('Zhuravlev Distances'!$B$25:$K$25&lt;'Zhuravlev Distances'!C$25)*(COLUMN('Zhuravlev Distances'!$B$25:$K$25)&lt;&gt;COLUMN('Zhuravlev Distances'!I$25)))+SUMPRODUCT(('Zhuravlev Distances'!$B$25:$K$25='Zhuravlev Distances'!C$25)*(COLUMN('Zhuravlev Distances'!$B$25:$K$25)&lt;COLUMN('Zhuravlev Distances'!C$25))*(COLUMN('Zhuravlev Distances'!$B$25:$K$25)&lt;&gt;COLUMN('Zhuravlev Distances'!I$25)))</f>
        <v>7</v>
      </c>
      <c r="D12" s="74">
        <f>1+SUMPRODUCT(('Zhuravlev Distances'!$B$25:$K$25&lt;'Zhuravlev Distances'!D$25)*(COLUMN('Zhuravlev Distances'!$B$25:$K$25)&lt;&gt;COLUMN('Zhuravlev Distances'!I$25)))+SUMPRODUCT(('Zhuravlev Distances'!$B$25:$K$25='Zhuravlev Distances'!D$25)*(COLUMN('Zhuravlev Distances'!$B$25:$K$25)&lt;COLUMN('Zhuravlev Distances'!D$25))*(COLUMN('Zhuravlev Distances'!$B$25:$K$25)&lt;&gt;COLUMN('Zhuravlev Distances'!I$25)))</f>
        <v>2</v>
      </c>
      <c r="E12" s="74">
        <f>1+SUMPRODUCT(('Zhuravlev Distances'!$B$25:$K$25&lt;'Zhuravlev Distances'!E$25)*(COLUMN('Zhuravlev Distances'!$B$25:$K$25)&lt;&gt;COLUMN('Zhuravlev Distances'!I$25)))+SUMPRODUCT(('Zhuravlev Distances'!$B$25:$K$25='Zhuravlev Distances'!E$25)*(COLUMN('Zhuravlev Distances'!$B$25:$K$25)&lt;COLUMN('Zhuravlev Distances'!E$25))*(COLUMN('Zhuravlev Distances'!$B$25:$K$25)&lt;&gt;COLUMN('Zhuravlev Distances'!I$25)))</f>
        <v>4</v>
      </c>
      <c r="F12" s="74">
        <f>1+SUMPRODUCT(('Zhuravlev Distances'!$B$25:$K$25&lt;'Zhuravlev Distances'!F$25)*(COLUMN('Zhuravlev Distances'!$B$25:$K$25)&lt;&gt;COLUMN('Zhuravlev Distances'!I$25)))+SUMPRODUCT(('Zhuravlev Distances'!$B$25:$K$25='Zhuravlev Distances'!F$25)*(COLUMN('Zhuravlev Distances'!$B$25:$K$25)&lt;COLUMN('Zhuravlev Distances'!F$25))*(COLUMN('Zhuravlev Distances'!$B$25:$K$25)&lt;&gt;COLUMN('Zhuravlev Distances'!I$25)))</f>
        <v>6</v>
      </c>
      <c r="G12" s="74">
        <f>1+SUMPRODUCT(('Zhuravlev Distances'!$B$25:$K$25&lt;'Zhuravlev Distances'!G$25)*(COLUMN('Zhuravlev Distances'!$B$25:$K$25)&lt;&gt;COLUMN('Zhuravlev Distances'!I$25)))+SUMPRODUCT(('Zhuravlev Distances'!$B$25:$K$25='Zhuravlev Distances'!G$25)*(COLUMN('Zhuravlev Distances'!$B$25:$K$25)&lt;COLUMN('Zhuravlev Distances'!G$25))*(COLUMN('Zhuravlev Distances'!$B$25:$K$25)&lt;&gt;COLUMN('Zhuravlev Distances'!I$25)))</f>
        <v>3</v>
      </c>
      <c r="H12" s="74">
        <f>1+SUMPRODUCT(('Zhuravlev Distances'!$B$25:$K$25&lt;'Zhuravlev Distances'!H$25)*(COLUMN('Zhuravlev Distances'!$B$25:$K$25)&lt;&gt;COLUMN('Zhuravlev Distances'!I$25)))+SUMPRODUCT(('Zhuravlev Distances'!$B$25:$K$25='Zhuravlev Distances'!H$25)*(COLUMN('Zhuravlev Distances'!$B$25:$K$25)&lt;COLUMN('Zhuravlev Distances'!H$25))*(COLUMN('Zhuravlev Distances'!$B$25:$K$25)&lt;&gt;COLUMN('Zhuravlev Distances'!I$25)))</f>
        <v>1</v>
      </c>
      <c r="I12" s="75" t="inlineStr">
        <is>
          <t xml:space="preserve">—</t>
        </is>
      </c>
      <c r="J12" s="74">
        <f>1+SUMPRODUCT(('Zhuravlev Distances'!$B$25:$K$25&lt;'Zhuravlev Distances'!J$25)*(COLUMN('Zhuravlev Distances'!$B$25:$K$25)&lt;&gt;COLUMN('Zhuravlev Distances'!I$25)))+SUMPRODUCT(('Zhuravlev Distances'!$B$25:$K$25='Zhuravlev Distances'!J$25)*(COLUMN('Zhuravlev Distances'!$B$25:$K$25)&lt;COLUMN('Zhuravlev Distances'!J$25))*(COLUMN('Zhuravlev Distances'!$B$25:$K$25)&lt;&gt;COLUMN('Zhuravlev Distances'!I$25)))</f>
        <v>5</v>
      </c>
      <c r="K12" s="74">
        <f>1+SUMPRODUCT(('Zhuravlev Distances'!$B$25:$K$25&lt;'Zhuravlev Distances'!K$25)*(COLUMN('Zhuravlev Distances'!$B$25:$K$25)&lt;&gt;COLUMN('Zhuravlev Distances'!I$25)))+SUMPRODUCT(('Zhuravlev Distances'!$B$25:$K$25='Zhuravlev Distances'!K$25)*(COLUMN('Zhuravlev Distances'!$B$25:$K$25)&lt;COLUMN('Zhuravlev Distances'!K$25))*(COLUMN('Zhuravlev Distances'!$B$25:$K$25)&lt;&gt;COLUMN('Zhuravlev Distances'!I$25)))</f>
        <v>9</v>
      </c>
    </row>
    <row r="13">
      <c r="A13" s="64" t="inlineStr">
        <is>
          <t xml:space="preserve">S₉</t>
        </is>
      </c>
      <c r="B13" s="74">
        <f>1+SUMPRODUCT(('Zhuravlev Distances'!$B$26:$K$26&lt;'Zhuravlev Distances'!B$26)*(COLUMN('Zhuravlev Distances'!$B$26:$K$26)&lt;&gt;COLUMN('Zhuravlev Distances'!J$26)))+SUMPRODUCT(('Zhuravlev Distances'!$B$26:$K$26='Zhuravlev Distances'!B$26)*(COLUMN('Zhuravlev Distances'!$B$26:$K$26)&lt;COLUMN('Zhuravlev Distances'!B$26))*(COLUMN('Zhuravlev Distances'!$B$26:$K$26)&lt;&gt;COLUMN('Zhuravlev Distances'!J$26)))</f>
        <v>7</v>
      </c>
      <c r="C13" s="74">
        <f>1+SUMPRODUCT(('Zhuravlev Distances'!$B$26:$K$26&lt;'Zhuravlev Distances'!C$26)*(COLUMN('Zhuravlev Distances'!$B$26:$K$26)&lt;&gt;COLUMN('Zhuravlev Distances'!J$26)))+SUMPRODUCT(('Zhuravlev Distances'!$B$26:$K$26='Zhuravlev Distances'!C$26)*(COLUMN('Zhuravlev Distances'!$B$26:$K$26)&lt;COLUMN('Zhuravlev Distances'!C$26))*(COLUMN('Zhuravlev Distances'!$B$26:$K$26)&lt;&gt;COLUMN('Zhuravlev Distances'!J$26)))</f>
        <v>8</v>
      </c>
      <c r="D13" s="74">
        <f>1+SUMPRODUCT(('Zhuravlev Distances'!$B$26:$K$26&lt;'Zhuravlev Distances'!D$26)*(COLUMN('Zhuravlev Distances'!$B$26:$K$26)&lt;&gt;COLUMN('Zhuravlev Distances'!J$26)))+SUMPRODUCT(('Zhuravlev Distances'!$B$26:$K$26='Zhuravlev Distances'!D$26)*(COLUMN('Zhuravlev Distances'!$B$26:$K$26)&lt;COLUMN('Zhuravlev Distances'!D$26))*(COLUMN('Zhuravlev Distances'!$B$26:$K$26)&lt;&gt;COLUMN('Zhuravlev Distances'!J$26)))</f>
        <v>3</v>
      </c>
      <c r="E13" s="74">
        <f>1+SUMPRODUCT(('Zhuravlev Distances'!$B$26:$K$26&lt;'Zhuravlev Distances'!E$26)*(COLUMN('Zhuravlev Distances'!$B$26:$K$26)&lt;&gt;COLUMN('Zhuravlev Distances'!J$26)))+SUMPRODUCT(('Zhuravlev Distances'!$B$26:$K$26='Zhuravlev Distances'!E$26)*(COLUMN('Zhuravlev Distances'!$B$26:$K$26)&lt;COLUMN('Zhuravlev Distances'!E$26))*(COLUMN('Zhuravlev Distances'!$B$26:$K$26)&lt;&gt;COLUMN('Zhuravlev Distances'!J$26)))</f>
        <v>5</v>
      </c>
      <c r="F13" s="74">
        <f>1+SUMPRODUCT(('Zhuravlev Distances'!$B$26:$K$26&lt;'Zhuravlev Distances'!F$26)*(COLUMN('Zhuravlev Distances'!$B$26:$K$26)&lt;&gt;COLUMN('Zhuravlev Distances'!J$26)))+SUMPRODUCT(('Zhuravlev Distances'!$B$26:$K$26='Zhuravlev Distances'!F$26)*(COLUMN('Zhuravlev Distances'!$B$26:$K$26)&lt;COLUMN('Zhuravlev Distances'!F$26))*(COLUMN('Zhuravlev Distances'!$B$26:$K$26)&lt;&gt;COLUMN('Zhuravlev Distances'!J$26)))</f>
        <v>9</v>
      </c>
      <c r="G13" s="74">
        <f>1+SUMPRODUCT(('Zhuravlev Distances'!$B$26:$K$26&lt;'Zhuravlev Distances'!G$26)*(COLUMN('Zhuravlev Distances'!$B$26:$K$26)&lt;&gt;COLUMN('Zhuravlev Distances'!J$26)))+SUMPRODUCT(('Zhuravlev Distances'!$B$26:$K$26='Zhuravlev Distances'!G$26)*(COLUMN('Zhuravlev Distances'!$B$26:$K$26)&lt;COLUMN('Zhuravlev Distances'!G$26))*(COLUMN('Zhuravlev Distances'!$B$26:$K$26)&lt;&gt;COLUMN('Zhuravlev Distances'!J$26)))</f>
        <v>6</v>
      </c>
      <c r="H13" s="74">
        <f>1+SUMPRODUCT(('Zhuravlev Distances'!$B$26:$K$26&lt;'Zhuravlev Distances'!H$26)*(COLUMN('Zhuravlev Distances'!$B$26:$K$26)&lt;&gt;COLUMN('Zhuravlev Distances'!J$26)))+SUMPRODUCT(('Zhuravlev Distances'!$B$26:$K$26='Zhuravlev Distances'!H$26)*(COLUMN('Zhuravlev Distances'!$B$26:$K$26)&lt;COLUMN('Zhuravlev Distances'!H$26))*(COLUMN('Zhuravlev Distances'!$B$26:$K$26)&lt;&gt;COLUMN('Zhuravlev Distances'!J$26)))</f>
        <v>1</v>
      </c>
      <c r="I13" s="74">
        <f>1+SUMPRODUCT(('Zhuravlev Distances'!$B$26:$K$26&lt;'Zhuravlev Distances'!I$26)*(COLUMN('Zhuravlev Distances'!$B$26:$K$26)&lt;&gt;COLUMN('Zhuravlev Distances'!J$26)))+SUMPRODUCT(('Zhuravlev Distances'!$B$26:$K$26='Zhuravlev Distances'!I$26)*(COLUMN('Zhuravlev Distances'!$B$26:$K$26)&lt;COLUMN('Zhuravlev Distances'!I$26))*(COLUMN('Zhuravlev Distances'!$B$26:$K$26)&lt;&gt;COLUMN('Zhuravlev Distances'!J$26)))</f>
        <v>2</v>
      </c>
      <c r="J13" s="75" t="inlineStr">
        <is>
          <t xml:space="preserve">—</t>
        </is>
      </c>
      <c r="K13" s="74">
        <f>1+SUMPRODUCT(('Zhuravlev Distances'!$B$26:$K$26&lt;'Zhuravlev Distances'!K$26)*(COLUMN('Zhuravlev Distances'!$B$26:$K$26)&lt;&gt;COLUMN('Zhuravlev Distances'!J$26)))+SUMPRODUCT(('Zhuravlev Distances'!$B$26:$K$26='Zhuravlev Distances'!K$26)*(COLUMN('Zhuravlev Distances'!$B$26:$K$26)&lt;COLUMN('Zhuravlev Distances'!K$26))*(COLUMN('Zhuravlev Distances'!$B$26:$K$26)&lt;&gt;COLUMN('Zhuravlev Distances'!J$26)))</f>
        <v>4</v>
      </c>
    </row>
    <row r="14">
      <c r="A14" s="64" t="inlineStr">
        <is>
          <t xml:space="preserve">S₁₀</t>
        </is>
      </c>
      <c r="B14" s="74">
        <f>1+SUMPRODUCT(('Zhuravlev Distances'!$B$27:$K$27&lt;'Zhuravlev Distances'!B$27)*(COLUMN('Zhuravlev Distances'!$B$27:$K$27)&lt;&gt;COLUMN('Zhuravlev Distances'!K$27)))+SUMPRODUCT(('Zhuravlev Distances'!$B$27:$K$27='Zhuravlev Distances'!B$27)*(COLUMN('Zhuravlev Distances'!$B$27:$K$27)&lt;COLUMN('Zhuravlev Distances'!B$27))*(COLUMN('Zhuravlev Distances'!$B$27:$K$27)&lt;&gt;COLUMN('Zhuravlev Distances'!K$27)))</f>
        <v>2</v>
      </c>
      <c r="C14" s="74">
        <f>1+SUMPRODUCT(('Zhuravlev Distances'!$B$27:$K$27&lt;'Zhuravlev Distances'!C$27)*(COLUMN('Zhuravlev Distances'!$B$27:$K$27)&lt;&gt;COLUMN('Zhuravlev Distances'!K$27)))+SUMPRODUCT(('Zhuravlev Distances'!$B$27:$K$27='Zhuravlev Distances'!C$27)*(COLUMN('Zhuravlev Distances'!$B$27:$K$27)&lt;COLUMN('Zhuravlev Distances'!C$27))*(COLUMN('Zhuravlev Distances'!$B$27:$K$27)&lt;&gt;COLUMN('Zhuravlev Distances'!K$27)))</f>
        <v>4</v>
      </c>
      <c r="D14" s="74">
        <f>1+SUMPRODUCT(('Zhuravlev Distances'!$B$27:$K$27&lt;'Zhuravlev Distances'!D$27)*(COLUMN('Zhuravlev Distances'!$B$27:$K$27)&lt;&gt;COLUMN('Zhuravlev Distances'!K$27)))+SUMPRODUCT(('Zhuravlev Distances'!$B$27:$K$27='Zhuravlev Distances'!D$27)*(COLUMN('Zhuravlev Distances'!$B$27:$K$27)&lt;COLUMN('Zhuravlev Distances'!D$27))*(COLUMN('Zhuravlev Distances'!$B$27:$K$27)&lt;&gt;COLUMN('Zhuravlev Distances'!K$27)))</f>
        <v>7</v>
      </c>
      <c r="E14" s="74">
        <f>1+SUMPRODUCT(('Zhuravlev Distances'!$B$27:$K$27&lt;'Zhuravlev Distances'!E$27)*(COLUMN('Zhuravlev Distances'!$B$27:$K$27)&lt;&gt;COLUMN('Zhuravlev Distances'!K$27)))+SUMPRODUCT(('Zhuravlev Distances'!$B$27:$K$27='Zhuravlev Distances'!E$27)*(COLUMN('Zhuravlev Distances'!$B$27:$K$27)&lt;COLUMN('Zhuravlev Distances'!E$27))*(COLUMN('Zhuravlev Distances'!$B$27:$K$27)&lt;&gt;COLUMN('Zhuravlev Distances'!K$27)))</f>
        <v>6</v>
      </c>
      <c r="F14" s="74">
        <f>1+SUMPRODUCT(('Zhuravlev Distances'!$B$27:$K$27&lt;'Zhuravlev Distances'!F$27)*(COLUMN('Zhuravlev Distances'!$B$27:$K$27)&lt;&gt;COLUMN('Zhuravlev Distances'!K$27)))+SUMPRODUCT(('Zhuravlev Distances'!$B$27:$K$27='Zhuravlev Distances'!F$27)*(COLUMN('Zhuravlev Distances'!$B$27:$K$27)&lt;COLUMN('Zhuravlev Distances'!F$27))*(COLUMN('Zhuravlev Distances'!$B$27:$K$27)&lt;&gt;COLUMN('Zhuravlev Distances'!K$27)))</f>
        <v>9</v>
      </c>
      <c r="G14" s="74">
        <f>1+SUMPRODUCT(('Zhuravlev Distances'!$B$27:$K$27&lt;'Zhuravlev Distances'!G$27)*(COLUMN('Zhuravlev Distances'!$B$27:$K$27)&lt;&gt;COLUMN('Zhuravlev Distances'!K$27)))+SUMPRODUCT(('Zhuravlev Distances'!$B$27:$K$27='Zhuravlev Distances'!G$27)*(COLUMN('Zhuravlev Distances'!$B$27:$K$27)&lt;COLUMN('Zhuravlev Distances'!G$27))*(COLUMN('Zhuravlev Distances'!$B$27:$K$27)&lt;&gt;COLUMN('Zhuravlev Distances'!K$27)))</f>
        <v>8</v>
      </c>
      <c r="H14" s="74">
        <f>1+SUMPRODUCT(('Zhuravlev Distances'!$B$27:$K$27&lt;'Zhuravlev Distances'!H$27)*(COLUMN('Zhuravlev Distances'!$B$27:$K$27)&lt;&gt;COLUMN('Zhuravlev Distances'!K$27)))+SUMPRODUCT(('Zhuravlev Distances'!$B$27:$K$27='Zhuravlev Distances'!H$27)*(COLUMN('Zhuravlev Distances'!$B$27:$K$27)&lt;COLUMN('Zhuravlev Distances'!H$27))*(COLUMN('Zhuravlev Distances'!$B$27:$K$27)&lt;&gt;COLUMN('Zhuravlev Distances'!K$27)))</f>
        <v>3</v>
      </c>
      <c r="I14" s="74">
        <f>1+SUMPRODUCT(('Zhuravlev Distances'!$B$27:$K$27&lt;'Zhuravlev Distances'!I$27)*(COLUMN('Zhuravlev Distances'!$B$27:$K$27)&lt;&gt;COLUMN('Zhuravlev Distances'!K$27)))+SUMPRODUCT(('Zhuravlev Distances'!$B$27:$K$27='Zhuravlev Distances'!I$27)*(COLUMN('Zhuravlev Distances'!$B$27:$K$27)&lt;COLUMN('Zhuravlev Distances'!I$27))*(COLUMN('Zhuravlev Distances'!$B$27:$K$27)&lt;&gt;COLUMN('Zhuravlev Distances'!K$27)))</f>
        <v>5</v>
      </c>
      <c r="J14" s="74">
        <f>1+SUMPRODUCT(('Zhuravlev Distances'!$B$27:$K$27&lt;'Zhuravlev Distances'!J$27)*(COLUMN('Zhuravlev Distances'!$B$27:$K$27)&lt;&gt;COLUMN('Zhuravlev Distances'!K$27)))+SUMPRODUCT(('Zhuravlev Distances'!$B$27:$K$27='Zhuravlev Distances'!J$27)*(COLUMN('Zhuravlev Distances'!$B$27:$K$27)&lt;COLUMN('Zhuravlev Distances'!J$27))*(COLUMN('Zhuravlev Distances'!$B$27:$K$27)&lt;&gt;COLUMN('Zhuravlev Distances'!K$27)))</f>
        <v>1</v>
      </c>
      <c r="K14" s="75" t="inlineStr">
        <is>
          <t xml:space="preserve">—</t>
        </is>
      </c>
    </row>
    <row r="15"/>
    <row r="16">
      <c r="A16" s="59" t="str">
        <f>"S₁  ·  class "&amp;Dataset!$O$3&amp;"  —  neighbours in ascending ρ_I  (target row 5 of the rank matrix)"</f>
        <v>S₁  ·  class 2  —  neighbours in ascending ρ_I  (target row 5 of the rank matrix)</v>
      </c>
      <c r="B16" s="59"/>
      <c r="C16" s="59"/>
      <c r="D16" s="59"/>
      <c r="E16" s="59"/>
      <c r="F16" s="59"/>
      <c r="G16" s="59"/>
      <c r="H16" s="59"/>
      <c r="I16" s="59"/>
      <c r="J16" s="59"/>
    </row>
    <row r="17">
      <c r="A17" s="60" t="inlineStr">
        <is>
          <t xml:space="preserve">Rank</t>
        </is>
      </c>
      <c r="B17" s="60">
        <v>1</v>
      </c>
      <c r="C17" s="60">
        <v>2</v>
      </c>
      <c r="D17" s="60">
        <v>3</v>
      </c>
      <c r="E17" s="60">
        <v>4</v>
      </c>
      <c r="F17" s="60">
        <v>5</v>
      </c>
      <c r="G17" s="60">
        <v>6</v>
      </c>
      <c r="H17" s="60">
        <v>7</v>
      </c>
      <c r="I17" s="60">
        <v>8</v>
      </c>
      <c r="J17" s="60">
        <v>9</v>
      </c>
    </row>
    <row r="18">
      <c r="A18" s="65" t="inlineStr">
        <is>
          <t xml:space="preserve">k-neighbourhood</t>
        </is>
      </c>
      <c r="B18" s="78" t="str">
        <f>IF(AND(B$17&gt;='Parameters'!$B$9,B$17&lt;='Parameters'!$B$10,MOD(B$17-'Parameters'!$B$9,2)=0),"k = "&amp;B$17,"")</f>
        <v/>
      </c>
      <c r="C18" s="78" t="str">
        <f>IF(AND(C$17&gt;='Parameters'!$B$9,C$17&lt;='Parameters'!$B$10,MOD(C$17-'Parameters'!$B$9,2)=0),"k = "&amp;C$17,"")</f>
        <v/>
      </c>
      <c r="D18" s="78" t="str">
        <f>IF(AND(D$17&gt;='Parameters'!$B$9,D$17&lt;='Parameters'!$B$10,MOD(D$17-'Parameters'!$B$9,2)=0),"k = "&amp;D$17,"")</f>
        <v>k = 3</v>
      </c>
      <c r="E18" s="78" t="str">
        <f>IF(AND(E$17&gt;='Parameters'!$B$9,E$17&lt;='Parameters'!$B$10,MOD(E$17-'Parameters'!$B$9,2)=0),"k = "&amp;E$17,"")</f>
        <v/>
      </c>
      <c r="F18" s="78" t="str">
        <f>IF(AND(F$17&gt;='Parameters'!$B$9,F$17&lt;='Parameters'!$B$10,MOD(F$17-'Parameters'!$B$9,2)=0),"k = "&amp;F$17,"")</f>
        <v>k = 5</v>
      </c>
      <c r="G18" s="78" t="str">
        <f>IF(AND(G$17&gt;='Parameters'!$B$9,G$17&lt;='Parameters'!$B$10,MOD(G$17-'Parameters'!$B$9,2)=0),"k = "&amp;G$17,"")</f>
        <v/>
      </c>
      <c r="H18" s="78" t="str">
        <f>IF(AND(H$17&gt;='Parameters'!$B$9,H$17&lt;='Parameters'!$B$10,MOD(H$17-'Parameters'!$B$9,2)=0),"k = "&amp;H$17,"")</f>
        <v/>
      </c>
      <c r="I18" s="78" t="str">
        <f>IF(AND(I$17&gt;='Parameters'!$B$9,I$17&lt;='Parameters'!$B$10,MOD(I$17-'Parameters'!$B$9,2)=0),"k = "&amp;I$17,"")</f>
        <v/>
      </c>
      <c r="J18" s="78" t="str">
        <f>IF(AND(J$17&gt;='Parameters'!$B$9,J$17&lt;='Parameters'!$B$10,MOD(J$17-'Parameters'!$B$9,2)=0),"k = "&amp;J$17,"")</f>
        <v/>
      </c>
    </row>
    <row r="19">
      <c r="A19" s="65" t="inlineStr">
        <is>
          <t xml:space="preserve">Neighbour</t>
        </is>
      </c>
      <c r="B19" s="64" t="str">
        <f>INDEX('Zhuravlev Distances'!$B$17:$K$17,B20)</f>
        <v>S₄</v>
      </c>
      <c r="C19" s="64" t="str">
        <f>INDEX('Zhuravlev Distances'!$B$17:$K$17,C20)</f>
        <v>S₅</v>
      </c>
      <c r="D19" s="64" t="str">
        <f>INDEX('Zhuravlev Distances'!$B$17:$K$17,D20)</f>
        <v>S₁₀</v>
      </c>
      <c r="E19" s="64" t="str">
        <f>INDEX('Zhuravlev Distances'!$B$17:$K$17,E20)</f>
        <v>S₉</v>
      </c>
      <c r="F19" s="64" t="str">
        <f>INDEX('Zhuravlev Distances'!$B$17:$K$17,F20)</f>
        <v>S₇</v>
      </c>
      <c r="G19" s="64" t="str">
        <f>INDEX('Zhuravlev Distances'!$B$17:$K$17,G20)</f>
        <v>S₈</v>
      </c>
      <c r="H19" s="64" t="str">
        <f>INDEX('Zhuravlev Distances'!$B$17:$K$17,H20)</f>
        <v>S₆</v>
      </c>
      <c r="I19" s="64" t="str">
        <f>INDEX('Zhuravlev Distances'!$B$17:$K$17,I20)</f>
        <v>S₃</v>
      </c>
      <c r="J19" s="64" t="str">
        <f>INDEX('Zhuravlev Distances'!$B$17:$K$17,J20)</f>
        <v>S₂</v>
      </c>
    </row>
    <row r="20">
      <c r="A20" s="65" t="inlineStr">
        <is>
          <t xml:space="preserve">Original index</t>
        </is>
      </c>
      <c r="B20" s="76">
        <f>MATCH(B$17,$B$5:$K$5,0)</f>
        <v>4</v>
      </c>
      <c r="C20" s="76">
        <f>MATCH(C$17,$B$5:$K$5,0)</f>
        <v>5</v>
      </c>
      <c r="D20" s="76">
        <f>MATCH(D$17,$B$5:$K$5,0)</f>
        <v>10</v>
      </c>
      <c r="E20" s="76">
        <f>MATCH(E$17,$B$5:$K$5,0)</f>
        <v>9</v>
      </c>
      <c r="F20" s="76">
        <f>MATCH(F$17,$B$5:$K$5,0)</f>
        <v>7</v>
      </c>
      <c r="G20" s="76">
        <f>MATCH(G$17,$B$5:$K$5,0)</f>
        <v>8</v>
      </c>
      <c r="H20" s="76">
        <f>MATCH(H$17,$B$5:$K$5,0)</f>
        <v>6</v>
      </c>
      <c r="I20" s="76">
        <f>MATCH(I$17,$B$5:$K$5,0)</f>
        <v>3</v>
      </c>
      <c r="J20" s="76">
        <f>MATCH(J$17,$B$5:$K$5,0)</f>
        <v>2</v>
      </c>
    </row>
    <row r="21">
      <c r="A21" s="65" t="inlineStr">
        <is>
          <t xml:space="preserve">ρ_I(S₁, neighbour)</t>
        </is>
      </c>
      <c r="B21" s="72">
        <f>INDEX('Zhuravlev Distances'!$B$18:$K$18,B20)</f>
        <v>1.8429406103</v>
      </c>
      <c r="C21" s="72">
        <f>INDEX('Zhuravlev Distances'!$B$18:$K$18,C20)</f>
        <v>2.0394025463</v>
      </c>
      <c r="D21" s="72">
        <f>INDEX('Zhuravlev Distances'!$B$18:$K$18,D20)</f>
        <v>2.2218874557</v>
      </c>
      <c r="E21" s="72">
        <f>INDEX('Zhuravlev Distances'!$B$18:$K$18,E20)</f>
        <v>2.4680753016</v>
      </c>
      <c r="F21" s="72">
        <f>INDEX('Zhuravlev Distances'!$B$18:$K$18,F20)</f>
        <v>2.5963635983</v>
      </c>
      <c r="G21" s="72">
        <f>INDEX('Zhuravlev Distances'!$B$18:$K$18,G20)</f>
        <v>2.8157298434</v>
      </c>
      <c r="H21" s="72">
        <f>INDEX('Zhuravlev Distances'!$B$18:$K$18,H20)</f>
        <v>2.9056936468</v>
      </c>
      <c r="I21" s="72">
        <f>INDEX('Zhuravlev Distances'!$B$18:$K$18,I20)</f>
        <v>3.0747842325</v>
      </c>
      <c r="J21" s="72">
        <f>INDEX('Zhuravlev Distances'!$B$18:$K$18,J20)</f>
        <v>3.1621313645</v>
      </c>
    </row>
    <row r="22">
      <c r="A22" s="65" t="inlineStr">
        <is>
          <t xml:space="preserve">Class</t>
        </is>
      </c>
      <c r="B22" s="68">
        <f>INDEX(Dataset!$O$3:$O$12,B20)</f>
        <v>1</v>
      </c>
      <c r="C22" s="68">
        <f>INDEX(Dataset!$O$3:$O$12,C20)</f>
        <v>1</v>
      </c>
      <c r="D22" s="68">
        <f>INDEX(Dataset!$O$3:$O$12,D20)</f>
        <v>2</v>
      </c>
      <c r="E22" s="68">
        <f>INDEX(Dataset!$O$3:$O$12,E20)</f>
        <v>2</v>
      </c>
      <c r="F22" s="68">
        <f>INDEX(Dataset!$O$3:$O$12,F20)</f>
        <v>2</v>
      </c>
      <c r="G22" s="68">
        <f>INDEX(Dataset!$O$3:$O$12,G20)</f>
        <v>2</v>
      </c>
      <c r="H22" s="68">
        <f>INDEX(Dataset!$O$3:$O$12,H20)</f>
        <v>1</v>
      </c>
      <c r="I22" s="68">
        <f>INDEX(Dataset!$O$3:$O$12,I20)</f>
        <v>2</v>
      </c>
      <c r="J22" s="68">
        <f>INDEX(Dataset!$O$3:$O$12,J20)</f>
        <v>1</v>
      </c>
    </row>
    <row r="23">
      <c r="A23" s="65" t="inlineStr">
        <is>
          <t xml:space="preserve">Same class as S₁</t>
        </is>
      </c>
      <c r="B23" s="74">
        <f>IF(B22=Dataset!$O$3,1,0)</f>
        <v>0</v>
      </c>
      <c r="C23" s="74">
        <f>IF(C22=Dataset!$O$3,1,0)</f>
        <v>0</v>
      </c>
      <c r="D23" s="74">
        <f>IF(D22=Dataset!$O$3,1,0)</f>
        <v>1</v>
      </c>
      <c r="E23" s="74">
        <f>IF(E22=Dataset!$O$3,1,0)</f>
        <v>1</v>
      </c>
      <c r="F23" s="74">
        <f>IF(F22=Dataset!$O$3,1,0)</f>
        <v>1</v>
      </c>
      <c r="G23" s="74">
        <f>IF(G22=Dataset!$O$3,1,0)</f>
        <v>1</v>
      </c>
      <c r="H23" s="74">
        <f>IF(H22=Dataset!$O$3,1,0)</f>
        <v>0</v>
      </c>
      <c r="I23" s="74">
        <f>IF(I22=Dataset!$O$3,1,0)</f>
        <v>1</v>
      </c>
      <c r="J23" s="74">
        <f>IF(J22=Dataset!$O$3,1,0)</f>
        <v>0</v>
      </c>
    </row>
    <row r="24">
      <c r="A24" s="65" t="inlineStr">
        <is>
          <t xml:space="preserve">Same-class count μ (1 … rank)</t>
        </is>
      </c>
      <c r="B24" s="74">
        <f>SUM($B23:B23)</f>
        <v>0</v>
      </c>
      <c r="C24" s="74">
        <f>SUM($B23:C23)</f>
        <v>0</v>
      </c>
      <c r="D24" s="74">
        <f>SUM($B23:D23)</f>
        <v>1</v>
      </c>
      <c r="E24" s="74">
        <f>SUM($B23:E23)</f>
        <v>2</v>
      </c>
      <c r="F24" s="74">
        <f>SUM($B23:F23)</f>
        <v>3</v>
      </c>
      <c r="G24" s="74">
        <f>SUM($B23:G23)</f>
        <v>4</v>
      </c>
      <c r="H24" s="74">
        <f>SUM($B23:H23)</f>
        <v>4</v>
      </c>
      <c r="I24" s="74">
        <f>SUM($B23:I23)</f>
        <v>5</v>
      </c>
      <c r="J24" s="74">
        <f>SUM($B23:J23)</f>
        <v>5</v>
      </c>
    </row>
    <row r="25">
      <c r="A25" s="65" t="inlineStr">
        <is>
          <t xml:space="preserve">K1 count χ₁ (1 … rank)</t>
        </is>
      </c>
      <c r="B25" s="74">
        <f>COUNTIF($B22:B22,1)</f>
        <v>1</v>
      </c>
      <c r="C25" s="74">
        <f>COUNTIF($B22:C22,1)</f>
        <v>2</v>
      </c>
      <c r="D25" s="74">
        <f>COUNTIF($B22:D22,1)</f>
        <v>2</v>
      </c>
      <c r="E25" s="74">
        <f>COUNTIF($B22:E22,1)</f>
        <v>2</v>
      </c>
      <c r="F25" s="74">
        <f>COUNTIF($B22:F22,1)</f>
        <v>2</v>
      </c>
      <c r="G25" s="74">
        <f>COUNTIF($B22:G22,1)</f>
        <v>2</v>
      </c>
      <c r="H25" s="74">
        <f>COUNTIF($B22:H22,1)</f>
        <v>3</v>
      </c>
      <c r="I25" s="74">
        <f>COUNTIF($B22:I22,1)</f>
        <v>3</v>
      </c>
      <c r="J25" s="74">
        <f>COUNTIF($B22:J22,1)</f>
        <v>4</v>
      </c>
    </row>
    <row r="26"/>
    <row r="27">
      <c r="A27" s="59" t="str">
        <f>"S₂  ·  class "&amp;Dataset!$O$4&amp;"  —  neighbours in ascending ρ_I  (target row 6 of the rank matrix)"</f>
        <v>S₂  ·  class 1  —  neighbours in ascending ρ_I  (target row 6 of the rank matrix)</v>
      </c>
      <c r="B27" s="59"/>
      <c r="C27" s="59"/>
      <c r="D27" s="59"/>
      <c r="E27" s="59"/>
      <c r="F27" s="59"/>
      <c r="G27" s="59"/>
      <c r="H27" s="59"/>
      <c r="I27" s="59"/>
      <c r="J27" s="59"/>
    </row>
    <row r="28">
      <c r="A28" s="60" t="inlineStr">
        <is>
          <t xml:space="preserve">Rank</t>
        </is>
      </c>
      <c r="B28" s="60">
        <v>1</v>
      </c>
      <c r="C28" s="60">
        <v>2</v>
      </c>
      <c r="D28" s="60">
        <v>3</v>
      </c>
      <c r="E28" s="60">
        <v>4</v>
      </c>
      <c r="F28" s="60">
        <v>5</v>
      </c>
      <c r="G28" s="60">
        <v>6</v>
      </c>
      <c r="H28" s="60">
        <v>7</v>
      </c>
      <c r="I28" s="60">
        <v>8</v>
      </c>
      <c r="J28" s="60">
        <v>9</v>
      </c>
    </row>
    <row r="29">
      <c r="A29" s="65" t="inlineStr">
        <is>
          <t xml:space="preserve">k-neighbourhood</t>
        </is>
      </c>
      <c r="B29" s="78" t="str">
        <f>IF(AND(B$28&gt;='Parameters'!$B$9,B$28&lt;='Parameters'!$B$10,MOD(B$28-'Parameters'!$B$9,2)=0),"k = "&amp;B$28,"")</f>
        <v/>
      </c>
      <c r="C29" s="78" t="str">
        <f>IF(AND(C$28&gt;='Parameters'!$B$9,C$28&lt;='Parameters'!$B$10,MOD(C$28-'Parameters'!$B$9,2)=0),"k = "&amp;C$28,"")</f>
        <v/>
      </c>
      <c r="D29" s="78" t="str">
        <f>IF(AND(D$28&gt;='Parameters'!$B$9,D$28&lt;='Parameters'!$B$10,MOD(D$28-'Parameters'!$B$9,2)=0),"k = "&amp;D$28,"")</f>
        <v>k = 3</v>
      </c>
      <c r="E29" s="78" t="str">
        <f>IF(AND(E$28&gt;='Parameters'!$B$9,E$28&lt;='Parameters'!$B$10,MOD(E$28-'Parameters'!$B$9,2)=0),"k = "&amp;E$28,"")</f>
        <v/>
      </c>
      <c r="F29" s="78" t="str">
        <f>IF(AND(F$28&gt;='Parameters'!$B$9,F$28&lt;='Parameters'!$B$10,MOD(F$28-'Parameters'!$B$9,2)=0),"k = "&amp;F$28,"")</f>
        <v>k = 5</v>
      </c>
      <c r="G29" s="78" t="str">
        <f>IF(AND(G$28&gt;='Parameters'!$B$9,G$28&lt;='Parameters'!$B$10,MOD(G$28-'Parameters'!$B$9,2)=0),"k = "&amp;G$28,"")</f>
        <v/>
      </c>
      <c r="H29" s="78" t="str">
        <f>IF(AND(H$28&gt;='Parameters'!$B$9,H$28&lt;='Parameters'!$B$10,MOD(H$28-'Parameters'!$B$9,2)=0),"k = "&amp;H$28,"")</f>
        <v/>
      </c>
      <c r="I29" s="78" t="str">
        <f>IF(AND(I$28&gt;='Parameters'!$B$9,I$28&lt;='Parameters'!$B$10,MOD(I$28-'Parameters'!$B$9,2)=0),"k = "&amp;I$28,"")</f>
        <v/>
      </c>
      <c r="J29" s="78" t="str">
        <f>IF(AND(J$28&gt;='Parameters'!$B$9,J$28&lt;='Parameters'!$B$10,MOD(J$28-'Parameters'!$B$9,2)=0),"k = "&amp;J$28,"")</f>
        <v/>
      </c>
    </row>
    <row r="30">
      <c r="A30" s="65" t="inlineStr">
        <is>
          <t xml:space="preserve">Neighbour</t>
        </is>
      </c>
      <c r="B30" s="64" t="str">
        <f>INDEX('Zhuravlev Distances'!$B$17:$K$17,B31)</f>
        <v>S₆</v>
      </c>
      <c r="C30" s="64" t="str">
        <f>INDEX('Zhuravlev Distances'!$B$17:$K$17,C31)</f>
        <v>S₈</v>
      </c>
      <c r="D30" s="64" t="str">
        <f>INDEX('Zhuravlev Distances'!$B$17:$K$17,D31)</f>
        <v>S₃</v>
      </c>
      <c r="E30" s="64" t="str">
        <f>INDEX('Zhuravlev Distances'!$B$17:$K$17,E31)</f>
        <v>S₅</v>
      </c>
      <c r="F30" s="64" t="str">
        <f>INDEX('Zhuravlev Distances'!$B$17:$K$17,F31)</f>
        <v>S₉</v>
      </c>
      <c r="G30" s="64" t="str">
        <f>INDEX('Zhuravlev Distances'!$B$17:$K$17,G31)</f>
        <v>S₇</v>
      </c>
      <c r="H30" s="64" t="str">
        <f>INDEX('Zhuravlev Distances'!$B$17:$K$17,H31)</f>
        <v>S₄</v>
      </c>
      <c r="I30" s="64" t="str">
        <f>INDEX('Zhuravlev Distances'!$B$17:$K$17,I31)</f>
        <v>S₁</v>
      </c>
      <c r="J30" s="64" t="str">
        <f>INDEX('Zhuravlev Distances'!$B$17:$K$17,J31)</f>
        <v>S₁₀</v>
      </c>
    </row>
    <row r="31">
      <c r="A31" s="65" t="inlineStr">
        <is>
          <t xml:space="preserve">Original index</t>
        </is>
      </c>
      <c r="B31" s="76">
        <f>MATCH(B$28,$B$6:$K$6,0)</f>
        <v>6</v>
      </c>
      <c r="C31" s="76">
        <f>MATCH(C$28,$B$6:$K$6,0)</f>
        <v>8</v>
      </c>
      <c r="D31" s="76">
        <f>MATCH(D$28,$B$6:$K$6,0)</f>
        <v>3</v>
      </c>
      <c r="E31" s="76">
        <f>MATCH(E$28,$B$6:$K$6,0)</f>
        <v>5</v>
      </c>
      <c r="F31" s="76">
        <f>MATCH(F$28,$B$6:$K$6,0)</f>
        <v>9</v>
      </c>
      <c r="G31" s="76">
        <f>MATCH(G$28,$B$6:$K$6,0)</f>
        <v>7</v>
      </c>
      <c r="H31" s="76">
        <f>MATCH(H$28,$B$6:$K$6,0)</f>
        <v>4</v>
      </c>
      <c r="I31" s="76">
        <f>MATCH(I$28,$B$6:$K$6,0)</f>
        <v>1</v>
      </c>
      <c r="J31" s="76">
        <f>MATCH(J$28,$B$6:$K$6,0)</f>
        <v>10</v>
      </c>
    </row>
    <row r="32">
      <c r="A32" s="65" t="inlineStr">
        <is>
          <t xml:space="preserve">ρ_I(S₂, neighbour)</t>
        </is>
      </c>
      <c r="B32" s="72">
        <f>INDEX('Zhuravlev Distances'!$B$19:$K$19,B31)</f>
        <v>1.8595928925</v>
      </c>
      <c r="C32" s="72">
        <f>INDEX('Zhuravlev Distances'!$B$19:$K$19,C31)</f>
        <v>2.1247572942</v>
      </c>
      <c r="D32" s="72">
        <f>INDEX('Zhuravlev Distances'!$B$19:$K$19,D31)</f>
        <v>2.1979142475</v>
      </c>
      <c r="E32" s="72">
        <f>INDEX('Zhuravlev Distances'!$B$19:$K$19,E31)</f>
        <v>2.5779171767</v>
      </c>
      <c r="F32" s="72">
        <f>INDEX('Zhuravlev Distances'!$B$19:$K$19,F31)</f>
        <v>2.6399232652</v>
      </c>
      <c r="G32" s="72">
        <f>INDEX('Zhuravlev Distances'!$B$19:$K$19,G31)</f>
        <v>2.6553910492</v>
      </c>
      <c r="H32" s="72">
        <f>INDEX('Zhuravlev Distances'!$B$19:$K$19,H31)</f>
        <v>2.8173526766</v>
      </c>
      <c r="I32" s="72">
        <f>INDEX('Zhuravlev Distances'!$B$19:$K$19,I31)</f>
        <v>3.1621313645</v>
      </c>
      <c r="J32" s="72">
        <f>INDEX('Zhuravlev Distances'!$B$19:$K$19,J31)</f>
        <v>3.2267936164</v>
      </c>
    </row>
    <row r="33">
      <c r="A33" s="65" t="inlineStr">
        <is>
          <t xml:space="preserve">Class</t>
        </is>
      </c>
      <c r="B33" s="68">
        <f>INDEX(Dataset!$O$3:$O$12,B31)</f>
        <v>1</v>
      </c>
      <c r="C33" s="68">
        <f>INDEX(Dataset!$O$3:$O$12,C31)</f>
        <v>2</v>
      </c>
      <c r="D33" s="68">
        <f>INDEX(Dataset!$O$3:$O$12,D31)</f>
        <v>2</v>
      </c>
      <c r="E33" s="68">
        <f>INDEX(Dataset!$O$3:$O$12,E31)</f>
        <v>1</v>
      </c>
      <c r="F33" s="68">
        <f>INDEX(Dataset!$O$3:$O$12,F31)</f>
        <v>2</v>
      </c>
      <c r="G33" s="68">
        <f>INDEX(Dataset!$O$3:$O$12,G31)</f>
        <v>2</v>
      </c>
      <c r="H33" s="68">
        <f>INDEX(Dataset!$O$3:$O$12,H31)</f>
        <v>1</v>
      </c>
      <c r="I33" s="68">
        <f>INDEX(Dataset!$O$3:$O$12,I31)</f>
        <v>2</v>
      </c>
      <c r="J33" s="68">
        <f>INDEX(Dataset!$O$3:$O$12,J31)</f>
        <v>2</v>
      </c>
    </row>
    <row r="34">
      <c r="A34" s="65" t="inlineStr">
        <is>
          <t xml:space="preserve">Same class as S₂</t>
        </is>
      </c>
      <c r="B34" s="74">
        <f>IF(B33=Dataset!$O$4,1,0)</f>
        <v>1</v>
      </c>
      <c r="C34" s="74">
        <f>IF(C33=Dataset!$O$4,1,0)</f>
        <v>0</v>
      </c>
      <c r="D34" s="74">
        <f>IF(D33=Dataset!$O$4,1,0)</f>
        <v>0</v>
      </c>
      <c r="E34" s="74">
        <f>IF(E33=Dataset!$O$4,1,0)</f>
        <v>1</v>
      </c>
      <c r="F34" s="74">
        <f>IF(F33=Dataset!$O$4,1,0)</f>
        <v>0</v>
      </c>
      <c r="G34" s="74">
        <f>IF(G33=Dataset!$O$4,1,0)</f>
        <v>0</v>
      </c>
      <c r="H34" s="74">
        <f>IF(H33=Dataset!$O$4,1,0)</f>
        <v>1</v>
      </c>
      <c r="I34" s="74">
        <f>IF(I33=Dataset!$O$4,1,0)</f>
        <v>0</v>
      </c>
      <c r="J34" s="74">
        <f>IF(J33=Dataset!$O$4,1,0)</f>
        <v>0</v>
      </c>
    </row>
    <row r="35">
      <c r="A35" s="65" t="inlineStr">
        <is>
          <t xml:space="preserve">Same-class count μ (1 … rank)</t>
        </is>
      </c>
      <c r="B35" s="74">
        <f>SUM($B34:B34)</f>
        <v>1</v>
      </c>
      <c r="C35" s="74">
        <f>SUM($B34:C34)</f>
        <v>1</v>
      </c>
      <c r="D35" s="74">
        <f>SUM($B34:D34)</f>
        <v>1</v>
      </c>
      <c r="E35" s="74">
        <f>SUM($B34:E34)</f>
        <v>2</v>
      </c>
      <c r="F35" s="74">
        <f>SUM($B34:F34)</f>
        <v>2</v>
      </c>
      <c r="G35" s="74">
        <f>SUM($B34:G34)</f>
        <v>2</v>
      </c>
      <c r="H35" s="74">
        <f>SUM($B34:H34)</f>
        <v>3</v>
      </c>
      <c r="I35" s="74">
        <f>SUM($B34:I34)</f>
        <v>3</v>
      </c>
      <c r="J35" s="74">
        <f>SUM($B34:J34)</f>
        <v>3</v>
      </c>
    </row>
    <row r="36">
      <c r="A36" s="65" t="inlineStr">
        <is>
          <t xml:space="preserve">K1 count χ₁ (1 … rank)</t>
        </is>
      </c>
      <c r="B36" s="74">
        <f>COUNTIF($B33:B33,1)</f>
        <v>1</v>
      </c>
      <c r="C36" s="74">
        <f>COUNTIF($B33:C33,1)</f>
        <v>1</v>
      </c>
      <c r="D36" s="74">
        <f>COUNTIF($B33:D33,1)</f>
        <v>1</v>
      </c>
      <c r="E36" s="74">
        <f>COUNTIF($B33:E33,1)</f>
        <v>2</v>
      </c>
      <c r="F36" s="74">
        <f>COUNTIF($B33:F33,1)</f>
        <v>2</v>
      </c>
      <c r="G36" s="74">
        <f>COUNTIF($B33:G33,1)</f>
        <v>2</v>
      </c>
      <c r="H36" s="74">
        <f>COUNTIF($B33:H33,1)</f>
        <v>3</v>
      </c>
      <c r="I36" s="74">
        <f>COUNTIF($B33:I33,1)</f>
        <v>3</v>
      </c>
      <c r="J36" s="74">
        <f>COUNTIF($B33:J33,1)</f>
        <v>3</v>
      </c>
    </row>
    <row r="37"/>
    <row r="38">
      <c r="A38" s="59" t="str">
        <f>"S₃  ·  class "&amp;Dataset!$O$5&amp;"  —  neighbours in ascending ρ_I  (target row 7 of the rank matrix)"</f>
        <v>S₃  ·  class 2  —  neighbours in ascending ρ_I  (target row 7 of the rank matrix)</v>
      </c>
      <c r="B38" s="59"/>
      <c r="C38" s="59"/>
      <c r="D38" s="59"/>
      <c r="E38" s="59"/>
      <c r="F38" s="59"/>
      <c r="G38" s="59"/>
      <c r="H38" s="59"/>
      <c r="I38" s="59"/>
      <c r="J38" s="59"/>
    </row>
    <row r="39">
      <c r="A39" s="60" t="inlineStr">
        <is>
          <t xml:space="preserve">Rank</t>
        </is>
      </c>
      <c r="B39" s="60">
        <v>1</v>
      </c>
      <c r="C39" s="60">
        <v>2</v>
      </c>
      <c r="D39" s="60">
        <v>3</v>
      </c>
      <c r="E39" s="60">
        <v>4</v>
      </c>
      <c r="F39" s="60">
        <v>5</v>
      </c>
      <c r="G39" s="60">
        <v>6</v>
      </c>
      <c r="H39" s="60">
        <v>7</v>
      </c>
      <c r="I39" s="60">
        <v>8</v>
      </c>
      <c r="J39" s="60">
        <v>9</v>
      </c>
    </row>
    <row r="40">
      <c r="A40" s="65" t="inlineStr">
        <is>
          <t xml:space="preserve">k-neighbourhood</t>
        </is>
      </c>
      <c r="B40" s="78" t="str">
        <f>IF(AND(B$39&gt;='Parameters'!$B$9,B$39&lt;='Parameters'!$B$10,MOD(B$39-'Parameters'!$B$9,2)=0),"k = "&amp;B$39,"")</f>
        <v/>
      </c>
      <c r="C40" s="78" t="str">
        <f>IF(AND(C$39&gt;='Parameters'!$B$9,C$39&lt;='Parameters'!$B$10,MOD(C$39-'Parameters'!$B$9,2)=0),"k = "&amp;C$39,"")</f>
        <v/>
      </c>
      <c r="D40" s="78" t="str">
        <f>IF(AND(D$39&gt;='Parameters'!$B$9,D$39&lt;='Parameters'!$B$10,MOD(D$39-'Parameters'!$B$9,2)=0),"k = "&amp;D$39,"")</f>
        <v>k = 3</v>
      </c>
      <c r="E40" s="78" t="str">
        <f>IF(AND(E$39&gt;='Parameters'!$B$9,E$39&lt;='Parameters'!$B$10,MOD(E$39-'Parameters'!$B$9,2)=0),"k = "&amp;E$39,"")</f>
        <v/>
      </c>
      <c r="F40" s="78" t="str">
        <f>IF(AND(F$39&gt;='Parameters'!$B$9,F$39&lt;='Parameters'!$B$10,MOD(F$39-'Parameters'!$B$9,2)=0),"k = "&amp;F$39,"")</f>
        <v>k = 5</v>
      </c>
      <c r="G40" s="78" t="str">
        <f>IF(AND(G$39&gt;='Parameters'!$B$9,G$39&lt;='Parameters'!$B$10,MOD(G$39-'Parameters'!$B$9,2)=0),"k = "&amp;G$39,"")</f>
        <v/>
      </c>
      <c r="H40" s="78" t="str">
        <f>IF(AND(H$39&gt;='Parameters'!$B$9,H$39&lt;='Parameters'!$B$10,MOD(H$39-'Parameters'!$B$9,2)=0),"k = "&amp;H$39,"")</f>
        <v/>
      </c>
      <c r="I40" s="78" t="str">
        <f>IF(AND(I$39&gt;='Parameters'!$B$9,I$39&lt;='Parameters'!$B$10,MOD(I$39-'Parameters'!$B$9,2)=0),"k = "&amp;I$39,"")</f>
        <v/>
      </c>
      <c r="J40" s="78" t="str">
        <f>IF(AND(J$39&gt;='Parameters'!$B$9,J$39&lt;='Parameters'!$B$10,MOD(J$39-'Parameters'!$B$9,2)=0),"k = "&amp;J$39,"")</f>
        <v/>
      </c>
    </row>
    <row r="41">
      <c r="A41" s="65" t="inlineStr">
        <is>
          <t xml:space="preserve">Neighbour</t>
        </is>
      </c>
      <c r="B41" s="64" t="str">
        <f>INDEX('Zhuravlev Distances'!$B$17:$K$17,B42)</f>
        <v>S₇</v>
      </c>
      <c r="C41" s="64" t="str">
        <f>INDEX('Zhuravlev Distances'!$B$17:$K$17,C42)</f>
        <v>S₆</v>
      </c>
      <c r="D41" s="64" t="str">
        <f>INDEX('Zhuravlev Distances'!$B$17:$K$17,D42)</f>
        <v>S₈</v>
      </c>
      <c r="E41" s="64" t="str">
        <f>INDEX('Zhuravlev Distances'!$B$17:$K$17,E42)</f>
        <v>S₄</v>
      </c>
      <c r="F41" s="64" t="str">
        <f>INDEX('Zhuravlev Distances'!$B$17:$K$17,F42)</f>
        <v>S₅</v>
      </c>
      <c r="G41" s="64" t="str">
        <f>INDEX('Zhuravlev Distances'!$B$17:$K$17,G42)</f>
        <v>S₉</v>
      </c>
      <c r="H41" s="64" t="str">
        <f>INDEX('Zhuravlev Distances'!$B$17:$K$17,H42)</f>
        <v>S₂</v>
      </c>
      <c r="I41" s="64" t="str">
        <f>INDEX('Zhuravlev Distances'!$B$17:$K$17,I42)</f>
        <v>S₁</v>
      </c>
      <c r="J41" s="64" t="str">
        <f>INDEX('Zhuravlev Distances'!$B$17:$K$17,J42)</f>
        <v>S₁₀</v>
      </c>
    </row>
    <row r="42">
      <c r="A42" s="65" t="inlineStr">
        <is>
          <t xml:space="preserve">Original index</t>
        </is>
      </c>
      <c r="B42" s="76">
        <f>MATCH(B$39,$B$7:$K$7,0)</f>
        <v>7</v>
      </c>
      <c r="C42" s="76">
        <f>MATCH(C$39,$B$7:$K$7,0)</f>
        <v>6</v>
      </c>
      <c r="D42" s="76">
        <f>MATCH(D$39,$B$7:$K$7,0)</f>
        <v>8</v>
      </c>
      <c r="E42" s="76">
        <f>MATCH(E$39,$B$7:$K$7,0)</f>
        <v>4</v>
      </c>
      <c r="F42" s="76">
        <f>MATCH(F$39,$B$7:$K$7,0)</f>
        <v>5</v>
      </c>
      <c r="G42" s="76">
        <f>MATCH(G$39,$B$7:$K$7,0)</f>
        <v>9</v>
      </c>
      <c r="H42" s="76">
        <f>MATCH(H$39,$B$7:$K$7,0)</f>
        <v>2</v>
      </c>
      <c r="I42" s="76">
        <f>MATCH(I$39,$B$7:$K$7,0)</f>
        <v>1</v>
      </c>
      <c r="J42" s="76">
        <f>MATCH(J$39,$B$7:$K$7,0)</f>
        <v>10</v>
      </c>
    </row>
    <row r="43">
      <c r="A43" s="65" t="inlineStr">
        <is>
          <t xml:space="preserve">ρ_I(S₃, neighbour)</t>
        </is>
      </c>
      <c r="B43" s="72">
        <f>INDEX('Zhuravlev Distances'!$B$20:$K$20,B42)</f>
        <v>0.6461407693</v>
      </c>
      <c r="C43" s="72">
        <f>INDEX('Zhuravlev Distances'!$B$20:$K$20,C42)</f>
        <v>0.8031991129</v>
      </c>
      <c r="D43" s="72">
        <f>INDEX('Zhuravlev Distances'!$B$20:$K$20,D42)</f>
        <v>1.1035187103</v>
      </c>
      <c r="E43" s="72">
        <f>INDEX('Zhuravlev Distances'!$B$20:$K$20,E42)</f>
        <v>1.4075521242</v>
      </c>
      <c r="F43" s="72">
        <f>INDEX('Zhuravlev Distances'!$B$20:$K$20,F42)</f>
        <v>1.7324577096</v>
      </c>
      <c r="G43" s="72">
        <f>INDEX('Zhuravlev Distances'!$B$20:$K$20,G42)</f>
        <v>1.9990166233</v>
      </c>
      <c r="H43" s="72">
        <f>INDEX('Zhuravlev Distances'!$B$20:$K$20,H42)</f>
        <v>2.1979142475</v>
      </c>
      <c r="I43" s="72">
        <f>INDEX('Zhuravlev Distances'!$B$20:$K$20,I42)</f>
        <v>3.0747842325</v>
      </c>
      <c r="J43" s="72">
        <f>INDEX('Zhuravlev Distances'!$B$20:$K$20,J42)</f>
        <v>3.5342785258</v>
      </c>
    </row>
    <row r="44">
      <c r="A44" s="65" t="inlineStr">
        <is>
          <t xml:space="preserve">Class</t>
        </is>
      </c>
      <c r="B44" s="68">
        <f>INDEX(Dataset!$O$3:$O$12,B42)</f>
        <v>2</v>
      </c>
      <c r="C44" s="68">
        <f>INDEX(Dataset!$O$3:$O$12,C42)</f>
        <v>1</v>
      </c>
      <c r="D44" s="68">
        <f>INDEX(Dataset!$O$3:$O$12,D42)</f>
        <v>2</v>
      </c>
      <c r="E44" s="68">
        <f>INDEX(Dataset!$O$3:$O$12,E42)</f>
        <v>1</v>
      </c>
      <c r="F44" s="68">
        <f>INDEX(Dataset!$O$3:$O$12,F42)</f>
        <v>1</v>
      </c>
      <c r="G44" s="68">
        <f>INDEX(Dataset!$O$3:$O$12,G42)</f>
        <v>2</v>
      </c>
      <c r="H44" s="68">
        <f>INDEX(Dataset!$O$3:$O$12,H42)</f>
        <v>1</v>
      </c>
      <c r="I44" s="68">
        <f>INDEX(Dataset!$O$3:$O$12,I42)</f>
        <v>2</v>
      </c>
      <c r="J44" s="68">
        <f>INDEX(Dataset!$O$3:$O$12,J42)</f>
        <v>2</v>
      </c>
    </row>
    <row r="45">
      <c r="A45" s="65" t="inlineStr">
        <is>
          <t xml:space="preserve">Same class as S₃</t>
        </is>
      </c>
      <c r="B45" s="74">
        <f>IF(B44=Dataset!$O$5,1,0)</f>
        <v>1</v>
      </c>
      <c r="C45" s="74">
        <f>IF(C44=Dataset!$O$5,1,0)</f>
        <v>0</v>
      </c>
      <c r="D45" s="74">
        <f>IF(D44=Dataset!$O$5,1,0)</f>
        <v>1</v>
      </c>
      <c r="E45" s="74">
        <f>IF(E44=Dataset!$O$5,1,0)</f>
        <v>0</v>
      </c>
      <c r="F45" s="74">
        <f>IF(F44=Dataset!$O$5,1,0)</f>
        <v>0</v>
      </c>
      <c r="G45" s="74">
        <f>IF(G44=Dataset!$O$5,1,0)</f>
        <v>1</v>
      </c>
      <c r="H45" s="74">
        <f>IF(H44=Dataset!$O$5,1,0)</f>
        <v>0</v>
      </c>
      <c r="I45" s="74">
        <f>IF(I44=Dataset!$O$5,1,0)</f>
        <v>1</v>
      </c>
      <c r="J45" s="74">
        <f>IF(J44=Dataset!$O$5,1,0)</f>
        <v>1</v>
      </c>
    </row>
    <row r="46">
      <c r="A46" s="65" t="inlineStr">
        <is>
          <t xml:space="preserve">Same-class count μ (1 … rank)</t>
        </is>
      </c>
      <c r="B46" s="74">
        <f>SUM($B45:B45)</f>
        <v>1</v>
      </c>
      <c r="C46" s="74">
        <f>SUM($B45:C45)</f>
        <v>1</v>
      </c>
      <c r="D46" s="74">
        <f>SUM($B45:D45)</f>
        <v>2</v>
      </c>
      <c r="E46" s="74">
        <f>SUM($B45:E45)</f>
        <v>2</v>
      </c>
      <c r="F46" s="74">
        <f>SUM($B45:F45)</f>
        <v>2</v>
      </c>
      <c r="G46" s="74">
        <f>SUM($B45:G45)</f>
        <v>3</v>
      </c>
      <c r="H46" s="74">
        <f>SUM($B45:H45)</f>
        <v>3</v>
      </c>
      <c r="I46" s="74">
        <f>SUM($B45:I45)</f>
        <v>4</v>
      </c>
      <c r="J46" s="74">
        <f>SUM($B45:J45)</f>
        <v>5</v>
      </c>
    </row>
    <row r="47">
      <c r="A47" s="65" t="inlineStr">
        <is>
          <t xml:space="preserve">K1 count χ₁ (1 … rank)</t>
        </is>
      </c>
      <c r="B47" s="74">
        <f>COUNTIF($B44:B44,1)</f>
        <v>0</v>
      </c>
      <c r="C47" s="74">
        <f>COUNTIF($B44:C44,1)</f>
        <v>1</v>
      </c>
      <c r="D47" s="74">
        <f>COUNTIF($B44:D44,1)</f>
        <v>1</v>
      </c>
      <c r="E47" s="74">
        <f>COUNTIF($B44:E44,1)</f>
        <v>2</v>
      </c>
      <c r="F47" s="74">
        <f>COUNTIF($B44:F44,1)</f>
        <v>3</v>
      </c>
      <c r="G47" s="74">
        <f>COUNTIF($B44:G44,1)</f>
        <v>3</v>
      </c>
      <c r="H47" s="74">
        <f>COUNTIF($B44:H44,1)</f>
        <v>4</v>
      </c>
      <c r="I47" s="74">
        <f>COUNTIF($B44:I44,1)</f>
        <v>4</v>
      </c>
      <c r="J47" s="74">
        <f>COUNTIF($B44:J44,1)</f>
        <v>4</v>
      </c>
    </row>
    <row r="48"/>
    <row r="49">
      <c r="A49" s="59" t="str">
        <f>"S₄  ·  class "&amp;Dataset!$O$6&amp;"  —  neighbours in ascending ρ_I  (target row 8 of the rank matrix)"</f>
        <v>S₄  ·  class 1  —  neighbours in ascending ρ_I  (target row 8 of the rank matrix)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0" t="inlineStr">
        <is>
          <t xml:space="preserve">Rank</t>
        </is>
      </c>
      <c r="B50" s="60">
        <v>1</v>
      </c>
      <c r="C50" s="60">
        <v>2</v>
      </c>
      <c r="D50" s="60">
        <v>3</v>
      </c>
      <c r="E50" s="60">
        <v>4</v>
      </c>
      <c r="F50" s="60">
        <v>5</v>
      </c>
      <c r="G50" s="60">
        <v>6</v>
      </c>
      <c r="H50" s="60">
        <v>7</v>
      </c>
      <c r="I50" s="60">
        <v>8</v>
      </c>
      <c r="J50" s="60">
        <v>9</v>
      </c>
    </row>
    <row r="51">
      <c r="A51" s="65" t="inlineStr">
        <is>
          <t xml:space="preserve">k-neighbourhood</t>
        </is>
      </c>
      <c r="B51" s="78" t="str">
        <f>IF(AND(B$50&gt;='Parameters'!$B$9,B$50&lt;='Parameters'!$B$10,MOD(B$50-'Parameters'!$B$9,2)=0),"k = "&amp;B$50,"")</f>
        <v/>
      </c>
      <c r="C51" s="78" t="str">
        <f>IF(AND(C$50&gt;='Parameters'!$B$9,C$50&lt;='Parameters'!$B$10,MOD(C$50-'Parameters'!$B$9,2)=0),"k = "&amp;C$50,"")</f>
        <v/>
      </c>
      <c r="D51" s="78" t="str">
        <f>IF(AND(D$50&gt;='Parameters'!$B$9,D$50&lt;='Parameters'!$B$10,MOD(D$50-'Parameters'!$B$9,2)=0),"k = "&amp;D$50,"")</f>
        <v>k = 3</v>
      </c>
      <c r="E51" s="78" t="str">
        <f>IF(AND(E$50&gt;='Parameters'!$B$9,E$50&lt;='Parameters'!$B$10,MOD(E$50-'Parameters'!$B$9,2)=0),"k = "&amp;E$50,"")</f>
        <v/>
      </c>
      <c r="F51" s="78" t="str">
        <f>IF(AND(F$50&gt;='Parameters'!$B$9,F$50&lt;='Parameters'!$B$10,MOD(F$50-'Parameters'!$B$9,2)=0),"k = "&amp;F$50,"")</f>
        <v>k = 5</v>
      </c>
      <c r="G51" s="78" t="str">
        <f>IF(AND(G$50&gt;='Parameters'!$B$9,G$50&lt;='Parameters'!$B$10,MOD(G$50-'Parameters'!$B$9,2)=0),"k = "&amp;G$50,"")</f>
        <v/>
      </c>
      <c r="H51" s="78" t="str">
        <f>IF(AND(H$50&gt;='Parameters'!$B$9,H$50&lt;='Parameters'!$B$10,MOD(H$50-'Parameters'!$B$9,2)=0),"k = "&amp;H$50,"")</f>
        <v/>
      </c>
      <c r="I51" s="78" t="str">
        <f>IF(AND(I$50&gt;='Parameters'!$B$9,I$50&lt;='Parameters'!$B$10,MOD(I$50-'Parameters'!$B$9,2)=0),"k = "&amp;I$50,"")</f>
        <v/>
      </c>
      <c r="J51" s="78" t="str">
        <f>IF(AND(J$50&gt;='Parameters'!$B$9,J$50&lt;='Parameters'!$B$10,MOD(J$50-'Parameters'!$B$9,2)=0),"k = "&amp;J$50,"")</f>
        <v/>
      </c>
    </row>
    <row r="52">
      <c r="A52" s="65" t="inlineStr">
        <is>
          <t xml:space="preserve">Neighbour</t>
        </is>
      </c>
      <c r="B52" s="64" t="str">
        <f>INDEX('Zhuravlev Distances'!$B$17:$K$17,B53)</f>
        <v>S₅</v>
      </c>
      <c r="C52" s="64" t="str">
        <f>INDEX('Zhuravlev Distances'!$B$17:$K$17,C53)</f>
        <v>S₇</v>
      </c>
      <c r="D52" s="64" t="str">
        <f>INDEX('Zhuravlev Distances'!$B$17:$K$17,D53)</f>
        <v>S₆</v>
      </c>
      <c r="E52" s="64" t="str">
        <f>INDEX('Zhuravlev Distances'!$B$17:$K$17,E53)</f>
        <v>S₃</v>
      </c>
      <c r="F52" s="64" t="str">
        <f>INDEX('Zhuravlev Distances'!$B$17:$K$17,F53)</f>
        <v>S₈</v>
      </c>
      <c r="G52" s="64" t="str">
        <f>INDEX('Zhuravlev Distances'!$B$17:$K$17,G53)</f>
        <v>S₁</v>
      </c>
      <c r="H52" s="64" t="str">
        <f>INDEX('Zhuravlev Distances'!$B$17:$K$17,H53)</f>
        <v>S₉</v>
      </c>
      <c r="I52" s="64" t="str">
        <f>INDEX('Zhuravlev Distances'!$B$17:$K$17,I53)</f>
        <v>S₂</v>
      </c>
      <c r="J52" s="64" t="str">
        <f>INDEX('Zhuravlev Distances'!$B$17:$K$17,J53)</f>
        <v>S₁₀</v>
      </c>
    </row>
    <row r="53">
      <c r="A53" s="65" t="inlineStr">
        <is>
          <t xml:space="preserve">Original index</t>
        </is>
      </c>
      <c r="B53" s="76">
        <f>MATCH(B$50,$B$8:$K$8,0)</f>
        <v>5</v>
      </c>
      <c r="C53" s="76">
        <f>MATCH(C$50,$B$8:$K$8,0)</f>
        <v>7</v>
      </c>
      <c r="D53" s="76">
        <f>MATCH(D$50,$B$8:$K$8,0)</f>
        <v>6</v>
      </c>
      <c r="E53" s="76">
        <f>MATCH(E$50,$B$8:$K$8,0)</f>
        <v>3</v>
      </c>
      <c r="F53" s="76">
        <f>MATCH(F$50,$B$8:$K$8,0)</f>
        <v>8</v>
      </c>
      <c r="G53" s="76">
        <f>MATCH(G$50,$B$8:$K$8,0)</f>
        <v>1</v>
      </c>
      <c r="H53" s="76">
        <f>MATCH(H$50,$B$8:$K$8,0)</f>
        <v>9</v>
      </c>
      <c r="I53" s="76">
        <f>MATCH(I$50,$B$8:$K$8,0)</f>
        <v>2</v>
      </c>
      <c r="J53" s="76">
        <f>MATCH(J$50,$B$8:$K$8,0)</f>
        <v>10</v>
      </c>
    </row>
    <row r="54">
      <c r="A54" s="65" t="inlineStr">
        <is>
          <t xml:space="preserve">ρ_I(S₄, neighbour)</t>
        </is>
      </c>
      <c r="B54" s="72">
        <f>INDEX('Zhuravlev Distances'!$B$21:$K$21,B53)</f>
        <v>1.0172132777</v>
      </c>
      <c r="C54" s="72">
        <f>INDEX('Zhuravlev Distances'!$B$21:$K$21,C53)</f>
        <v>1.1870262269</v>
      </c>
      <c r="D54" s="72">
        <f>INDEX('Zhuravlev Distances'!$B$21:$K$21,D53)</f>
        <v>1.4022042285</v>
      </c>
      <c r="E54" s="72">
        <f>INDEX('Zhuravlev Distances'!$B$21:$K$21,E53)</f>
        <v>1.4075521242</v>
      </c>
      <c r="F54" s="72">
        <f>INDEX('Zhuravlev Distances'!$B$21:$K$21,F53)</f>
        <v>1.6221819456</v>
      </c>
      <c r="G54" s="72">
        <f>INDEX('Zhuravlev Distances'!$B$21:$K$21,G53)</f>
        <v>1.8429406103</v>
      </c>
      <c r="H54" s="72">
        <f>INDEX('Zhuravlev Distances'!$B$21:$K$21,H53)</f>
        <v>2.1962328301</v>
      </c>
      <c r="I54" s="72">
        <f>INDEX('Zhuravlev Distances'!$B$21:$K$21,I53)</f>
        <v>2.8173526766</v>
      </c>
      <c r="J54" s="72">
        <f>INDEX('Zhuravlev Distances'!$B$21:$K$21,J53)</f>
        <v>3.3981613993</v>
      </c>
    </row>
    <row r="55">
      <c r="A55" s="65" t="inlineStr">
        <is>
          <t xml:space="preserve">Class</t>
        </is>
      </c>
      <c r="B55" s="68">
        <f>INDEX(Dataset!$O$3:$O$12,B53)</f>
        <v>1</v>
      </c>
      <c r="C55" s="68">
        <f>INDEX(Dataset!$O$3:$O$12,C53)</f>
        <v>2</v>
      </c>
      <c r="D55" s="68">
        <f>INDEX(Dataset!$O$3:$O$12,D53)</f>
        <v>1</v>
      </c>
      <c r="E55" s="68">
        <f>INDEX(Dataset!$O$3:$O$12,E53)</f>
        <v>2</v>
      </c>
      <c r="F55" s="68">
        <f>INDEX(Dataset!$O$3:$O$12,F53)</f>
        <v>2</v>
      </c>
      <c r="G55" s="68">
        <f>INDEX(Dataset!$O$3:$O$12,G53)</f>
        <v>2</v>
      </c>
      <c r="H55" s="68">
        <f>INDEX(Dataset!$O$3:$O$12,H53)</f>
        <v>2</v>
      </c>
      <c r="I55" s="68">
        <f>INDEX(Dataset!$O$3:$O$12,I53)</f>
        <v>1</v>
      </c>
      <c r="J55" s="68">
        <f>INDEX(Dataset!$O$3:$O$12,J53)</f>
        <v>2</v>
      </c>
    </row>
    <row r="56">
      <c r="A56" s="65" t="inlineStr">
        <is>
          <t xml:space="preserve">Same class as S₄</t>
        </is>
      </c>
      <c r="B56" s="74">
        <f>IF(B55=Dataset!$O$6,1,0)</f>
        <v>1</v>
      </c>
      <c r="C56" s="74">
        <f>IF(C55=Dataset!$O$6,1,0)</f>
        <v>0</v>
      </c>
      <c r="D56" s="74">
        <f>IF(D55=Dataset!$O$6,1,0)</f>
        <v>1</v>
      </c>
      <c r="E56" s="74">
        <f>IF(E55=Dataset!$O$6,1,0)</f>
        <v>0</v>
      </c>
      <c r="F56" s="74">
        <f>IF(F55=Dataset!$O$6,1,0)</f>
        <v>0</v>
      </c>
      <c r="G56" s="74">
        <f>IF(G55=Dataset!$O$6,1,0)</f>
        <v>0</v>
      </c>
      <c r="H56" s="74">
        <f>IF(H55=Dataset!$O$6,1,0)</f>
        <v>0</v>
      </c>
      <c r="I56" s="74">
        <f>IF(I55=Dataset!$O$6,1,0)</f>
        <v>1</v>
      </c>
      <c r="J56" s="74">
        <f>IF(J55=Dataset!$O$6,1,0)</f>
        <v>0</v>
      </c>
    </row>
    <row r="57">
      <c r="A57" s="65" t="inlineStr">
        <is>
          <t xml:space="preserve">Same-class count μ (1 … rank)</t>
        </is>
      </c>
      <c r="B57" s="74">
        <f>SUM($B56:B56)</f>
        <v>1</v>
      </c>
      <c r="C57" s="74">
        <f>SUM($B56:C56)</f>
        <v>1</v>
      </c>
      <c r="D57" s="74">
        <f>SUM($B56:D56)</f>
        <v>2</v>
      </c>
      <c r="E57" s="74">
        <f>SUM($B56:E56)</f>
        <v>2</v>
      </c>
      <c r="F57" s="74">
        <f>SUM($B56:F56)</f>
        <v>2</v>
      </c>
      <c r="G57" s="74">
        <f>SUM($B56:G56)</f>
        <v>2</v>
      </c>
      <c r="H57" s="74">
        <f>SUM($B56:H56)</f>
        <v>2</v>
      </c>
      <c r="I57" s="74">
        <f>SUM($B56:I56)</f>
        <v>3</v>
      </c>
      <c r="J57" s="74">
        <f>SUM($B56:J56)</f>
        <v>3</v>
      </c>
    </row>
    <row r="58">
      <c r="A58" s="65" t="inlineStr">
        <is>
          <t xml:space="preserve">K1 count χ₁ (1 … rank)</t>
        </is>
      </c>
      <c r="B58" s="74">
        <f>COUNTIF($B55:B55,1)</f>
        <v>1</v>
      </c>
      <c r="C58" s="74">
        <f>COUNTIF($B55:C55,1)</f>
        <v>1</v>
      </c>
      <c r="D58" s="74">
        <f>COUNTIF($B55:D55,1)</f>
        <v>2</v>
      </c>
      <c r="E58" s="74">
        <f>COUNTIF($B55:E55,1)</f>
        <v>2</v>
      </c>
      <c r="F58" s="74">
        <f>COUNTIF($B55:F55,1)</f>
        <v>2</v>
      </c>
      <c r="G58" s="74">
        <f>COUNTIF($B55:G55,1)</f>
        <v>2</v>
      </c>
      <c r="H58" s="74">
        <f>COUNTIF($B55:H55,1)</f>
        <v>2</v>
      </c>
      <c r="I58" s="74">
        <f>COUNTIF($B55:I55,1)</f>
        <v>3</v>
      </c>
      <c r="J58" s="74">
        <f>COUNTIF($B55:J55,1)</f>
        <v>3</v>
      </c>
    </row>
    <row r="59"/>
    <row r="60">
      <c r="A60" s="59" t="str">
        <f>"S₅  ·  class "&amp;Dataset!$O$7&amp;"  —  neighbours in ascending ρ_I  (target row 9 of the rank matrix)"</f>
        <v>S₅  ·  class 1  —  neighbours in ascending ρ_I  (target row 9 of the rank matrix)</v>
      </c>
      <c r="B60" s="59"/>
      <c r="C60" s="59"/>
      <c r="D60" s="59"/>
      <c r="E60" s="59"/>
      <c r="F60" s="59"/>
      <c r="G60" s="59"/>
      <c r="H60" s="59"/>
      <c r="I60" s="59"/>
      <c r="J60" s="59"/>
    </row>
    <row r="61">
      <c r="A61" s="60" t="inlineStr">
        <is>
          <t xml:space="preserve">Rank</t>
        </is>
      </c>
      <c r="B61" s="60">
        <v>1</v>
      </c>
      <c r="C61" s="60">
        <v>2</v>
      </c>
      <c r="D61" s="60">
        <v>3</v>
      </c>
      <c r="E61" s="60">
        <v>4</v>
      </c>
      <c r="F61" s="60">
        <v>5</v>
      </c>
      <c r="G61" s="60">
        <v>6</v>
      </c>
      <c r="H61" s="60">
        <v>7</v>
      </c>
      <c r="I61" s="60">
        <v>8</v>
      </c>
      <c r="J61" s="60">
        <v>9</v>
      </c>
    </row>
    <row r="62">
      <c r="A62" s="65" t="inlineStr">
        <is>
          <t xml:space="preserve">k-neighbourhood</t>
        </is>
      </c>
      <c r="B62" s="78" t="str">
        <f>IF(AND(B$61&gt;='Parameters'!$B$9,B$61&lt;='Parameters'!$B$10,MOD(B$61-'Parameters'!$B$9,2)=0),"k = "&amp;B$61,"")</f>
        <v/>
      </c>
      <c r="C62" s="78" t="str">
        <f>IF(AND(C$61&gt;='Parameters'!$B$9,C$61&lt;='Parameters'!$B$10,MOD(C$61-'Parameters'!$B$9,2)=0),"k = "&amp;C$61,"")</f>
        <v/>
      </c>
      <c r="D62" s="78" t="str">
        <f>IF(AND(D$61&gt;='Parameters'!$B$9,D$61&lt;='Parameters'!$B$10,MOD(D$61-'Parameters'!$B$9,2)=0),"k = "&amp;D$61,"")</f>
        <v>k = 3</v>
      </c>
      <c r="E62" s="78" t="str">
        <f>IF(AND(E$61&gt;='Parameters'!$B$9,E$61&lt;='Parameters'!$B$10,MOD(E$61-'Parameters'!$B$9,2)=0),"k = "&amp;E$61,"")</f>
        <v/>
      </c>
      <c r="F62" s="78" t="str">
        <f>IF(AND(F$61&gt;='Parameters'!$B$9,F$61&lt;='Parameters'!$B$10,MOD(F$61-'Parameters'!$B$9,2)=0),"k = "&amp;F$61,"")</f>
        <v>k = 5</v>
      </c>
      <c r="G62" s="78" t="str">
        <f>IF(AND(G$61&gt;='Parameters'!$B$9,G$61&lt;='Parameters'!$B$10,MOD(G$61-'Parameters'!$B$9,2)=0),"k = "&amp;G$61,"")</f>
        <v/>
      </c>
      <c r="H62" s="78" t="str">
        <f>IF(AND(H$61&gt;='Parameters'!$B$9,H$61&lt;='Parameters'!$B$10,MOD(H$61-'Parameters'!$B$9,2)=0),"k = "&amp;H$61,"")</f>
        <v/>
      </c>
      <c r="I62" s="78" t="str">
        <f>IF(AND(I$61&gt;='Parameters'!$B$9,I$61&lt;='Parameters'!$B$10,MOD(I$61-'Parameters'!$B$9,2)=0),"k = "&amp;I$61,"")</f>
        <v/>
      </c>
      <c r="J62" s="78" t="str">
        <f>IF(AND(J$61&gt;='Parameters'!$B$9,J$61&lt;='Parameters'!$B$10,MOD(J$61-'Parameters'!$B$9,2)=0),"k = "&amp;J$61,"")</f>
        <v/>
      </c>
    </row>
    <row r="63">
      <c r="A63" s="65" t="inlineStr">
        <is>
          <t xml:space="preserve">Neighbour</t>
        </is>
      </c>
      <c r="B63" s="64" t="str">
        <f>INDEX('Zhuravlev Distances'!$B$17:$K$17,B64)</f>
        <v>S₄</v>
      </c>
      <c r="C63" s="64" t="str">
        <f>INDEX('Zhuravlev Distances'!$B$17:$K$17,C64)</f>
        <v>S₆</v>
      </c>
      <c r="D63" s="64" t="str">
        <f>INDEX('Zhuravlev Distances'!$B$17:$K$17,D64)</f>
        <v>S₇</v>
      </c>
      <c r="E63" s="64" t="str">
        <f>INDEX('Zhuravlev Distances'!$B$17:$K$17,E64)</f>
        <v>S₃</v>
      </c>
      <c r="F63" s="64" t="str">
        <f>INDEX('Zhuravlev Distances'!$B$17:$K$17,F64)</f>
        <v>S₈</v>
      </c>
      <c r="G63" s="64" t="str">
        <f>INDEX('Zhuravlev Distances'!$B$17:$K$17,G64)</f>
        <v>S₁</v>
      </c>
      <c r="H63" s="64" t="str">
        <f>INDEX('Zhuravlev Distances'!$B$17:$K$17,H64)</f>
        <v>S₂</v>
      </c>
      <c r="I63" s="64" t="str">
        <f>INDEX('Zhuravlev Distances'!$B$17:$K$17,I64)</f>
        <v>S₉</v>
      </c>
      <c r="J63" s="64" t="str">
        <f>INDEX('Zhuravlev Distances'!$B$17:$K$17,J64)</f>
        <v>S₁₀</v>
      </c>
    </row>
    <row r="64">
      <c r="A64" s="65" t="inlineStr">
        <is>
          <t xml:space="preserve">Original index</t>
        </is>
      </c>
      <c r="B64" s="76">
        <f>MATCH(B$61,$B$9:$K$9,0)</f>
        <v>4</v>
      </c>
      <c r="C64" s="76">
        <f>MATCH(C$61,$B$9:$K$9,0)</f>
        <v>6</v>
      </c>
      <c r="D64" s="76">
        <f>MATCH(D$61,$B$9:$K$9,0)</f>
        <v>7</v>
      </c>
      <c r="E64" s="76">
        <f>MATCH(E$61,$B$9:$K$9,0)</f>
        <v>3</v>
      </c>
      <c r="F64" s="76">
        <f>MATCH(F$61,$B$9:$K$9,0)</f>
        <v>8</v>
      </c>
      <c r="G64" s="76">
        <f>MATCH(G$61,$B$9:$K$9,0)</f>
        <v>1</v>
      </c>
      <c r="H64" s="76">
        <f>MATCH(H$61,$B$9:$K$9,0)</f>
        <v>2</v>
      </c>
      <c r="I64" s="76">
        <f>MATCH(I$61,$B$9:$K$9,0)</f>
        <v>9</v>
      </c>
      <c r="J64" s="76">
        <f>MATCH(J$61,$B$9:$K$9,0)</f>
        <v>10</v>
      </c>
    </row>
    <row r="65">
      <c r="A65" s="65" t="inlineStr">
        <is>
          <t xml:space="preserve">ρ_I(S₅, neighbour)</t>
        </is>
      </c>
      <c r="B65" s="72">
        <f>INDEX('Zhuravlev Distances'!$B$22:$K$22,B64)</f>
        <v>1.0172132777</v>
      </c>
      <c r="C65" s="72">
        <f>INDEX('Zhuravlev Distances'!$B$22:$K$22,C64)</f>
        <v>1.4159987028</v>
      </c>
      <c r="D65" s="72">
        <f>INDEX('Zhuravlev Distances'!$B$22:$K$22,D64)</f>
        <v>1.7119318122</v>
      </c>
      <c r="E65" s="72">
        <f>INDEX('Zhuravlev Distances'!$B$22:$K$22,E64)</f>
        <v>1.7324577096</v>
      </c>
      <c r="F65" s="72">
        <f>INDEX('Zhuravlev Distances'!$B$22:$K$22,F64)</f>
        <v>1.747087531</v>
      </c>
      <c r="G65" s="72">
        <f>INDEX('Zhuravlev Distances'!$B$22:$K$22,G64)</f>
        <v>2.0394025463</v>
      </c>
      <c r="H65" s="72">
        <f>INDEX('Zhuravlev Distances'!$B$22:$K$22,H64)</f>
        <v>2.5779171767</v>
      </c>
      <c r="I65" s="72">
        <f>INDEX('Zhuravlev Distances'!$B$22:$K$22,I64)</f>
        <v>2.6901306636</v>
      </c>
      <c r="J65" s="72">
        <f>INDEX('Zhuravlev Distances'!$B$22:$K$22,J64)</f>
        <v>3.8920592328</v>
      </c>
    </row>
    <row r="66">
      <c r="A66" s="65" t="inlineStr">
        <is>
          <t xml:space="preserve">Class</t>
        </is>
      </c>
      <c r="B66" s="68">
        <f>INDEX(Dataset!$O$3:$O$12,B64)</f>
        <v>1</v>
      </c>
      <c r="C66" s="68">
        <f>INDEX(Dataset!$O$3:$O$12,C64)</f>
        <v>1</v>
      </c>
      <c r="D66" s="68">
        <f>INDEX(Dataset!$O$3:$O$12,D64)</f>
        <v>2</v>
      </c>
      <c r="E66" s="68">
        <f>INDEX(Dataset!$O$3:$O$12,E64)</f>
        <v>2</v>
      </c>
      <c r="F66" s="68">
        <f>INDEX(Dataset!$O$3:$O$12,F64)</f>
        <v>2</v>
      </c>
      <c r="G66" s="68">
        <f>INDEX(Dataset!$O$3:$O$12,G64)</f>
        <v>2</v>
      </c>
      <c r="H66" s="68">
        <f>INDEX(Dataset!$O$3:$O$12,H64)</f>
        <v>1</v>
      </c>
      <c r="I66" s="68">
        <f>INDEX(Dataset!$O$3:$O$12,I64)</f>
        <v>2</v>
      </c>
      <c r="J66" s="68">
        <f>INDEX(Dataset!$O$3:$O$12,J64)</f>
        <v>2</v>
      </c>
    </row>
    <row r="67">
      <c r="A67" s="65" t="inlineStr">
        <is>
          <t xml:space="preserve">Same class as S₅</t>
        </is>
      </c>
      <c r="B67" s="74">
        <f>IF(B66=Dataset!$O$7,1,0)</f>
        <v>1</v>
      </c>
      <c r="C67" s="74">
        <f>IF(C66=Dataset!$O$7,1,0)</f>
        <v>1</v>
      </c>
      <c r="D67" s="74">
        <f>IF(D66=Dataset!$O$7,1,0)</f>
        <v>0</v>
      </c>
      <c r="E67" s="74">
        <f>IF(E66=Dataset!$O$7,1,0)</f>
        <v>0</v>
      </c>
      <c r="F67" s="74">
        <f>IF(F66=Dataset!$O$7,1,0)</f>
        <v>0</v>
      </c>
      <c r="G67" s="74">
        <f>IF(G66=Dataset!$O$7,1,0)</f>
        <v>0</v>
      </c>
      <c r="H67" s="74">
        <f>IF(H66=Dataset!$O$7,1,0)</f>
        <v>1</v>
      </c>
      <c r="I67" s="74">
        <f>IF(I66=Dataset!$O$7,1,0)</f>
        <v>0</v>
      </c>
      <c r="J67" s="74">
        <f>IF(J66=Dataset!$O$7,1,0)</f>
        <v>0</v>
      </c>
    </row>
    <row r="68">
      <c r="A68" s="65" t="inlineStr">
        <is>
          <t xml:space="preserve">Same-class count μ (1 … rank)</t>
        </is>
      </c>
      <c r="B68" s="74">
        <f>SUM($B67:B67)</f>
        <v>1</v>
      </c>
      <c r="C68" s="74">
        <f>SUM($B67:C67)</f>
        <v>2</v>
      </c>
      <c r="D68" s="74">
        <f>SUM($B67:D67)</f>
        <v>2</v>
      </c>
      <c r="E68" s="74">
        <f>SUM($B67:E67)</f>
        <v>2</v>
      </c>
      <c r="F68" s="74">
        <f>SUM($B67:F67)</f>
        <v>2</v>
      </c>
      <c r="G68" s="74">
        <f>SUM($B67:G67)</f>
        <v>2</v>
      </c>
      <c r="H68" s="74">
        <f>SUM($B67:H67)</f>
        <v>3</v>
      </c>
      <c r="I68" s="74">
        <f>SUM($B67:I67)</f>
        <v>3</v>
      </c>
      <c r="J68" s="74">
        <f>SUM($B67:J67)</f>
        <v>3</v>
      </c>
    </row>
    <row r="69">
      <c r="A69" s="65" t="inlineStr">
        <is>
          <t xml:space="preserve">K1 count χ₁ (1 … rank)</t>
        </is>
      </c>
      <c r="B69" s="74">
        <f>COUNTIF($B66:B66,1)</f>
        <v>1</v>
      </c>
      <c r="C69" s="74">
        <f>COUNTIF($B66:C66,1)</f>
        <v>2</v>
      </c>
      <c r="D69" s="74">
        <f>COUNTIF($B66:D66,1)</f>
        <v>2</v>
      </c>
      <c r="E69" s="74">
        <f>COUNTIF($B66:E66,1)</f>
        <v>2</v>
      </c>
      <c r="F69" s="74">
        <f>COUNTIF($B66:F66,1)</f>
        <v>2</v>
      </c>
      <c r="G69" s="74">
        <f>COUNTIF($B66:G66,1)</f>
        <v>2</v>
      </c>
      <c r="H69" s="74">
        <f>COUNTIF($B66:H66,1)</f>
        <v>3</v>
      </c>
      <c r="I69" s="74">
        <f>COUNTIF($B66:I66,1)</f>
        <v>3</v>
      </c>
      <c r="J69" s="74">
        <f>COUNTIF($B66:J66,1)</f>
        <v>3</v>
      </c>
    </row>
    <row r="70"/>
    <row r="71">
      <c r="A71" s="59" t="str">
        <f>"S₆  ·  class "&amp;Dataset!$O$8&amp;"  —  neighbours in ascending ρ_I  (target row 10 of the rank matrix)"</f>
        <v>S₆  ·  class 1  —  neighbours in ascending ρ_I  (target row 10 of the rank matrix)</v>
      </c>
      <c r="B71" s="59"/>
      <c r="C71" s="59"/>
      <c r="D71" s="59"/>
      <c r="E71" s="59"/>
      <c r="F71" s="59"/>
      <c r="G71" s="59"/>
      <c r="H71" s="59"/>
      <c r="I71" s="59"/>
      <c r="J71" s="59"/>
    </row>
    <row r="72">
      <c r="A72" s="60" t="inlineStr">
        <is>
          <t xml:space="preserve">Rank</t>
        </is>
      </c>
      <c r="B72" s="60">
        <v>1</v>
      </c>
      <c r="C72" s="60">
        <v>2</v>
      </c>
      <c r="D72" s="60">
        <v>3</v>
      </c>
      <c r="E72" s="60">
        <v>4</v>
      </c>
      <c r="F72" s="60">
        <v>5</v>
      </c>
      <c r="G72" s="60">
        <v>6</v>
      </c>
      <c r="H72" s="60">
        <v>7</v>
      </c>
      <c r="I72" s="60">
        <v>8</v>
      </c>
      <c r="J72" s="60">
        <v>9</v>
      </c>
    </row>
    <row r="73">
      <c r="A73" s="65" t="inlineStr">
        <is>
          <t xml:space="preserve">k-neighbourhood</t>
        </is>
      </c>
      <c r="B73" s="78" t="str">
        <f>IF(AND(B$72&gt;='Parameters'!$B$9,B$72&lt;='Parameters'!$B$10,MOD(B$72-'Parameters'!$B$9,2)=0),"k = "&amp;B$72,"")</f>
        <v/>
      </c>
      <c r="C73" s="78" t="str">
        <f>IF(AND(C$72&gt;='Parameters'!$B$9,C$72&lt;='Parameters'!$B$10,MOD(C$72-'Parameters'!$B$9,2)=0),"k = "&amp;C$72,"")</f>
        <v/>
      </c>
      <c r="D73" s="78" t="str">
        <f>IF(AND(D$72&gt;='Parameters'!$B$9,D$72&lt;='Parameters'!$B$10,MOD(D$72-'Parameters'!$B$9,2)=0),"k = "&amp;D$72,"")</f>
        <v>k = 3</v>
      </c>
      <c r="E73" s="78" t="str">
        <f>IF(AND(E$72&gt;='Parameters'!$B$9,E$72&lt;='Parameters'!$B$10,MOD(E$72-'Parameters'!$B$9,2)=0),"k = "&amp;E$72,"")</f>
        <v/>
      </c>
      <c r="F73" s="78" t="str">
        <f>IF(AND(F$72&gt;='Parameters'!$B$9,F$72&lt;='Parameters'!$B$10,MOD(F$72-'Parameters'!$B$9,2)=0),"k = "&amp;F$72,"")</f>
        <v>k = 5</v>
      </c>
      <c r="G73" s="78" t="str">
        <f>IF(AND(G$72&gt;='Parameters'!$B$9,G$72&lt;='Parameters'!$B$10,MOD(G$72-'Parameters'!$B$9,2)=0),"k = "&amp;G$72,"")</f>
        <v/>
      </c>
      <c r="H73" s="78" t="str">
        <f>IF(AND(H$72&gt;='Parameters'!$B$9,H$72&lt;='Parameters'!$B$10,MOD(H$72-'Parameters'!$B$9,2)=0),"k = "&amp;H$72,"")</f>
        <v/>
      </c>
      <c r="I73" s="78" t="str">
        <f>IF(AND(I$72&gt;='Parameters'!$B$9,I$72&lt;='Parameters'!$B$10,MOD(I$72-'Parameters'!$B$9,2)=0),"k = "&amp;I$72,"")</f>
        <v/>
      </c>
      <c r="J73" s="78" t="str">
        <f>IF(AND(J$72&gt;='Parameters'!$B$9,J$72&lt;='Parameters'!$B$10,MOD(J$72-'Parameters'!$B$9,2)=0),"k = "&amp;J$72,"")</f>
        <v/>
      </c>
    </row>
    <row r="74">
      <c r="A74" s="65" t="inlineStr">
        <is>
          <t xml:space="preserve">Neighbour</t>
        </is>
      </c>
      <c r="B74" s="64" t="str">
        <f>INDEX('Zhuravlev Distances'!$B$17:$K$17,B75)</f>
        <v>S₃</v>
      </c>
      <c r="C74" s="64" t="str">
        <f>INDEX('Zhuravlev Distances'!$B$17:$K$17,C75)</f>
        <v>S₈</v>
      </c>
      <c r="D74" s="64" t="str">
        <f>INDEX('Zhuravlev Distances'!$B$17:$K$17,D75)</f>
        <v>S₇</v>
      </c>
      <c r="E74" s="64" t="str">
        <f>INDEX('Zhuravlev Distances'!$B$17:$K$17,E75)</f>
        <v>S₄</v>
      </c>
      <c r="F74" s="64" t="str">
        <f>INDEX('Zhuravlev Distances'!$B$17:$K$17,F75)</f>
        <v>S₅</v>
      </c>
      <c r="G74" s="64" t="str">
        <f>INDEX('Zhuravlev Distances'!$B$17:$K$17,G75)</f>
        <v>S₂</v>
      </c>
      <c r="H74" s="64" t="str">
        <f>INDEX('Zhuravlev Distances'!$B$17:$K$17,H75)</f>
        <v>S₉</v>
      </c>
      <c r="I74" s="64" t="str">
        <f>INDEX('Zhuravlev Distances'!$B$17:$K$17,I75)</f>
        <v>S₁</v>
      </c>
      <c r="J74" s="64" t="str">
        <f>INDEX('Zhuravlev Distances'!$B$17:$K$17,J75)</f>
        <v>S₁₀</v>
      </c>
    </row>
    <row r="75">
      <c r="A75" s="65" t="inlineStr">
        <is>
          <t xml:space="preserve">Original index</t>
        </is>
      </c>
      <c r="B75" s="76">
        <f>MATCH(B$72,$B$10:$K$10,0)</f>
        <v>3</v>
      </c>
      <c r="C75" s="76">
        <f>MATCH(C$72,$B$10:$K$10,0)</f>
        <v>8</v>
      </c>
      <c r="D75" s="76">
        <f>MATCH(D$72,$B$10:$K$10,0)</f>
        <v>7</v>
      </c>
      <c r="E75" s="76">
        <f>MATCH(E$72,$B$10:$K$10,0)</f>
        <v>4</v>
      </c>
      <c r="F75" s="76">
        <f>MATCH(F$72,$B$10:$K$10,0)</f>
        <v>5</v>
      </c>
      <c r="G75" s="76">
        <f>MATCH(G$72,$B$10:$K$10,0)</f>
        <v>2</v>
      </c>
      <c r="H75" s="76">
        <f>MATCH(H$72,$B$10:$K$10,0)</f>
        <v>9</v>
      </c>
      <c r="I75" s="76">
        <f>MATCH(I$72,$B$10:$K$10,0)</f>
        <v>1</v>
      </c>
      <c r="J75" s="76">
        <f>MATCH(J$72,$B$10:$K$10,0)</f>
        <v>10</v>
      </c>
    </row>
    <row r="76">
      <c r="A76" s="65" t="inlineStr">
        <is>
          <t xml:space="preserve">ρ_I(S₆, neighbour)</t>
        </is>
      </c>
      <c r="B76" s="72">
        <f>INDEX('Zhuravlev Distances'!$B$23:$K$23,B75)</f>
        <v>0.8031991129</v>
      </c>
      <c r="C76" s="72">
        <f>INDEX('Zhuravlev Distances'!$B$23:$K$23,C75)</f>
        <v>1.3181689316</v>
      </c>
      <c r="D76" s="72">
        <f>INDEX('Zhuravlev Distances'!$B$23:$K$23,D75)</f>
        <v>1.37086851</v>
      </c>
      <c r="E76" s="72">
        <f>INDEX('Zhuravlev Distances'!$B$23:$K$23,E75)</f>
        <v>1.4022042285</v>
      </c>
      <c r="F76" s="72">
        <f>INDEX('Zhuravlev Distances'!$B$23:$K$23,F75)</f>
        <v>1.4159987028</v>
      </c>
      <c r="G76" s="72">
        <f>INDEX('Zhuravlev Distances'!$B$23:$K$23,G75)</f>
        <v>1.8595928925</v>
      </c>
      <c r="H76" s="72">
        <f>INDEX('Zhuravlev Distances'!$B$23:$K$23,H75)</f>
        <v>2.4162508238</v>
      </c>
      <c r="I76" s="72">
        <f>INDEX('Zhuravlev Distances'!$B$23:$K$23,I75)</f>
        <v>2.9056936468</v>
      </c>
      <c r="J76" s="72">
        <f>INDEX('Zhuravlev Distances'!$B$23:$K$23,J75)</f>
        <v>3.618179393</v>
      </c>
    </row>
    <row r="77">
      <c r="A77" s="65" t="inlineStr">
        <is>
          <t xml:space="preserve">Class</t>
        </is>
      </c>
      <c r="B77" s="68">
        <f>INDEX(Dataset!$O$3:$O$12,B75)</f>
        <v>2</v>
      </c>
      <c r="C77" s="68">
        <f>INDEX(Dataset!$O$3:$O$12,C75)</f>
        <v>2</v>
      </c>
      <c r="D77" s="68">
        <f>INDEX(Dataset!$O$3:$O$12,D75)</f>
        <v>2</v>
      </c>
      <c r="E77" s="68">
        <f>INDEX(Dataset!$O$3:$O$12,E75)</f>
        <v>1</v>
      </c>
      <c r="F77" s="68">
        <f>INDEX(Dataset!$O$3:$O$12,F75)</f>
        <v>1</v>
      </c>
      <c r="G77" s="68">
        <f>INDEX(Dataset!$O$3:$O$12,G75)</f>
        <v>1</v>
      </c>
      <c r="H77" s="68">
        <f>INDEX(Dataset!$O$3:$O$12,H75)</f>
        <v>2</v>
      </c>
      <c r="I77" s="68">
        <f>INDEX(Dataset!$O$3:$O$12,I75)</f>
        <v>2</v>
      </c>
      <c r="J77" s="68">
        <f>INDEX(Dataset!$O$3:$O$12,J75)</f>
        <v>2</v>
      </c>
    </row>
    <row r="78">
      <c r="A78" s="65" t="inlineStr">
        <is>
          <t xml:space="preserve">Same class as S₆</t>
        </is>
      </c>
      <c r="B78" s="74">
        <f>IF(B77=Dataset!$O$8,1,0)</f>
        <v>0</v>
      </c>
      <c r="C78" s="74">
        <f>IF(C77=Dataset!$O$8,1,0)</f>
        <v>0</v>
      </c>
      <c r="D78" s="74">
        <f>IF(D77=Dataset!$O$8,1,0)</f>
        <v>0</v>
      </c>
      <c r="E78" s="74">
        <f>IF(E77=Dataset!$O$8,1,0)</f>
        <v>1</v>
      </c>
      <c r="F78" s="74">
        <f>IF(F77=Dataset!$O$8,1,0)</f>
        <v>1</v>
      </c>
      <c r="G78" s="74">
        <f>IF(G77=Dataset!$O$8,1,0)</f>
        <v>1</v>
      </c>
      <c r="H78" s="74">
        <f>IF(H77=Dataset!$O$8,1,0)</f>
        <v>0</v>
      </c>
      <c r="I78" s="74">
        <f>IF(I77=Dataset!$O$8,1,0)</f>
        <v>0</v>
      </c>
      <c r="J78" s="74">
        <f>IF(J77=Dataset!$O$8,1,0)</f>
        <v>0</v>
      </c>
    </row>
    <row r="79">
      <c r="A79" s="65" t="inlineStr">
        <is>
          <t xml:space="preserve">Same-class count μ (1 … rank)</t>
        </is>
      </c>
      <c r="B79" s="74">
        <f>SUM($B78:B78)</f>
        <v>0</v>
      </c>
      <c r="C79" s="74">
        <f>SUM($B78:C78)</f>
        <v>0</v>
      </c>
      <c r="D79" s="74">
        <f>SUM($B78:D78)</f>
        <v>0</v>
      </c>
      <c r="E79" s="74">
        <f>SUM($B78:E78)</f>
        <v>1</v>
      </c>
      <c r="F79" s="74">
        <f>SUM($B78:F78)</f>
        <v>2</v>
      </c>
      <c r="G79" s="74">
        <f>SUM($B78:G78)</f>
        <v>3</v>
      </c>
      <c r="H79" s="74">
        <f>SUM($B78:H78)</f>
        <v>3</v>
      </c>
      <c r="I79" s="74">
        <f>SUM($B78:I78)</f>
        <v>3</v>
      </c>
      <c r="J79" s="74">
        <f>SUM($B78:J78)</f>
        <v>3</v>
      </c>
    </row>
    <row r="80">
      <c r="A80" s="65" t="inlineStr">
        <is>
          <t xml:space="preserve">K1 count χ₁ (1 … rank)</t>
        </is>
      </c>
      <c r="B80" s="74">
        <f>COUNTIF($B77:B77,1)</f>
        <v>0</v>
      </c>
      <c r="C80" s="74">
        <f>COUNTIF($B77:C77,1)</f>
        <v>0</v>
      </c>
      <c r="D80" s="74">
        <f>COUNTIF($B77:D77,1)</f>
        <v>0</v>
      </c>
      <c r="E80" s="74">
        <f>COUNTIF($B77:E77,1)</f>
        <v>1</v>
      </c>
      <c r="F80" s="74">
        <f>COUNTIF($B77:F77,1)</f>
        <v>2</v>
      </c>
      <c r="G80" s="74">
        <f>COUNTIF($B77:G77,1)</f>
        <v>3</v>
      </c>
      <c r="H80" s="74">
        <f>COUNTIF($B77:H77,1)</f>
        <v>3</v>
      </c>
      <c r="I80" s="74">
        <f>COUNTIF($B77:I77,1)</f>
        <v>3</v>
      </c>
      <c r="J80" s="74">
        <f>COUNTIF($B77:J77,1)</f>
        <v>3</v>
      </c>
    </row>
    <row r="81"/>
    <row r="82">
      <c r="A82" s="59" t="str">
        <f>"S₇  ·  class "&amp;Dataset!$O$9&amp;"  —  neighbours in ascending ρ_I  (target row 11 of the rank matrix)"</f>
        <v>S₇  ·  class 2  —  neighbours in ascending ρ_I  (target row 11 of the rank matrix)</v>
      </c>
      <c r="B82" s="59"/>
      <c r="C82" s="59"/>
      <c r="D82" s="59"/>
      <c r="E82" s="59"/>
      <c r="F82" s="59"/>
      <c r="G82" s="59"/>
      <c r="H82" s="59"/>
      <c r="I82" s="59"/>
      <c r="J82" s="59"/>
    </row>
    <row r="83">
      <c r="A83" s="60" t="inlineStr">
        <is>
          <t xml:space="preserve">Rank</t>
        </is>
      </c>
      <c r="B83" s="60">
        <v>1</v>
      </c>
      <c r="C83" s="60">
        <v>2</v>
      </c>
      <c r="D83" s="60">
        <v>3</v>
      </c>
      <c r="E83" s="60">
        <v>4</v>
      </c>
      <c r="F83" s="60">
        <v>5</v>
      </c>
      <c r="G83" s="60">
        <v>6</v>
      </c>
      <c r="H83" s="60">
        <v>7</v>
      </c>
      <c r="I83" s="60">
        <v>8</v>
      </c>
      <c r="J83" s="60">
        <v>9</v>
      </c>
    </row>
    <row r="84">
      <c r="A84" s="65" t="inlineStr">
        <is>
          <t xml:space="preserve">k-neighbourhood</t>
        </is>
      </c>
      <c r="B84" s="78" t="str">
        <f>IF(AND(B$83&gt;='Parameters'!$B$9,B$83&lt;='Parameters'!$B$10,MOD(B$83-'Parameters'!$B$9,2)=0),"k = "&amp;B$83,"")</f>
        <v/>
      </c>
      <c r="C84" s="78" t="str">
        <f>IF(AND(C$83&gt;='Parameters'!$B$9,C$83&lt;='Parameters'!$B$10,MOD(C$83-'Parameters'!$B$9,2)=0),"k = "&amp;C$83,"")</f>
        <v/>
      </c>
      <c r="D84" s="78" t="str">
        <f>IF(AND(D$83&gt;='Parameters'!$B$9,D$83&lt;='Parameters'!$B$10,MOD(D$83-'Parameters'!$B$9,2)=0),"k = "&amp;D$83,"")</f>
        <v>k = 3</v>
      </c>
      <c r="E84" s="78" t="str">
        <f>IF(AND(E$83&gt;='Parameters'!$B$9,E$83&lt;='Parameters'!$B$10,MOD(E$83-'Parameters'!$B$9,2)=0),"k = "&amp;E$83,"")</f>
        <v/>
      </c>
      <c r="F84" s="78" t="str">
        <f>IF(AND(F$83&gt;='Parameters'!$B$9,F$83&lt;='Parameters'!$B$10,MOD(F$83-'Parameters'!$B$9,2)=0),"k = "&amp;F$83,"")</f>
        <v>k = 5</v>
      </c>
      <c r="G84" s="78" t="str">
        <f>IF(AND(G$83&gt;='Parameters'!$B$9,G$83&lt;='Parameters'!$B$10,MOD(G$83-'Parameters'!$B$9,2)=0),"k = "&amp;G$83,"")</f>
        <v/>
      </c>
      <c r="H84" s="78" t="str">
        <f>IF(AND(H$83&gt;='Parameters'!$B$9,H$83&lt;='Parameters'!$B$10,MOD(H$83-'Parameters'!$B$9,2)=0),"k = "&amp;H$83,"")</f>
        <v/>
      </c>
      <c r="I84" s="78" t="str">
        <f>IF(AND(I$83&gt;='Parameters'!$B$9,I$83&lt;='Parameters'!$B$10,MOD(I$83-'Parameters'!$B$9,2)=0),"k = "&amp;I$83,"")</f>
        <v/>
      </c>
      <c r="J84" s="78" t="str">
        <f>IF(AND(J$83&gt;='Parameters'!$B$9,J$83&lt;='Parameters'!$B$10,MOD(J$83-'Parameters'!$B$9,2)=0),"k = "&amp;J$83,"")</f>
        <v/>
      </c>
    </row>
    <row r="85">
      <c r="A85" s="65" t="inlineStr">
        <is>
          <t xml:space="preserve">Neighbour</t>
        </is>
      </c>
      <c r="B85" s="64" t="str">
        <f>INDEX('Zhuravlev Distances'!$B$17:$K$17,B86)</f>
        <v>S₃</v>
      </c>
      <c r="C85" s="64" t="str">
        <f>INDEX('Zhuravlev Distances'!$B$17:$K$17,C86)</f>
        <v>S₈</v>
      </c>
      <c r="D85" s="64" t="str">
        <f>INDEX('Zhuravlev Distances'!$B$17:$K$17,D86)</f>
        <v>S₄</v>
      </c>
      <c r="E85" s="64" t="str">
        <f>INDEX('Zhuravlev Distances'!$B$17:$K$17,E86)</f>
        <v>S₆</v>
      </c>
      <c r="F85" s="64" t="str">
        <f>INDEX('Zhuravlev Distances'!$B$17:$K$17,F86)</f>
        <v>S₉</v>
      </c>
      <c r="G85" s="64" t="str">
        <f>INDEX('Zhuravlev Distances'!$B$17:$K$17,G86)</f>
        <v>S₅</v>
      </c>
      <c r="H85" s="64" t="str">
        <f>INDEX('Zhuravlev Distances'!$B$17:$K$17,H86)</f>
        <v>S₁</v>
      </c>
      <c r="I85" s="64" t="str">
        <f>INDEX('Zhuravlev Distances'!$B$17:$K$17,I86)</f>
        <v>S₂</v>
      </c>
      <c r="J85" s="64" t="str">
        <f>INDEX('Zhuravlev Distances'!$B$17:$K$17,J86)</f>
        <v>S₁₀</v>
      </c>
    </row>
    <row r="86">
      <c r="A86" s="65" t="inlineStr">
        <is>
          <t xml:space="preserve">Original index</t>
        </is>
      </c>
      <c r="B86" s="76">
        <f>MATCH(B$83,$B$11:$K$11,0)</f>
        <v>3</v>
      </c>
      <c r="C86" s="76">
        <f>MATCH(C$83,$B$11:$K$11,0)</f>
        <v>8</v>
      </c>
      <c r="D86" s="76">
        <f>MATCH(D$83,$B$11:$K$11,0)</f>
        <v>4</v>
      </c>
      <c r="E86" s="76">
        <f>MATCH(E$83,$B$11:$K$11,0)</f>
        <v>6</v>
      </c>
      <c r="F86" s="76">
        <f>MATCH(F$83,$B$11:$K$11,0)</f>
        <v>9</v>
      </c>
      <c r="G86" s="76">
        <f>MATCH(G$83,$B$11:$K$11,0)</f>
        <v>5</v>
      </c>
      <c r="H86" s="76">
        <f>MATCH(H$83,$B$11:$K$11,0)</f>
        <v>1</v>
      </c>
      <c r="I86" s="76">
        <f>MATCH(I$83,$B$11:$K$11,0)</f>
        <v>2</v>
      </c>
      <c r="J86" s="76">
        <f>MATCH(J$83,$B$11:$K$11,0)</f>
        <v>10</v>
      </c>
    </row>
    <row r="87">
      <c r="A87" s="65" t="inlineStr">
        <is>
          <t xml:space="preserve">ρ_I(S₇, neighbour)</t>
        </is>
      </c>
      <c r="B87" s="72">
        <f>INDEX('Zhuravlev Distances'!$B$24:$K$24,B86)</f>
        <v>0.6461407693</v>
      </c>
      <c r="C87" s="72">
        <f>INDEX('Zhuravlev Distances'!$B$24:$K$24,C86)</f>
        <v>0.8684890521</v>
      </c>
      <c r="D87" s="72">
        <f>INDEX('Zhuravlev Distances'!$B$24:$K$24,D86)</f>
        <v>1.1870262269</v>
      </c>
      <c r="E87" s="72">
        <f>INDEX('Zhuravlev Distances'!$B$24:$K$24,E86)</f>
        <v>1.37086851</v>
      </c>
      <c r="F87" s="72">
        <f>INDEX('Zhuravlev Distances'!$B$24:$K$24,F86)</f>
        <v>1.4898267583</v>
      </c>
      <c r="G87" s="72">
        <f>INDEX('Zhuravlev Distances'!$B$24:$K$24,G86)</f>
        <v>1.7119318122</v>
      </c>
      <c r="H87" s="72">
        <f>INDEX('Zhuravlev Distances'!$B$24:$K$24,H86)</f>
        <v>2.5963635983</v>
      </c>
      <c r="I87" s="72">
        <f>INDEX('Zhuravlev Distances'!$B$24:$K$24,I86)</f>
        <v>2.6553910492</v>
      </c>
      <c r="J87" s="72">
        <f>INDEX('Zhuravlev Distances'!$B$24:$K$24,J86)</f>
        <v>3.0250886608</v>
      </c>
    </row>
    <row r="88">
      <c r="A88" s="65" t="inlineStr">
        <is>
          <t xml:space="preserve">Class</t>
        </is>
      </c>
      <c r="B88" s="68">
        <f>INDEX(Dataset!$O$3:$O$12,B86)</f>
        <v>2</v>
      </c>
      <c r="C88" s="68">
        <f>INDEX(Dataset!$O$3:$O$12,C86)</f>
        <v>2</v>
      </c>
      <c r="D88" s="68">
        <f>INDEX(Dataset!$O$3:$O$12,D86)</f>
        <v>1</v>
      </c>
      <c r="E88" s="68">
        <f>INDEX(Dataset!$O$3:$O$12,E86)</f>
        <v>1</v>
      </c>
      <c r="F88" s="68">
        <f>INDEX(Dataset!$O$3:$O$12,F86)</f>
        <v>2</v>
      </c>
      <c r="G88" s="68">
        <f>INDEX(Dataset!$O$3:$O$12,G86)</f>
        <v>1</v>
      </c>
      <c r="H88" s="68">
        <f>INDEX(Dataset!$O$3:$O$12,H86)</f>
        <v>2</v>
      </c>
      <c r="I88" s="68">
        <f>INDEX(Dataset!$O$3:$O$12,I86)</f>
        <v>1</v>
      </c>
      <c r="J88" s="68">
        <f>INDEX(Dataset!$O$3:$O$12,J86)</f>
        <v>2</v>
      </c>
    </row>
    <row r="89">
      <c r="A89" s="65" t="inlineStr">
        <is>
          <t xml:space="preserve">Same class as S₇</t>
        </is>
      </c>
      <c r="B89" s="74">
        <f>IF(B88=Dataset!$O$9,1,0)</f>
        <v>1</v>
      </c>
      <c r="C89" s="74">
        <f>IF(C88=Dataset!$O$9,1,0)</f>
        <v>1</v>
      </c>
      <c r="D89" s="74">
        <f>IF(D88=Dataset!$O$9,1,0)</f>
        <v>0</v>
      </c>
      <c r="E89" s="74">
        <f>IF(E88=Dataset!$O$9,1,0)</f>
        <v>0</v>
      </c>
      <c r="F89" s="74">
        <f>IF(F88=Dataset!$O$9,1,0)</f>
        <v>1</v>
      </c>
      <c r="G89" s="74">
        <f>IF(G88=Dataset!$O$9,1,0)</f>
        <v>0</v>
      </c>
      <c r="H89" s="74">
        <f>IF(H88=Dataset!$O$9,1,0)</f>
        <v>1</v>
      </c>
      <c r="I89" s="74">
        <f>IF(I88=Dataset!$O$9,1,0)</f>
        <v>0</v>
      </c>
      <c r="J89" s="74">
        <f>IF(J88=Dataset!$O$9,1,0)</f>
        <v>1</v>
      </c>
    </row>
    <row r="90">
      <c r="A90" s="65" t="inlineStr">
        <is>
          <t xml:space="preserve">Same-class count μ (1 … rank)</t>
        </is>
      </c>
      <c r="B90" s="74">
        <f>SUM($B89:B89)</f>
        <v>1</v>
      </c>
      <c r="C90" s="74">
        <f>SUM($B89:C89)</f>
        <v>2</v>
      </c>
      <c r="D90" s="74">
        <f>SUM($B89:D89)</f>
        <v>2</v>
      </c>
      <c r="E90" s="74">
        <f>SUM($B89:E89)</f>
        <v>2</v>
      </c>
      <c r="F90" s="74">
        <f>SUM($B89:F89)</f>
        <v>3</v>
      </c>
      <c r="G90" s="74">
        <f>SUM($B89:G89)</f>
        <v>3</v>
      </c>
      <c r="H90" s="74">
        <f>SUM($B89:H89)</f>
        <v>4</v>
      </c>
      <c r="I90" s="74">
        <f>SUM($B89:I89)</f>
        <v>4</v>
      </c>
      <c r="J90" s="74">
        <f>SUM($B89:J89)</f>
        <v>5</v>
      </c>
    </row>
    <row r="91">
      <c r="A91" s="65" t="inlineStr">
        <is>
          <t xml:space="preserve">K1 count χ₁ (1 … rank)</t>
        </is>
      </c>
      <c r="B91" s="74">
        <f>COUNTIF($B88:B88,1)</f>
        <v>0</v>
      </c>
      <c r="C91" s="74">
        <f>COUNTIF($B88:C88,1)</f>
        <v>0</v>
      </c>
      <c r="D91" s="74">
        <f>COUNTIF($B88:D88,1)</f>
        <v>1</v>
      </c>
      <c r="E91" s="74">
        <f>COUNTIF($B88:E88,1)</f>
        <v>2</v>
      </c>
      <c r="F91" s="74">
        <f>COUNTIF($B88:F88,1)</f>
        <v>2</v>
      </c>
      <c r="G91" s="74">
        <f>COUNTIF($B88:G88,1)</f>
        <v>3</v>
      </c>
      <c r="H91" s="74">
        <f>COUNTIF($B88:H88,1)</f>
        <v>3</v>
      </c>
      <c r="I91" s="74">
        <f>COUNTIF($B88:I88,1)</f>
        <v>4</v>
      </c>
      <c r="J91" s="74">
        <f>COUNTIF($B88:J88,1)</f>
        <v>4</v>
      </c>
    </row>
    <row r="92"/>
    <row r="93">
      <c r="A93" s="59" t="str">
        <f>"S₈  ·  class "&amp;Dataset!$O$10&amp;"  —  neighbours in ascending ρ_I  (target row 12 of the rank matrix)"</f>
        <v>S₈  ·  class 2  —  neighbours in ascending ρ_I  (target row 12 of the rank matrix)</v>
      </c>
      <c r="B93" s="59"/>
      <c r="C93" s="59"/>
      <c r="D93" s="59"/>
      <c r="E93" s="59"/>
      <c r="F93" s="59"/>
      <c r="G93" s="59"/>
      <c r="H93" s="59"/>
      <c r="I93" s="59"/>
      <c r="J93" s="59"/>
    </row>
    <row r="94">
      <c r="A94" s="60" t="inlineStr">
        <is>
          <t xml:space="preserve">Rank</t>
        </is>
      </c>
      <c r="B94" s="60">
        <v>1</v>
      </c>
      <c r="C94" s="60">
        <v>2</v>
      </c>
      <c r="D94" s="60">
        <v>3</v>
      </c>
      <c r="E94" s="60">
        <v>4</v>
      </c>
      <c r="F94" s="60">
        <v>5</v>
      </c>
      <c r="G94" s="60">
        <v>6</v>
      </c>
      <c r="H94" s="60">
        <v>7</v>
      </c>
      <c r="I94" s="60">
        <v>8</v>
      </c>
      <c r="J94" s="60">
        <v>9</v>
      </c>
    </row>
    <row r="95">
      <c r="A95" s="65" t="inlineStr">
        <is>
          <t xml:space="preserve">k-neighbourhood</t>
        </is>
      </c>
      <c r="B95" s="78" t="str">
        <f>IF(AND(B$94&gt;='Parameters'!$B$9,B$94&lt;='Parameters'!$B$10,MOD(B$94-'Parameters'!$B$9,2)=0),"k = "&amp;B$94,"")</f>
        <v/>
      </c>
      <c r="C95" s="78" t="str">
        <f>IF(AND(C$94&gt;='Parameters'!$B$9,C$94&lt;='Parameters'!$B$10,MOD(C$94-'Parameters'!$B$9,2)=0),"k = "&amp;C$94,"")</f>
        <v/>
      </c>
      <c r="D95" s="78" t="str">
        <f>IF(AND(D$94&gt;='Parameters'!$B$9,D$94&lt;='Parameters'!$B$10,MOD(D$94-'Parameters'!$B$9,2)=0),"k = "&amp;D$94,"")</f>
        <v>k = 3</v>
      </c>
      <c r="E95" s="78" t="str">
        <f>IF(AND(E$94&gt;='Parameters'!$B$9,E$94&lt;='Parameters'!$B$10,MOD(E$94-'Parameters'!$B$9,2)=0),"k = "&amp;E$94,"")</f>
        <v/>
      </c>
      <c r="F95" s="78" t="str">
        <f>IF(AND(F$94&gt;='Parameters'!$B$9,F$94&lt;='Parameters'!$B$10,MOD(F$94-'Parameters'!$B$9,2)=0),"k = "&amp;F$94,"")</f>
        <v>k = 5</v>
      </c>
      <c r="G95" s="78" t="str">
        <f>IF(AND(G$94&gt;='Parameters'!$B$9,G$94&lt;='Parameters'!$B$10,MOD(G$94-'Parameters'!$B$9,2)=0),"k = "&amp;G$94,"")</f>
        <v/>
      </c>
      <c r="H95" s="78" t="str">
        <f>IF(AND(H$94&gt;='Parameters'!$B$9,H$94&lt;='Parameters'!$B$10,MOD(H$94-'Parameters'!$B$9,2)=0),"k = "&amp;H$94,"")</f>
        <v/>
      </c>
      <c r="I95" s="78" t="str">
        <f>IF(AND(I$94&gt;='Parameters'!$B$9,I$94&lt;='Parameters'!$B$10,MOD(I$94-'Parameters'!$B$9,2)=0),"k = "&amp;I$94,"")</f>
        <v/>
      </c>
      <c r="J95" s="78" t="str">
        <f>IF(AND(J$94&gt;='Parameters'!$B$9,J$94&lt;='Parameters'!$B$10,MOD(J$94-'Parameters'!$B$9,2)=0),"k = "&amp;J$94,"")</f>
        <v/>
      </c>
    </row>
    <row r="96">
      <c r="A96" s="65" t="inlineStr">
        <is>
          <t xml:space="preserve">Neighbour</t>
        </is>
      </c>
      <c r="B96" s="64" t="str">
        <f>INDEX('Zhuravlev Distances'!$B$17:$K$17,B97)</f>
        <v>S₇</v>
      </c>
      <c r="C96" s="64" t="str">
        <f>INDEX('Zhuravlev Distances'!$B$17:$K$17,C97)</f>
        <v>S₃</v>
      </c>
      <c r="D96" s="64" t="str">
        <f>INDEX('Zhuravlev Distances'!$B$17:$K$17,D97)</f>
        <v>S₆</v>
      </c>
      <c r="E96" s="64" t="str">
        <f>INDEX('Zhuravlev Distances'!$B$17:$K$17,E97)</f>
        <v>S₄</v>
      </c>
      <c r="F96" s="64" t="str">
        <f>INDEX('Zhuravlev Distances'!$B$17:$K$17,F97)</f>
        <v>S₉</v>
      </c>
      <c r="G96" s="64" t="str">
        <f>INDEX('Zhuravlev Distances'!$B$17:$K$17,G97)</f>
        <v>S₅</v>
      </c>
      <c r="H96" s="64" t="str">
        <f>INDEX('Zhuravlev Distances'!$B$17:$K$17,H97)</f>
        <v>S₂</v>
      </c>
      <c r="I96" s="64" t="str">
        <f>INDEX('Zhuravlev Distances'!$B$17:$K$17,I97)</f>
        <v>S₁</v>
      </c>
      <c r="J96" s="64" t="str">
        <f>INDEX('Zhuravlev Distances'!$B$17:$K$17,J97)</f>
        <v>S₁₀</v>
      </c>
    </row>
    <row r="97">
      <c r="A97" s="65" t="inlineStr">
        <is>
          <t xml:space="preserve">Original index</t>
        </is>
      </c>
      <c r="B97" s="76">
        <f>MATCH(B$94,$B$12:$K$12,0)</f>
        <v>7</v>
      </c>
      <c r="C97" s="76">
        <f>MATCH(C$94,$B$12:$K$12,0)</f>
        <v>3</v>
      </c>
      <c r="D97" s="76">
        <f>MATCH(D$94,$B$12:$K$12,0)</f>
        <v>6</v>
      </c>
      <c r="E97" s="76">
        <f>MATCH(E$94,$B$12:$K$12,0)</f>
        <v>4</v>
      </c>
      <c r="F97" s="76">
        <f>MATCH(F$94,$B$12:$K$12,0)</f>
        <v>9</v>
      </c>
      <c r="G97" s="76">
        <f>MATCH(G$94,$B$12:$K$12,0)</f>
        <v>5</v>
      </c>
      <c r="H97" s="76">
        <f>MATCH(H$94,$B$12:$K$12,0)</f>
        <v>2</v>
      </c>
      <c r="I97" s="76">
        <f>MATCH(I$94,$B$12:$K$12,0)</f>
        <v>1</v>
      </c>
      <c r="J97" s="76">
        <f>MATCH(J$94,$B$12:$K$12,0)</f>
        <v>10</v>
      </c>
    </row>
    <row r="98">
      <c r="A98" s="65" t="inlineStr">
        <is>
          <t xml:space="preserve">ρ_I(S₈, neighbour)</t>
        </is>
      </c>
      <c r="B98" s="72">
        <f>INDEX('Zhuravlev Distances'!$B$25:$K$25,B97)</f>
        <v>0.8684890521</v>
      </c>
      <c r="C98" s="72">
        <f>INDEX('Zhuravlev Distances'!$B$25:$K$25,C97)</f>
        <v>1.1035187103</v>
      </c>
      <c r="D98" s="72">
        <f>INDEX('Zhuravlev Distances'!$B$25:$K$25,D97)</f>
        <v>1.3181689316</v>
      </c>
      <c r="E98" s="72">
        <f>INDEX('Zhuravlev Distances'!$B$25:$K$25,E97)</f>
        <v>1.6221819456</v>
      </c>
      <c r="F98" s="72">
        <f>INDEX('Zhuravlev Distances'!$B$25:$K$25,F97)</f>
        <v>1.7091930034</v>
      </c>
      <c r="G98" s="72">
        <f>INDEX('Zhuravlev Distances'!$B$25:$K$25,G97)</f>
        <v>1.747087531</v>
      </c>
      <c r="H98" s="72">
        <f>INDEX('Zhuravlev Distances'!$B$25:$K$25,H97)</f>
        <v>2.1247572942</v>
      </c>
      <c r="I98" s="72">
        <f>INDEX('Zhuravlev Distances'!$B$25:$K$25,I97)</f>
        <v>2.8157298434</v>
      </c>
      <c r="J98" s="72">
        <f>INDEX('Zhuravlev Distances'!$B$25:$K$25,J97)</f>
        <v>3.2444549059</v>
      </c>
    </row>
    <row r="99">
      <c r="A99" s="65" t="inlineStr">
        <is>
          <t xml:space="preserve">Class</t>
        </is>
      </c>
      <c r="B99" s="68">
        <f>INDEX(Dataset!$O$3:$O$12,B97)</f>
        <v>2</v>
      </c>
      <c r="C99" s="68">
        <f>INDEX(Dataset!$O$3:$O$12,C97)</f>
        <v>2</v>
      </c>
      <c r="D99" s="68">
        <f>INDEX(Dataset!$O$3:$O$12,D97)</f>
        <v>1</v>
      </c>
      <c r="E99" s="68">
        <f>INDEX(Dataset!$O$3:$O$12,E97)</f>
        <v>1</v>
      </c>
      <c r="F99" s="68">
        <f>INDEX(Dataset!$O$3:$O$12,F97)</f>
        <v>2</v>
      </c>
      <c r="G99" s="68">
        <f>INDEX(Dataset!$O$3:$O$12,G97)</f>
        <v>1</v>
      </c>
      <c r="H99" s="68">
        <f>INDEX(Dataset!$O$3:$O$12,H97)</f>
        <v>1</v>
      </c>
      <c r="I99" s="68">
        <f>INDEX(Dataset!$O$3:$O$12,I97)</f>
        <v>2</v>
      </c>
      <c r="J99" s="68">
        <f>INDEX(Dataset!$O$3:$O$12,J97)</f>
        <v>2</v>
      </c>
    </row>
    <row r="100">
      <c r="A100" s="65" t="inlineStr">
        <is>
          <t xml:space="preserve">Same class as S₈</t>
        </is>
      </c>
      <c r="B100" s="74">
        <f>IF(B99=Dataset!$O$10,1,0)</f>
        <v>1</v>
      </c>
      <c r="C100" s="74">
        <f>IF(C99=Dataset!$O$10,1,0)</f>
        <v>1</v>
      </c>
      <c r="D100" s="74">
        <f>IF(D99=Dataset!$O$10,1,0)</f>
        <v>0</v>
      </c>
      <c r="E100" s="74">
        <f>IF(E99=Dataset!$O$10,1,0)</f>
        <v>0</v>
      </c>
      <c r="F100" s="74">
        <f>IF(F99=Dataset!$O$10,1,0)</f>
        <v>1</v>
      </c>
      <c r="G100" s="74">
        <f>IF(G99=Dataset!$O$10,1,0)</f>
        <v>0</v>
      </c>
      <c r="H100" s="74">
        <f>IF(H99=Dataset!$O$10,1,0)</f>
        <v>0</v>
      </c>
      <c r="I100" s="74">
        <f>IF(I99=Dataset!$O$10,1,0)</f>
        <v>1</v>
      </c>
      <c r="J100" s="74">
        <f>IF(J99=Dataset!$O$10,1,0)</f>
        <v>1</v>
      </c>
    </row>
    <row r="101">
      <c r="A101" s="65" t="inlineStr">
        <is>
          <t xml:space="preserve">Same-class count μ (1 … rank)</t>
        </is>
      </c>
      <c r="B101" s="74">
        <f>SUM($B100:B100)</f>
        <v>1</v>
      </c>
      <c r="C101" s="74">
        <f>SUM($B100:C100)</f>
        <v>2</v>
      </c>
      <c r="D101" s="74">
        <f>SUM($B100:D100)</f>
        <v>2</v>
      </c>
      <c r="E101" s="74">
        <f>SUM($B100:E100)</f>
        <v>2</v>
      </c>
      <c r="F101" s="74">
        <f>SUM($B100:F100)</f>
        <v>3</v>
      </c>
      <c r="G101" s="74">
        <f>SUM($B100:G100)</f>
        <v>3</v>
      </c>
      <c r="H101" s="74">
        <f>SUM($B100:H100)</f>
        <v>3</v>
      </c>
      <c r="I101" s="74">
        <f>SUM($B100:I100)</f>
        <v>4</v>
      </c>
      <c r="J101" s="74">
        <f>SUM($B100:J100)</f>
        <v>5</v>
      </c>
    </row>
    <row r="102">
      <c r="A102" s="65" t="inlineStr">
        <is>
          <t xml:space="preserve">K1 count χ₁ (1 … rank)</t>
        </is>
      </c>
      <c r="B102" s="74">
        <f>COUNTIF($B99:B99,1)</f>
        <v>0</v>
      </c>
      <c r="C102" s="74">
        <f>COUNTIF($B99:C99,1)</f>
        <v>0</v>
      </c>
      <c r="D102" s="74">
        <f>COUNTIF($B99:D99,1)</f>
        <v>1</v>
      </c>
      <c r="E102" s="74">
        <f>COUNTIF($B99:E99,1)</f>
        <v>2</v>
      </c>
      <c r="F102" s="74">
        <f>COUNTIF($B99:F99,1)</f>
        <v>2</v>
      </c>
      <c r="G102" s="74">
        <f>COUNTIF($B99:G99,1)</f>
        <v>3</v>
      </c>
      <c r="H102" s="74">
        <f>COUNTIF($B99:H99,1)</f>
        <v>4</v>
      </c>
      <c r="I102" s="74">
        <f>COUNTIF($B99:I99,1)</f>
        <v>4</v>
      </c>
      <c r="J102" s="74">
        <f>COUNTIF($B99:J99,1)</f>
        <v>4</v>
      </c>
    </row>
    <row r="103"/>
    <row r="104">
      <c r="A104" s="59" t="str">
        <f>"S₉  ·  class "&amp;Dataset!$O$11&amp;"  —  neighbours in ascending ρ_I  (target row 13 of the rank matrix)"</f>
        <v>S₉  ·  class 2  —  neighbours in ascending ρ_I  (target row 13 of the rank matrix)</v>
      </c>
      <c r="B104" s="59"/>
      <c r="C104" s="59"/>
      <c r="D104" s="59"/>
      <c r="E104" s="59"/>
      <c r="F104" s="59"/>
      <c r="G104" s="59"/>
      <c r="H104" s="59"/>
      <c r="I104" s="59"/>
      <c r="J104" s="59"/>
    </row>
    <row r="105">
      <c r="A105" s="60" t="inlineStr">
        <is>
          <t xml:space="preserve">Rank</t>
        </is>
      </c>
      <c r="B105" s="60">
        <v>1</v>
      </c>
      <c r="C105" s="60">
        <v>2</v>
      </c>
      <c r="D105" s="60">
        <v>3</v>
      </c>
      <c r="E105" s="60">
        <v>4</v>
      </c>
      <c r="F105" s="60">
        <v>5</v>
      </c>
      <c r="G105" s="60">
        <v>6</v>
      </c>
      <c r="H105" s="60">
        <v>7</v>
      </c>
      <c r="I105" s="60">
        <v>8</v>
      </c>
      <c r="J105" s="60">
        <v>9</v>
      </c>
    </row>
    <row r="106">
      <c r="A106" s="65" t="inlineStr">
        <is>
          <t xml:space="preserve">k-neighbourhood</t>
        </is>
      </c>
      <c r="B106" s="78" t="str">
        <f>IF(AND(B$105&gt;='Parameters'!$B$9,B$105&lt;='Parameters'!$B$10,MOD(B$105-'Parameters'!$B$9,2)=0),"k = "&amp;B$105,"")</f>
        <v/>
      </c>
      <c r="C106" s="78" t="str">
        <f>IF(AND(C$105&gt;='Parameters'!$B$9,C$105&lt;='Parameters'!$B$10,MOD(C$105-'Parameters'!$B$9,2)=0),"k = "&amp;C$105,"")</f>
        <v/>
      </c>
      <c r="D106" s="78" t="str">
        <f>IF(AND(D$105&gt;='Parameters'!$B$9,D$105&lt;='Parameters'!$B$10,MOD(D$105-'Parameters'!$B$9,2)=0),"k = "&amp;D$105,"")</f>
        <v>k = 3</v>
      </c>
      <c r="E106" s="78" t="str">
        <f>IF(AND(E$105&gt;='Parameters'!$B$9,E$105&lt;='Parameters'!$B$10,MOD(E$105-'Parameters'!$B$9,2)=0),"k = "&amp;E$105,"")</f>
        <v/>
      </c>
      <c r="F106" s="78" t="str">
        <f>IF(AND(F$105&gt;='Parameters'!$B$9,F$105&lt;='Parameters'!$B$10,MOD(F$105-'Parameters'!$B$9,2)=0),"k = "&amp;F$105,"")</f>
        <v>k = 5</v>
      </c>
      <c r="G106" s="78" t="str">
        <f>IF(AND(G$105&gt;='Parameters'!$B$9,G$105&lt;='Parameters'!$B$10,MOD(G$105-'Parameters'!$B$9,2)=0),"k = "&amp;G$105,"")</f>
        <v/>
      </c>
      <c r="H106" s="78" t="str">
        <f>IF(AND(H$105&gt;='Parameters'!$B$9,H$105&lt;='Parameters'!$B$10,MOD(H$105-'Parameters'!$B$9,2)=0),"k = "&amp;H$105,"")</f>
        <v/>
      </c>
      <c r="I106" s="78" t="str">
        <f>IF(AND(I$105&gt;='Parameters'!$B$9,I$105&lt;='Parameters'!$B$10,MOD(I$105-'Parameters'!$B$9,2)=0),"k = "&amp;I$105,"")</f>
        <v/>
      </c>
      <c r="J106" s="78" t="str">
        <f>IF(AND(J$105&gt;='Parameters'!$B$9,J$105&lt;='Parameters'!$B$10,MOD(J$105-'Parameters'!$B$9,2)=0),"k = "&amp;J$105,"")</f>
        <v/>
      </c>
    </row>
    <row r="107">
      <c r="A107" s="65" t="inlineStr">
        <is>
          <t xml:space="preserve">Neighbour</t>
        </is>
      </c>
      <c r="B107" s="64" t="str">
        <f>INDEX('Zhuravlev Distances'!$B$17:$K$17,B108)</f>
        <v>S₇</v>
      </c>
      <c r="C107" s="64" t="str">
        <f>INDEX('Zhuravlev Distances'!$B$17:$K$17,C108)</f>
        <v>S₈</v>
      </c>
      <c r="D107" s="64" t="str">
        <f>INDEX('Zhuravlev Distances'!$B$17:$K$17,D108)</f>
        <v>S₃</v>
      </c>
      <c r="E107" s="64" t="str">
        <f>INDEX('Zhuravlev Distances'!$B$17:$K$17,E108)</f>
        <v>S₁₀</v>
      </c>
      <c r="F107" s="64" t="str">
        <f>INDEX('Zhuravlev Distances'!$B$17:$K$17,F108)</f>
        <v>S₄</v>
      </c>
      <c r="G107" s="64" t="str">
        <f>INDEX('Zhuravlev Distances'!$B$17:$K$17,G108)</f>
        <v>S₆</v>
      </c>
      <c r="H107" s="64" t="str">
        <f>INDEX('Zhuravlev Distances'!$B$17:$K$17,H108)</f>
        <v>S₁</v>
      </c>
      <c r="I107" s="64" t="str">
        <f>INDEX('Zhuravlev Distances'!$B$17:$K$17,I108)</f>
        <v>S₂</v>
      </c>
      <c r="J107" s="64" t="str">
        <f>INDEX('Zhuravlev Distances'!$B$17:$K$17,J108)</f>
        <v>S₅</v>
      </c>
    </row>
    <row r="108">
      <c r="A108" s="65" t="inlineStr">
        <is>
          <t xml:space="preserve">Original index</t>
        </is>
      </c>
      <c r="B108" s="76">
        <f>MATCH(B$105,$B$13:$K$13,0)</f>
        <v>7</v>
      </c>
      <c r="C108" s="76">
        <f>MATCH(C$105,$B$13:$K$13,0)</f>
        <v>8</v>
      </c>
      <c r="D108" s="76">
        <f>MATCH(D$105,$B$13:$K$13,0)</f>
        <v>3</v>
      </c>
      <c r="E108" s="76">
        <f>MATCH(E$105,$B$13:$K$13,0)</f>
        <v>10</v>
      </c>
      <c r="F108" s="76">
        <f>MATCH(F$105,$B$13:$K$13,0)</f>
        <v>4</v>
      </c>
      <c r="G108" s="76">
        <f>MATCH(G$105,$B$13:$K$13,0)</f>
        <v>6</v>
      </c>
      <c r="H108" s="76">
        <f>MATCH(H$105,$B$13:$K$13,0)</f>
        <v>1</v>
      </c>
      <c r="I108" s="76">
        <f>MATCH(I$105,$B$13:$K$13,0)</f>
        <v>2</v>
      </c>
      <c r="J108" s="76">
        <f>MATCH(J$105,$B$13:$K$13,0)</f>
        <v>5</v>
      </c>
    </row>
    <row r="109">
      <c r="A109" s="65" t="inlineStr">
        <is>
          <t xml:space="preserve">ρ_I(S₉, neighbour)</t>
        </is>
      </c>
      <c r="B109" s="72">
        <f>INDEX('Zhuravlev Distances'!$B$26:$K$26,B108)</f>
        <v>1.4898267583</v>
      </c>
      <c r="C109" s="72">
        <f>INDEX('Zhuravlev Distances'!$B$26:$K$26,C108)</f>
        <v>1.7091930034</v>
      </c>
      <c r="D109" s="72">
        <f>INDEX('Zhuravlev Distances'!$B$26:$K$26,D108)</f>
        <v>1.9990166233</v>
      </c>
      <c r="E109" s="72">
        <f>INDEX('Zhuravlev Distances'!$B$26:$K$26,E108)</f>
        <v>2.0275695948</v>
      </c>
      <c r="F109" s="72">
        <f>INDEX('Zhuravlev Distances'!$B$26:$K$26,F108)</f>
        <v>2.1962328301</v>
      </c>
      <c r="G109" s="72">
        <f>INDEX('Zhuravlev Distances'!$B$26:$K$26,G108)</f>
        <v>2.4162508238</v>
      </c>
      <c r="H109" s="72">
        <f>INDEX('Zhuravlev Distances'!$B$26:$K$26,H108)</f>
        <v>2.4680753016</v>
      </c>
      <c r="I109" s="72">
        <f>INDEX('Zhuravlev Distances'!$B$26:$K$26,I108)</f>
        <v>2.6399232652</v>
      </c>
      <c r="J109" s="72">
        <f>INDEX('Zhuravlev Distances'!$B$26:$K$26,J108)</f>
        <v>2.6901306636</v>
      </c>
    </row>
    <row r="110">
      <c r="A110" s="65" t="inlineStr">
        <is>
          <t xml:space="preserve">Class</t>
        </is>
      </c>
      <c r="B110" s="68">
        <f>INDEX(Dataset!$O$3:$O$12,B108)</f>
        <v>2</v>
      </c>
      <c r="C110" s="68">
        <f>INDEX(Dataset!$O$3:$O$12,C108)</f>
        <v>2</v>
      </c>
      <c r="D110" s="68">
        <f>INDEX(Dataset!$O$3:$O$12,D108)</f>
        <v>2</v>
      </c>
      <c r="E110" s="68">
        <f>INDEX(Dataset!$O$3:$O$12,E108)</f>
        <v>2</v>
      </c>
      <c r="F110" s="68">
        <f>INDEX(Dataset!$O$3:$O$12,F108)</f>
        <v>1</v>
      </c>
      <c r="G110" s="68">
        <f>INDEX(Dataset!$O$3:$O$12,G108)</f>
        <v>1</v>
      </c>
      <c r="H110" s="68">
        <f>INDEX(Dataset!$O$3:$O$12,H108)</f>
        <v>2</v>
      </c>
      <c r="I110" s="68">
        <f>INDEX(Dataset!$O$3:$O$12,I108)</f>
        <v>1</v>
      </c>
      <c r="J110" s="68">
        <f>INDEX(Dataset!$O$3:$O$12,J108)</f>
        <v>1</v>
      </c>
    </row>
    <row r="111">
      <c r="A111" s="65" t="inlineStr">
        <is>
          <t xml:space="preserve">Same class as S₉</t>
        </is>
      </c>
      <c r="B111" s="74">
        <f>IF(B110=Dataset!$O$11,1,0)</f>
        <v>1</v>
      </c>
      <c r="C111" s="74">
        <f>IF(C110=Dataset!$O$11,1,0)</f>
        <v>1</v>
      </c>
      <c r="D111" s="74">
        <f>IF(D110=Dataset!$O$11,1,0)</f>
        <v>1</v>
      </c>
      <c r="E111" s="74">
        <f>IF(E110=Dataset!$O$11,1,0)</f>
        <v>1</v>
      </c>
      <c r="F111" s="74">
        <f>IF(F110=Dataset!$O$11,1,0)</f>
        <v>0</v>
      </c>
      <c r="G111" s="74">
        <f>IF(G110=Dataset!$O$11,1,0)</f>
        <v>0</v>
      </c>
      <c r="H111" s="74">
        <f>IF(H110=Dataset!$O$11,1,0)</f>
        <v>1</v>
      </c>
      <c r="I111" s="74">
        <f>IF(I110=Dataset!$O$11,1,0)</f>
        <v>0</v>
      </c>
      <c r="J111" s="74">
        <f>IF(J110=Dataset!$O$11,1,0)</f>
        <v>0</v>
      </c>
    </row>
    <row r="112">
      <c r="A112" s="65" t="inlineStr">
        <is>
          <t xml:space="preserve">Same-class count μ (1 … rank)</t>
        </is>
      </c>
      <c r="B112" s="74">
        <f>SUM($B111:B111)</f>
        <v>1</v>
      </c>
      <c r="C112" s="74">
        <f>SUM($B111:C111)</f>
        <v>2</v>
      </c>
      <c r="D112" s="74">
        <f>SUM($B111:D111)</f>
        <v>3</v>
      </c>
      <c r="E112" s="74">
        <f>SUM($B111:E111)</f>
        <v>4</v>
      </c>
      <c r="F112" s="74">
        <f>SUM($B111:F111)</f>
        <v>4</v>
      </c>
      <c r="G112" s="74">
        <f>SUM($B111:G111)</f>
        <v>4</v>
      </c>
      <c r="H112" s="74">
        <f>SUM($B111:H111)</f>
        <v>5</v>
      </c>
      <c r="I112" s="74">
        <f>SUM($B111:I111)</f>
        <v>5</v>
      </c>
      <c r="J112" s="74">
        <f>SUM($B111:J111)</f>
        <v>5</v>
      </c>
    </row>
    <row r="113">
      <c r="A113" s="65" t="inlineStr">
        <is>
          <t xml:space="preserve">K1 count χ₁ (1 … rank)</t>
        </is>
      </c>
      <c r="B113" s="74">
        <f>COUNTIF($B110:B110,1)</f>
        <v>0</v>
      </c>
      <c r="C113" s="74">
        <f>COUNTIF($B110:C110,1)</f>
        <v>0</v>
      </c>
      <c r="D113" s="74">
        <f>COUNTIF($B110:D110,1)</f>
        <v>0</v>
      </c>
      <c r="E113" s="74">
        <f>COUNTIF($B110:E110,1)</f>
        <v>0</v>
      </c>
      <c r="F113" s="74">
        <f>COUNTIF($B110:F110,1)</f>
        <v>1</v>
      </c>
      <c r="G113" s="74">
        <f>COUNTIF($B110:G110,1)</f>
        <v>2</v>
      </c>
      <c r="H113" s="74">
        <f>COUNTIF($B110:H110,1)</f>
        <v>2</v>
      </c>
      <c r="I113" s="74">
        <f>COUNTIF($B110:I110,1)</f>
        <v>3</v>
      </c>
      <c r="J113" s="74">
        <f>COUNTIF($B110:J110,1)</f>
        <v>4</v>
      </c>
    </row>
    <row r="114"/>
    <row r="115">
      <c r="A115" s="59" t="str">
        <f>"S₁₀  ·  class "&amp;Dataset!$O$12&amp;"  —  neighbours in ascending ρ_I  (target row 14 of the rank matrix)"</f>
        <v>S₁₀  ·  class 2  —  neighbours in ascending ρ_I  (target row 14 of the rank matrix)</v>
      </c>
      <c r="B115" s="59"/>
      <c r="C115" s="59"/>
      <c r="D115" s="59"/>
      <c r="E115" s="59"/>
      <c r="F115" s="59"/>
      <c r="G115" s="59"/>
      <c r="H115" s="59"/>
      <c r="I115" s="59"/>
      <c r="J115" s="59"/>
    </row>
    <row r="116">
      <c r="A116" s="60" t="inlineStr">
        <is>
          <t xml:space="preserve">Rank</t>
        </is>
      </c>
      <c r="B116" s="60">
        <v>1</v>
      </c>
      <c r="C116" s="60">
        <v>2</v>
      </c>
      <c r="D116" s="60">
        <v>3</v>
      </c>
      <c r="E116" s="60">
        <v>4</v>
      </c>
      <c r="F116" s="60">
        <v>5</v>
      </c>
      <c r="G116" s="60">
        <v>6</v>
      </c>
      <c r="H116" s="60">
        <v>7</v>
      </c>
      <c r="I116" s="60">
        <v>8</v>
      </c>
      <c r="J116" s="60">
        <v>9</v>
      </c>
    </row>
    <row r="117">
      <c r="A117" s="65" t="inlineStr">
        <is>
          <t xml:space="preserve">k-neighbourhood</t>
        </is>
      </c>
      <c r="B117" s="78" t="str">
        <f>IF(AND(B$116&gt;='Parameters'!$B$9,B$116&lt;='Parameters'!$B$10,MOD(B$116-'Parameters'!$B$9,2)=0),"k = "&amp;B$116,"")</f>
        <v/>
      </c>
      <c r="C117" s="78" t="str">
        <f>IF(AND(C$116&gt;='Parameters'!$B$9,C$116&lt;='Parameters'!$B$10,MOD(C$116-'Parameters'!$B$9,2)=0),"k = "&amp;C$116,"")</f>
        <v/>
      </c>
      <c r="D117" s="78" t="str">
        <f>IF(AND(D$116&gt;='Parameters'!$B$9,D$116&lt;='Parameters'!$B$10,MOD(D$116-'Parameters'!$B$9,2)=0),"k = "&amp;D$116,"")</f>
        <v>k = 3</v>
      </c>
      <c r="E117" s="78" t="str">
        <f>IF(AND(E$116&gt;='Parameters'!$B$9,E$116&lt;='Parameters'!$B$10,MOD(E$116-'Parameters'!$B$9,2)=0),"k = "&amp;E$116,"")</f>
        <v/>
      </c>
      <c r="F117" s="78" t="str">
        <f>IF(AND(F$116&gt;='Parameters'!$B$9,F$116&lt;='Parameters'!$B$10,MOD(F$116-'Parameters'!$B$9,2)=0),"k = "&amp;F$116,"")</f>
        <v>k = 5</v>
      </c>
      <c r="G117" s="78" t="str">
        <f>IF(AND(G$116&gt;='Parameters'!$B$9,G$116&lt;='Parameters'!$B$10,MOD(G$116-'Parameters'!$B$9,2)=0),"k = "&amp;G$116,"")</f>
        <v/>
      </c>
      <c r="H117" s="78" t="str">
        <f>IF(AND(H$116&gt;='Parameters'!$B$9,H$116&lt;='Parameters'!$B$10,MOD(H$116-'Parameters'!$B$9,2)=0),"k = "&amp;H$116,"")</f>
        <v/>
      </c>
      <c r="I117" s="78" t="str">
        <f>IF(AND(I$116&gt;='Parameters'!$B$9,I$116&lt;='Parameters'!$B$10,MOD(I$116-'Parameters'!$B$9,2)=0),"k = "&amp;I$116,"")</f>
        <v/>
      </c>
      <c r="J117" s="78" t="str">
        <f>IF(AND(J$116&gt;='Parameters'!$B$9,J$116&lt;='Parameters'!$B$10,MOD(J$116-'Parameters'!$B$9,2)=0),"k = "&amp;J$116,"")</f>
        <v/>
      </c>
    </row>
    <row r="118">
      <c r="A118" s="65" t="inlineStr">
        <is>
          <t xml:space="preserve">Neighbour</t>
        </is>
      </c>
      <c r="B118" s="64" t="str">
        <f>INDEX('Zhuravlev Distances'!$B$17:$K$17,B119)</f>
        <v>S₉</v>
      </c>
      <c r="C118" s="64" t="str">
        <f>INDEX('Zhuravlev Distances'!$B$17:$K$17,C119)</f>
        <v>S₁</v>
      </c>
      <c r="D118" s="64" t="str">
        <f>INDEX('Zhuravlev Distances'!$B$17:$K$17,D119)</f>
        <v>S₇</v>
      </c>
      <c r="E118" s="64" t="str">
        <f>INDEX('Zhuravlev Distances'!$B$17:$K$17,E119)</f>
        <v>S₂</v>
      </c>
      <c r="F118" s="64" t="str">
        <f>INDEX('Zhuravlev Distances'!$B$17:$K$17,F119)</f>
        <v>S₈</v>
      </c>
      <c r="G118" s="64" t="str">
        <f>INDEX('Zhuravlev Distances'!$B$17:$K$17,G119)</f>
        <v>S₄</v>
      </c>
      <c r="H118" s="64" t="str">
        <f>INDEX('Zhuravlev Distances'!$B$17:$K$17,H119)</f>
        <v>S₃</v>
      </c>
      <c r="I118" s="64" t="str">
        <f>INDEX('Zhuravlev Distances'!$B$17:$K$17,I119)</f>
        <v>S₆</v>
      </c>
      <c r="J118" s="64" t="str">
        <f>INDEX('Zhuravlev Distances'!$B$17:$K$17,J119)</f>
        <v>S₅</v>
      </c>
    </row>
    <row r="119">
      <c r="A119" s="65" t="inlineStr">
        <is>
          <t xml:space="preserve">Original index</t>
        </is>
      </c>
      <c r="B119" s="76">
        <f>MATCH(B$116,$B$14:$K$14,0)</f>
        <v>9</v>
      </c>
      <c r="C119" s="76">
        <f>MATCH(C$116,$B$14:$K$14,0)</f>
        <v>1</v>
      </c>
      <c r="D119" s="76">
        <f>MATCH(D$116,$B$14:$K$14,0)</f>
        <v>7</v>
      </c>
      <c r="E119" s="76">
        <f>MATCH(E$116,$B$14:$K$14,0)</f>
        <v>2</v>
      </c>
      <c r="F119" s="76">
        <f>MATCH(F$116,$B$14:$K$14,0)</f>
        <v>8</v>
      </c>
      <c r="G119" s="76">
        <f>MATCH(G$116,$B$14:$K$14,0)</f>
        <v>4</v>
      </c>
      <c r="H119" s="76">
        <f>MATCH(H$116,$B$14:$K$14,0)</f>
        <v>3</v>
      </c>
      <c r="I119" s="76">
        <f>MATCH(I$116,$B$14:$K$14,0)</f>
        <v>6</v>
      </c>
      <c r="J119" s="76">
        <f>MATCH(J$116,$B$14:$K$14,0)</f>
        <v>5</v>
      </c>
    </row>
    <row r="120">
      <c r="A120" s="65" t="inlineStr">
        <is>
          <t xml:space="preserve">ρ_I(S₁₀, neighbour)</t>
        </is>
      </c>
      <c r="B120" s="72">
        <f>INDEX('Zhuravlev Distances'!$B$27:$K$27,B119)</f>
        <v>2.0275695948</v>
      </c>
      <c r="C120" s="72">
        <f>INDEX('Zhuravlev Distances'!$B$27:$K$27,C119)</f>
        <v>2.2218874557</v>
      </c>
      <c r="D120" s="72">
        <f>INDEX('Zhuravlev Distances'!$B$27:$K$27,D119)</f>
        <v>3.0250886608</v>
      </c>
      <c r="E120" s="72">
        <f>INDEX('Zhuravlev Distances'!$B$27:$K$27,E119)</f>
        <v>3.2267936164</v>
      </c>
      <c r="F120" s="72">
        <f>INDEX('Zhuravlev Distances'!$B$27:$K$27,F119)</f>
        <v>3.2444549059</v>
      </c>
      <c r="G120" s="72">
        <f>INDEX('Zhuravlev Distances'!$B$27:$K$27,G119)</f>
        <v>3.3981613993</v>
      </c>
      <c r="H120" s="72">
        <f>INDEX('Zhuravlev Distances'!$B$27:$K$27,H119)</f>
        <v>3.5342785258</v>
      </c>
      <c r="I120" s="72">
        <f>INDEX('Zhuravlev Distances'!$B$27:$K$27,I119)</f>
        <v>3.618179393</v>
      </c>
      <c r="J120" s="72">
        <f>INDEX('Zhuravlev Distances'!$B$27:$K$27,J119)</f>
        <v>3.8920592328</v>
      </c>
    </row>
    <row r="121">
      <c r="A121" s="65" t="inlineStr">
        <is>
          <t xml:space="preserve">Class</t>
        </is>
      </c>
      <c r="B121" s="68">
        <f>INDEX(Dataset!$O$3:$O$12,B119)</f>
        <v>2</v>
      </c>
      <c r="C121" s="68">
        <f>INDEX(Dataset!$O$3:$O$12,C119)</f>
        <v>2</v>
      </c>
      <c r="D121" s="68">
        <f>INDEX(Dataset!$O$3:$O$12,D119)</f>
        <v>2</v>
      </c>
      <c r="E121" s="68">
        <f>INDEX(Dataset!$O$3:$O$12,E119)</f>
        <v>1</v>
      </c>
      <c r="F121" s="68">
        <f>INDEX(Dataset!$O$3:$O$12,F119)</f>
        <v>2</v>
      </c>
      <c r="G121" s="68">
        <f>INDEX(Dataset!$O$3:$O$12,G119)</f>
        <v>1</v>
      </c>
      <c r="H121" s="68">
        <f>INDEX(Dataset!$O$3:$O$12,H119)</f>
        <v>2</v>
      </c>
      <c r="I121" s="68">
        <f>INDEX(Dataset!$O$3:$O$12,I119)</f>
        <v>1</v>
      </c>
      <c r="J121" s="68">
        <f>INDEX(Dataset!$O$3:$O$12,J119)</f>
        <v>1</v>
      </c>
    </row>
    <row r="122">
      <c r="A122" s="65" t="inlineStr">
        <is>
          <t xml:space="preserve">Same class as S₁₀</t>
        </is>
      </c>
      <c r="B122" s="74">
        <f>IF(B121=Dataset!$O$12,1,0)</f>
        <v>1</v>
      </c>
      <c r="C122" s="74">
        <f>IF(C121=Dataset!$O$12,1,0)</f>
        <v>1</v>
      </c>
      <c r="D122" s="74">
        <f>IF(D121=Dataset!$O$12,1,0)</f>
        <v>1</v>
      </c>
      <c r="E122" s="74">
        <f>IF(E121=Dataset!$O$12,1,0)</f>
        <v>0</v>
      </c>
      <c r="F122" s="74">
        <f>IF(F121=Dataset!$O$12,1,0)</f>
        <v>1</v>
      </c>
      <c r="G122" s="74">
        <f>IF(G121=Dataset!$O$12,1,0)</f>
        <v>0</v>
      </c>
      <c r="H122" s="74">
        <f>IF(H121=Dataset!$O$12,1,0)</f>
        <v>1</v>
      </c>
      <c r="I122" s="74">
        <f>IF(I121=Dataset!$O$12,1,0)</f>
        <v>0</v>
      </c>
      <c r="J122" s="74">
        <f>IF(J121=Dataset!$O$12,1,0)</f>
        <v>0</v>
      </c>
    </row>
    <row r="123">
      <c r="A123" s="65" t="inlineStr">
        <is>
          <t xml:space="preserve">Same-class count μ (1 … rank)</t>
        </is>
      </c>
      <c r="B123" s="74">
        <f>SUM($B122:B122)</f>
        <v>1</v>
      </c>
      <c r="C123" s="74">
        <f>SUM($B122:C122)</f>
        <v>2</v>
      </c>
      <c r="D123" s="74">
        <f>SUM($B122:D122)</f>
        <v>3</v>
      </c>
      <c r="E123" s="74">
        <f>SUM($B122:E122)</f>
        <v>3</v>
      </c>
      <c r="F123" s="74">
        <f>SUM($B122:F122)</f>
        <v>4</v>
      </c>
      <c r="G123" s="74">
        <f>SUM($B122:G122)</f>
        <v>4</v>
      </c>
      <c r="H123" s="74">
        <f>SUM($B122:H122)</f>
        <v>5</v>
      </c>
      <c r="I123" s="74">
        <f>SUM($B122:I122)</f>
        <v>5</v>
      </c>
      <c r="J123" s="74">
        <f>SUM($B122:J122)</f>
        <v>5</v>
      </c>
    </row>
    <row r="124">
      <c r="A124" s="65" t="inlineStr">
        <is>
          <t xml:space="preserve">K1 count χ₁ (1 … rank)</t>
        </is>
      </c>
      <c r="B124" s="74">
        <f>COUNTIF($B121:B121,1)</f>
        <v>0</v>
      </c>
      <c r="C124" s="74">
        <f>COUNTIF($B121:C121,1)</f>
        <v>0</v>
      </c>
      <c r="D124" s="74">
        <f>COUNTIF($B121:D121,1)</f>
        <v>0</v>
      </c>
      <c r="E124" s="74">
        <f>COUNTIF($B121:E121,1)</f>
        <v>1</v>
      </c>
      <c r="F124" s="74">
        <f>COUNTIF($B121:F121,1)</f>
        <v>1</v>
      </c>
      <c r="G124" s="74">
        <f>COUNTIF($B121:G121,1)</f>
        <v>2</v>
      </c>
      <c r="H124" s="74">
        <f>COUNTIF($B121:H121,1)</f>
        <v>2</v>
      </c>
      <c r="I124" s="74">
        <f>COUNTIF($B121:I121,1)</f>
        <v>3</v>
      </c>
      <c r="J124" s="74">
        <f>COUNTIF($B121:J121,1)</f>
        <v>4</v>
      </c>
    </row>
    <row r="125"/>
    <row r="126">
      <c r="A126" s="99" t="inlineStr">
        <is>
          <t xml:space="preserve">Ranks use the distances of Step 2: rank = 1 + #{objects closer than Sⱼ} + #{objects at the same distance with a smaller original index}; the target itself is excluded.</t>
        </is>
      </c>
    </row>
    <row r="127">
      <c r="A127" s="99" t="inlineStr">
        <is>
          <t xml:space="preserve">Yellow cells mark the nested neighbourhoods of the permitted k (odd, k_min … k_max from the Parameters sheet).</t>
        </is>
      </c>
    </row>
    <row r="128">
      <c r="A128" s="99" t="inlineStr">
        <is>
          <t xml:space="preserve">μ (same-class count) needs the class of the target — it is used only on the training side (formulas (1)–(4)).</t>
        </is>
      </c>
    </row>
    <row r="129">
      <c r="A129" s="99" t="inlineStr">
        <is>
          <t xml:space="preserve">χ₁ (number of K1 objects among the first k) does not use the class of the target — it gives the synthetic feature (5) and is computed the same way for a new object.</t>
        </is>
      </c>
    </row>
  </sheetData>
  <mergeCells count="12">
    <mergeCell ref="A1:K1"/>
    <mergeCell ref="A3:K3"/>
    <mergeCell ref="A16:J16"/>
    <mergeCell ref="A27:J27"/>
    <mergeCell ref="A38:J38"/>
    <mergeCell ref="A49:J49"/>
    <mergeCell ref="A60:J60"/>
    <mergeCell ref="A71:J71"/>
    <mergeCell ref="A82:J82"/>
    <mergeCell ref="A93:J93"/>
    <mergeCell ref="A104:J104"/>
    <mergeCell ref="A115:J115"/>
  </mergeCells>
  <conditionalFormatting sqref="B23:J23">
    <cfRule type="cellIs" dxfId="0" priority="1" operator="equal">
      <formula>1</formula>
    </cfRule>
  </conditionalFormatting>
  <conditionalFormatting sqref="B18:J18">
    <cfRule type="expression" dxfId="1" priority="2">
      <formula>B$18&lt;&gt;""</formula>
    </cfRule>
  </conditionalFormatting>
  <conditionalFormatting sqref="B24:J24">
    <cfRule type="expression" dxfId="1" priority="3">
      <formula>B$18&lt;&gt;""</formula>
    </cfRule>
  </conditionalFormatting>
  <conditionalFormatting sqref="B25:J25">
    <cfRule type="expression" dxfId="1" priority="4">
      <formula>B$18&lt;&gt;""</formula>
    </cfRule>
  </conditionalFormatting>
  <conditionalFormatting sqref="B34:J34">
    <cfRule type="cellIs" dxfId="0" priority="5" operator="equal">
      <formula>1</formula>
    </cfRule>
  </conditionalFormatting>
  <conditionalFormatting sqref="B29:J29">
    <cfRule type="expression" dxfId="1" priority="6">
      <formula>B$29&lt;&gt;""</formula>
    </cfRule>
  </conditionalFormatting>
  <conditionalFormatting sqref="B35:J35">
    <cfRule type="expression" dxfId="1" priority="7">
      <formula>B$29&lt;&gt;""</formula>
    </cfRule>
  </conditionalFormatting>
  <conditionalFormatting sqref="B36:J36">
    <cfRule type="expression" dxfId="1" priority="8">
      <formula>B$29&lt;&gt;""</formula>
    </cfRule>
  </conditionalFormatting>
  <conditionalFormatting sqref="B45:J45">
    <cfRule type="cellIs" dxfId="0" priority="9" operator="equal">
      <formula>1</formula>
    </cfRule>
  </conditionalFormatting>
  <conditionalFormatting sqref="B40:J40">
    <cfRule type="expression" dxfId="1" priority="10">
      <formula>B$40&lt;&gt;""</formula>
    </cfRule>
  </conditionalFormatting>
  <conditionalFormatting sqref="B46:J46">
    <cfRule type="expression" dxfId="1" priority="11">
      <formula>B$40&lt;&gt;""</formula>
    </cfRule>
  </conditionalFormatting>
  <conditionalFormatting sqref="B47:J47">
    <cfRule type="expression" dxfId="1" priority="12">
      <formula>B$40&lt;&gt;""</formula>
    </cfRule>
  </conditionalFormatting>
  <conditionalFormatting sqref="B56:J56">
    <cfRule type="cellIs" dxfId="0" priority="13" operator="equal">
      <formula>1</formula>
    </cfRule>
  </conditionalFormatting>
  <conditionalFormatting sqref="B51:J51">
    <cfRule type="expression" dxfId="1" priority="14">
      <formula>B$51&lt;&gt;""</formula>
    </cfRule>
  </conditionalFormatting>
  <conditionalFormatting sqref="B57:J57">
    <cfRule type="expression" dxfId="1" priority="15">
      <formula>B$51&lt;&gt;""</formula>
    </cfRule>
  </conditionalFormatting>
  <conditionalFormatting sqref="B58:J58">
    <cfRule type="expression" dxfId="1" priority="16">
      <formula>B$51&lt;&gt;""</formula>
    </cfRule>
  </conditionalFormatting>
  <conditionalFormatting sqref="B67:J67">
    <cfRule type="cellIs" dxfId="0" priority="17" operator="equal">
      <formula>1</formula>
    </cfRule>
  </conditionalFormatting>
  <conditionalFormatting sqref="B62:J62">
    <cfRule type="expression" dxfId="1" priority="18">
      <formula>B$62&lt;&gt;""</formula>
    </cfRule>
  </conditionalFormatting>
  <conditionalFormatting sqref="B68:J68">
    <cfRule type="expression" dxfId="1" priority="19">
      <formula>B$62&lt;&gt;""</formula>
    </cfRule>
  </conditionalFormatting>
  <conditionalFormatting sqref="B69:J69">
    <cfRule type="expression" dxfId="1" priority="20">
      <formula>B$62&lt;&gt;""</formula>
    </cfRule>
  </conditionalFormatting>
  <conditionalFormatting sqref="B78:J78">
    <cfRule type="cellIs" dxfId="0" priority="21" operator="equal">
      <formula>1</formula>
    </cfRule>
  </conditionalFormatting>
  <conditionalFormatting sqref="B73:J73">
    <cfRule type="expression" dxfId="1" priority="22">
      <formula>B$73&lt;&gt;""</formula>
    </cfRule>
  </conditionalFormatting>
  <conditionalFormatting sqref="B79:J79">
    <cfRule type="expression" dxfId="1" priority="23">
      <formula>B$73&lt;&gt;""</formula>
    </cfRule>
  </conditionalFormatting>
  <conditionalFormatting sqref="B80:J80">
    <cfRule type="expression" dxfId="1" priority="24">
      <formula>B$73&lt;&gt;""</formula>
    </cfRule>
  </conditionalFormatting>
  <conditionalFormatting sqref="B89:J89">
    <cfRule type="cellIs" dxfId="0" priority="25" operator="equal">
      <formula>1</formula>
    </cfRule>
  </conditionalFormatting>
  <conditionalFormatting sqref="B84:J84">
    <cfRule type="expression" dxfId="1" priority="26">
      <formula>B$84&lt;&gt;""</formula>
    </cfRule>
  </conditionalFormatting>
  <conditionalFormatting sqref="B90:J90">
    <cfRule type="expression" dxfId="1" priority="27">
      <formula>B$84&lt;&gt;""</formula>
    </cfRule>
  </conditionalFormatting>
  <conditionalFormatting sqref="B91:J91">
    <cfRule type="expression" dxfId="1" priority="28">
      <formula>B$84&lt;&gt;""</formula>
    </cfRule>
  </conditionalFormatting>
  <conditionalFormatting sqref="B100:J100">
    <cfRule type="cellIs" dxfId="0" priority="29" operator="equal">
      <formula>1</formula>
    </cfRule>
  </conditionalFormatting>
  <conditionalFormatting sqref="B95:J95">
    <cfRule type="expression" dxfId="1" priority="30">
      <formula>B$95&lt;&gt;""</formula>
    </cfRule>
  </conditionalFormatting>
  <conditionalFormatting sqref="B101:J101">
    <cfRule type="expression" dxfId="1" priority="31">
      <formula>B$95&lt;&gt;""</formula>
    </cfRule>
  </conditionalFormatting>
  <conditionalFormatting sqref="B102:J102">
    <cfRule type="expression" dxfId="1" priority="32">
      <formula>B$95&lt;&gt;""</formula>
    </cfRule>
  </conditionalFormatting>
  <conditionalFormatting sqref="B111:J111">
    <cfRule type="cellIs" dxfId="0" priority="33" operator="equal">
      <formula>1</formula>
    </cfRule>
  </conditionalFormatting>
  <conditionalFormatting sqref="B106:J106">
    <cfRule type="expression" dxfId="1" priority="34">
      <formula>B$106&lt;&gt;""</formula>
    </cfRule>
  </conditionalFormatting>
  <conditionalFormatting sqref="B112:J112">
    <cfRule type="expression" dxfId="1" priority="35">
      <formula>B$106&lt;&gt;""</formula>
    </cfRule>
  </conditionalFormatting>
  <conditionalFormatting sqref="B113:J113">
    <cfRule type="expression" dxfId="1" priority="36">
      <formula>B$106&lt;&gt;""</formula>
    </cfRule>
  </conditionalFormatting>
  <conditionalFormatting sqref="B122:J122">
    <cfRule type="cellIs" dxfId="0" priority="37" operator="equal">
      <formula>1</formula>
    </cfRule>
  </conditionalFormatting>
  <conditionalFormatting sqref="B117:J117">
    <cfRule type="expression" dxfId="1" priority="38">
      <formula>B$117&lt;&gt;""</formula>
    </cfRule>
  </conditionalFormatting>
  <conditionalFormatting sqref="B123:J123">
    <cfRule type="expression" dxfId="1" priority="39">
      <formula>B$117&lt;&gt;""</formula>
    </cfRule>
  </conditionalFormatting>
  <conditionalFormatting sqref="B124:J124">
    <cfRule type="expression" dxfId="1" priority="40">
      <formula>B$117&lt;&gt;""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7030A0"/>
    <pageSetUpPr fitToPage="1"/>
  </sheetPr>
  <dimension ref="A1:K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0.77734375" customWidth="1"/>
    <col min="2" max="11" width="11.77734375" customWidth="1"/>
  </cols>
  <sheetData>
    <row r="1" ht="20" customHeight="1">
      <c r="A1" s="57" t="inlineStr">
        <is>
          <t xml:space="preserve">Step 3 · Operator ρ_J — neighbours of every object sorted by ascending ρ_J, original index and class kept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/>
    <row r="3">
      <c r="A3" s="58" t="inlineStr">
        <is>
          <t xml:space="preserve">Rank of Sⱼ in the neighbour list of Sᵢ under ρ_J  (self excluded; equal distances → smaller original index first)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>
      <c r="A4" s="60" t="inlineStr">
        <is>
          <t xml:space="preserve">Sᵢ \ Sⱼ</t>
        </is>
      </c>
      <c r="B4" s="60" t="inlineStr">
        <is>
          <t xml:space="preserve">S₁</t>
        </is>
      </c>
      <c r="C4" s="60" t="inlineStr">
        <is>
          <t xml:space="preserve">S₂</t>
        </is>
      </c>
      <c r="D4" s="60" t="inlineStr">
        <is>
          <t xml:space="preserve">S₃</t>
        </is>
      </c>
      <c r="E4" s="60" t="inlineStr">
        <is>
          <t xml:space="preserve">S₄</t>
        </is>
      </c>
      <c r="F4" s="60" t="inlineStr">
        <is>
          <t xml:space="preserve">S₅</t>
        </is>
      </c>
      <c r="G4" s="60" t="inlineStr">
        <is>
          <t xml:space="preserve">S₆</t>
        </is>
      </c>
      <c r="H4" s="60" t="inlineStr">
        <is>
          <t xml:space="preserve">S₇</t>
        </is>
      </c>
      <c r="I4" s="60" t="inlineStr">
        <is>
          <t xml:space="preserve">S₈</t>
        </is>
      </c>
      <c r="J4" s="60" t="inlineStr">
        <is>
          <t xml:space="preserve">S₉</t>
        </is>
      </c>
      <c r="K4" s="60" t="inlineStr">
        <is>
          <t xml:space="preserve">S₁₀</t>
        </is>
      </c>
    </row>
    <row r="5">
      <c r="A5" s="64" t="inlineStr">
        <is>
          <t xml:space="preserve">S₁</t>
        </is>
      </c>
      <c r="B5" s="75" t="inlineStr">
        <is>
          <t xml:space="preserve">—</t>
        </is>
      </c>
      <c r="C5" s="74">
        <f>1+SUMPRODUCT(('Zhuravlev Distances'!$B$31:$K$31&lt;'Zhuravlev Distances'!C$31)*(COLUMN('Zhuravlev Distances'!$B$31:$K$31)&lt;&gt;COLUMN('Zhuravlev Distances'!B$31)))+SUMPRODUCT(('Zhuravlev Distances'!$B$31:$K$31='Zhuravlev Distances'!C$31)*(COLUMN('Zhuravlev Distances'!$B$31:$K$31)&lt;COLUMN('Zhuravlev Distances'!C$31))*(COLUMN('Zhuravlev Distances'!$B$31:$K$31)&lt;&gt;COLUMN('Zhuravlev Distances'!B$31)))</f>
        <v>4</v>
      </c>
      <c r="D5" s="74">
        <f>1+SUMPRODUCT(('Zhuravlev Distances'!$B$31:$K$31&lt;'Zhuravlev Distances'!D$31)*(COLUMN('Zhuravlev Distances'!$B$31:$K$31)&lt;&gt;COLUMN('Zhuravlev Distances'!B$31)))+SUMPRODUCT(('Zhuravlev Distances'!$B$31:$K$31='Zhuravlev Distances'!D$31)*(COLUMN('Zhuravlev Distances'!$B$31:$K$31)&lt;COLUMN('Zhuravlev Distances'!D$31))*(COLUMN('Zhuravlev Distances'!$B$31:$K$31)&lt;&gt;COLUMN('Zhuravlev Distances'!B$31)))</f>
        <v>7</v>
      </c>
      <c r="E5" s="74">
        <f>1+SUMPRODUCT(('Zhuravlev Distances'!$B$31:$K$31&lt;'Zhuravlev Distances'!E$31)*(COLUMN('Zhuravlev Distances'!$B$31:$K$31)&lt;&gt;COLUMN('Zhuravlev Distances'!B$31)))+SUMPRODUCT(('Zhuravlev Distances'!$B$31:$K$31='Zhuravlev Distances'!E$31)*(COLUMN('Zhuravlev Distances'!$B$31:$K$31)&lt;COLUMN('Zhuravlev Distances'!E$31))*(COLUMN('Zhuravlev Distances'!$B$31:$K$31)&lt;&gt;COLUMN('Zhuravlev Distances'!B$31)))</f>
        <v>5</v>
      </c>
      <c r="F5" s="74">
        <f>1+SUMPRODUCT(('Zhuravlev Distances'!$B$31:$K$31&lt;'Zhuravlev Distances'!F$31)*(COLUMN('Zhuravlev Distances'!$B$31:$K$31)&lt;&gt;COLUMN('Zhuravlev Distances'!B$31)))+SUMPRODUCT(('Zhuravlev Distances'!$B$31:$K$31='Zhuravlev Distances'!F$31)*(COLUMN('Zhuravlev Distances'!$B$31:$K$31)&lt;COLUMN('Zhuravlev Distances'!F$31))*(COLUMN('Zhuravlev Distances'!$B$31:$K$31)&lt;&gt;COLUMN('Zhuravlev Distances'!B$31)))</f>
        <v>8</v>
      </c>
      <c r="G5" s="74">
        <f>1+SUMPRODUCT(('Zhuravlev Distances'!$B$31:$K$31&lt;'Zhuravlev Distances'!G$31)*(COLUMN('Zhuravlev Distances'!$B$31:$K$31)&lt;&gt;COLUMN('Zhuravlev Distances'!B$31)))+SUMPRODUCT(('Zhuravlev Distances'!$B$31:$K$31='Zhuravlev Distances'!G$31)*(COLUMN('Zhuravlev Distances'!$B$31:$K$31)&lt;COLUMN('Zhuravlev Distances'!G$31))*(COLUMN('Zhuravlev Distances'!$B$31:$K$31)&lt;&gt;COLUMN('Zhuravlev Distances'!B$31)))</f>
        <v>6</v>
      </c>
      <c r="H5" s="74">
        <f>1+SUMPRODUCT(('Zhuravlev Distances'!$B$31:$K$31&lt;'Zhuravlev Distances'!H$31)*(COLUMN('Zhuravlev Distances'!$B$31:$K$31)&lt;&gt;COLUMN('Zhuravlev Distances'!B$31)))+SUMPRODUCT(('Zhuravlev Distances'!$B$31:$K$31='Zhuravlev Distances'!H$31)*(COLUMN('Zhuravlev Distances'!$B$31:$K$31)&lt;COLUMN('Zhuravlev Distances'!H$31))*(COLUMN('Zhuravlev Distances'!$B$31:$K$31)&lt;&gt;COLUMN('Zhuravlev Distances'!B$31)))</f>
        <v>9</v>
      </c>
      <c r="I5" s="74">
        <f>1+SUMPRODUCT(('Zhuravlev Distances'!$B$31:$K$31&lt;'Zhuravlev Distances'!I$31)*(COLUMN('Zhuravlev Distances'!$B$31:$K$31)&lt;&gt;COLUMN('Zhuravlev Distances'!B$31)))+SUMPRODUCT(('Zhuravlev Distances'!$B$31:$K$31='Zhuravlev Distances'!I$31)*(COLUMN('Zhuravlev Distances'!$B$31:$K$31)&lt;COLUMN('Zhuravlev Distances'!I$31))*(COLUMN('Zhuravlev Distances'!$B$31:$K$31)&lt;&gt;COLUMN('Zhuravlev Distances'!B$31)))</f>
        <v>2</v>
      </c>
      <c r="J5" s="74">
        <f>1+SUMPRODUCT(('Zhuravlev Distances'!$B$31:$K$31&lt;'Zhuravlev Distances'!J$31)*(COLUMN('Zhuravlev Distances'!$B$31:$K$31)&lt;&gt;COLUMN('Zhuravlev Distances'!B$31)))+SUMPRODUCT(('Zhuravlev Distances'!$B$31:$K$31='Zhuravlev Distances'!J$31)*(COLUMN('Zhuravlev Distances'!$B$31:$K$31)&lt;COLUMN('Zhuravlev Distances'!J$31))*(COLUMN('Zhuravlev Distances'!$B$31:$K$31)&lt;&gt;COLUMN('Zhuravlev Distances'!B$31)))</f>
        <v>1</v>
      </c>
      <c r="K5" s="74">
        <f>1+SUMPRODUCT(('Zhuravlev Distances'!$B$31:$K$31&lt;'Zhuravlev Distances'!K$31)*(COLUMN('Zhuravlev Distances'!$B$31:$K$31)&lt;&gt;COLUMN('Zhuravlev Distances'!B$31)))+SUMPRODUCT(('Zhuravlev Distances'!$B$31:$K$31='Zhuravlev Distances'!K$31)*(COLUMN('Zhuravlev Distances'!$B$31:$K$31)&lt;COLUMN('Zhuravlev Distances'!K$31))*(COLUMN('Zhuravlev Distances'!$B$31:$K$31)&lt;&gt;COLUMN('Zhuravlev Distances'!B$31)))</f>
        <v>3</v>
      </c>
    </row>
    <row r="6">
      <c r="A6" s="64" t="inlineStr">
        <is>
          <t xml:space="preserve">S₂</t>
        </is>
      </c>
      <c r="B6" s="74">
        <f>1+SUMPRODUCT(('Zhuravlev Distances'!$B$32:$K$32&lt;'Zhuravlev Distances'!B$32)*(COLUMN('Zhuravlev Distances'!$B$32:$K$32)&lt;&gt;COLUMN('Zhuravlev Distances'!C$32)))+SUMPRODUCT(('Zhuravlev Distances'!$B$32:$K$32='Zhuravlev Distances'!B$32)*(COLUMN('Zhuravlev Distances'!$B$32:$K$32)&lt;COLUMN('Zhuravlev Distances'!B$32))*(COLUMN('Zhuravlev Distances'!$B$32:$K$32)&lt;&gt;COLUMN('Zhuravlev Distances'!C$32)))</f>
        <v>3</v>
      </c>
      <c r="C6" s="75" t="inlineStr">
        <is>
          <t xml:space="preserve">—</t>
        </is>
      </c>
      <c r="D6" s="74">
        <f>1+SUMPRODUCT(('Zhuravlev Distances'!$B$32:$K$32&lt;'Zhuravlev Distances'!D$32)*(COLUMN('Zhuravlev Distances'!$B$32:$K$32)&lt;&gt;COLUMN('Zhuravlev Distances'!C$32)))+SUMPRODUCT(('Zhuravlev Distances'!$B$32:$K$32='Zhuravlev Distances'!D$32)*(COLUMN('Zhuravlev Distances'!$B$32:$K$32)&lt;COLUMN('Zhuravlev Distances'!D$32))*(COLUMN('Zhuravlev Distances'!$B$32:$K$32)&lt;&gt;COLUMN('Zhuravlev Distances'!C$32)))</f>
        <v>5</v>
      </c>
      <c r="E6" s="74">
        <f>1+SUMPRODUCT(('Zhuravlev Distances'!$B$32:$K$32&lt;'Zhuravlev Distances'!E$32)*(COLUMN('Zhuravlev Distances'!$B$32:$K$32)&lt;&gt;COLUMN('Zhuravlev Distances'!C$32)))+SUMPRODUCT(('Zhuravlev Distances'!$B$32:$K$32='Zhuravlev Distances'!E$32)*(COLUMN('Zhuravlev Distances'!$B$32:$K$32)&lt;COLUMN('Zhuravlev Distances'!E$32))*(COLUMN('Zhuravlev Distances'!$B$32:$K$32)&lt;&gt;COLUMN('Zhuravlev Distances'!C$32)))</f>
        <v>6</v>
      </c>
      <c r="F6" s="74">
        <f>1+SUMPRODUCT(('Zhuravlev Distances'!$B$32:$K$32&lt;'Zhuravlev Distances'!F$32)*(COLUMN('Zhuravlev Distances'!$B$32:$K$32)&lt;&gt;COLUMN('Zhuravlev Distances'!C$32)))+SUMPRODUCT(('Zhuravlev Distances'!$B$32:$K$32='Zhuravlev Distances'!F$32)*(COLUMN('Zhuravlev Distances'!$B$32:$K$32)&lt;COLUMN('Zhuravlev Distances'!F$32))*(COLUMN('Zhuravlev Distances'!$B$32:$K$32)&lt;&gt;COLUMN('Zhuravlev Distances'!C$32)))</f>
        <v>7</v>
      </c>
      <c r="G6" s="74">
        <f>1+SUMPRODUCT(('Zhuravlev Distances'!$B$32:$K$32&lt;'Zhuravlev Distances'!G$32)*(COLUMN('Zhuravlev Distances'!$B$32:$K$32)&lt;&gt;COLUMN('Zhuravlev Distances'!C$32)))+SUMPRODUCT(('Zhuravlev Distances'!$B$32:$K$32='Zhuravlev Distances'!G$32)*(COLUMN('Zhuravlev Distances'!$B$32:$K$32)&lt;COLUMN('Zhuravlev Distances'!G$32))*(COLUMN('Zhuravlev Distances'!$B$32:$K$32)&lt;&gt;COLUMN('Zhuravlev Distances'!C$32)))</f>
        <v>8</v>
      </c>
      <c r="H6" s="74">
        <f>1+SUMPRODUCT(('Zhuravlev Distances'!$B$32:$K$32&lt;'Zhuravlev Distances'!H$32)*(COLUMN('Zhuravlev Distances'!$B$32:$K$32)&lt;&gt;COLUMN('Zhuravlev Distances'!C$32)))+SUMPRODUCT(('Zhuravlev Distances'!$B$32:$K$32='Zhuravlev Distances'!H$32)*(COLUMN('Zhuravlev Distances'!$B$32:$K$32)&lt;COLUMN('Zhuravlev Distances'!H$32))*(COLUMN('Zhuravlev Distances'!$B$32:$K$32)&lt;&gt;COLUMN('Zhuravlev Distances'!C$32)))</f>
        <v>9</v>
      </c>
      <c r="I6" s="74">
        <f>1+SUMPRODUCT(('Zhuravlev Distances'!$B$32:$K$32&lt;'Zhuravlev Distances'!I$32)*(COLUMN('Zhuravlev Distances'!$B$32:$K$32)&lt;&gt;COLUMN('Zhuravlev Distances'!C$32)))+SUMPRODUCT(('Zhuravlev Distances'!$B$32:$K$32='Zhuravlev Distances'!I$32)*(COLUMN('Zhuravlev Distances'!$B$32:$K$32)&lt;COLUMN('Zhuravlev Distances'!I$32))*(COLUMN('Zhuravlev Distances'!$B$32:$K$32)&lt;&gt;COLUMN('Zhuravlev Distances'!C$32)))</f>
        <v>4</v>
      </c>
      <c r="J6" s="74">
        <f>1+SUMPRODUCT(('Zhuravlev Distances'!$B$32:$K$32&lt;'Zhuravlev Distances'!J$32)*(COLUMN('Zhuravlev Distances'!$B$32:$K$32)&lt;&gt;COLUMN('Zhuravlev Distances'!C$32)))+SUMPRODUCT(('Zhuravlev Distances'!$B$32:$K$32='Zhuravlev Distances'!J$32)*(COLUMN('Zhuravlev Distances'!$B$32:$K$32)&lt;COLUMN('Zhuravlev Distances'!J$32))*(COLUMN('Zhuravlev Distances'!$B$32:$K$32)&lt;&gt;COLUMN('Zhuravlev Distances'!C$32)))</f>
        <v>2</v>
      </c>
      <c r="K6" s="74">
        <f>1+SUMPRODUCT(('Zhuravlev Distances'!$B$32:$K$32&lt;'Zhuravlev Distances'!K$32)*(COLUMN('Zhuravlev Distances'!$B$32:$K$32)&lt;&gt;COLUMN('Zhuravlev Distances'!C$32)))+SUMPRODUCT(('Zhuravlev Distances'!$B$32:$K$32='Zhuravlev Distances'!K$32)*(COLUMN('Zhuravlev Distances'!$B$32:$K$32)&lt;COLUMN('Zhuravlev Distances'!K$32))*(COLUMN('Zhuravlev Distances'!$B$32:$K$32)&lt;&gt;COLUMN('Zhuravlev Distances'!C$32)))</f>
        <v>1</v>
      </c>
    </row>
    <row r="7">
      <c r="A7" s="64" t="inlineStr">
        <is>
          <t xml:space="preserve">S₃</t>
        </is>
      </c>
      <c r="B7" s="74">
        <f>1+SUMPRODUCT(('Zhuravlev Distances'!$B$33:$K$33&lt;'Zhuravlev Distances'!B$33)*(COLUMN('Zhuravlev Distances'!$B$33:$K$33)&lt;&gt;COLUMN('Zhuravlev Distances'!D$33)))+SUMPRODUCT(('Zhuravlev Distances'!$B$33:$K$33='Zhuravlev Distances'!B$33)*(COLUMN('Zhuravlev Distances'!$B$33:$K$33)&lt;COLUMN('Zhuravlev Distances'!B$33))*(COLUMN('Zhuravlev Distances'!$B$33:$K$33)&lt;&gt;COLUMN('Zhuravlev Distances'!D$33)))</f>
        <v>4</v>
      </c>
      <c r="C7" s="74">
        <f>1+SUMPRODUCT(('Zhuravlev Distances'!$B$33:$K$33&lt;'Zhuravlev Distances'!C$33)*(COLUMN('Zhuravlev Distances'!$B$33:$K$33)&lt;&gt;COLUMN('Zhuravlev Distances'!D$33)))+SUMPRODUCT(('Zhuravlev Distances'!$B$33:$K$33='Zhuravlev Distances'!C$33)*(COLUMN('Zhuravlev Distances'!$B$33:$K$33)&lt;COLUMN('Zhuravlev Distances'!C$33))*(COLUMN('Zhuravlev Distances'!$B$33:$K$33)&lt;&gt;COLUMN('Zhuravlev Distances'!D$33)))</f>
        <v>5</v>
      </c>
      <c r="D7" s="75" t="inlineStr">
        <is>
          <t xml:space="preserve">—</t>
        </is>
      </c>
      <c r="E7" s="74">
        <f>1+SUMPRODUCT(('Zhuravlev Distances'!$B$33:$K$33&lt;'Zhuravlev Distances'!E$33)*(COLUMN('Zhuravlev Distances'!$B$33:$K$33)&lt;&gt;COLUMN('Zhuravlev Distances'!D$33)))+SUMPRODUCT(('Zhuravlev Distances'!$B$33:$K$33='Zhuravlev Distances'!E$33)*(COLUMN('Zhuravlev Distances'!$B$33:$K$33)&lt;COLUMN('Zhuravlev Distances'!E$33))*(COLUMN('Zhuravlev Distances'!$B$33:$K$33)&lt;&gt;COLUMN('Zhuravlev Distances'!D$33)))</f>
        <v>2</v>
      </c>
      <c r="F7" s="74">
        <f>1+SUMPRODUCT(('Zhuravlev Distances'!$B$33:$K$33&lt;'Zhuravlev Distances'!F$33)*(COLUMN('Zhuravlev Distances'!$B$33:$K$33)&lt;&gt;COLUMN('Zhuravlev Distances'!D$33)))+SUMPRODUCT(('Zhuravlev Distances'!$B$33:$K$33='Zhuravlev Distances'!F$33)*(COLUMN('Zhuravlev Distances'!$B$33:$K$33)&lt;COLUMN('Zhuravlev Distances'!F$33))*(COLUMN('Zhuravlev Distances'!$B$33:$K$33)&lt;&gt;COLUMN('Zhuravlev Distances'!D$33)))</f>
        <v>6</v>
      </c>
      <c r="G7" s="74">
        <f>1+SUMPRODUCT(('Zhuravlev Distances'!$B$33:$K$33&lt;'Zhuravlev Distances'!G$33)*(COLUMN('Zhuravlev Distances'!$B$33:$K$33)&lt;&gt;COLUMN('Zhuravlev Distances'!D$33)))+SUMPRODUCT(('Zhuravlev Distances'!$B$33:$K$33='Zhuravlev Distances'!G$33)*(COLUMN('Zhuravlev Distances'!$B$33:$K$33)&lt;COLUMN('Zhuravlev Distances'!G$33))*(COLUMN('Zhuravlev Distances'!$B$33:$K$33)&lt;&gt;COLUMN('Zhuravlev Distances'!D$33)))</f>
        <v>1</v>
      </c>
      <c r="H7" s="74">
        <f>1+SUMPRODUCT(('Zhuravlev Distances'!$B$33:$K$33&lt;'Zhuravlev Distances'!H$33)*(COLUMN('Zhuravlev Distances'!$B$33:$K$33)&lt;&gt;COLUMN('Zhuravlev Distances'!D$33)))+SUMPRODUCT(('Zhuravlev Distances'!$B$33:$K$33='Zhuravlev Distances'!H$33)*(COLUMN('Zhuravlev Distances'!$B$33:$K$33)&lt;COLUMN('Zhuravlev Distances'!H$33))*(COLUMN('Zhuravlev Distances'!$B$33:$K$33)&lt;&gt;COLUMN('Zhuravlev Distances'!D$33)))</f>
        <v>9</v>
      </c>
      <c r="I7" s="74">
        <f>1+SUMPRODUCT(('Zhuravlev Distances'!$B$33:$K$33&lt;'Zhuravlev Distances'!I$33)*(COLUMN('Zhuravlev Distances'!$B$33:$K$33)&lt;&gt;COLUMN('Zhuravlev Distances'!D$33)))+SUMPRODUCT(('Zhuravlev Distances'!$B$33:$K$33='Zhuravlev Distances'!I$33)*(COLUMN('Zhuravlev Distances'!$B$33:$K$33)&lt;COLUMN('Zhuravlev Distances'!I$33))*(COLUMN('Zhuravlev Distances'!$B$33:$K$33)&lt;&gt;COLUMN('Zhuravlev Distances'!D$33)))</f>
        <v>7</v>
      </c>
      <c r="J7" s="74">
        <f>1+SUMPRODUCT(('Zhuravlev Distances'!$B$33:$K$33&lt;'Zhuravlev Distances'!J$33)*(COLUMN('Zhuravlev Distances'!$B$33:$K$33)&lt;&gt;COLUMN('Zhuravlev Distances'!D$33)))+SUMPRODUCT(('Zhuravlev Distances'!$B$33:$K$33='Zhuravlev Distances'!J$33)*(COLUMN('Zhuravlev Distances'!$B$33:$K$33)&lt;COLUMN('Zhuravlev Distances'!J$33))*(COLUMN('Zhuravlev Distances'!$B$33:$K$33)&lt;&gt;COLUMN('Zhuravlev Distances'!D$33)))</f>
        <v>3</v>
      </c>
      <c r="K7" s="74">
        <f>1+SUMPRODUCT(('Zhuravlev Distances'!$B$33:$K$33&lt;'Zhuravlev Distances'!K$33)*(COLUMN('Zhuravlev Distances'!$B$33:$K$33)&lt;&gt;COLUMN('Zhuravlev Distances'!D$33)))+SUMPRODUCT(('Zhuravlev Distances'!$B$33:$K$33='Zhuravlev Distances'!K$33)*(COLUMN('Zhuravlev Distances'!$B$33:$K$33)&lt;COLUMN('Zhuravlev Distances'!K$33))*(COLUMN('Zhuravlev Distances'!$B$33:$K$33)&lt;&gt;COLUMN('Zhuravlev Distances'!D$33)))</f>
        <v>8</v>
      </c>
    </row>
    <row r="8">
      <c r="A8" s="64" t="inlineStr">
        <is>
          <t xml:space="preserve">S₄</t>
        </is>
      </c>
      <c r="B8" s="74">
        <f>1+SUMPRODUCT(('Zhuravlev Distances'!$B$34:$K$34&lt;'Zhuravlev Distances'!B$34)*(COLUMN('Zhuravlev Distances'!$B$34:$K$34)&lt;&gt;COLUMN('Zhuravlev Distances'!E$34)))+SUMPRODUCT(('Zhuravlev Distances'!$B$34:$K$34='Zhuravlev Distances'!B$34)*(COLUMN('Zhuravlev Distances'!$B$34:$K$34)&lt;COLUMN('Zhuravlev Distances'!B$34))*(COLUMN('Zhuravlev Distances'!$B$34:$K$34)&lt;&gt;COLUMN('Zhuravlev Distances'!E$34)))</f>
        <v>4</v>
      </c>
      <c r="C8" s="74">
        <f>1+SUMPRODUCT(('Zhuravlev Distances'!$B$34:$K$34&lt;'Zhuravlev Distances'!C$34)*(COLUMN('Zhuravlev Distances'!$B$34:$K$34)&lt;&gt;COLUMN('Zhuravlev Distances'!E$34)))+SUMPRODUCT(('Zhuravlev Distances'!$B$34:$K$34='Zhuravlev Distances'!C$34)*(COLUMN('Zhuravlev Distances'!$B$34:$K$34)&lt;COLUMN('Zhuravlev Distances'!C$34))*(COLUMN('Zhuravlev Distances'!$B$34:$K$34)&lt;&gt;COLUMN('Zhuravlev Distances'!E$34)))</f>
        <v>7</v>
      </c>
      <c r="D8" s="74">
        <f>1+SUMPRODUCT(('Zhuravlev Distances'!$B$34:$K$34&lt;'Zhuravlev Distances'!D$34)*(COLUMN('Zhuravlev Distances'!$B$34:$K$34)&lt;&gt;COLUMN('Zhuravlev Distances'!E$34)))+SUMPRODUCT(('Zhuravlev Distances'!$B$34:$K$34='Zhuravlev Distances'!D$34)*(COLUMN('Zhuravlev Distances'!$B$34:$K$34)&lt;COLUMN('Zhuravlev Distances'!D$34))*(COLUMN('Zhuravlev Distances'!$B$34:$K$34)&lt;&gt;COLUMN('Zhuravlev Distances'!E$34)))</f>
        <v>5</v>
      </c>
      <c r="E8" s="75" t="inlineStr">
        <is>
          <t xml:space="preserve">—</t>
        </is>
      </c>
      <c r="F8" s="74">
        <f>1+SUMPRODUCT(('Zhuravlev Distances'!$B$34:$K$34&lt;'Zhuravlev Distances'!F$34)*(COLUMN('Zhuravlev Distances'!$B$34:$K$34)&lt;&gt;COLUMN('Zhuravlev Distances'!E$34)))+SUMPRODUCT(('Zhuravlev Distances'!$B$34:$K$34='Zhuravlev Distances'!F$34)*(COLUMN('Zhuravlev Distances'!$B$34:$K$34)&lt;COLUMN('Zhuravlev Distances'!F$34))*(COLUMN('Zhuravlev Distances'!$B$34:$K$34)&lt;&gt;COLUMN('Zhuravlev Distances'!E$34)))</f>
        <v>9</v>
      </c>
      <c r="G8" s="74">
        <f>1+SUMPRODUCT(('Zhuravlev Distances'!$B$34:$K$34&lt;'Zhuravlev Distances'!G$34)*(COLUMN('Zhuravlev Distances'!$B$34:$K$34)&lt;&gt;COLUMN('Zhuravlev Distances'!E$34)))+SUMPRODUCT(('Zhuravlev Distances'!$B$34:$K$34='Zhuravlev Distances'!G$34)*(COLUMN('Zhuravlev Distances'!$B$34:$K$34)&lt;COLUMN('Zhuravlev Distances'!G$34))*(COLUMN('Zhuravlev Distances'!$B$34:$K$34)&lt;&gt;COLUMN('Zhuravlev Distances'!E$34)))</f>
        <v>2</v>
      </c>
      <c r="H8" s="74">
        <f>1+SUMPRODUCT(('Zhuravlev Distances'!$B$34:$K$34&lt;'Zhuravlev Distances'!H$34)*(COLUMN('Zhuravlev Distances'!$B$34:$K$34)&lt;&gt;COLUMN('Zhuravlev Distances'!E$34)))+SUMPRODUCT(('Zhuravlev Distances'!$B$34:$K$34='Zhuravlev Distances'!H$34)*(COLUMN('Zhuravlev Distances'!$B$34:$K$34)&lt;COLUMN('Zhuravlev Distances'!H$34))*(COLUMN('Zhuravlev Distances'!$B$34:$K$34)&lt;&gt;COLUMN('Zhuravlev Distances'!E$34)))</f>
        <v>8</v>
      </c>
      <c r="I8" s="74">
        <f>1+SUMPRODUCT(('Zhuravlev Distances'!$B$34:$K$34&lt;'Zhuravlev Distances'!I$34)*(COLUMN('Zhuravlev Distances'!$B$34:$K$34)&lt;&gt;COLUMN('Zhuravlev Distances'!E$34)))+SUMPRODUCT(('Zhuravlev Distances'!$B$34:$K$34='Zhuravlev Distances'!I$34)*(COLUMN('Zhuravlev Distances'!$B$34:$K$34)&lt;COLUMN('Zhuravlev Distances'!I$34))*(COLUMN('Zhuravlev Distances'!$B$34:$K$34)&lt;&gt;COLUMN('Zhuravlev Distances'!E$34)))</f>
        <v>1</v>
      </c>
      <c r="J8" s="74">
        <f>1+SUMPRODUCT(('Zhuravlev Distances'!$B$34:$K$34&lt;'Zhuravlev Distances'!J$34)*(COLUMN('Zhuravlev Distances'!$B$34:$K$34)&lt;&gt;COLUMN('Zhuravlev Distances'!E$34)))+SUMPRODUCT(('Zhuravlev Distances'!$B$34:$K$34='Zhuravlev Distances'!J$34)*(COLUMN('Zhuravlev Distances'!$B$34:$K$34)&lt;COLUMN('Zhuravlev Distances'!J$34))*(COLUMN('Zhuravlev Distances'!$B$34:$K$34)&lt;&gt;COLUMN('Zhuravlev Distances'!E$34)))</f>
        <v>3</v>
      </c>
      <c r="K8" s="74">
        <f>1+SUMPRODUCT(('Zhuravlev Distances'!$B$34:$K$34&lt;'Zhuravlev Distances'!K$34)*(COLUMN('Zhuravlev Distances'!$B$34:$K$34)&lt;&gt;COLUMN('Zhuravlev Distances'!E$34)))+SUMPRODUCT(('Zhuravlev Distances'!$B$34:$K$34='Zhuravlev Distances'!K$34)*(COLUMN('Zhuravlev Distances'!$B$34:$K$34)&lt;COLUMN('Zhuravlev Distances'!K$34))*(COLUMN('Zhuravlev Distances'!$B$34:$K$34)&lt;&gt;COLUMN('Zhuravlev Distances'!E$34)))</f>
        <v>6</v>
      </c>
    </row>
    <row r="9">
      <c r="A9" s="64" t="inlineStr">
        <is>
          <t xml:space="preserve">S₅</t>
        </is>
      </c>
      <c r="B9" s="74">
        <f>1+SUMPRODUCT(('Zhuravlev Distances'!$B$35:$K$35&lt;'Zhuravlev Distances'!B$35)*(COLUMN('Zhuravlev Distances'!$B$35:$K$35)&lt;&gt;COLUMN('Zhuravlev Distances'!F$35)))+SUMPRODUCT(('Zhuravlev Distances'!$B$35:$K$35='Zhuravlev Distances'!B$35)*(COLUMN('Zhuravlev Distances'!$B$35:$K$35)&lt;COLUMN('Zhuravlev Distances'!B$35))*(COLUMN('Zhuravlev Distances'!$B$35:$K$35)&lt;&gt;COLUMN('Zhuravlev Distances'!F$35)))</f>
        <v>1</v>
      </c>
      <c r="C9" s="74">
        <f>1+SUMPRODUCT(('Zhuravlev Distances'!$B$35:$K$35&lt;'Zhuravlev Distances'!C$35)*(COLUMN('Zhuravlev Distances'!$B$35:$K$35)&lt;&gt;COLUMN('Zhuravlev Distances'!F$35)))+SUMPRODUCT(('Zhuravlev Distances'!$B$35:$K$35='Zhuravlev Distances'!C$35)*(COLUMN('Zhuravlev Distances'!$B$35:$K$35)&lt;COLUMN('Zhuravlev Distances'!C$35))*(COLUMN('Zhuravlev Distances'!$B$35:$K$35)&lt;&gt;COLUMN('Zhuravlev Distances'!F$35)))</f>
        <v>2</v>
      </c>
      <c r="D9" s="74">
        <f>1+SUMPRODUCT(('Zhuravlev Distances'!$B$35:$K$35&lt;'Zhuravlev Distances'!D$35)*(COLUMN('Zhuravlev Distances'!$B$35:$K$35)&lt;&gt;COLUMN('Zhuravlev Distances'!F$35)))+SUMPRODUCT(('Zhuravlev Distances'!$B$35:$K$35='Zhuravlev Distances'!D$35)*(COLUMN('Zhuravlev Distances'!$B$35:$K$35)&lt;COLUMN('Zhuravlev Distances'!D$35))*(COLUMN('Zhuravlev Distances'!$B$35:$K$35)&lt;&gt;COLUMN('Zhuravlev Distances'!F$35)))</f>
        <v>3</v>
      </c>
      <c r="E9" s="74">
        <f>1+SUMPRODUCT(('Zhuravlev Distances'!$B$35:$K$35&lt;'Zhuravlev Distances'!E$35)*(COLUMN('Zhuravlev Distances'!$B$35:$K$35)&lt;&gt;COLUMN('Zhuravlev Distances'!F$35)))+SUMPRODUCT(('Zhuravlev Distances'!$B$35:$K$35='Zhuravlev Distances'!E$35)*(COLUMN('Zhuravlev Distances'!$B$35:$K$35)&lt;COLUMN('Zhuravlev Distances'!E$35))*(COLUMN('Zhuravlev Distances'!$B$35:$K$35)&lt;&gt;COLUMN('Zhuravlev Distances'!F$35)))</f>
        <v>6</v>
      </c>
      <c r="F9" s="75" t="inlineStr">
        <is>
          <t xml:space="preserve">—</t>
        </is>
      </c>
      <c r="G9" s="74">
        <f>1+SUMPRODUCT(('Zhuravlev Distances'!$B$35:$K$35&lt;'Zhuravlev Distances'!G$35)*(COLUMN('Zhuravlev Distances'!$B$35:$K$35)&lt;&gt;COLUMN('Zhuravlev Distances'!F$35)))+SUMPRODUCT(('Zhuravlev Distances'!$B$35:$K$35='Zhuravlev Distances'!G$35)*(COLUMN('Zhuravlev Distances'!$B$35:$K$35)&lt;COLUMN('Zhuravlev Distances'!G$35))*(COLUMN('Zhuravlev Distances'!$B$35:$K$35)&lt;&gt;COLUMN('Zhuravlev Distances'!F$35)))</f>
        <v>7</v>
      </c>
      <c r="H9" s="74">
        <f>1+SUMPRODUCT(('Zhuravlev Distances'!$B$35:$K$35&lt;'Zhuravlev Distances'!H$35)*(COLUMN('Zhuravlev Distances'!$B$35:$K$35)&lt;&gt;COLUMN('Zhuravlev Distances'!F$35)))+SUMPRODUCT(('Zhuravlev Distances'!$B$35:$K$35='Zhuravlev Distances'!H$35)*(COLUMN('Zhuravlev Distances'!$B$35:$K$35)&lt;COLUMN('Zhuravlev Distances'!H$35))*(COLUMN('Zhuravlev Distances'!$B$35:$K$35)&lt;&gt;COLUMN('Zhuravlev Distances'!F$35)))</f>
        <v>8</v>
      </c>
      <c r="I9" s="74">
        <f>1+SUMPRODUCT(('Zhuravlev Distances'!$B$35:$K$35&lt;'Zhuravlev Distances'!I$35)*(COLUMN('Zhuravlev Distances'!$B$35:$K$35)&lt;&gt;COLUMN('Zhuravlev Distances'!F$35)))+SUMPRODUCT(('Zhuravlev Distances'!$B$35:$K$35='Zhuravlev Distances'!I$35)*(COLUMN('Zhuravlev Distances'!$B$35:$K$35)&lt;COLUMN('Zhuravlev Distances'!I$35))*(COLUMN('Zhuravlev Distances'!$B$35:$K$35)&lt;&gt;COLUMN('Zhuravlev Distances'!F$35)))</f>
        <v>4</v>
      </c>
      <c r="J9" s="74">
        <f>1+SUMPRODUCT(('Zhuravlev Distances'!$B$35:$K$35&lt;'Zhuravlev Distances'!J$35)*(COLUMN('Zhuravlev Distances'!$B$35:$K$35)&lt;&gt;COLUMN('Zhuravlev Distances'!F$35)))+SUMPRODUCT(('Zhuravlev Distances'!$B$35:$K$35='Zhuravlev Distances'!J$35)*(COLUMN('Zhuravlev Distances'!$B$35:$K$35)&lt;COLUMN('Zhuravlev Distances'!J$35))*(COLUMN('Zhuravlev Distances'!$B$35:$K$35)&lt;&gt;COLUMN('Zhuravlev Distances'!F$35)))</f>
        <v>9</v>
      </c>
      <c r="K9" s="74">
        <f>1+SUMPRODUCT(('Zhuravlev Distances'!$B$35:$K$35&lt;'Zhuravlev Distances'!K$35)*(COLUMN('Zhuravlev Distances'!$B$35:$K$35)&lt;&gt;COLUMN('Zhuravlev Distances'!F$35)))+SUMPRODUCT(('Zhuravlev Distances'!$B$35:$K$35='Zhuravlev Distances'!K$35)*(COLUMN('Zhuravlev Distances'!$B$35:$K$35)&lt;COLUMN('Zhuravlev Distances'!K$35))*(COLUMN('Zhuravlev Distances'!$B$35:$K$35)&lt;&gt;COLUMN('Zhuravlev Distances'!F$35)))</f>
        <v>5</v>
      </c>
    </row>
    <row r="10">
      <c r="A10" s="64" t="inlineStr">
        <is>
          <t xml:space="preserve">S₆</t>
        </is>
      </c>
      <c r="B10" s="74">
        <f>1+SUMPRODUCT(('Zhuravlev Distances'!$B$36:$K$36&lt;'Zhuravlev Distances'!B$36)*(COLUMN('Zhuravlev Distances'!$B$36:$K$36)&lt;&gt;COLUMN('Zhuravlev Distances'!G$36)))+SUMPRODUCT(('Zhuravlev Distances'!$B$36:$K$36='Zhuravlev Distances'!B$36)*(COLUMN('Zhuravlev Distances'!$B$36:$K$36)&lt;COLUMN('Zhuravlev Distances'!B$36))*(COLUMN('Zhuravlev Distances'!$B$36:$K$36)&lt;&gt;COLUMN('Zhuravlev Distances'!G$36)))</f>
        <v>4</v>
      </c>
      <c r="C10" s="74">
        <f>1+SUMPRODUCT(('Zhuravlev Distances'!$B$36:$K$36&lt;'Zhuravlev Distances'!C$36)*(COLUMN('Zhuravlev Distances'!$B$36:$K$36)&lt;&gt;COLUMN('Zhuravlev Distances'!G$36)))+SUMPRODUCT(('Zhuravlev Distances'!$B$36:$K$36='Zhuravlev Distances'!C$36)*(COLUMN('Zhuravlev Distances'!$B$36:$K$36)&lt;COLUMN('Zhuravlev Distances'!C$36))*(COLUMN('Zhuravlev Distances'!$B$36:$K$36)&lt;&gt;COLUMN('Zhuravlev Distances'!G$36)))</f>
        <v>7</v>
      </c>
      <c r="D10" s="74">
        <f>1+SUMPRODUCT(('Zhuravlev Distances'!$B$36:$K$36&lt;'Zhuravlev Distances'!D$36)*(COLUMN('Zhuravlev Distances'!$B$36:$K$36)&lt;&gt;COLUMN('Zhuravlev Distances'!G$36)))+SUMPRODUCT(('Zhuravlev Distances'!$B$36:$K$36='Zhuravlev Distances'!D$36)*(COLUMN('Zhuravlev Distances'!$B$36:$K$36)&lt;COLUMN('Zhuravlev Distances'!D$36))*(COLUMN('Zhuravlev Distances'!$B$36:$K$36)&lt;&gt;COLUMN('Zhuravlev Distances'!G$36)))</f>
        <v>1</v>
      </c>
      <c r="E10" s="74">
        <f>1+SUMPRODUCT(('Zhuravlev Distances'!$B$36:$K$36&lt;'Zhuravlev Distances'!E$36)*(COLUMN('Zhuravlev Distances'!$B$36:$K$36)&lt;&gt;COLUMN('Zhuravlev Distances'!G$36)))+SUMPRODUCT(('Zhuravlev Distances'!$B$36:$K$36='Zhuravlev Distances'!E$36)*(COLUMN('Zhuravlev Distances'!$B$36:$K$36)&lt;COLUMN('Zhuravlev Distances'!E$36))*(COLUMN('Zhuravlev Distances'!$B$36:$K$36)&lt;&gt;COLUMN('Zhuravlev Distances'!G$36)))</f>
        <v>2</v>
      </c>
      <c r="F10" s="74">
        <f>1+SUMPRODUCT(('Zhuravlev Distances'!$B$36:$K$36&lt;'Zhuravlev Distances'!F$36)*(COLUMN('Zhuravlev Distances'!$B$36:$K$36)&lt;&gt;COLUMN('Zhuravlev Distances'!G$36)))+SUMPRODUCT(('Zhuravlev Distances'!$B$36:$K$36='Zhuravlev Distances'!F$36)*(COLUMN('Zhuravlev Distances'!$B$36:$K$36)&lt;COLUMN('Zhuravlev Distances'!F$36))*(COLUMN('Zhuravlev Distances'!$B$36:$K$36)&lt;&gt;COLUMN('Zhuravlev Distances'!G$36)))</f>
        <v>8</v>
      </c>
      <c r="G10" s="75" t="inlineStr">
        <is>
          <t xml:space="preserve">—</t>
        </is>
      </c>
      <c r="H10" s="74">
        <f>1+SUMPRODUCT(('Zhuravlev Distances'!$B$36:$K$36&lt;'Zhuravlev Distances'!H$36)*(COLUMN('Zhuravlev Distances'!$B$36:$K$36)&lt;&gt;COLUMN('Zhuravlev Distances'!G$36)))+SUMPRODUCT(('Zhuravlev Distances'!$B$36:$K$36='Zhuravlev Distances'!H$36)*(COLUMN('Zhuravlev Distances'!$B$36:$K$36)&lt;COLUMN('Zhuravlev Distances'!H$36))*(COLUMN('Zhuravlev Distances'!$B$36:$K$36)&lt;&gt;COLUMN('Zhuravlev Distances'!G$36)))</f>
        <v>9</v>
      </c>
      <c r="I10" s="74">
        <f>1+SUMPRODUCT(('Zhuravlev Distances'!$B$36:$K$36&lt;'Zhuravlev Distances'!I$36)*(COLUMN('Zhuravlev Distances'!$B$36:$K$36)&lt;&gt;COLUMN('Zhuravlev Distances'!G$36)))+SUMPRODUCT(('Zhuravlev Distances'!$B$36:$K$36='Zhuravlev Distances'!I$36)*(COLUMN('Zhuravlev Distances'!$B$36:$K$36)&lt;COLUMN('Zhuravlev Distances'!I$36))*(COLUMN('Zhuravlev Distances'!$B$36:$K$36)&lt;&gt;COLUMN('Zhuravlev Distances'!G$36)))</f>
        <v>5</v>
      </c>
      <c r="J10" s="74">
        <f>1+SUMPRODUCT(('Zhuravlev Distances'!$B$36:$K$36&lt;'Zhuravlev Distances'!J$36)*(COLUMN('Zhuravlev Distances'!$B$36:$K$36)&lt;&gt;COLUMN('Zhuravlev Distances'!G$36)))+SUMPRODUCT(('Zhuravlev Distances'!$B$36:$K$36='Zhuravlev Distances'!J$36)*(COLUMN('Zhuravlev Distances'!$B$36:$K$36)&lt;COLUMN('Zhuravlev Distances'!J$36))*(COLUMN('Zhuravlev Distances'!$B$36:$K$36)&lt;&gt;COLUMN('Zhuravlev Distances'!G$36)))</f>
        <v>3</v>
      </c>
      <c r="K10" s="74">
        <f>1+SUMPRODUCT(('Zhuravlev Distances'!$B$36:$K$36&lt;'Zhuravlev Distances'!K$36)*(COLUMN('Zhuravlev Distances'!$B$36:$K$36)&lt;&gt;COLUMN('Zhuravlev Distances'!G$36)))+SUMPRODUCT(('Zhuravlev Distances'!$B$36:$K$36='Zhuravlev Distances'!K$36)*(COLUMN('Zhuravlev Distances'!$B$36:$K$36)&lt;COLUMN('Zhuravlev Distances'!K$36))*(COLUMN('Zhuravlev Distances'!$B$36:$K$36)&lt;&gt;COLUMN('Zhuravlev Distances'!G$36)))</f>
        <v>6</v>
      </c>
    </row>
    <row r="11">
      <c r="A11" s="64" t="inlineStr">
        <is>
          <t xml:space="preserve">S₇</t>
        </is>
      </c>
      <c r="B11" s="74">
        <f>1+SUMPRODUCT(('Zhuravlev Distances'!$B$37:$K$37&lt;'Zhuravlev Distances'!B$37)*(COLUMN('Zhuravlev Distances'!$B$37:$K$37)&lt;&gt;COLUMN('Zhuravlev Distances'!H$37)))+SUMPRODUCT(('Zhuravlev Distances'!$B$37:$K$37='Zhuravlev Distances'!B$37)*(COLUMN('Zhuravlev Distances'!$B$37:$K$37)&lt;COLUMN('Zhuravlev Distances'!B$37))*(COLUMN('Zhuravlev Distances'!$B$37:$K$37)&lt;&gt;COLUMN('Zhuravlev Distances'!H$37)))</f>
        <v>2</v>
      </c>
      <c r="C11" s="74">
        <f>1+SUMPRODUCT(('Zhuravlev Distances'!$B$37:$K$37&lt;'Zhuravlev Distances'!C$37)*(COLUMN('Zhuravlev Distances'!$B$37:$K$37)&lt;&gt;COLUMN('Zhuravlev Distances'!H$37)))+SUMPRODUCT(('Zhuravlev Distances'!$B$37:$K$37='Zhuravlev Distances'!C$37)*(COLUMN('Zhuravlev Distances'!$B$37:$K$37)&lt;COLUMN('Zhuravlev Distances'!C$37))*(COLUMN('Zhuravlev Distances'!$B$37:$K$37)&lt;&gt;COLUMN('Zhuravlev Distances'!H$37)))</f>
        <v>3</v>
      </c>
      <c r="D11" s="74">
        <f>1+SUMPRODUCT(('Zhuravlev Distances'!$B$37:$K$37&lt;'Zhuravlev Distances'!D$37)*(COLUMN('Zhuravlev Distances'!$B$37:$K$37)&lt;&gt;COLUMN('Zhuravlev Distances'!H$37)))+SUMPRODUCT(('Zhuravlev Distances'!$B$37:$K$37='Zhuravlev Distances'!D$37)*(COLUMN('Zhuravlev Distances'!$B$37:$K$37)&lt;COLUMN('Zhuravlev Distances'!D$37))*(COLUMN('Zhuravlev Distances'!$B$37:$K$37)&lt;&gt;COLUMN('Zhuravlev Distances'!H$37)))</f>
        <v>8</v>
      </c>
      <c r="E11" s="74">
        <f>1+SUMPRODUCT(('Zhuravlev Distances'!$B$37:$K$37&lt;'Zhuravlev Distances'!E$37)*(COLUMN('Zhuravlev Distances'!$B$37:$K$37)&lt;&gt;COLUMN('Zhuravlev Distances'!H$37)))+SUMPRODUCT(('Zhuravlev Distances'!$B$37:$K$37='Zhuravlev Distances'!E$37)*(COLUMN('Zhuravlev Distances'!$B$37:$K$37)&lt;COLUMN('Zhuravlev Distances'!E$37))*(COLUMN('Zhuravlev Distances'!$B$37:$K$37)&lt;&gt;COLUMN('Zhuravlev Distances'!H$37)))</f>
        <v>4</v>
      </c>
      <c r="F11" s="74">
        <f>1+SUMPRODUCT(('Zhuravlev Distances'!$B$37:$K$37&lt;'Zhuravlev Distances'!F$37)*(COLUMN('Zhuravlev Distances'!$B$37:$K$37)&lt;&gt;COLUMN('Zhuravlev Distances'!H$37)))+SUMPRODUCT(('Zhuravlev Distances'!$B$37:$K$37='Zhuravlev Distances'!F$37)*(COLUMN('Zhuravlev Distances'!$B$37:$K$37)&lt;COLUMN('Zhuravlev Distances'!F$37))*(COLUMN('Zhuravlev Distances'!$B$37:$K$37)&lt;&gt;COLUMN('Zhuravlev Distances'!H$37)))</f>
        <v>6</v>
      </c>
      <c r="G11" s="74">
        <f>1+SUMPRODUCT(('Zhuravlev Distances'!$B$37:$K$37&lt;'Zhuravlev Distances'!G$37)*(COLUMN('Zhuravlev Distances'!$B$37:$K$37)&lt;&gt;COLUMN('Zhuravlev Distances'!H$37)))+SUMPRODUCT(('Zhuravlev Distances'!$B$37:$K$37='Zhuravlev Distances'!G$37)*(COLUMN('Zhuravlev Distances'!$B$37:$K$37)&lt;COLUMN('Zhuravlev Distances'!G$37))*(COLUMN('Zhuravlev Distances'!$B$37:$K$37)&lt;&gt;COLUMN('Zhuravlev Distances'!H$37)))</f>
        <v>9</v>
      </c>
      <c r="H11" s="75" t="inlineStr">
        <is>
          <t xml:space="preserve">—</t>
        </is>
      </c>
      <c r="I11" s="74">
        <f>1+SUMPRODUCT(('Zhuravlev Distances'!$B$37:$K$37&lt;'Zhuravlev Distances'!I$37)*(COLUMN('Zhuravlev Distances'!$B$37:$K$37)&lt;&gt;COLUMN('Zhuravlev Distances'!H$37)))+SUMPRODUCT(('Zhuravlev Distances'!$B$37:$K$37='Zhuravlev Distances'!I$37)*(COLUMN('Zhuravlev Distances'!$B$37:$K$37)&lt;COLUMN('Zhuravlev Distances'!I$37))*(COLUMN('Zhuravlev Distances'!$B$37:$K$37)&lt;&gt;COLUMN('Zhuravlev Distances'!H$37)))</f>
        <v>1</v>
      </c>
      <c r="J11" s="74">
        <f>1+SUMPRODUCT(('Zhuravlev Distances'!$B$37:$K$37&lt;'Zhuravlev Distances'!J$37)*(COLUMN('Zhuravlev Distances'!$B$37:$K$37)&lt;&gt;COLUMN('Zhuravlev Distances'!H$37)))+SUMPRODUCT(('Zhuravlev Distances'!$B$37:$K$37='Zhuravlev Distances'!J$37)*(COLUMN('Zhuravlev Distances'!$B$37:$K$37)&lt;COLUMN('Zhuravlev Distances'!J$37))*(COLUMN('Zhuravlev Distances'!$B$37:$K$37)&lt;&gt;COLUMN('Zhuravlev Distances'!H$37)))</f>
        <v>5</v>
      </c>
      <c r="K11" s="74">
        <f>1+SUMPRODUCT(('Zhuravlev Distances'!$B$37:$K$37&lt;'Zhuravlev Distances'!K$37)*(COLUMN('Zhuravlev Distances'!$B$37:$K$37)&lt;&gt;COLUMN('Zhuravlev Distances'!H$37)))+SUMPRODUCT(('Zhuravlev Distances'!$B$37:$K$37='Zhuravlev Distances'!K$37)*(COLUMN('Zhuravlev Distances'!$B$37:$K$37)&lt;COLUMN('Zhuravlev Distances'!K$37))*(COLUMN('Zhuravlev Distances'!$B$37:$K$37)&lt;&gt;COLUMN('Zhuravlev Distances'!H$37)))</f>
        <v>7</v>
      </c>
    </row>
    <row r="12">
      <c r="A12" s="64" t="inlineStr">
        <is>
          <t xml:space="preserve">S₈</t>
        </is>
      </c>
      <c r="B12" s="74">
        <f>1+SUMPRODUCT(('Zhuravlev Distances'!$B$38:$K$38&lt;'Zhuravlev Distances'!B$38)*(COLUMN('Zhuravlev Distances'!$B$38:$K$38)&lt;&gt;COLUMN('Zhuravlev Distances'!I$38)))+SUMPRODUCT(('Zhuravlev Distances'!$B$38:$K$38='Zhuravlev Distances'!B$38)*(COLUMN('Zhuravlev Distances'!$B$38:$K$38)&lt;COLUMN('Zhuravlev Distances'!B$38))*(COLUMN('Zhuravlev Distances'!$B$38:$K$38)&lt;&gt;COLUMN('Zhuravlev Distances'!I$38)))</f>
        <v>3</v>
      </c>
      <c r="C12" s="74">
        <f>1+SUMPRODUCT(('Zhuravlev Distances'!$B$38:$K$38&lt;'Zhuravlev Distances'!C$38)*(COLUMN('Zhuravlev Distances'!$B$38:$K$38)&lt;&gt;COLUMN('Zhuravlev Distances'!I$38)))+SUMPRODUCT(('Zhuravlev Distances'!$B$38:$K$38='Zhuravlev Distances'!C$38)*(COLUMN('Zhuravlev Distances'!$B$38:$K$38)&lt;COLUMN('Zhuravlev Distances'!C$38))*(COLUMN('Zhuravlev Distances'!$B$38:$K$38)&lt;&gt;COLUMN('Zhuravlev Distances'!I$38)))</f>
        <v>5</v>
      </c>
      <c r="D12" s="74">
        <f>1+SUMPRODUCT(('Zhuravlev Distances'!$B$38:$K$38&lt;'Zhuravlev Distances'!D$38)*(COLUMN('Zhuravlev Distances'!$B$38:$K$38)&lt;&gt;COLUMN('Zhuravlev Distances'!I$38)))+SUMPRODUCT(('Zhuravlev Distances'!$B$38:$K$38='Zhuravlev Distances'!D$38)*(COLUMN('Zhuravlev Distances'!$B$38:$K$38)&lt;COLUMN('Zhuravlev Distances'!D$38))*(COLUMN('Zhuravlev Distances'!$B$38:$K$38)&lt;&gt;COLUMN('Zhuravlev Distances'!I$38)))</f>
        <v>8</v>
      </c>
      <c r="E12" s="74">
        <f>1+SUMPRODUCT(('Zhuravlev Distances'!$B$38:$K$38&lt;'Zhuravlev Distances'!E$38)*(COLUMN('Zhuravlev Distances'!$B$38:$K$38)&lt;&gt;COLUMN('Zhuravlev Distances'!I$38)))+SUMPRODUCT(('Zhuravlev Distances'!$B$38:$K$38='Zhuravlev Distances'!E$38)*(COLUMN('Zhuravlev Distances'!$B$38:$K$38)&lt;COLUMN('Zhuravlev Distances'!E$38))*(COLUMN('Zhuravlev Distances'!$B$38:$K$38)&lt;&gt;COLUMN('Zhuravlev Distances'!I$38)))</f>
        <v>1</v>
      </c>
      <c r="F12" s="74">
        <f>1+SUMPRODUCT(('Zhuravlev Distances'!$B$38:$K$38&lt;'Zhuravlev Distances'!F$38)*(COLUMN('Zhuravlev Distances'!$B$38:$K$38)&lt;&gt;COLUMN('Zhuravlev Distances'!I$38)))+SUMPRODUCT(('Zhuravlev Distances'!$B$38:$K$38='Zhuravlev Distances'!F$38)*(COLUMN('Zhuravlev Distances'!$B$38:$K$38)&lt;COLUMN('Zhuravlev Distances'!F$38))*(COLUMN('Zhuravlev Distances'!$B$38:$K$38)&lt;&gt;COLUMN('Zhuravlev Distances'!I$38)))</f>
        <v>9</v>
      </c>
      <c r="G12" s="74">
        <f>1+SUMPRODUCT(('Zhuravlev Distances'!$B$38:$K$38&lt;'Zhuravlev Distances'!G$38)*(COLUMN('Zhuravlev Distances'!$B$38:$K$38)&lt;&gt;COLUMN('Zhuravlev Distances'!I$38)))+SUMPRODUCT(('Zhuravlev Distances'!$B$38:$K$38='Zhuravlev Distances'!G$38)*(COLUMN('Zhuravlev Distances'!$B$38:$K$38)&lt;COLUMN('Zhuravlev Distances'!G$38))*(COLUMN('Zhuravlev Distances'!$B$38:$K$38)&lt;&gt;COLUMN('Zhuravlev Distances'!I$38)))</f>
        <v>6</v>
      </c>
      <c r="H12" s="74">
        <f>1+SUMPRODUCT(('Zhuravlev Distances'!$B$38:$K$38&lt;'Zhuravlev Distances'!H$38)*(COLUMN('Zhuravlev Distances'!$B$38:$K$38)&lt;&gt;COLUMN('Zhuravlev Distances'!I$38)))+SUMPRODUCT(('Zhuravlev Distances'!$B$38:$K$38='Zhuravlev Distances'!H$38)*(COLUMN('Zhuravlev Distances'!$B$38:$K$38)&lt;COLUMN('Zhuravlev Distances'!H$38))*(COLUMN('Zhuravlev Distances'!$B$38:$K$38)&lt;&gt;COLUMN('Zhuravlev Distances'!I$38)))</f>
        <v>7</v>
      </c>
      <c r="I12" s="75" t="inlineStr">
        <is>
          <t xml:space="preserve">—</t>
        </is>
      </c>
      <c r="J12" s="74">
        <f>1+SUMPRODUCT(('Zhuravlev Distances'!$B$38:$K$38&lt;'Zhuravlev Distances'!J$38)*(COLUMN('Zhuravlev Distances'!$B$38:$K$38)&lt;&gt;COLUMN('Zhuravlev Distances'!I$38)))+SUMPRODUCT(('Zhuravlev Distances'!$B$38:$K$38='Zhuravlev Distances'!J$38)*(COLUMN('Zhuravlev Distances'!$B$38:$K$38)&lt;COLUMN('Zhuravlev Distances'!J$38))*(COLUMN('Zhuravlev Distances'!$B$38:$K$38)&lt;&gt;COLUMN('Zhuravlev Distances'!I$38)))</f>
        <v>2</v>
      </c>
      <c r="K12" s="74">
        <f>1+SUMPRODUCT(('Zhuravlev Distances'!$B$38:$K$38&lt;'Zhuravlev Distances'!K$38)*(COLUMN('Zhuravlev Distances'!$B$38:$K$38)&lt;&gt;COLUMN('Zhuravlev Distances'!I$38)))+SUMPRODUCT(('Zhuravlev Distances'!$B$38:$K$38='Zhuravlev Distances'!K$38)*(COLUMN('Zhuravlev Distances'!$B$38:$K$38)&lt;COLUMN('Zhuravlev Distances'!K$38))*(COLUMN('Zhuravlev Distances'!$B$38:$K$38)&lt;&gt;COLUMN('Zhuravlev Distances'!I$38)))</f>
        <v>4</v>
      </c>
    </row>
    <row r="13">
      <c r="A13" s="64" t="inlineStr">
        <is>
          <t xml:space="preserve">S₉</t>
        </is>
      </c>
      <c r="B13" s="74">
        <f>1+SUMPRODUCT(('Zhuravlev Distances'!$B$39:$K$39&lt;'Zhuravlev Distances'!B$39)*(COLUMN('Zhuravlev Distances'!$B$39:$K$39)&lt;&gt;COLUMN('Zhuravlev Distances'!J$39)))+SUMPRODUCT(('Zhuravlev Distances'!$B$39:$K$39='Zhuravlev Distances'!B$39)*(COLUMN('Zhuravlev Distances'!$B$39:$K$39)&lt;COLUMN('Zhuravlev Distances'!B$39))*(COLUMN('Zhuravlev Distances'!$B$39:$K$39)&lt;&gt;COLUMN('Zhuravlev Distances'!J$39)))</f>
        <v>1</v>
      </c>
      <c r="C13" s="74">
        <f>1+SUMPRODUCT(('Zhuravlev Distances'!$B$39:$K$39&lt;'Zhuravlev Distances'!C$39)*(COLUMN('Zhuravlev Distances'!$B$39:$K$39)&lt;&gt;COLUMN('Zhuravlev Distances'!J$39)))+SUMPRODUCT(('Zhuravlev Distances'!$B$39:$K$39='Zhuravlev Distances'!C$39)*(COLUMN('Zhuravlev Distances'!$B$39:$K$39)&lt;COLUMN('Zhuravlev Distances'!C$39))*(COLUMN('Zhuravlev Distances'!$B$39:$K$39)&lt;&gt;COLUMN('Zhuravlev Distances'!J$39)))</f>
        <v>4</v>
      </c>
      <c r="D13" s="74">
        <f>1+SUMPRODUCT(('Zhuravlev Distances'!$B$39:$K$39&lt;'Zhuravlev Distances'!D$39)*(COLUMN('Zhuravlev Distances'!$B$39:$K$39)&lt;&gt;COLUMN('Zhuravlev Distances'!J$39)))+SUMPRODUCT(('Zhuravlev Distances'!$B$39:$K$39='Zhuravlev Distances'!D$39)*(COLUMN('Zhuravlev Distances'!$B$39:$K$39)&lt;COLUMN('Zhuravlev Distances'!D$39))*(COLUMN('Zhuravlev Distances'!$B$39:$K$39)&lt;&gt;COLUMN('Zhuravlev Distances'!J$39)))</f>
        <v>7</v>
      </c>
      <c r="E13" s="74">
        <f>1+SUMPRODUCT(('Zhuravlev Distances'!$B$39:$K$39&lt;'Zhuravlev Distances'!E$39)*(COLUMN('Zhuravlev Distances'!$B$39:$K$39)&lt;&gt;COLUMN('Zhuravlev Distances'!J$39)))+SUMPRODUCT(('Zhuravlev Distances'!$B$39:$K$39='Zhuravlev Distances'!E$39)*(COLUMN('Zhuravlev Distances'!$B$39:$K$39)&lt;COLUMN('Zhuravlev Distances'!E$39))*(COLUMN('Zhuravlev Distances'!$B$39:$K$39)&lt;&gt;COLUMN('Zhuravlev Distances'!J$39)))</f>
        <v>5</v>
      </c>
      <c r="F13" s="74">
        <f>1+SUMPRODUCT(('Zhuravlev Distances'!$B$39:$K$39&lt;'Zhuravlev Distances'!F$39)*(COLUMN('Zhuravlev Distances'!$B$39:$K$39)&lt;&gt;COLUMN('Zhuravlev Distances'!J$39)))+SUMPRODUCT(('Zhuravlev Distances'!$B$39:$K$39='Zhuravlev Distances'!F$39)*(COLUMN('Zhuravlev Distances'!$B$39:$K$39)&lt;COLUMN('Zhuravlev Distances'!F$39))*(COLUMN('Zhuravlev Distances'!$B$39:$K$39)&lt;&gt;COLUMN('Zhuravlev Distances'!J$39)))</f>
        <v>9</v>
      </c>
      <c r="G13" s="74">
        <f>1+SUMPRODUCT(('Zhuravlev Distances'!$B$39:$K$39&lt;'Zhuravlev Distances'!G$39)*(COLUMN('Zhuravlev Distances'!$B$39:$K$39)&lt;&gt;COLUMN('Zhuravlev Distances'!J$39)))+SUMPRODUCT(('Zhuravlev Distances'!$B$39:$K$39='Zhuravlev Distances'!G$39)*(COLUMN('Zhuravlev Distances'!$B$39:$K$39)&lt;COLUMN('Zhuravlev Distances'!G$39))*(COLUMN('Zhuravlev Distances'!$B$39:$K$39)&lt;&gt;COLUMN('Zhuravlev Distances'!J$39)))</f>
        <v>6</v>
      </c>
      <c r="H13" s="74">
        <f>1+SUMPRODUCT(('Zhuravlev Distances'!$B$39:$K$39&lt;'Zhuravlev Distances'!H$39)*(COLUMN('Zhuravlev Distances'!$B$39:$K$39)&lt;&gt;COLUMN('Zhuravlev Distances'!J$39)))+SUMPRODUCT(('Zhuravlev Distances'!$B$39:$K$39='Zhuravlev Distances'!H$39)*(COLUMN('Zhuravlev Distances'!$B$39:$K$39)&lt;COLUMN('Zhuravlev Distances'!H$39))*(COLUMN('Zhuravlev Distances'!$B$39:$K$39)&lt;&gt;COLUMN('Zhuravlev Distances'!J$39)))</f>
        <v>8</v>
      </c>
      <c r="I13" s="74">
        <f>1+SUMPRODUCT(('Zhuravlev Distances'!$B$39:$K$39&lt;'Zhuravlev Distances'!I$39)*(COLUMN('Zhuravlev Distances'!$B$39:$K$39)&lt;&gt;COLUMN('Zhuravlev Distances'!J$39)))+SUMPRODUCT(('Zhuravlev Distances'!$B$39:$K$39='Zhuravlev Distances'!I$39)*(COLUMN('Zhuravlev Distances'!$B$39:$K$39)&lt;COLUMN('Zhuravlev Distances'!I$39))*(COLUMN('Zhuravlev Distances'!$B$39:$K$39)&lt;&gt;COLUMN('Zhuravlev Distances'!J$39)))</f>
        <v>2</v>
      </c>
      <c r="J13" s="75" t="inlineStr">
        <is>
          <t xml:space="preserve">—</t>
        </is>
      </c>
      <c r="K13" s="74">
        <f>1+SUMPRODUCT(('Zhuravlev Distances'!$B$39:$K$39&lt;'Zhuravlev Distances'!K$39)*(COLUMN('Zhuravlev Distances'!$B$39:$K$39)&lt;&gt;COLUMN('Zhuravlev Distances'!J$39)))+SUMPRODUCT(('Zhuravlev Distances'!$B$39:$K$39='Zhuravlev Distances'!K$39)*(COLUMN('Zhuravlev Distances'!$B$39:$K$39)&lt;COLUMN('Zhuravlev Distances'!K$39))*(COLUMN('Zhuravlev Distances'!$B$39:$K$39)&lt;&gt;COLUMN('Zhuravlev Distances'!J$39)))</f>
        <v>3</v>
      </c>
    </row>
    <row r="14">
      <c r="A14" s="64" t="inlineStr">
        <is>
          <t xml:space="preserve">S₁₀</t>
        </is>
      </c>
      <c r="B14" s="74">
        <f>1+SUMPRODUCT(('Zhuravlev Distances'!$B$40:$K$40&lt;'Zhuravlev Distances'!B$40)*(COLUMN('Zhuravlev Distances'!$B$40:$K$40)&lt;&gt;COLUMN('Zhuravlev Distances'!K$40)))+SUMPRODUCT(('Zhuravlev Distances'!$B$40:$K$40='Zhuravlev Distances'!B$40)*(COLUMN('Zhuravlev Distances'!$B$40:$K$40)&lt;COLUMN('Zhuravlev Distances'!B$40))*(COLUMN('Zhuravlev Distances'!$B$40:$K$40)&lt;&gt;COLUMN('Zhuravlev Distances'!K$40)))</f>
        <v>3</v>
      </c>
      <c r="C14" s="74">
        <f>1+SUMPRODUCT(('Zhuravlev Distances'!$B$40:$K$40&lt;'Zhuravlev Distances'!C$40)*(COLUMN('Zhuravlev Distances'!$B$40:$K$40)&lt;&gt;COLUMN('Zhuravlev Distances'!K$40)))+SUMPRODUCT(('Zhuravlev Distances'!$B$40:$K$40='Zhuravlev Distances'!C$40)*(COLUMN('Zhuravlev Distances'!$B$40:$K$40)&lt;COLUMN('Zhuravlev Distances'!C$40))*(COLUMN('Zhuravlev Distances'!$B$40:$K$40)&lt;&gt;COLUMN('Zhuravlev Distances'!K$40)))</f>
        <v>1</v>
      </c>
      <c r="D14" s="74">
        <f>1+SUMPRODUCT(('Zhuravlev Distances'!$B$40:$K$40&lt;'Zhuravlev Distances'!D$40)*(COLUMN('Zhuravlev Distances'!$B$40:$K$40)&lt;&gt;COLUMN('Zhuravlev Distances'!K$40)))+SUMPRODUCT(('Zhuravlev Distances'!$B$40:$K$40='Zhuravlev Distances'!D$40)*(COLUMN('Zhuravlev Distances'!$B$40:$K$40)&lt;COLUMN('Zhuravlev Distances'!D$40))*(COLUMN('Zhuravlev Distances'!$B$40:$K$40)&lt;&gt;COLUMN('Zhuravlev Distances'!K$40)))</f>
        <v>7</v>
      </c>
      <c r="E14" s="74">
        <f>1+SUMPRODUCT(('Zhuravlev Distances'!$B$40:$K$40&lt;'Zhuravlev Distances'!E$40)*(COLUMN('Zhuravlev Distances'!$B$40:$K$40)&lt;&gt;COLUMN('Zhuravlev Distances'!K$40)))+SUMPRODUCT(('Zhuravlev Distances'!$B$40:$K$40='Zhuravlev Distances'!E$40)*(COLUMN('Zhuravlev Distances'!$B$40:$K$40)&lt;COLUMN('Zhuravlev Distances'!E$40))*(COLUMN('Zhuravlev Distances'!$B$40:$K$40)&lt;&gt;COLUMN('Zhuravlev Distances'!K$40)))</f>
        <v>5</v>
      </c>
      <c r="F14" s="74">
        <f>1+SUMPRODUCT(('Zhuravlev Distances'!$B$40:$K$40&lt;'Zhuravlev Distances'!F$40)*(COLUMN('Zhuravlev Distances'!$B$40:$K$40)&lt;&gt;COLUMN('Zhuravlev Distances'!K$40)))+SUMPRODUCT(('Zhuravlev Distances'!$B$40:$K$40='Zhuravlev Distances'!F$40)*(COLUMN('Zhuravlev Distances'!$B$40:$K$40)&lt;COLUMN('Zhuravlev Distances'!F$40))*(COLUMN('Zhuravlev Distances'!$B$40:$K$40)&lt;&gt;COLUMN('Zhuravlev Distances'!K$40)))</f>
        <v>8</v>
      </c>
      <c r="G14" s="74">
        <f>1+SUMPRODUCT(('Zhuravlev Distances'!$B$40:$K$40&lt;'Zhuravlev Distances'!G$40)*(COLUMN('Zhuravlev Distances'!$B$40:$K$40)&lt;&gt;COLUMN('Zhuravlev Distances'!K$40)))+SUMPRODUCT(('Zhuravlev Distances'!$B$40:$K$40='Zhuravlev Distances'!G$40)*(COLUMN('Zhuravlev Distances'!$B$40:$K$40)&lt;COLUMN('Zhuravlev Distances'!G$40))*(COLUMN('Zhuravlev Distances'!$B$40:$K$40)&lt;&gt;COLUMN('Zhuravlev Distances'!K$40)))</f>
        <v>6</v>
      </c>
      <c r="H14" s="74">
        <f>1+SUMPRODUCT(('Zhuravlev Distances'!$B$40:$K$40&lt;'Zhuravlev Distances'!H$40)*(COLUMN('Zhuravlev Distances'!$B$40:$K$40)&lt;&gt;COLUMN('Zhuravlev Distances'!K$40)))+SUMPRODUCT(('Zhuravlev Distances'!$B$40:$K$40='Zhuravlev Distances'!H$40)*(COLUMN('Zhuravlev Distances'!$B$40:$K$40)&lt;COLUMN('Zhuravlev Distances'!H$40))*(COLUMN('Zhuravlev Distances'!$B$40:$K$40)&lt;&gt;COLUMN('Zhuravlev Distances'!K$40)))</f>
        <v>9</v>
      </c>
      <c r="I14" s="74">
        <f>1+SUMPRODUCT(('Zhuravlev Distances'!$B$40:$K$40&lt;'Zhuravlev Distances'!I$40)*(COLUMN('Zhuravlev Distances'!$B$40:$K$40)&lt;&gt;COLUMN('Zhuravlev Distances'!K$40)))+SUMPRODUCT(('Zhuravlev Distances'!$B$40:$K$40='Zhuravlev Distances'!I$40)*(COLUMN('Zhuravlev Distances'!$B$40:$K$40)&lt;COLUMN('Zhuravlev Distances'!I$40))*(COLUMN('Zhuravlev Distances'!$B$40:$K$40)&lt;&gt;COLUMN('Zhuravlev Distances'!K$40)))</f>
        <v>4</v>
      </c>
      <c r="J14" s="74">
        <f>1+SUMPRODUCT(('Zhuravlev Distances'!$B$40:$K$40&lt;'Zhuravlev Distances'!J$40)*(COLUMN('Zhuravlev Distances'!$B$40:$K$40)&lt;&gt;COLUMN('Zhuravlev Distances'!K$40)))+SUMPRODUCT(('Zhuravlev Distances'!$B$40:$K$40='Zhuravlev Distances'!J$40)*(COLUMN('Zhuravlev Distances'!$B$40:$K$40)&lt;COLUMN('Zhuravlev Distances'!J$40))*(COLUMN('Zhuravlev Distances'!$B$40:$K$40)&lt;&gt;COLUMN('Zhuravlev Distances'!K$40)))</f>
        <v>2</v>
      </c>
      <c r="K14" s="75" t="inlineStr">
        <is>
          <t xml:space="preserve">—</t>
        </is>
      </c>
    </row>
    <row r="15"/>
    <row r="16">
      <c r="A16" s="59" t="str">
        <f>"S₁  ·  class "&amp;Dataset!$O$3&amp;"  —  neighbours in ascending ρ_J  (target row 5 of the rank matrix)"</f>
        <v>S₁  ·  class 2  —  neighbours in ascending ρ_J  (target row 5 of the rank matrix)</v>
      </c>
      <c r="B16" s="59"/>
      <c r="C16" s="59"/>
      <c r="D16" s="59"/>
      <c r="E16" s="59"/>
      <c r="F16" s="59"/>
      <c r="G16" s="59"/>
      <c r="H16" s="59"/>
      <c r="I16" s="59"/>
      <c r="J16" s="59"/>
    </row>
    <row r="17">
      <c r="A17" s="60" t="inlineStr">
        <is>
          <t xml:space="preserve">Rank</t>
        </is>
      </c>
      <c r="B17" s="60">
        <v>1</v>
      </c>
      <c r="C17" s="60">
        <v>2</v>
      </c>
      <c r="D17" s="60">
        <v>3</v>
      </c>
      <c r="E17" s="60">
        <v>4</v>
      </c>
      <c r="F17" s="60">
        <v>5</v>
      </c>
      <c r="G17" s="60">
        <v>6</v>
      </c>
      <c r="H17" s="60">
        <v>7</v>
      </c>
      <c r="I17" s="60">
        <v>8</v>
      </c>
      <c r="J17" s="60">
        <v>9</v>
      </c>
    </row>
    <row r="18">
      <c r="A18" s="65" t="inlineStr">
        <is>
          <t xml:space="preserve">k-neighbourhood</t>
        </is>
      </c>
      <c r="B18" s="78" t="str">
        <f>IF(AND(B$17&gt;='Parameters'!$B$9,B$17&lt;='Parameters'!$B$10,MOD(B$17-'Parameters'!$B$9,2)=0),"k = "&amp;B$17,"")</f>
        <v/>
      </c>
      <c r="C18" s="78" t="str">
        <f>IF(AND(C$17&gt;='Parameters'!$B$9,C$17&lt;='Parameters'!$B$10,MOD(C$17-'Parameters'!$B$9,2)=0),"k = "&amp;C$17,"")</f>
        <v/>
      </c>
      <c r="D18" s="78" t="str">
        <f>IF(AND(D$17&gt;='Parameters'!$B$9,D$17&lt;='Parameters'!$B$10,MOD(D$17-'Parameters'!$B$9,2)=0),"k = "&amp;D$17,"")</f>
        <v>k = 3</v>
      </c>
      <c r="E18" s="78" t="str">
        <f>IF(AND(E$17&gt;='Parameters'!$B$9,E$17&lt;='Parameters'!$B$10,MOD(E$17-'Parameters'!$B$9,2)=0),"k = "&amp;E$17,"")</f>
        <v/>
      </c>
      <c r="F18" s="78" t="str">
        <f>IF(AND(F$17&gt;='Parameters'!$B$9,F$17&lt;='Parameters'!$B$10,MOD(F$17-'Parameters'!$B$9,2)=0),"k = "&amp;F$17,"")</f>
        <v>k = 5</v>
      </c>
      <c r="G18" s="78" t="str">
        <f>IF(AND(G$17&gt;='Parameters'!$B$9,G$17&lt;='Parameters'!$B$10,MOD(G$17-'Parameters'!$B$9,2)=0),"k = "&amp;G$17,"")</f>
        <v/>
      </c>
      <c r="H18" s="78" t="str">
        <f>IF(AND(H$17&gt;='Parameters'!$B$9,H$17&lt;='Parameters'!$B$10,MOD(H$17-'Parameters'!$B$9,2)=0),"k = "&amp;H$17,"")</f>
        <v/>
      </c>
      <c r="I18" s="78" t="str">
        <f>IF(AND(I$17&gt;='Parameters'!$B$9,I$17&lt;='Parameters'!$B$10,MOD(I$17-'Parameters'!$B$9,2)=0),"k = "&amp;I$17,"")</f>
        <v/>
      </c>
      <c r="J18" s="78" t="str">
        <f>IF(AND(J$17&gt;='Parameters'!$B$9,J$17&lt;='Parameters'!$B$10,MOD(J$17-'Parameters'!$B$9,2)=0),"k = "&amp;J$17,"")</f>
        <v/>
      </c>
    </row>
    <row r="19">
      <c r="A19" s="65" t="inlineStr">
        <is>
          <t xml:space="preserve">Neighbour</t>
        </is>
      </c>
      <c r="B19" s="64" t="str">
        <f>INDEX('Zhuravlev Distances'!$B$30:$K$30,B20)</f>
        <v>S₉</v>
      </c>
      <c r="C19" s="64" t="str">
        <f>INDEX('Zhuravlev Distances'!$B$30:$K$30,C20)</f>
        <v>S₈</v>
      </c>
      <c r="D19" s="64" t="str">
        <f>INDEX('Zhuravlev Distances'!$B$30:$K$30,D20)</f>
        <v>S₁₀</v>
      </c>
      <c r="E19" s="64" t="str">
        <f>INDEX('Zhuravlev Distances'!$B$30:$K$30,E20)</f>
        <v>S₂</v>
      </c>
      <c r="F19" s="64" t="str">
        <f>INDEX('Zhuravlev Distances'!$B$30:$K$30,F20)</f>
        <v>S₄</v>
      </c>
      <c r="G19" s="64" t="str">
        <f>INDEX('Zhuravlev Distances'!$B$30:$K$30,G20)</f>
        <v>S₆</v>
      </c>
      <c r="H19" s="64" t="str">
        <f>INDEX('Zhuravlev Distances'!$B$30:$K$30,H20)</f>
        <v>S₃</v>
      </c>
      <c r="I19" s="64" t="str">
        <f>INDEX('Zhuravlev Distances'!$B$30:$K$30,I20)</f>
        <v>S₅</v>
      </c>
      <c r="J19" s="64" t="str">
        <f>INDEX('Zhuravlev Distances'!$B$30:$K$30,J20)</f>
        <v>S₇</v>
      </c>
    </row>
    <row r="20">
      <c r="A20" s="65" t="inlineStr">
        <is>
          <t xml:space="preserve">Original index</t>
        </is>
      </c>
      <c r="B20" s="76">
        <f>MATCH(B$17,$B$5:$K$5,0)</f>
        <v>9</v>
      </c>
      <c r="C20" s="76">
        <f>MATCH(C$17,$B$5:$K$5,0)</f>
        <v>8</v>
      </c>
      <c r="D20" s="76">
        <f>MATCH(D$17,$B$5:$K$5,0)</f>
        <v>10</v>
      </c>
      <c r="E20" s="76">
        <f>MATCH(E$17,$B$5:$K$5,0)</f>
        <v>2</v>
      </c>
      <c r="F20" s="76">
        <f>MATCH(F$17,$B$5:$K$5,0)</f>
        <v>4</v>
      </c>
      <c r="G20" s="76">
        <f>MATCH(G$17,$B$5:$K$5,0)</f>
        <v>6</v>
      </c>
      <c r="H20" s="76">
        <f>MATCH(H$17,$B$5:$K$5,0)</f>
        <v>3</v>
      </c>
      <c r="I20" s="76">
        <f>MATCH(I$17,$B$5:$K$5,0)</f>
        <v>5</v>
      </c>
      <c r="J20" s="76">
        <f>MATCH(J$17,$B$5:$K$5,0)</f>
        <v>7</v>
      </c>
    </row>
    <row r="21">
      <c r="A21" s="65" t="inlineStr">
        <is>
          <t xml:space="preserve">ρ_J(S₁, neighbour)</t>
        </is>
      </c>
      <c r="B21" s="72">
        <f>INDEX('Zhuravlev Distances'!$B$31:$K$31,B20)</f>
        <v>1</v>
      </c>
      <c r="C21" s="72">
        <f>INDEX('Zhuravlev Distances'!$B$31:$K$31,C20)</f>
        <v>2</v>
      </c>
      <c r="D21" s="72">
        <f>INDEX('Zhuravlev Distances'!$B$31:$K$31,D20)</f>
        <v>2</v>
      </c>
      <c r="E21" s="72">
        <f>INDEX('Zhuravlev Distances'!$B$31:$K$31,E20)</f>
        <v>3</v>
      </c>
      <c r="F21" s="72">
        <f>INDEX('Zhuravlev Distances'!$B$31:$K$31,F20)</f>
        <v>3</v>
      </c>
      <c r="G21" s="72">
        <f>INDEX('Zhuravlev Distances'!$B$31:$K$31,G20)</f>
        <v>3</v>
      </c>
      <c r="H21" s="72">
        <f>INDEX('Zhuravlev Distances'!$B$31:$K$31,H20)</f>
        <v>4</v>
      </c>
      <c r="I21" s="72">
        <f>INDEX('Zhuravlev Distances'!$B$31:$K$31,I20)</f>
        <v>4</v>
      </c>
      <c r="J21" s="72">
        <f>INDEX('Zhuravlev Distances'!$B$31:$K$31,J20)</f>
        <v>4</v>
      </c>
    </row>
    <row r="22">
      <c r="A22" s="65" t="inlineStr">
        <is>
          <t xml:space="preserve">Class</t>
        </is>
      </c>
      <c r="B22" s="68">
        <f>INDEX(Dataset!$O$3:$O$12,B20)</f>
        <v>2</v>
      </c>
      <c r="C22" s="68">
        <f>INDEX(Dataset!$O$3:$O$12,C20)</f>
        <v>2</v>
      </c>
      <c r="D22" s="68">
        <f>INDEX(Dataset!$O$3:$O$12,D20)</f>
        <v>2</v>
      </c>
      <c r="E22" s="68">
        <f>INDEX(Dataset!$O$3:$O$12,E20)</f>
        <v>1</v>
      </c>
      <c r="F22" s="68">
        <f>INDEX(Dataset!$O$3:$O$12,F20)</f>
        <v>1</v>
      </c>
      <c r="G22" s="68">
        <f>INDEX(Dataset!$O$3:$O$12,G20)</f>
        <v>1</v>
      </c>
      <c r="H22" s="68">
        <f>INDEX(Dataset!$O$3:$O$12,H20)</f>
        <v>2</v>
      </c>
      <c r="I22" s="68">
        <f>INDEX(Dataset!$O$3:$O$12,I20)</f>
        <v>1</v>
      </c>
      <c r="J22" s="68">
        <f>INDEX(Dataset!$O$3:$O$12,J20)</f>
        <v>2</v>
      </c>
    </row>
    <row r="23">
      <c r="A23" s="65" t="inlineStr">
        <is>
          <t xml:space="preserve">Same class as S₁</t>
        </is>
      </c>
      <c r="B23" s="74">
        <f>IF(B22=Dataset!$O$3,1,0)</f>
        <v>1</v>
      </c>
      <c r="C23" s="74">
        <f>IF(C22=Dataset!$O$3,1,0)</f>
        <v>1</v>
      </c>
      <c r="D23" s="74">
        <f>IF(D22=Dataset!$O$3,1,0)</f>
        <v>1</v>
      </c>
      <c r="E23" s="74">
        <f>IF(E22=Dataset!$O$3,1,0)</f>
        <v>0</v>
      </c>
      <c r="F23" s="74">
        <f>IF(F22=Dataset!$O$3,1,0)</f>
        <v>0</v>
      </c>
      <c r="G23" s="74">
        <f>IF(G22=Dataset!$O$3,1,0)</f>
        <v>0</v>
      </c>
      <c r="H23" s="74">
        <f>IF(H22=Dataset!$O$3,1,0)</f>
        <v>1</v>
      </c>
      <c r="I23" s="74">
        <f>IF(I22=Dataset!$O$3,1,0)</f>
        <v>0</v>
      </c>
      <c r="J23" s="74">
        <f>IF(J22=Dataset!$O$3,1,0)</f>
        <v>1</v>
      </c>
    </row>
    <row r="24">
      <c r="A24" s="65" t="inlineStr">
        <is>
          <t xml:space="preserve">Same-class count μ (1 … rank)</t>
        </is>
      </c>
      <c r="B24" s="74">
        <f>SUM($B23:B23)</f>
        <v>1</v>
      </c>
      <c r="C24" s="74">
        <f>SUM($B23:C23)</f>
        <v>2</v>
      </c>
      <c r="D24" s="74">
        <f>SUM($B23:D23)</f>
        <v>3</v>
      </c>
      <c r="E24" s="74">
        <f>SUM($B23:E23)</f>
        <v>3</v>
      </c>
      <c r="F24" s="74">
        <f>SUM($B23:F23)</f>
        <v>3</v>
      </c>
      <c r="G24" s="74">
        <f>SUM($B23:G23)</f>
        <v>3</v>
      </c>
      <c r="H24" s="74">
        <f>SUM($B23:H23)</f>
        <v>4</v>
      </c>
      <c r="I24" s="74">
        <f>SUM($B23:I23)</f>
        <v>4</v>
      </c>
      <c r="J24" s="74">
        <f>SUM($B23:J23)</f>
        <v>5</v>
      </c>
    </row>
    <row r="25">
      <c r="A25" s="65" t="inlineStr">
        <is>
          <t xml:space="preserve">K1 count χ₁ (1 … rank)</t>
        </is>
      </c>
      <c r="B25" s="74">
        <f>COUNTIF($B22:B22,1)</f>
        <v>0</v>
      </c>
      <c r="C25" s="74">
        <f>COUNTIF($B22:C22,1)</f>
        <v>0</v>
      </c>
      <c r="D25" s="74">
        <f>COUNTIF($B22:D22,1)</f>
        <v>0</v>
      </c>
      <c r="E25" s="74">
        <f>COUNTIF($B22:E22,1)</f>
        <v>1</v>
      </c>
      <c r="F25" s="74">
        <f>COUNTIF($B22:F22,1)</f>
        <v>2</v>
      </c>
      <c r="G25" s="74">
        <f>COUNTIF($B22:G22,1)</f>
        <v>3</v>
      </c>
      <c r="H25" s="74">
        <f>COUNTIF($B22:H22,1)</f>
        <v>3</v>
      </c>
      <c r="I25" s="74">
        <f>COUNTIF($B22:I22,1)</f>
        <v>4</v>
      </c>
      <c r="J25" s="74">
        <f>COUNTIF($B22:J22,1)</f>
        <v>4</v>
      </c>
    </row>
    <row r="26"/>
    <row r="27">
      <c r="A27" s="59" t="str">
        <f>"S₂  ·  class "&amp;Dataset!$O$4&amp;"  —  neighbours in ascending ρ_J  (target row 6 of the rank matrix)"</f>
        <v>S₂  ·  class 1  —  neighbours in ascending ρ_J  (target row 6 of the rank matrix)</v>
      </c>
      <c r="B27" s="59"/>
      <c r="C27" s="59"/>
      <c r="D27" s="59"/>
      <c r="E27" s="59"/>
      <c r="F27" s="59"/>
      <c r="G27" s="59"/>
      <c r="H27" s="59"/>
      <c r="I27" s="59"/>
      <c r="J27" s="59"/>
    </row>
    <row r="28">
      <c r="A28" s="60" t="inlineStr">
        <is>
          <t xml:space="preserve">Rank</t>
        </is>
      </c>
      <c r="B28" s="60">
        <v>1</v>
      </c>
      <c r="C28" s="60">
        <v>2</v>
      </c>
      <c r="D28" s="60">
        <v>3</v>
      </c>
      <c r="E28" s="60">
        <v>4</v>
      </c>
      <c r="F28" s="60">
        <v>5</v>
      </c>
      <c r="G28" s="60">
        <v>6</v>
      </c>
      <c r="H28" s="60">
        <v>7</v>
      </c>
      <c r="I28" s="60">
        <v>8</v>
      </c>
      <c r="J28" s="60">
        <v>9</v>
      </c>
    </row>
    <row r="29">
      <c r="A29" s="65" t="inlineStr">
        <is>
          <t xml:space="preserve">k-neighbourhood</t>
        </is>
      </c>
      <c r="B29" s="78" t="str">
        <f>IF(AND(B$28&gt;='Parameters'!$B$9,B$28&lt;='Parameters'!$B$10,MOD(B$28-'Parameters'!$B$9,2)=0),"k = "&amp;B$28,"")</f>
        <v/>
      </c>
      <c r="C29" s="78" t="str">
        <f>IF(AND(C$28&gt;='Parameters'!$B$9,C$28&lt;='Parameters'!$B$10,MOD(C$28-'Parameters'!$B$9,2)=0),"k = "&amp;C$28,"")</f>
        <v/>
      </c>
      <c r="D29" s="78" t="str">
        <f>IF(AND(D$28&gt;='Parameters'!$B$9,D$28&lt;='Parameters'!$B$10,MOD(D$28-'Parameters'!$B$9,2)=0),"k = "&amp;D$28,"")</f>
        <v>k = 3</v>
      </c>
      <c r="E29" s="78" t="str">
        <f>IF(AND(E$28&gt;='Parameters'!$B$9,E$28&lt;='Parameters'!$B$10,MOD(E$28-'Parameters'!$B$9,2)=0),"k = "&amp;E$28,"")</f>
        <v/>
      </c>
      <c r="F29" s="78" t="str">
        <f>IF(AND(F$28&gt;='Parameters'!$B$9,F$28&lt;='Parameters'!$B$10,MOD(F$28-'Parameters'!$B$9,2)=0),"k = "&amp;F$28,"")</f>
        <v>k = 5</v>
      </c>
      <c r="G29" s="78" t="str">
        <f>IF(AND(G$28&gt;='Parameters'!$B$9,G$28&lt;='Parameters'!$B$10,MOD(G$28-'Parameters'!$B$9,2)=0),"k = "&amp;G$28,"")</f>
        <v/>
      </c>
      <c r="H29" s="78" t="str">
        <f>IF(AND(H$28&gt;='Parameters'!$B$9,H$28&lt;='Parameters'!$B$10,MOD(H$28-'Parameters'!$B$9,2)=0),"k = "&amp;H$28,"")</f>
        <v/>
      </c>
      <c r="I29" s="78" t="str">
        <f>IF(AND(I$28&gt;='Parameters'!$B$9,I$28&lt;='Parameters'!$B$10,MOD(I$28-'Parameters'!$B$9,2)=0),"k = "&amp;I$28,"")</f>
        <v/>
      </c>
      <c r="J29" s="78" t="str">
        <f>IF(AND(J$28&gt;='Parameters'!$B$9,J$28&lt;='Parameters'!$B$10,MOD(J$28-'Parameters'!$B$9,2)=0),"k = "&amp;J$28,"")</f>
        <v/>
      </c>
    </row>
    <row r="30">
      <c r="A30" s="65" t="inlineStr">
        <is>
          <t xml:space="preserve">Neighbour</t>
        </is>
      </c>
      <c r="B30" s="64" t="str">
        <f>INDEX('Zhuravlev Distances'!$B$30:$K$30,B31)</f>
        <v>S₁₀</v>
      </c>
      <c r="C30" s="64" t="str">
        <f>INDEX('Zhuravlev Distances'!$B$30:$K$30,C31)</f>
        <v>S₉</v>
      </c>
      <c r="D30" s="64" t="str">
        <f>INDEX('Zhuravlev Distances'!$B$30:$K$30,D31)</f>
        <v>S₁</v>
      </c>
      <c r="E30" s="64" t="str">
        <f>INDEX('Zhuravlev Distances'!$B$30:$K$30,E31)</f>
        <v>S₈</v>
      </c>
      <c r="F30" s="64" t="str">
        <f>INDEX('Zhuravlev Distances'!$B$30:$K$30,F31)</f>
        <v>S₃</v>
      </c>
      <c r="G30" s="64" t="str">
        <f>INDEX('Zhuravlev Distances'!$B$30:$K$30,G31)</f>
        <v>S₄</v>
      </c>
      <c r="H30" s="64" t="str">
        <f>INDEX('Zhuravlev Distances'!$B$30:$K$30,H31)</f>
        <v>S₅</v>
      </c>
      <c r="I30" s="64" t="str">
        <f>INDEX('Zhuravlev Distances'!$B$30:$K$30,I31)</f>
        <v>S₆</v>
      </c>
      <c r="J30" s="64" t="str">
        <f>INDEX('Zhuravlev Distances'!$B$30:$K$30,J31)</f>
        <v>S₇</v>
      </c>
    </row>
    <row r="31">
      <c r="A31" s="65" t="inlineStr">
        <is>
          <t xml:space="preserve">Original index</t>
        </is>
      </c>
      <c r="B31" s="76">
        <f>MATCH(B$28,$B$6:$K$6,0)</f>
        <v>10</v>
      </c>
      <c r="C31" s="76">
        <f>MATCH(C$28,$B$6:$K$6,0)</f>
        <v>9</v>
      </c>
      <c r="D31" s="76">
        <f>MATCH(D$28,$B$6:$K$6,0)</f>
        <v>1</v>
      </c>
      <c r="E31" s="76">
        <f>MATCH(E$28,$B$6:$K$6,0)</f>
        <v>8</v>
      </c>
      <c r="F31" s="76">
        <f>MATCH(F$28,$B$6:$K$6,0)</f>
        <v>3</v>
      </c>
      <c r="G31" s="76">
        <f>MATCH(G$28,$B$6:$K$6,0)</f>
        <v>4</v>
      </c>
      <c r="H31" s="76">
        <f>MATCH(H$28,$B$6:$K$6,0)</f>
        <v>5</v>
      </c>
      <c r="I31" s="76">
        <f>MATCH(I$28,$B$6:$K$6,0)</f>
        <v>6</v>
      </c>
      <c r="J31" s="76">
        <f>MATCH(J$28,$B$6:$K$6,0)</f>
        <v>7</v>
      </c>
    </row>
    <row r="32">
      <c r="A32" s="65" t="inlineStr">
        <is>
          <t xml:space="preserve">ρ_J(S₂, neighbour)</t>
        </is>
      </c>
      <c r="B32" s="72">
        <f>INDEX('Zhuravlev Distances'!$B$32:$K$32,B31)</f>
        <v>1</v>
      </c>
      <c r="C32" s="72">
        <f>INDEX('Zhuravlev Distances'!$B$32:$K$32,C31)</f>
        <v>2</v>
      </c>
      <c r="D32" s="72">
        <f>INDEX('Zhuravlev Distances'!$B$32:$K$32,D31)</f>
        <v>3</v>
      </c>
      <c r="E32" s="72">
        <f>INDEX('Zhuravlev Distances'!$B$32:$K$32,E31)</f>
        <v>3</v>
      </c>
      <c r="F32" s="72">
        <f>INDEX('Zhuravlev Distances'!$B$32:$K$32,F31)</f>
        <v>4</v>
      </c>
      <c r="G32" s="72">
        <f>INDEX('Zhuravlev Distances'!$B$32:$K$32,G31)</f>
        <v>4</v>
      </c>
      <c r="H32" s="72">
        <f>INDEX('Zhuravlev Distances'!$B$32:$K$32,H31)</f>
        <v>4</v>
      </c>
      <c r="I32" s="72">
        <f>INDEX('Zhuravlev Distances'!$B$32:$K$32,I31)</f>
        <v>4</v>
      </c>
      <c r="J32" s="72">
        <f>INDEX('Zhuravlev Distances'!$B$32:$K$32,J31)</f>
        <v>4</v>
      </c>
    </row>
    <row r="33">
      <c r="A33" s="65" t="inlineStr">
        <is>
          <t xml:space="preserve">Class</t>
        </is>
      </c>
      <c r="B33" s="68">
        <f>INDEX(Dataset!$O$3:$O$12,B31)</f>
        <v>2</v>
      </c>
      <c r="C33" s="68">
        <f>INDEX(Dataset!$O$3:$O$12,C31)</f>
        <v>2</v>
      </c>
      <c r="D33" s="68">
        <f>INDEX(Dataset!$O$3:$O$12,D31)</f>
        <v>2</v>
      </c>
      <c r="E33" s="68">
        <f>INDEX(Dataset!$O$3:$O$12,E31)</f>
        <v>2</v>
      </c>
      <c r="F33" s="68">
        <f>INDEX(Dataset!$O$3:$O$12,F31)</f>
        <v>2</v>
      </c>
      <c r="G33" s="68">
        <f>INDEX(Dataset!$O$3:$O$12,G31)</f>
        <v>1</v>
      </c>
      <c r="H33" s="68">
        <f>INDEX(Dataset!$O$3:$O$12,H31)</f>
        <v>1</v>
      </c>
      <c r="I33" s="68">
        <f>INDEX(Dataset!$O$3:$O$12,I31)</f>
        <v>1</v>
      </c>
      <c r="J33" s="68">
        <f>INDEX(Dataset!$O$3:$O$12,J31)</f>
        <v>2</v>
      </c>
    </row>
    <row r="34">
      <c r="A34" s="65" t="inlineStr">
        <is>
          <t xml:space="preserve">Same class as S₂</t>
        </is>
      </c>
      <c r="B34" s="74">
        <f>IF(B33=Dataset!$O$4,1,0)</f>
        <v>0</v>
      </c>
      <c r="C34" s="74">
        <f>IF(C33=Dataset!$O$4,1,0)</f>
        <v>0</v>
      </c>
      <c r="D34" s="74">
        <f>IF(D33=Dataset!$O$4,1,0)</f>
        <v>0</v>
      </c>
      <c r="E34" s="74">
        <f>IF(E33=Dataset!$O$4,1,0)</f>
        <v>0</v>
      </c>
      <c r="F34" s="74">
        <f>IF(F33=Dataset!$O$4,1,0)</f>
        <v>0</v>
      </c>
      <c r="G34" s="74">
        <f>IF(G33=Dataset!$O$4,1,0)</f>
        <v>1</v>
      </c>
      <c r="H34" s="74">
        <f>IF(H33=Dataset!$O$4,1,0)</f>
        <v>1</v>
      </c>
      <c r="I34" s="74">
        <f>IF(I33=Dataset!$O$4,1,0)</f>
        <v>1</v>
      </c>
      <c r="J34" s="74">
        <f>IF(J33=Dataset!$O$4,1,0)</f>
        <v>0</v>
      </c>
    </row>
    <row r="35">
      <c r="A35" s="65" t="inlineStr">
        <is>
          <t xml:space="preserve">Same-class count μ (1 … rank)</t>
        </is>
      </c>
      <c r="B35" s="74">
        <f>SUM($B34:B34)</f>
        <v>0</v>
      </c>
      <c r="C35" s="74">
        <f>SUM($B34:C34)</f>
        <v>0</v>
      </c>
      <c r="D35" s="74">
        <f>SUM($B34:D34)</f>
        <v>0</v>
      </c>
      <c r="E35" s="74">
        <f>SUM($B34:E34)</f>
        <v>0</v>
      </c>
      <c r="F35" s="74">
        <f>SUM($B34:F34)</f>
        <v>0</v>
      </c>
      <c r="G35" s="74">
        <f>SUM($B34:G34)</f>
        <v>1</v>
      </c>
      <c r="H35" s="74">
        <f>SUM($B34:H34)</f>
        <v>2</v>
      </c>
      <c r="I35" s="74">
        <f>SUM($B34:I34)</f>
        <v>3</v>
      </c>
      <c r="J35" s="74">
        <f>SUM($B34:J34)</f>
        <v>3</v>
      </c>
    </row>
    <row r="36">
      <c r="A36" s="65" t="inlineStr">
        <is>
          <t xml:space="preserve">K1 count χ₁ (1 … rank)</t>
        </is>
      </c>
      <c r="B36" s="74">
        <f>COUNTIF($B33:B33,1)</f>
        <v>0</v>
      </c>
      <c r="C36" s="74">
        <f>COUNTIF($B33:C33,1)</f>
        <v>0</v>
      </c>
      <c r="D36" s="74">
        <f>COUNTIF($B33:D33,1)</f>
        <v>0</v>
      </c>
      <c r="E36" s="74">
        <f>COUNTIF($B33:E33,1)</f>
        <v>0</v>
      </c>
      <c r="F36" s="74">
        <f>COUNTIF($B33:F33,1)</f>
        <v>0</v>
      </c>
      <c r="G36" s="74">
        <f>COUNTIF($B33:G33,1)</f>
        <v>1</v>
      </c>
      <c r="H36" s="74">
        <f>COUNTIF($B33:H33,1)</f>
        <v>2</v>
      </c>
      <c r="I36" s="74">
        <f>COUNTIF($B33:I33,1)</f>
        <v>3</v>
      </c>
      <c r="J36" s="74">
        <f>COUNTIF($B33:J33,1)</f>
        <v>3</v>
      </c>
    </row>
    <row r="37"/>
    <row r="38">
      <c r="A38" s="59" t="str">
        <f>"S₃  ·  class "&amp;Dataset!$O$5&amp;"  —  neighbours in ascending ρ_J  (target row 7 of the rank matrix)"</f>
        <v>S₃  ·  class 2  —  neighbours in ascending ρ_J  (target row 7 of the rank matrix)</v>
      </c>
      <c r="B38" s="59"/>
      <c r="C38" s="59"/>
      <c r="D38" s="59"/>
      <c r="E38" s="59"/>
      <c r="F38" s="59"/>
      <c r="G38" s="59"/>
      <c r="H38" s="59"/>
      <c r="I38" s="59"/>
      <c r="J38" s="59"/>
    </row>
    <row r="39">
      <c r="A39" s="60" t="inlineStr">
        <is>
          <t xml:space="preserve">Rank</t>
        </is>
      </c>
      <c r="B39" s="60">
        <v>1</v>
      </c>
      <c r="C39" s="60">
        <v>2</v>
      </c>
      <c r="D39" s="60">
        <v>3</v>
      </c>
      <c r="E39" s="60">
        <v>4</v>
      </c>
      <c r="F39" s="60">
        <v>5</v>
      </c>
      <c r="G39" s="60">
        <v>6</v>
      </c>
      <c r="H39" s="60">
        <v>7</v>
      </c>
      <c r="I39" s="60">
        <v>8</v>
      </c>
      <c r="J39" s="60">
        <v>9</v>
      </c>
    </row>
    <row r="40">
      <c r="A40" s="65" t="inlineStr">
        <is>
          <t xml:space="preserve">k-neighbourhood</t>
        </is>
      </c>
      <c r="B40" s="78" t="str">
        <f>IF(AND(B$39&gt;='Parameters'!$B$9,B$39&lt;='Parameters'!$B$10,MOD(B$39-'Parameters'!$B$9,2)=0),"k = "&amp;B$39,"")</f>
        <v/>
      </c>
      <c r="C40" s="78" t="str">
        <f>IF(AND(C$39&gt;='Parameters'!$B$9,C$39&lt;='Parameters'!$B$10,MOD(C$39-'Parameters'!$B$9,2)=0),"k = "&amp;C$39,"")</f>
        <v/>
      </c>
      <c r="D40" s="78" t="str">
        <f>IF(AND(D$39&gt;='Parameters'!$B$9,D$39&lt;='Parameters'!$B$10,MOD(D$39-'Parameters'!$B$9,2)=0),"k = "&amp;D$39,"")</f>
        <v>k = 3</v>
      </c>
      <c r="E40" s="78" t="str">
        <f>IF(AND(E$39&gt;='Parameters'!$B$9,E$39&lt;='Parameters'!$B$10,MOD(E$39-'Parameters'!$B$9,2)=0),"k = "&amp;E$39,"")</f>
        <v/>
      </c>
      <c r="F40" s="78" t="str">
        <f>IF(AND(F$39&gt;='Parameters'!$B$9,F$39&lt;='Parameters'!$B$10,MOD(F$39-'Parameters'!$B$9,2)=0),"k = "&amp;F$39,"")</f>
        <v>k = 5</v>
      </c>
      <c r="G40" s="78" t="str">
        <f>IF(AND(G$39&gt;='Parameters'!$B$9,G$39&lt;='Parameters'!$B$10,MOD(G$39-'Parameters'!$B$9,2)=0),"k = "&amp;G$39,"")</f>
        <v/>
      </c>
      <c r="H40" s="78" t="str">
        <f>IF(AND(H$39&gt;='Parameters'!$B$9,H$39&lt;='Parameters'!$B$10,MOD(H$39-'Parameters'!$B$9,2)=0),"k = "&amp;H$39,"")</f>
        <v/>
      </c>
      <c r="I40" s="78" t="str">
        <f>IF(AND(I$39&gt;='Parameters'!$B$9,I$39&lt;='Parameters'!$B$10,MOD(I$39-'Parameters'!$B$9,2)=0),"k = "&amp;I$39,"")</f>
        <v/>
      </c>
      <c r="J40" s="78" t="str">
        <f>IF(AND(J$39&gt;='Parameters'!$B$9,J$39&lt;='Parameters'!$B$10,MOD(J$39-'Parameters'!$B$9,2)=0),"k = "&amp;J$39,"")</f>
        <v/>
      </c>
    </row>
    <row r="41">
      <c r="A41" s="65" t="inlineStr">
        <is>
          <t xml:space="preserve">Neighbour</t>
        </is>
      </c>
      <c r="B41" s="64" t="str">
        <f>INDEX('Zhuravlev Distances'!$B$30:$K$30,B42)</f>
        <v>S₆</v>
      </c>
      <c r="C41" s="64" t="str">
        <f>INDEX('Zhuravlev Distances'!$B$30:$K$30,C42)</f>
        <v>S₄</v>
      </c>
      <c r="D41" s="64" t="str">
        <f>INDEX('Zhuravlev Distances'!$B$30:$K$30,D42)</f>
        <v>S₉</v>
      </c>
      <c r="E41" s="64" t="str">
        <f>INDEX('Zhuravlev Distances'!$B$30:$K$30,E42)</f>
        <v>S₁</v>
      </c>
      <c r="F41" s="64" t="str">
        <f>INDEX('Zhuravlev Distances'!$B$30:$K$30,F42)</f>
        <v>S₂</v>
      </c>
      <c r="G41" s="64" t="str">
        <f>INDEX('Zhuravlev Distances'!$B$30:$K$30,G42)</f>
        <v>S₅</v>
      </c>
      <c r="H41" s="64" t="str">
        <f>INDEX('Zhuravlev Distances'!$B$30:$K$30,H42)</f>
        <v>S₈</v>
      </c>
      <c r="I41" s="64" t="str">
        <f>INDEX('Zhuravlev Distances'!$B$30:$K$30,I42)</f>
        <v>S₁₀</v>
      </c>
      <c r="J41" s="64" t="str">
        <f>INDEX('Zhuravlev Distances'!$B$30:$K$30,J42)</f>
        <v>S₇</v>
      </c>
    </row>
    <row r="42">
      <c r="A42" s="65" t="inlineStr">
        <is>
          <t xml:space="preserve">Original index</t>
        </is>
      </c>
      <c r="B42" s="76">
        <f>MATCH(B$39,$B$7:$K$7,0)</f>
        <v>6</v>
      </c>
      <c r="C42" s="76">
        <f>MATCH(C$39,$B$7:$K$7,0)</f>
        <v>4</v>
      </c>
      <c r="D42" s="76">
        <f>MATCH(D$39,$B$7:$K$7,0)</f>
        <v>9</v>
      </c>
      <c r="E42" s="76">
        <f>MATCH(E$39,$B$7:$K$7,0)</f>
        <v>1</v>
      </c>
      <c r="F42" s="76">
        <f>MATCH(F$39,$B$7:$K$7,0)</f>
        <v>2</v>
      </c>
      <c r="G42" s="76">
        <f>MATCH(G$39,$B$7:$K$7,0)</f>
        <v>5</v>
      </c>
      <c r="H42" s="76">
        <f>MATCH(H$39,$B$7:$K$7,0)</f>
        <v>8</v>
      </c>
      <c r="I42" s="76">
        <f>MATCH(I$39,$B$7:$K$7,0)</f>
        <v>10</v>
      </c>
      <c r="J42" s="76">
        <f>MATCH(J$39,$B$7:$K$7,0)</f>
        <v>7</v>
      </c>
    </row>
    <row r="43">
      <c r="A43" s="65" t="inlineStr">
        <is>
          <t xml:space="preserve">ρ_J(S₃, neighbour)</t>
        </is>
      </c>
      <c r="B43" s="72">
        <f>INDEX('Zhuravlev Distances'!$B$33:$K$33,B42)</f>
        <v>1</v>
      </c>
      <c r="C43" s="72">
        <f>INDEX('Zhuravlev Distances'!$B$33:$K$33,C42)</f>
        <v>3</v>
      </c>
      <c r="D43" s="72">
        <f>INDEX('Zhuravlev Distances'!$B$33:$K$33,D42)</f>
        <v>3</v>
      </c>
      <c r="E43" s="72">
        <f>INDEX('Zhuravlev Distances'!$B$33:$K$33,E42)</f>
        <v>4</v>
      </c>
      <c r="F43" s="72">
        <f>INDEX('Zhuravlev Distances'!$B$33:$K$33,F42)</f>
        <v>4</v>
      </c>
      <c r="G43" s="72">
        <f>INDEX('Zhuravlev Distances'!$B$33:$K$33,G42)</f>
        <v>4</v>
      </c>
      <c r="H43" s="72">
        <f>INDEX('Zhuravlev Distances'!$B$33:$K$33,H42)</f>
        <v>4</v>
      </c>
      <c r="I43" s="72">
        <f>INDEX('Zhuravlev Distances'!$B$33:$K$33,I42)</f>
        <v>4</v>
      </c>
      <c r="J43" s="72">
        <f>INDEX('Zhuravlev Distances'!$B$33:$K$33,J42)</f>
        <v>6</v>
      </c>
    </row>
    <row r="44">
      <c r="A44" s="65" t="inlineStr">
        <is>
          <t xml:space="preserve">Class</t>
        </is>
      </c>
      <c r="B44" s="68">
        <f>INDEX(Dataset!$O$3:$O$12,B42)</f>
        <v>1</v>
      </c>
      <c r="C44" s="68">
        <f>INDEX(Dataset!$O$3:$O$12,C42)</f>
        <v>1</v>
      </c>
      <c r="D44" s="68">
        <f>INDEX(Dataset!$O$3:$O$12,D42)</f>
        <v>2</v>
      </c>
      <c r="E44" s="68">
        <f>INDEX(Dataset!$O$3:$O$12,E42)</f>
        <v>2</v>
      </c>
      <c r="F44" s="68">
        <f>INDEX(Dataset!$O$3:$O$12,F42)</f>
        <v>1</v>
      </c>
      <c r="G44" s="68">
        <f>INDEX(Dataset!$O$3:$O$12,G42)</f>
        <v>1</v>
      </c>
      <c r="H44" s="68">
        <f>INDEX(Dataset!$O$3:$O$12,H42)</f>
        <v>2</v>
      </c>
      <c r="I44" s="68">
        <f>INDEX(Dataset!$O$3:$O$12,I42)</f>
        <v>2</v>
      </c>
      <c r="J44" s="68">
        <f>INDEX(Dataset!$O$3:$O$12,J42)</f>
        <v>2</v>
      </c>
    </row>
    <row r="45">
      <c r="A45" s="65" t="inlineStr">
        <is>
          <t xml:space="preserve">Same class as S₃</t>
        </is>
      </c>
      <c r="B45" s="74">
        <f>IF(B44=Dataset!$O$5,1,0)</f>
        <v>0</v>
      </c>
      <c r="C45" s="74">
        <f>IF(C44=Dataset!$O$5,1,0)</f>
        <v>0</v>
      </c>
      <c r="D45" s="74">
        <f>IF(D44=Dataset!$O$5,1,0)</f>
        <v>1</v>
      </c>
      <c r="E45" s="74">
        <f>IF(E44=Dataset!$O$5,1,0)</f>
        <v>1</v>
      </c>
      <c r="F45" s="74">
        <f>IF(F44=Dataset!$O$5,1,0)</f>
        <v>0</v>
      </c>
      <c r="G45" s="74">
        <f>IF(G44=Dataset!$O$5,1,0)</f>
        <v>0</v>
      </c>
      <c r="H45" s="74">
        <f>IF(H44=Dataset!$O$5,1,0)</f>
        <v>1</v>
      </c>
      <c r="I45" s="74">
        <f>IF(I44=Dataset!$O$5,1,0)</f>
        <v>1</v>
      </c>
      <c r="J45" s="74">
        <f>IF(J44=Dataset!$O$5,1,0)</f>
        <v>1</v>
      </c>
    </row>
    <row r="46">
      <c r="A46" s="65" t="inlineStr">
        <is>
          <t xml:space="preserve">Same-class count μ (1 … rank)</t>
        </is>
      </c>
      <c r="B46" s="74">
        <f>SUM($B45:B45)</f>
        <v>0</v>
      </c>
      <c r="C46" s="74">
        <f>SUM($B45:C45)</f>
        <v>0</v>
      </c>
      <c r="D46" s="74">
        <f>SUM($B45:D45)</f>
        <v>1</v>
      </c>
      <c r="E46" s="74">
        <f>SUM($B45:E45)</f>
        <v>2</v>
      </c>
      <c r="F46" s="74">
        <f>SUM($B45:F45)</f>
        <v>2</v>
      </c>
      <c r="G46" s="74">
        <f>SUM($B45:G45)</f>
        <v>2</v>
      </c>
      <c r="H46" s="74">
        <f>SUM($B45:H45)</f>
        <v>3</v>
      </c>
      <c r="I46" s="74">
        <f>SUM($B45:I45)</f>
        <v>4</v>
      </c>
      <c r="J46" s="74">
        <f>SUM($B45:J45)</f>
        <v>5</v>
      </c>
    </row>
    <row r="47">
      <c r="A47" s="65" t="inlineStr">
        <is>
          <t xml:space="preserve">K1 count χ₁ (1 … rank)</t>
        </is>
      </c>
      <c r="B47" s="74">
        <f>COUNTIF($B44:B44,1)</f>
        <v>1</v>
      </c>
      <c r="C47" s="74">
        <f>COUNTIF($B44:C44,1)</f>
        <v>2</v>
      </c>
      <c r="D47" s="74">
        <f>COUNTIF($B44:D44,1)</f>
        <v>2</v>
      </c>
      <c r="E47" s="74">
        <f>COUNTIF($B44:E44,1)</f>
        <v>2</v>
      </c>
      <c r="F47" s="74">
        <f>COUNTIF($B44:F44,1)</f>
        <v>3</v>
      </c>
      <c r="G47" s="74">
        <f>COUNTIF($B44:G44,1)</f>
        <v>4</v>
      </c>
      <c r="H47" s="74">
        <f>COUNTIF($B44:H44,1)</f>
        <v>4</v>
      </c>
      <c r="I47" s="74">
        <f>COUNTIF($B44:I44,1)</f>
        <v>4</v>
      </c>
      <c r="J47" s="74">
        <f>COUNTIF($B44:J44,1)</f>
        <v>4</v>
      </c>
    </row>
    <row r="48"/>
    <row r="49">
      <c r="A49" s="59" t="str">
        <f>"S₄  ·  class "&amp;Dataset!$O$6&amp;"  —  neighbours in ascending ρ_J  (target row 8 of the rank matrix)"</f>
        <v>S₄  ·  class 1  —  neighbours in ascending ρ_J  (target row 8 of the rank matrix)</v>
      </c>
      <c r="B49" s="59"/>
      <c r="C49" s="59"/>
      <c r="D49" s="59"/>
      <c r="E49" s="59"/>
      <c r="F49" s="59"/>
      <c r="G49" s="59"/>
      <c r="H49" s="59"/>
      <c r="I49" s="59"/>
      <c r="J49" s="59"/>
    </row>
    <row r="50">
      <c r="A50" s="60" t="inlineStr">
        <is>
          <t xml:space="preserve">Rank</t>
        </is>
      </c>
      <c r="B50" s="60">
        <v>1</v>
      </c>
      <c r="C50" s="60">
        <v>2</v>
      </c>
      <c r="D50" s="60">
        <v>3</v>
      </c>
      <c r="E50" s="60">
        <v>4</v>
      </c>
      <c r="F50" s="60">
        <v>5</v>
      </c>
      <c r="G50" s="60">
        <v>6</v>
      </c>
      <c r="H50" s="60">
        <v>7</v>
      </c>
      <c r="I50" s="60">
        <v>8</v>
      </c>
      <c r="J50" s="60">
        <v>9</v>
      </c>
    </row>
    <row r="51">
      <c r="A51" s="65" t="inlineStr">
        <is>
          <t xml:space="preserve">k-neighbourhood</t>
        </is>
      </c>
      <c r="B51" s="78" t="str">
        <f>IF(AND(B$50&gt;='Parameters'!$B$9,B$50&lt;='Parameters'!$B$10,MOD(B$50-'Parameters'!$B$9,2)=0),"k = "&amp;B$50,"")</f>
        <v/>
      </c>
      <c r="C51" s="78" t="str">
        <f>IF(AND(C$50&gt;='Parameters'!$B$9,C$50&lt;='Parameters'!$B$10,MOD(C$50-'Parameters'!$B$9,2)=0),"k = "&amp;C$50,"")</f>
        <v/>
      </c>
      <c r="D51" s="78" t="str">
        <f>IF(AND(D$50&gt;='Parameters'!$B$9,D$50&lt;='Parameters'!$B$10,MOD(D$50-'Parameters'!$B$9,2)=0),"k = "&amp;D$50,"")</f>
        <v>k = 3</v>
      </c>
      <c r="E51" s="78" t="str">
        <f>IF(AND(E$50&gt;='Parameters'!$B$9,E$50&lt;='Parameters'!$B$10,MOD(E$50-'Parameters'!$B$9,2)=0),"k = "&amp;E$50,"")</f>
        <v/>
      </c>
      <c r="F51" s="78" t="str">
        <f>IF(AND(F$50&gt;='Parameters'!$B$9,F$50&lt;='Parameters'!$B$10,MOD(F$50-'Parameters'!$B$9,2)=0),"k = "&amp;F$50,"")</f>
        <v>k = 5</v>
      </c>
      <c r="G51" s="78" t="str">
        <f>IF(AND(G$50&gt;='Parameters'!$B$9,G$50&lt;='Parameters'!$B$10,MOD(G$50-'Parameters'!$B$9,2)=0),"k = "&amp;G$50,"")</f>
        <v/>
      </c>
      <c r="H51" s="78" t="str">
        <f>IF(AND(H$50&gt;='Parameters'!$B$9,H$50&lt;='Parameters'!$B$10,MOD(H$50-'Parameters'!$B$9,2)=0),"k = "&amp;H$50,"")</f>
        <v/>
      </c>
      <c r="I51" s="78" t="str">
        <f>IF(AND(I$50&gt;='Parameters'!$B$9,I$50&lt;='Parameters'!$B$10,MOD(I$50-'Parameters'!$B$9,2)=0),"k = "&amp;I$50,"")</f>
        <v/>
      </c>
      <c r="J51" s="78" t="str">
        <f>IF(AND(J$50&gt;='Parameters'!$B$9,J$50&lt;='Parameters'!$B$10,MOD(J$50-'Parameters'!$B$9,2)=0),"k = "&amp;J$50,"")</f>
        <v/>
      </c>
    </row>
    <row r="52">
      <c r="A52" s="65" t="inlineStr">
        <is>
          <t xml:space="preserve">Neighbour</t>
        </is>
      </c>
      <c r="B52" s="64" t="str">
        <f>INDEX('Zhuravlev Distances'!$B$30:$K$30,B53)</f>
        <v>S₈</v>
      </c>
      <c r="C52" s="64" t="str">
        <f>INDEX('Zhuravlev Distances'!$B$30:$K$30,C53)</f>
        <v>S₆</v>
      </c>
      <c r="D52" s="64" t="str">
        <f>INDEX('Zhuravlev Distances'!$B$30:$K$30,D53)</f>
        <v>S₉</v>
      </c>
      <c r="E52" s="64" t="str">
        <f>INDEX('Zhuravlev Distances'!$B$30:$K$30,E53)</f>
        <v>S₁</v>
      </c>
      <c r="F52" s="64" t="str">
        <f>INDEX('Zhuravlev Distances'!$B$30:$K$30,F53)</f>
        <v>S₃</v>
      </c>
      <c r="G52" s="64" t="str">
        <f>INDEX('Zhuravlev Distances'!$B$30:$K$30,G53)</f>
        <v>S₁₀</v>
      </c>
      <c r="H52" s="64" t="str">
        <f>INDEX('Zhuravlev Distances'!$B$30:$K$30,H53)</f>
        <v>S₂</v>
      </c>
      <c r="I52" s="64" t="str">
        <f>INDEX('Zhuravlev Distances'!$B$30:$K$30,I53)</f>
        <v>S₇</v>
      </c>
      <c r="J52" s="64" t="str">
        <f>INDEX('Zhuravlev Distances'!$B$30:$K$30,J53)</f>
        <v>S₅</v>
      </c>
    </row>
    <row r="53">
      <c r="A53" s="65" t="inlineStr">
        <is>
          <t xml:space="preserve">Original index</t>
        </is>
      </c>
      <c r="B53" s="76">
        <f>MATCH(B$50,$B$8:$K$8,0)</f>
        <v>8</v>
      </c>
      <c r="C53" s="76">
        <f>MATCH(C$50,$B$8:$K$8,0)</f>
        <v>6</v>
      </c>
      <c r="D53" s="76">
        <f>MATCH(D$50,$B$8:$K$8,0)</f>
        <v>9</v>
      </c>
      <c r="E53" s="76">
        <f>MATCH(E$50,$B$8:$K$8,0)</f>
        <v>1</v>
      </c>
      <c r="F53" s="76">
        <f>MATCH(F$50,$B$8:$K$8,0)</f>
        <v>3</v>
      </c>
      <c r="G53" s="76">
        <f>MATCH(G$50,$B$8:$K$8,0)</f>
        <v>10</v>
      </c>
      <c r="H53" s="76">
        <f>MATCH(H$50,$B$8:$K$8,0)</f>
        <v>2</v>
      </c>
      <c r="I53" s="76">
        <f>MATCH(I$50,$B$8:$K$8,0)</f>
        <v>7</v>
      </c>
      <c r="J53" s="76">
        <f>MATCH(J$50,$B$8:$K$8,0)</f>
        <v>5</v>
      </c>
    </row>
    <row r="54">
      <c r="A54" s="65" t="inlineStr">
        <is>
          <t xml:space="preserve">ρ_J(S₄, neighbour)</t>
        </is>
      </c>
      <c r="B54" s="72">
        <f>INDEX('Zhuravlev Distances'!$B$34:$K$34,B53)</f>
        <v>1</v>
      </c>
      <c r="C54" s="72">
        <f>INDEX('Zhuravlev Distances'!$B$34:$K$34,C53)</f>
        <v>2</v>
      </c>
      <c r="D54" s="72">
        <f>INDEX('Zhuravlev Distances'!$B$34:$K$34,D53)</f>
        <v>2</v>
      </c>
      <c r="E54" s="72">
        <f>INDEX('Zhuravlev Distances'!$B$34:$K$34,E53)</f>
        <v>3</v>
      </c>
      <c r="F54" s="72">
        <f>INDEX('Zhuravlev Distances'!$B$34:$K$34,F53)</f>
        <v>3</v>
      </c>
      <c r="G54" s="72">
        <f>INDEX('Zhuravlev Distances'!$B$34:$K$34,G53)</f>
        <v>3</v>
      </c>
      <c r="H54" s="72">
        <f>INDEX('Zhuravlev Distances'!$B$34:$K$34,H53)</f>
        <v>4</v>
      </c>
      <c r="I54" s="72">
        <f>INDEX('Zhuravlev Distances'!$B$34:$K$34,I53)</f>
        <v>4</v>
      </c>
      <c r="J54" s="72">
        <f>INDEX('Zhuravlev Distances'!$B$34:$K$34,J53)</f>
        <v>5</v>
      </c>
    </row>
    <row r="55">
      <c r="A55" s="65" t="inlineStr">
        <is>
          <t xml:space="preserve">Class</t>
        </is>
      </c>
      <c r="B55" s="68">
        <f>INDEX(Dataset!$O$3:$O$12,B53)</f>
        <v>2</v>
      </c>
      <c r="C55" s="68">
        <f>INDEX(Dataset!$O$3:$O$12,C53)</f>
        <v>1</v>
      </c>
      <c r="D55" s="68">
        <f>INDEX(Dataset!$O$3:$O$12,D53)</f>
        <v>2</v>
      </c>
      <c r="E55" s="68">
        <f>INDEX(Dataset!$O$3:$O$12,E53)</f>
        <v>2</v>
      </c>
      <c r="F55" s="68">
        <f>INDEX(Dataset!$O$3:$O$12,F53)</f>
        <v>2</v>
      </c>
      <c r="G55" s="68">
        <f>INDEX(Dataset!$O$3:$O$12,G53)</f>
        <v>2</v>
      </c>
      <c r="H55" s="68">
        <f>INDEX(Dataset!$O$3:$O$12,H53)</f>
        <v>1</v>
      </c>
      <c r="I55" s="68">
        <f>INDEX(Dataset!$O$3:$O$12,I53)</f>
        <v>2</v>
      </c>
      <c r="J55" s="68">
        <f>INDEX(Dataset!$O$3:$O$12,J53)</f>
        <v>1</v>
      </c>
    </row>
    <row r="56">
      <c r="A56" s="65" t="inlineStr">
        <is>
          <t xml:space="preserve">Same class as S₄</t>
        </is>
      </c>
      <c r="B56" s="74">
        <f>IF(B55=Dataset!$O$6,1,0)</f>
        <v>0</v>
      </c>
      <c r="C56" s="74">
        <f>IF(C55=Dataset!$O$6,1,0)</f>
        <v>1</v>
      </c>
      <c r="D56" s="74">
        <f>IF(D55=Dataset!$O$6,1,0)</f>
        <v>0</v>
      </c>
      <c r="E56" s="74">
        <f>IF(E55=Dataset!$O$6,1,0)</f>
        <v>0</v>
      </c>
      <c r="F56" s="74">
        <f>IF(F55=Dataset!$O$6,1,0)</f>
        <v>0</v>
      </c>
      <c r="G56" s="74">
        <f>IF(G55=Dataset!$O$6,1,0)</f>
        <v>0</v>
      </c>
      <c r="H56" s="74">
        <f>IF(H55=Dataset!$O$6,1,0)</f>
        <v>1</v>
      </c>
      <c r="I56" s="74">
        <f>IF(I55=Dataset!$O$6,1,0)</f>
        <v>0</v>
      </c>
      <c r="J56" s="74">
        <f>IF(J55=Dataset!$O$6,1,0)</f>
        <v>1</v>
      </c>
    </row>
    <row r="57">
      <c r="A57" s="65" t="inlineStr">
        <is>
          <t xml:space="preserve">Same-class count μ (1 … rank)</t>
        </is>
      </c>
      <c r="B57" s="74">
        <f>SUM($B56:B56)</f>
        <v>0</v>
      </c>
      <c r="C57" s="74">
        <f>SUM($B56:C56)</f>
        <v>1</v>
      </c>
      <c r="D57" s="74">
        <f>SUM($B56:D56)</f>
        <v>1</v>
      </c>
      <c r="E57" s="74">
        <f>SUM($B56:E56)</f>
        <v>1</v>
      </c>
      <c r="F57" s="74">
        <f>SUM($B56:F56)</f>
        <v>1</v>
      </c>
      <c r="G57" s="74">
        <f>SUM($B56:G56)</f>
        <v>1</v>
      </c>
      <c r="H57" s="74">
        <f>SUM($B56:H56)</f>
        <v>2</v>
      </c>
      <c r="I57" s="74">
        <f>SUM($B56:I56)</f>
        <v>2</v>
      </c>
      <c r="J57" s="74">
        <f>SUM($B56:J56)</f>
        <v>3</v>
      </c>
    </row>
    <row r="58">
      <c r="A58" s="65" t="inlineStr">
        <is>
          <t xml:space="preserve">K1 count χ₁ (1 … rank)</t>
        </is>
      </c>
      <c r="B58" s="74">
        <f>COUNTIF($B55:B55,1)</f>
        <v>0</v>
      </c>
      <c r="C58" s="74">
        <f>COUNTIF($B55:C55,1)</f>
        <v>1</v>
      </c>
      <c r="D58" s="74">
        <f>COUNTIF($B55:D55,1)</f>
        <v>1</v>
      </c>
      <c r="E58" s="74">
        <f>COUNTIF($B55:E55,1)</f>
        <v>1</v>
      </c>
      <c r="F58" s="74">
        <f>COUNTIF($B55:F55,1)</f>
        <v>1</v>
      </c>
      <c r="G58" s="74">
        <f>COUNTIF($B55:G55,1)</f>
        <v>1</v>
      </c>
      <c r="H58" s="74">
        <f>COUNTIF($B55:H55,1)</f>
        <v>2</v>
      </c>
      <c r="I58" s="74">
        <f>COUNTIF($B55:I55,1)</f>
        <v>2</v>
      </c>
      <c r="J58" s="74">
        <f>COUNTIF($B55:J55,1)</f>
        <v>3</v>
      </c>
    </row>
    <row r="59"/>
    <row r="60">
      <c r="A60" s="59" t="str">
        <f>"S₅  ·  class "&amp;Dataset!$O$7&amp;"  —  neighbours in ascending ρ_J  (target row 9 of the rank matrix)"</f>
        <v>S₅  ·  class 1  —  neighbours in ascending ρ_J  (target row 9 of the rank matrix)</v>
      </c>
      <c r="B60" s="59"/>
      <c r="C60" s="59"/>
      <c r="D60" s="59"/>
      <c r="E60" s="59"/>
      <c r="F60" s="59"/>
      <c r="G60" s="59"/>
      <c r="H60" s="59"/>
      <c r="I60" s="59"/>
      <c r="J60" s="59"/>
    </row>
    <row r="61">
      <c r="A61" s="60" t="inlineStr">
        <is>
          <t xml:space="preserve">Rank</t>
        </is>
      </c>
      <c r="B61" s="60">
        <v>1</v>
      </c>
      <c r="C61" s="60">
        <v>2</v>
      </c>
      <c r="D61" s="60">
        <v>3</v>
      </c>
      <c r="E61" s="60">
        <v>4</v>
      </c>
      <c r="F61" s="60">
        <v>5</v>
      </c>
      <c r="G61" s="60">
        <v>6</v>
      </c>
      <c r="H61" s="60">
        <v>7</v>
      </c>
      <c r="I61" s="60">
        <v>8</v>
      </c>
      <c r="J61" s="60">
        <v>9</v>
      </c>
    </row>
    <row r="62">
      <c r="A62" s="65" t="inlineStr">
        <is>
          <t xml:space="preserve">k-neighbourhood</t>
        </is>
      </c>
      <c r="B62" s="78" t="str">
        <f>IF(AND(B$61&gt;='Parameters'!$B$9,B$61&lt;='Parameters'!$B$10,MOD(B$61-'Parameters'!$B$9,2)=0),"k = "&amp;B$61,"")</f>
        <v/>
      </c>
      <c r="C62" s="78" t="str">
        <f>IF(AND(C$61&gt;='Parameters'!$B$9,C$61&lt;='Parameters'!$B$10,MOD(C$61-'Parameters'!$B$9,2)=0),"k = "&amp;C$61,"")</f>
        <v/>
      </c>
      <c r="D62" s="78" t="str">
        <f>IF(AND(D$61&gt;='Parameters'!$B$9,D$61&lt;='Parameters'!$B$10,MOD(D$61-'Parameters'!$B$9,2)=0),"k = "&amp;D$61,"")</f>
        <v>k = 3</v>
      </c>
      <c r="E62" s="78" t="str">
        <f>IF(AND(E$61&gt;='Parameters'!$B$9,E$61&lt;='Parameters'!$B$10,MOD(E$61-'Parameters'!$B$9,2)=0),"k = "&amp;E$61,"")</f>
        <v/>
      </c>
      <c r="F62" s="78" t="str">
        <f>IF(AND(F$61&gt;='Parameters'!$B$9,F$61&lt;='Parameters'!$B$10,MOD(F$61-'Parameters'!$B$9,2)=0),"k = "&amp;F$61,"")</f>
        <v>k = 5</v>
      </c>
      <c r="G62" s="78" t="str">
        <f>IF(AND(G$61&gt;='Parameters'!$B$9,G$61&lt;='Parameters'!$B$10,MOD(G$61-'Parameters'!$B$9,2)=0),"k = "&amp;G$61,"")</f>
        <v/>
      </c>
      <c r="H62" s="78" t="str">
        <f>IF(AND(H$61&gt;='Parameters'!$B$9,H$61&lt;='Parameters'!$B$10,MOD(H$61-'Parameters'!$B$9,2)=0),"k = "&amp;H$61,"")</f>
        <v/>
      </c>
      <c r="I62" s="78" t="str">
        <f>IF(AND(I$61&gt;='Parameters'!$B$9,I$61&lt;='Parameters'!$B$10,MOD(I$61-'Parameters'!$B$9,2)=0),"k = "&amp;I$61,"")</f>
        <v/>
      </c>
      <c r="J62" s="78" t="str">
        <f>IF(AND(J$61&gt;='Parameters'!$B$9,J$61&lt;='Parameters'!$B$10,MOD(J$61-'Parameters'!$B$9,2)=0),"k = "&amp;J$61,"")</f>
        <v/>
      </c>
    </row>
    <row r="63">
      <c r="A63" s="65" t="inlineStr">
        <is>
          <t xml:space="preserve">Neighbour</t>
        </is>
      </c>
      <c r="B63" s="64" t="str">
        <f>INDEX('Zhuravlev Distances'!$B$30:$K$30,B64)</f>
        <v>S₁</v>
      </c>
      <c r="C63" s="64" t="str">
        <f>INDEX('Zhuravlev Distances'!$B$30:$K$30,C64)</f>
        <v>S₂</v>
      </c>
      <c r="D63" s="64" t="str">
        <f>INDEX('Zhuravlev Distances'!$B$30:$K$30,D64)</f>
        <v>S₃</v>
      </c>
      <c r="E63" s="64" t="str">
        <f>INDEX('Zhuravlev Distances'!$B$30:$K$30,E64)</f>
        <v>S₈</v>
      </c>
      <c r="F63" s="64" t="str">
        <f>INDEX('Zhuravlev Distances'!$B$30:$K$30,F64)</f>
        <v>S₁₀</v>
      </c>
      <c r="G63" s="64" t="str">
        <f>INDEX('Zhuravlev Distances'!$B$30:$K$30,G64)</f>
        <v>S₄</v>
      </c>
      <c r="H63" s="64" t="str">
        <f>INDEX('Zhuravlev Distances'!$B$30:$K$30,H64)</f>
        <v>S₆</v>
      </c>
      <c r="I63" s="64" t="str">
        <f>INDEX('Zhuravlev Distances'!$B$30:$K$30,I64)</f>
        <v>S₇</v>
      </c>
      <c r="J63" s="64" t="str">
        <f>INDEX('Zhuravlev Distances'!$B$30:$K$30,J64)</f>
        <v>S₉</v>
      </c>
    </row>
    <row r="64">
      <c r="A64" s="65" t="inlineStr">
        <is>
          <t xml:space="preserve">Original index</t>
        </is>
      </c>
      <c r="B64" s="76">
        <f>MATCH(B$61,$B$9:$K$9,0)</f>
        <v>1</v>
      </c>
      <c r="C64" s="76">
        <f>MATCH(C$61,$B$9:$K$9,0)</f>
        <v>2</v>
      </c>
      <c r="D64" s="76">
        <f>MATCH(D$61,$B$9:$K$9,0)</f>
        <v>3</v>
      </c>
      <c r="E64" s="76">
        <f>MATCH(E$61,$B$9:$K$9,0)</f>
        <v>8</v>
      </c>
      <c r="F64" s="76">
        <f>MATCH(F$61,$B$9:$K$9,0)</f>
        <v>10</v>
      </c>
      <c r="G64" s="76">
        <f>MATCH(G$61,$B$9:$K$9,0)</f>
        <v>4</v>
      </c>
      <c r="H64" s="76">
        <f>MATCH(H$61,$B$9:$K$9,0)</f>
        <v>6</v>
      </c>
      <c r="I64" s="76">
        <f>MATCH(I$61,$B$9:$K$9,0)</f>
        <v>7</v>
      </c>
      <c r="J64" s="76">
        <f>MATCH(J$61,$B$9:$K$9,0)</f>
        <v>9</v>
      </c>
    </row>
    <row r="65">
      <c r="A65" s="65" t="inlineStr">
        <is>
          <t xml:space="preserve">ρ_J(S₅, neighbour)</t>
        </is>
      </c>
      <c r="B65" s="72">
        <f>INDEX('Zhuravlev Distances'!$B$35:$K$35,B64)</f>
        <v>4</v>
      </c>
      <c r="C65" s="72">
        <f>INDEX('Zhuravlev Distances'!$B$35:$K$35,C64)</f>
        <v>4</v>
      </c>
      <c r="D65" s="72">
        <f>INDEX('Zhuravlev Distances'!$B$35:$K$35,D64)</f>
        <v>4</v>
      </c>
      <c r="E65" s="72">
        <f>INDEX('Zhuravlev Distances'!$B$35:$K$35,E64)</f>
        <v>4</v>
      </c>
      <c r="F65" s="72">
        <f>INDEX('Zhuravlev Distances'!$B$35:$K$35,F64)</f>
        <v>4</v>
      </c>
      <c r="G65" s="72">
        <f>INDEX('Zhuravlev Distances'!$B$35:$K$35,G64)</f>
        <v>5</v>
      </c>
      <c r="H65" s="72">
        <f>INDEX('Zhuravlev Distances'!$B$35:$K$35,H64)</f>
        <v>5</v>
      </c>
      <c r="I65" s="72">
        <f>INDEX('Zhuravlev Distances'!$B$35:$K$35,I64)</f>
        <v>5</v>
      </c>
      <c r="J65" s="72">
        <f>INDEX('Zhuravlev Distances'!$B$35:$K$35,J64)</f>
        <v>5</v>
      </c>
    </row>
    <row r="66">
      <c r="A66" s="65" t="inlineStr">
        <is>
          <t xml:space="preserve">Class</t>
        </is>
      </c>
      <c r="B66" s="68">
        <f>INDEX(Dataset!$O$3:$O$12,B64)</f>
        <v>2</v>
      </c>
      <c r="C66" s="68">
        <f>INDEX(Dataset!$O$3:$O$12,C64)</f>
        <v>1</v>
      </c>
      <c r="D66" s="68">
        <f>INDEX(Dataset!$O$3:$O$12,D64)</f>
        <v>2</v>
      </c>
      <c r="E66" s="68">
        <f>INDEX(Dataset!$O$3:$O$12,E64)</f>
        <v>2</v>
      </c>
      <c r="F66" s="68">
        <f>INDEX(Dataset!$O$3:$O$12,F64)</f>
        <v>2</v>
      </c>
      <c r="G66" s="68">
        <f>INDEX(Dataset!$O$3:$O$12,G64)</f>
        <v>1</v>
      </c>
      <c r="H66" s="68">
        <f>INDEX(Dataset!$O$3:$O$12,H64)</f>
        <v>1</v>
      </c>
      <c r="I66" s="68">
        <f>INDEX(Dataset!$O$3:$O$12,I64)</f>
        <v>2</v>
      </c>
      <c r="J66" s="68">
        <f>INDEX(Dataset!$O$3:$O$12,J64)</f>
        <v>2</v>
      </c>
    </row>
    <row r="67">
      <c r="A67" s="65" t="inlineStr">
        <is>
          <t xml:space="preserve">Same class as S₅</t>
        </is>
      </c>
      <c r="B67" s="74">
        <f>IF(B66=Dataset!$O$7,1,0)</f>
        <v>0</v>
      </c>
      <c r="C67" s="74">
        <f>IF(C66=Dataset!$O$7,1,0)</f>
        <v>1</v>
      </c>
      <c r="D67" s="74">
        <f>IF(D66=Dataset!$O$7,1,0)</f>
        <v>0</v>
      </c>
      <c r="E67" s="74">
        <f>IF(E66=Dataset!$O$7,1,0)</f>
        <v>0</v>
      </c>
      <c r="F67" s="74">
        <f>IF(F66=Dataset!$O$7,1,0)</f>
        <v>0</v>
      </c>
      <c r="G67" s="74">
        <f>IF(G66=Dataset!$O$7,1,0)</f>
        <v>1</v>
      </c>
      <c r="H67" s="74">
        <f>IF(H66=Dataset!$O$7,1,0)</f>
        <v>1</v>
      </c>
      <c r="I67" s="74">
        <f>IF(I66=Dataset!$O$7,1,0)</f>
        <v>0</v>
      </c>
      <c r="J67" s="74">
        <f>IF(J66=Dataset!$O$7,1,0)</f>
        <v>0</v>
      </c>
    </row>
    <row r="68">
      <c r="A68" s="65" t="inlineStr">
        <is>
          <t xml:space="preserve">Same-class count μ (1 … rank)</t>
        </is>
      </c>
      <c r="B68" s="74">
        <f>SUM($B67:B67)</f>
        <v>0</v>
      </c>
      <c r="C68" s="74">
        <f>SUM($B67:C67)</f>
        <v>1</v>
      </c>
      <c r="D68" s="74">
        <f>SUM($B67:D67)</f>
        <v>1</v>
      </c>
      <c r="E68" s="74">
        <f>SUM($B67:E67)</f>
        <v>1</v>
      </c>
      <c r="F68" s="74">
        <f>SUM($B67:F67)</f>
        <v>1</v>
      </c>
      <c r="G68" s="74">
        <f>SUM($B67:G67)</f>
        <v>2</v>
      </c>
      <c r="H68" s="74">
        <f>SUM($B67:H67)</f>
        <v>3</v>
      </c>
      <c r="I68" s="74">
        <f>SUM($B67:I67)</f>
        <v>3</v>
      </c>
      <c r="J68" s="74">
        <f>SUM($B67:J67)</f>
        <v>3</v>
      </c>
    </row>
    <row r="69">
      <c r="A69" s="65" t="inlineStr">
        <is>
          <t xml:space="preserve">K1 count χ₁ (1 … rank)</t>
        </is>
      </c>
      <c r="B69" s="74">
        <f>COUNTIF($B66:B66,1)</f>
        <v>0</v>
      </c>
      <c r="C69" s="74">
        <f>COUNTIF($B66:C66,1)</f>
        <v>1</v>
      </c>
      <c r="D69" s="74">
        <f>COUNTIF($B66:D66,1)</f>
        <v>1</v>
      </c>
      <c r="E69" s="74">
        <f>COUNTIF($B66:E66,1)</f>
        <v>1</v>
      </c>
      <c r="F69" s="74">
        <f>COUNTIF($B66:F66,1)</f>
        <v>1</v>
      </c>
      <c r="G69" s="74">
        <f>COUNTIF($B66:G66,1)</f>
        <v>2</v>
      </c>
      <c r="H69" s="74">
        <f>COUNTIF($B66:H66,1)</f>
        <v>3</v>
      </c>
      <c r="I69" s="74">
        <f>COUNTIF($B66:I66,1)</f>
        <v>3</v>
      </c>
      <c r="J69" s="74">
        <f>COUNTIF($B66:J66,1)</f>
        <v>3</v>
      </c>
    </row>
    <row r="70"/>
    <row r="71">
      <c r="A71" s="59" t="str">
        <f>"S₆  ·  class "&amp;Dataset!$O$8&amp;"  —  neighbours in ascending ρ_J  (target row 10 of the rank matrix)"</f>
        <v>S₆  ·  class 1  —  neighbours in ascending ρ_J  (target row 10 of the rank matrix)</v>
      </c>
      <c r="B71" s="59"/>
      <c r="C71" s="59"/>
      <c r="D71" s="59"/>
      <c r="E71" s="59"/>
      <c r="F71" s="59"/>
      <c r="G71" s="59"/>
      <c r="H71" s="59"/>
      <c r="I71" s="59"/>
      <c r="J71" s="59"/>
    </row>
    <row r="72">
      <c r="A72" s="60" t="inlineStr">
        <is>
          <t xml:space="preserve">Rank</t>
        </is>
      </c>
      <c r="B72" s="60">
        <v>1</v>
      </c>
      <c r="C72" s="60">
        <v>2</v>
      </c>
      <c r="D72" s="60">
        <v>3</v>
      </c>
      <c r="E72" s="60">
        <v>4</v>
      </c>
      <c r="F72" s="60">
        <v>5</v>
      </c>
      <c r="G72" s="60">
        <v>6</v>
      </c>
      <c r="H72" s="60">
        <v>7</v>
      </c>
      <c r="I72" s="60">
        <v>8</v>
      </c>
      <c r="J72" s="60">
        <v>9</v>
      </c>
    </row>
    <row r="73">
      <c r="A73" s="65" t="inlineStr">
        <is>
          <t xml:space="preserve">k-neighbourhood</t>
        </is>
      </c>
      <c r="B73" s="78" t="str">
        <f>IF(AND(B$72&gt;='Parameters'!$B$9,B$72&lt;='Parameters'!$B$10,MOD(B$72-'Parameters'!$B$9,2)=0),"k = "&amp;B$72,"")</f>
        <v/>
      </c>
      <c r="C73" s="78" t="str">
        <f>IF(AND(C$72&gt;='Parameters'!$B$9,C$72&lt;='Parameters'!$B$10,MOD(C$72-'Parameters'!$B$9,2)=0),"k = "&amp;C$72,"")</f>
        <v/>
      </c>
      <c r="D73" s="78" t="str">
        <f>IF(AND(D$72&gt;='Parameters'!$B$9,D$72&lt;='Parameters'!$B$10,MOD(D$72-'Parameters'!$B$9,2)=0),"k = "&amp;D$72,"")</f>
        <v>k = 3</v>
      </c>
      <c r="E73" s="78" t="str">
        <f>IF(AND(E$72&gt;='Parameters'!$B$9,E$72&lt;='Parameters'!$B$10,MOD(E$72-'Parameters'!$B$9,2)=0),"k = "&amp;E$72,"")</f>
        <v/>
      </c>
      <c r="F73" s="78" t="str">
        <f>IF(AND(F$72&gt;='Parameters'!$B$9,F$72&lt;='Parameters'!$B$10,MOD(F$72-'Parameters'!$B$9,2)=0),"k = "&amp;F$72,"")</f>
        <v>k = 5</v>
      </c>
      <c r="G73" s="78" t="str">
        <f>IF(AND(G$72&gt;='Parameters'!$B$9,G$72&lt;='Parameters'!$B$10,MOD(G$72-'Parameters'!$B$9,2)=0),"k = "&amp;G$72,"")</f>
        <v/>
      </c>
      <c r="H73" s="78" t="str">
        <f>IF(AND(H$72&gt;='Parameters'!$B$9,H$72&lt;='Parameters'!$B$10,MOD(H$72-'Parameters'!$B$9,2)=0),"k = "&amp;H$72,"")</f>
        <v/>
      </c>
      <c r="I73" s="78" t="str">
        <f>IF(AND(I$72&gt;='Parameters'!$B$9,I$72&lt;='Parameters'!$B$10,MOD(I$72-'Parameters'!$B$9,2)=0),"k = "&amp;I$72,"")</f>
        <v/>
      </c>
      <c r="J73" s="78" t="str">
        <f>IF(AND(J$72&gt;='Parameters'!$B$9,J$72&lt;='Parameters'!$B$10,MOD(J$72-'Parameters'!$B$9,2)=0),"k = "&amp;J$72,"")</f>
        <v/>
      </c>
    </row>
    <row r="74">
      <c r="A74" s="65" t="inlineStr">
        <is>
          <t xml:space="preserve">Neighbour</t>
        </is>
      </c>
      <c r="B74" s="64" t="str">
        <f>INDEX('Zhuravlev Distances'!$B$30:$K$30,B75)</f>
        <v>S₃</v>
      </c>
      <c r="C74" s="64" t="str">
        <f>INDEX('Zhuravlev Distances'!$B$30:$K$30,C75)</f>
        <v>S₄</v>
      </c>
      <c r="D74" s="64" t="str">
        <f>INDEX('Zhuravlev Distances'!$B$30:$K$30,D75)</f>
        <v>S₉</v>
      </c>
      <c r="E74" s="64" t="str">
        <f>INDEX('Zhuravlev Distances'!$B$30:$K$30,E75)</f>
        <v>S₁</v>
      </c>
      <c r="F74" s="64" t="str">
        <f>INDEX('Zhuravlev Distances'!$B$30:$K$30,F75)</f>
        <v>S₈</v>
      </c>
      <c r="G74" s="64" t="str">
        <f>INDEX('Zhuravlev Distances'!$B$30:$K$30,G75)</f>
        <v>S₁₀</v>
      </c>
      <c r="H74" s="64" t="str">
        <f>INDEX('Zhuravlev Distances'!$B$30:$K$30,H75)</f>
        <v>S₂</v>
      </c>
      <c r="I74" s="64" t="str">
        <f>INDEX('Zhuravlev Distances'!$B$30:$K$30,I75)</f>
        <v>S₅</v>
      </c>
      <c r="J74" s="64" t="str">
        <f>INDEX('Zhuravlev Distances'!$B$30:$K$30,J75)</f>
        <v>S₇</v>
      </c>
    </row>
    <row r="75">
      <c r="A75" s="65" t="inlineStr">
        <is>
          <t xml:space="preserve">Original index</t>
        </is>
      </c>
      <c r="B75" s="76">
        <f>MATCH(B$72,$B$10:$K$10,0)</f>
        <v>3</v>
      </c>
      <c r="C75" s="76">
        <f>MATCH(C$72,$B$10:$K$10,0)</f>
        <v>4</v>
      </c>
      <c r="D75" s="76">
        <f>MATCH(D$72,$B$10:$K$10,0)</f>
        <v>9</v>
      </c>
      <c r="E75" s="76">
        <f>MATCH(E$72,$B$10:$K$10,0)</f>
        <v>1</v>
      </c>
      <c r="F75" s="76">
        <f>MATCH(F$72,$B$10:$K$10,0)</f>
        <v>8</v>
      </c>
      <c r="G75" s="76">
        <f>MATCH(G$72,$B$10:$K$10,0)</f>
        <v>10</v>
      </c>
      <c r="H75" s="76">
        <f>MATCH(H$72,$B$10:$K$10,0)</f>
        <v>2</v>
      </c>
      <c r="I75" s="76">
        <f>MATCH(I$72,$B$10:$K$10,0)</f>
        <v>5</v>
      </c>
      <c r="J75" s="76">
        <f>MATCH(J$72,$B$10:$K$10,0)</f>
        <v>7</v>
      </c>
    </row>
    <row r="76">
      <c r="A76" s="65" t="inlineStr">
        <is>
          <t xml:space="preserve">ρ_J(S₆, neighbour)</t>
        </is>
      </c>
      <c r="B76" s="72">
        <f>INDEX('Zhuravlev Distances'!$B$36:$K$36,B75)</f>
        <v>1</v>
      </c>
      <c r="C76" s="72">
        <f>INDEX('Zhuravlev Distances'!$B$36:$K$36,C75)</f>
        <v>2</v>
      </c>
      <c r="D76" s="72">
        <f>INDEX('Zhuravlev Distances'!$B$36:$K$36,D75)</f>
        <v>2</v>
      </c>
      <c r="E76" s="72">
        <f>INDEX('Zhuravlev Distances'!$B$36:$K$36,E75)</f>
        <v>3</v>
      </c>
      <c r="F76" s="72">
        <f>INDEX('Zhuravlev Distances'!$B$36:$K$36,F75)</f>
        <v>3</v>
      </c>
      <c r="G76" s="72">
        <f>INDEX('Zhuravlev Distances'!$B$36:$K$36,G75)</f>
        <v>3</v>
      </c>
      <c r="H76" s="72">
        <f>INDEX('Zhuravlev Distances'!$B$36:$K$36,H75)</f>
        <v>4</v>
      </c>
      <c r="I76" s="72">
        <f>INDEX('Zhuravlev Distances'!$B$36:$K$36,I75)</f>
        <v>5</v>
      </c>
      <c r="J76" s="72">
        <f>INDEX('Zhuravlev Distances'!$B$36:$K$36,J75)</f>
        <v>6</v>
      </c>
    </row>
    <row r="77">
      <c r="A77" s="65" t="inlineStr">
        <is>
          <t xml:space="preserve">Class</t>
        </is>
      </c>
      <c r="B77" s="68">
        <f>INDEX(Dataset!$O$3:$O$12,B75)</f>
        <v>2</v>
      </c>
      <c r="C77" s="68">
        <f>INDEX(Dataset!$O$3:$O$12,C75)</f>
        <v>1</v>
      </c>
      <c r="D77" s="68">
        <f>INDEX(Dataset!$O$3:$O$12,D75)</f>
        <v>2</v>
      </c>
      <c r="E77" s="68">
        <f>INDEX(Dataset!$O$3:$O$12,E75)</f>
        <v>2</v>
      </c>
      <c r="F77" s="68">
        <f>INDEX(Dataset!$O$3:$O$12,F75)</f>
        <v>2</v>
      </c>
      <c r="G77" s="68">
        <f>INDEX(Dataset!$O$3:$O$12,G75)</f>
        <v>2</v>
      </c>
      <c r="H77" s="68">
        <f>INDEX(Dataset!$O$3:$O$12,H75)</f>
        <v>1</v>
      </c>
      <c r="I77" s="68">
        <f>INDEX(Dataset!$O$3:$O$12,I75)</f>
        <v>1</v>
      </c>
      <c r="J77" s="68">
        <f>INDEX(Dataset!$O$3:$O$12,J75)</f>
        <v>2</v>
      </c>
    </row>
    <row r="78">
      <c r="A78" s="65" t="inlineStr">
        <is>
          <t xml:space="preserve">Same class as S₆</t>
        </is>
      </c>
      <c r="B78" s="74">
        <f>IF(B77=Dataset!$O$8,1,0)</f>
        <v>0</v>
      </c>
      <c r="C78" s="74">
        <f>IF(C77=Dataset!$O$8,1,0)</f>
        <v>1</v>
      </c>
      <c r="D78" s="74">
        <f>IF(D77=Dataset!$O$8,1,0)</f>
        <v>0</v>
      </c>
      <c r="E78" s="74">
        <f>IF(E77=Dataset!$O$8,1,0)</f>
        <v>0</v>
      </c>
      <c r="F78" s="74">
        <f>IF(F77=Dataset!$O$8,1,0)</f>
        <v>0</v>
      </c>
      <c r="G78" s="74">
        <f>IF(G77=Dataset!$O$8,1,0)</f>
        <v>0</v>
      </c>
      <c r="H78" s="74">
        <f>IF(H77=Dataset!$O$8,1,0)</f>
        <v>1</v>
      </c>
      <c r="I78" s="74">
        <f>IF(I77=Dataset!$O$8,1,0)</f>
        <v>1</v>
      </c>
      <c r="J78" s="74">
        <f>IF(J77=Dataset!$O$8,1,0)</f>
        <v>0</v>
      </c>
    </row>
    <row r="79">
      <c r="A79" s="65" t="inlineStr">
        <is>
          <t xml:space="preserve">Same-class count μ (1 … rank)</t>
        </is>
      </c>
      <c r="B79" s="74">
        <f>SUM($B78:B78)</f>
        <v>0</v>
      </c>
      <c r="C79" s="74">
        <f>SUM($B78:C78)</f>
        <v>1</v>
      </c>
      <c r="D79" s="74">
        <f>SUM($B78:D78)</f>
        <v>1</v>
      </c>
      <c r="E79" s="74">
        <f>SUM($B78:E78)</f>
        <v>1</v>
      </c>
      <c r="F79" s="74">
        <f>SUM($B78:F78)</f>
        <v>1</v>
      </c>
      <c r="G79" s="74">
        <f>SUM($B78:G78)</f>
        <v>1</v>
      </c>
      <c r="H79" s="74">
        <f>SUM($B78:H78)</f>
        <v>2</v>
      </c>
      <c r="I79" s="74">
        <f>SUM($B78:I78)</f>
        <v>3</v>
      </c>
      <c r="J79" s="74">
        <f>SUM($B78:J78)</f>
        <v>3</v>
      </c>
    </row>
    <row r="80">
      <c r="A80" s="65" t="inlineStr">
        <is>
          <t xml:space="preserve">K1 count χ₁ (1 … rank)</t>
        </is>
      </c>
      <c r="B80" s="74">
        <f>COUNTIF($B77:B77,1)</f>
        <v>0</v>
      </c>
      <c r="C80" s="74">
        <f>COUNTIF($B77:C77,1)</f>
        <v>1</v>
      </c>
      <c r="D80" s="74">
        <f>COUNTIF($B77:D77,1)</f>
        <v>1</v>
      </c>
      <c r="E80" s="74">
        <f>COUNTIF($B77:E77,1)</f>
        <v>1</v>
      </c>
      <c r="F80" s="74">
        <f>COUNTIF($B77:F77,1)</f>
        <v>1</v>
      </c>
      <c r="G80" s="74">
        <f>COUNTIF($B77:G77,1)</f>
        <v>1</v>
      </c>
      <c r="H80" s="74">
        <f>COUNTIF($B77:H77,1)</f>
        <v>2</v>
      </c>
      <c r="I80" s="74">
        <f>COUNTIF($B77:I77,1)</f>
        <v>3</v>
      </c>
      <c r="J80" s="74">
        <f>COUNTIF($B77:J77,1)</f>
        <v>3</v>
      </c>
    </row>
    <row r="81"/>
    <row r="82">
      <c r="A82" s="59" t="str">
        <f>"S₇  ·  class "&amp;Dataset!$O$9&amp;"  —  neighbours in ascending ρ_J  (target row 11 of the rank matrix)"</f>
        <v>S₇  ·  class 2  —  neighbours in ascending ρ_J  (target row 11 of the rank matrix)</v>
      </c>
      <c r="B82" s="59"/>
      <c r="C82" s="59"/>
      <c r="D82" s="59"/>
      <c r="E82" s="59"/>
      <c r="F82" s="59"/>
      <c r="G82" s="59"/>
      <c r="H82" s="59"/>
      <c r="I82" s="59"/>
      <c r="J82" s="59"/>
    </row>
    <row r="83">
      <c r="A83" s="60" t="inlineStr">
        <is>
          <t xml:space="preserve">Rank</t>
        </is>
      </c>
      <c r="B83" s="60">
        <v>1</v>
      </c>
      <c r="C83" s="60">
        <v>2</v>
      </c>
      <c r="D83" s="60">
        <v>3</v>
      </c>
      <c r="E83" s="60">
        <v>4</v>
      </c>
      <c r="F83" s="60">
        <v>5</v>
      </c>
      <c r="G83" s="60">
        <v>6</v>
      </c>
      <c r="H83" s="60">
        <v>7</v>
      </c>
      <c r="I83" s="60">
        <v>8</v>
      </c>
      <c r="J83" s="60">
        <v>9</v>
      </c>
    </row>
    <row r="84">
      <c r="A84" s="65" t="inlineStr">
        <is>
          <t xml:space="preserve">k-neighbourhood</t>
        </is>
      </c>
      <c r="B84" s="78" t="str">
        <f>IF(AND(B$83&gt;='Parameters'!$B$9,B$83&lt;='Parameters'!$B$10,MOD(B$83-'Parameters'!$B$9,2)=0),"k = "&amp;B$83,"")</f>
        <v/>
      </c>
      <c r="C84" s="78" t="str">
        <f>IF(AND(C$83&gt;='Parameters'!$B$9,C$83&lt;='Parameters'!$B$10,MOD(C$83-'Parameters'!$B$9,2)=0),"k = "&amp;C$83,"")</f>
        <v/>
      </c>
      <c r="D84" s="78" t="str">
        <f>IF(AND(D$83&gt;='Parameters'!$B$9,D$83&lt;='Parameters'!$B$10,MOD(D$83-'Parameters'!$B$9,2)=0),"k = "&amp;D$83,"")</f>
        <v>k = 3</v>
      </c>
      <c r="E84" s="78" t="str">
        <f>IF(AND(E$83&gt;='Parameters'!$B$9,E$83&lt;='Parameters'!$B$10,MOD(E$83-'Parameters'!$B$9,2)=0),"k = "&amp;E$83,"")</f>
        <v/>
      </c>
      <c r="F84" s="78" t="str">
        <f>IF(AND(F$83&gt;='Parameters'!$B$9,F$83&lt;='Parameters'!$B$10,MOD(F$83-'Parameters'!$B$9,2)=0),"k = "&amp;F$83,"")</f>
        <v>k = 5</v>
      </c>
      <c r="G84" s="78" t="str">
        <f>IF(AND(G$83&gt;='Parameters'!$B$9,G$83&lt;='Parameters'!$B$10,MOD(G$83-'Parameters'!$B$9,2)=0),"k = "&amp;G$83,"")</f>
        <v/>
      </c>
      <c r="H84" s="78" t="str">
        <f>IF(AND(H$83&gt;='Parameters'!$B$9,H$83&lt;='Parameters'!$B$10,MOD(H$83-'Parameters'!$B$9,2)=0),"k = "&amp;H$83,"")</f>
        <v/>
      </c>
      <c r="I84" s="78" t="str">
        <f>IF(AND(I$83&gt;='Parameters'!$B$9,I$83&lt;='Parameters'!$B$10,MOD(I$83-'Parameters'!$B$9,2)=0),"k = "&amp;I$83,"")</f>
        <v/>
      </c>
      <c r="J84" s="78" t="str">
        <f>IF(AND(J$83&gt;='Parameters'!$B$9,J$83&lt;='Parameters'!$B$10,MOD(J$83-'Parameters'!$B$9,2)=0),"k = "&amp;J$83,"")</f>
        <v/>
      </c>
    </row>
    <row r="85">
      <c r="A85" s="65" t="inlineStr">
        <is>
          <t xml:space="preserve">Neighbour</t>
        </is>
      </c>
      <c r="B85" s="64" t="str">
        <f>INDEX('Zhuravlev Distances'!$B$30:$K$30,B86)</f>
        <v>S₈</v>
      </c>
      <c r="C85" s="64" t="str">
        <f>INDEX('Zhuravlev Distances'!$B$30:$K$30,C86)</f>
        <v>S₁</v>
      </c>
      <c r="D85" s="64" t="str">
        <f>INDEX('Zhuravlev Distances'!$B$30:$K$30,D86)</f>
        <v>S₂</v>
      </c>
      <c r="E85" s="64" t="str">
        <f>INDEX('Zhuravlev Distances'!$B$30:$K$30,E86)</f>
        <v>S₄</v>
      </c>
      <c r="F85" s="64" t="str">
        <f>INDEX('Zhuravlev Distances'!$B$30:$K$30,F86)</f>
        <v>S₉</v>
      </c>
      <c r="G85" s="64" t="str">
        <f>INDEX('Zhuravlev Distances'!$B$30:$K$30,G86)</f>
        <v>S₅</v>
      </c>
      <c r="H85" s="64" t="str">
        <f>INDEX('Zhuravlev Distances'!$B$30:$K$30,H86)</f>
        <v>S₁₀</v>
      </c>
      <c r="I85" s="64" t="str">
        <f>INDEX('Zhuravlev Distances'!$B$30:$K$30,I86)</f>
        <v>S₃</v>
      </c>
      <c r="J85" s="64" t="str">
        <f>INDEX('Zhuravlev Distances'!$B$30:$K$30,J86)</f>
        <v>S₆</v>
      </c>
    </row>
    <row r="86">
      <c r="A86" s="65" t="inlineStr">
        <is>
          <t xml:space="preserve">Original index</t>
        </is>
      </c>
      <c r="B86" s="76">
        <f>MATCH(B$83,$B$11:$K$11,0)</f>
        <v>8</v>
      </c>
      <c r="C86" s="76">
        <f>MATCH(C$83,$B$11:$K$11,0)</f>
        <v>1</v>
      </c>
      <c r="D86" s="76">
        <f>MATCH(D$83,$B$11:$K$11,0)</f>
        <v>2</v>
      </c>
      <c r="E86" s="76">
        <f>MATCH(E$83,$B$11:$K$11,0)</f>
        <v>4</v>
      </c>
      <c r="F86" s="76">
        <f>MATCH(F$83,$B$11:$K$11,0)</f>
        <v>9</v>
      </c>
      <c r="G86" s="76">
        <f>MATCH(G$83,$B$11:$K$11,0)</f>
        <v>5</v>
      </c>
      <c r="H86" s="76">
        <f>MATCH(H$83,$B$11:$K$11,0)</f>
        <v>10</v>
      </c>
      <c r="I86" s="76">
        <f>MATCH(I$83,$B$11:$K$11,0)</f>
        <v>3</v>
      </c>
      <c r="J86" s="76">
        <f>MATCH(J$83,$B$11:$K$11,0)</f>
        <v>6</v>
      </c>
    </row>
    <row r="87">
      <c r="A87" s="65" t="inlineStr">
        <is>
          <t xml:space="preserve">ρ_J(S₇, neighbour)</t>
        </is>
      </c>
      <c r="B87" s="72">
        <f>INDEX('Zhuravlev Distances'!$B$37:$K$37,B86)</f>
        <v>3</v>
      </c>
      <c r="C87" s="72">
        <f>INDEX('Zhuravlev Distances'!$B$37:$K$37,C86)</f>
        <v>4</v>
      </c>
      <c r="D87" s="72">
        <f>INDEX('Zhuravlev Distances'!$B$37:$K$37,D86)</f>
        <v>4</v>
      </c>
      <c r="E87" s="72">
        <f>INDEX('Zhuravlev Distances'!$B$37:$K$37,E86)</f>
        <v>4</v>
      </c>
      <c r="F87" s="72">
        <f>INDEX('Zhuravlev Distances'!$B$37:$K$37,F86)</f>
        <v>4</v>
      </c>
      <c r="G87" s="72">
        <f>INDEX('Zhuravlev Distances'!$B$37:$K$37,G86)</f>
        <v>5</v>
      </c>
      <c r="H87" s="72">
        <f>INDEX('Zhuravlev Distances'!$B$37:$K$37,H86)</f>
        <v>5</v>
      </c>
      <c r="I87" s="72">
        <f>INDEX('Zhuravlev Distances'!$B$37:$K$37,I86)</f>
        <v>6</v>
      </c>
      <c r="J87" s="72">
        <f>INDEX('Zhuravlev Distances'!$B$37:$K$37,J86)</f>
        <v>6</v>
      </c>
    </row>
    <row r="88">
      <c r="A88" s="65" t="inlineStr">
        <is>
          <t xml:space="preserve">Class</t>
        </is>
      </c>
      <c r="B88" s="68">
        <f>INDEX(Dataset!$O$3:$O$12,B86)</f>
        <v>2</v>
      </c>
      <c r="C88" s="68">
        <f>INDEX(Dataset!$O$3:$O$12,C86)</f>
        <v>2</v>
      </c>
      <c r="D88" s="68">
        <f>INDEX(Dataset!$O$3:$O$12,D86)</f>
        <v>1</v>
      </c>
      <c r="E88" s="68">
        <f>INDEX(Dataset!$O$3:$O$12,E86)</f>
        <v>1</v>
      </c>
      <c r="F88" s="68">
        <f>INDEX(Dataset!$O$3:$O$12,F86)</f>
        <v>2</v>
      </c>
      <c r="G88" s="68">
        <f>INDEX(Dataset!$O$3:$O$12,G86)</f>
        <v>1</v>
      </c>
      <c r="H88" s="68">
        <f>INDEX(Dataset!$O$3:$O$12,H86)</f>
        <v>2</v>
      </c>
      <c r="I88" s="68">
        <f>INDEX(Dataset!$O$3:$O$12,I86)</f>
        <v>2</v>
      </c>
      <c r="J88" s="68">
        <f>INDEX(Dataset!$O$3:$O$12,J86)</f>
        <v>1</v>
      </c>
    </row>
    <row r="89">
      <c r="A89" s="65" t="inlineStr">
        <is>
          <t xml:space="preserve">Same class as S₇</t>
        </is>
      </c>
      <c r="B89" s="74">
        <f>IF(B88=Dataset!$O$9,1,0)</f>
        <v>1</v>
      </c>
      <c r="C89" s="74">
        <f>IF(C88=Dataset!$O$9,1,0)</f>
        <v>1</v>
      </c>
      <c r="D89" s="74">
        <f>IF(D88=Dataset!$O$9,1,0)</f>
        <v>0</v>
      </c>
      <c r="E89" s="74">
        <f>IF(E88=Dataset!$O$9,1,0)</f>
        <v>0</v>
      </c>
      <c r="F89" s="74">
        <f>IF(F88=Dataset!$O$9,1,0)</f>
        <v>1</v>
      </c>
      <c r="G89" s="74">
        <f>IF(G88=Dataset!$O$9,1,0)</f>
        <v>0</v>
      </c>
      <c r="H89" s="74">
        <f>IF(H88=Dataset!$O$9,1,0)</f>
        <v>1</v>
      </c>
      <c r="I89" s="74">
        <f>IF(I88=Dataset!$O$9,1,0)</f>
        <v>1</v>
      </c>
      <c r="J89" s="74">
        <f>IF(J88=Dataset!$O$9,1,0)</f>
        <v>0</v>
      </c>
    </row>
    <row r="90">
      <c r="A90" s="65" t="inlineStr">
        <is>
          <t xml:space="preserve">Same-class count μ (1 … rank)</t>
        </is>
      </c>
      <c r="B90" s="74">
        <f>SUM($B89:B89)</f>
        <v>1</v>
      </c>
      <c r="C90" s="74">
        <f>SUM($B89:C89)</f>
        <v>2</v>
      </c>
      <c r="D90" s="74">
        <f>SUM($B89:D89)</f>
        <v>2</v>
      </c>
      <c r="E90" s="74">
        <f>SUM($B89:E89)</f>
        <v>2</v>
      </c>
      <c r="F90" s="74">
        <f>SUM($B89:F89)</f>
        <v>3</v>
      </c>
      <c r="G90" s="74">
        <f>SUM($B89:G89)</f>
        <v>3</v>
      </c>
      <c r="H90" s="74">
        <f>SUM($B89:H89)</f>
        <v>4</v>
      </c>
      <c r="I90" s="74">
        <f>SUM($B89:I89)</f>
        <v>5</v>
      </c>
      <c r="J90" s="74">
        <f>SUM($B89:J89)</f>
        <v>5</v>
      </c>
    </row>
    <row r="91">
      <c r="A91" s="65" t="inlineStr">
        <is>
          <t xml:space="preserve">K1 count χ₁ (1 … rank)</t>
        </is>
      </c>
      <c r="B91" s="74">
        <f>COUNTIF($B88:B88,1)</f>
        <v>0</v>
      </c>
      <c r="C91" s="74">
        <f>COUNTIF($B88:C88,1)</f>
        <v>0</v>
      </c>
      <c r="D91" s="74">
        <f>COUNTIF($B88:D88,1)</f>
        <v>1</v>
      </c>
      <c r="E91" s="74">
        <f>COUNTIF($B88:E88,1)</f>
        <v>2</v>
      </c>
      <c r="F91" s="74">
        <f>COUNTIF($B88:F88,1)</f>
        <v>2</v>
      </c>
      <c r="G91" s="74">
        <f>COUNTIF($B88:G88,1)</f>
        <v>3</v>
      </c>
      <c r="H91" s="74">
        <f>COUNTIF($B88:H88,1)</f>
        <v>3</v>
      </c>
      <c r="I91" s="74">
        <f>COUNTIF($B88:I88,1)</f>
        <v>3</v>
      </c>
      <c r="J91" s="74">
        <f>COUNTIF($B88:J88,1)</f>
        <v>4</v>
      </c>
    </row>
    <row r="92"/>
    <row r="93">
      <c r="A93" s="59" t="str">
        <f>"S₈  ·  class "&amp;Dataset!$O$10&amp;"  —  neighbours in ascending ρ_J  (target row 12 of the rank matrix)"</f>
        <v>S₈  ·  class 2  —  neighbours in ascending ρ_J  (target row 12 of the rank matrix)</v>
      </c>
      <c r="B93" s="59"/>
      <c r="C93" s="59"/>
      <c r="D93" s="59"/>
      <c r="E93" s="59"/>
      <c r="F93" s="59"/>
      <c r="G93" s="59"/>
      <c r="H93" s="59"/>
      <c r="I93" s="59"/>
      <c r="J93" s="59"/>
    </row>
    <row r="94">
      <c r="A94" s="60" t="inlineStr">
        <is>
          <t xml:space="preserve">Rank</t>
        </is>
      </c>
      <c r="B94" s="60">
        <v>1</v>
      </c>
      <c r="C94" s="60">
        <v>2</v>
      </c>
      <c r="D94" s="60">
        <v>3</v>
      </c>
      <c r="E94" s="60">
        <v>4</v>
      </c>
      <c r="F94" s="60">
        <v>5</v>
      </c>
      <c r="G94" s="60">
        <v>6</v>
      </c>
      <c r="H94" s="60">
        <v>7</v>
      </c>
      <c r="I94" s="60">
        <v>8</v>
      </c>
      <c r="J94" s="60">
        <v>9</v>
      </c>
    </row>
    <row r="95">
      <c r="A95" s="65" t="inlineStr">
        <is>
          <t xml:space="preserve">k-neighbourhood</t>
        </is>
      </c>
      <c r="B95" s="78" t="str">
        <f>IF(AND(B$94&gt;='Parameters'!$B$9,B$94&lt;='Parameters'!$B$10,MOD(B$94-'Parameters'!$B$9,2)=0),"k = "&amp;B$94,"")</f>
        <v/>
      </c>
      <c r="C95" s="78" t="str">
        <f>IF(AND(C$94&gt;='Parameters'!$B$9,C$94&lt;='Parameters'!$B$10,MOD(C$94-'Parameters'!$B$9,2)=0),"k = "&amp;C$94,"")</f>
        <v/>
      </c>
      <c r="D95" s="78" t="str">
        <f>IF(AND(D$94&gt;='Parameters'!$B$9,D$94&lt;='Parameters'!$B$10,MOD(D$94-'Parameters'!$B$9,2)=0),"k = "&amp;D$94,"")</f>
        <v>k = 3</v>
      </c>
      <c r="E95" s="78" t="str">
        <f>IF(AND(E$94&gt;='Parameters'!$B$9,E$94&lt;='Parameters'!$B$10,MOD(E$94-'Parameters'!$B$9,2)=0),"k = "&amp;E$94,"")</f>
        <v/>
      </c>
      <c r="F95" s="78" t="str">
        <f>IF(AND(F$94&gt;='Parameters'!$B$9,F$94&lt;='Parameters'!$B$10,MOD(F$94-'Parameters'!$B$9,2)=0),"k = "&amp;F$94,"")</f>
        <v>k = 5</v>
      </c>
      <c r="G95" s="78" t="str">
        <f>IF(AND(G$94&gt;='Parameters'!$B$9,G$94&lt;='Parameters'!$B$10,MOD(G$94-'Parameters'!$B$9,2)=0),"k = "&amp;G$94,"")</f>
        <v/>
      </c>
      <c r="H95" s="78" t="str">
        <f>IF(AND(H$94&gt;='Parameters'!$B$9,H$94&lt;='Parameters'!$B$10,MOD(H$94-'Parameters'!$B$9,2)=0),"k = "&amp;H$94,"")</f>
        <v/>
      </c>
      <c r="I95" s="78" t="str">
        <f>IF(AND(I$94&gt;='Parameters'!$B$9,I$94&lt;='Parameters'!$B$10,MOD(I$94-'Parameters'!$B$9,2)=0),"k = "&amp;I$94,"")</f>
        <v/>
      </c>
      <c r="J95" s="78" t="str">
        <f>IF(AND(J$94&gt;='Parameters'!$B$9,J$94&lt;='Parameters'!$B$10,MOD(J$94-'Parameters'!$B$9,2)=0),"k = "&amp;J$94,"")</f>
        <v/>
      </c>
    </row>
    <row r="96">
      <c r="A96" s="65" t="inlineStr">
        <is>
          <t xml:space="preserve">Neighbour</t>
        </is>
      </c>
      <c r="B96" s="64" t="str">
        <f>INDEX('Zhuravlev Distances'!$B$30:$K$30,B97)</f>
        <v>S₄</v>
      </c>
      <c r="C96" s="64" t="str">
        <f>INDEX('Zhuravlev Distances'!$B$30:$K$30,C97)</f>
        <v>S₉</v>
      </c>
      <c r="D96" s="64" t="str">
        <f>INDEX('Zhuravlev Distances'!$B$30:$K$30,D97)</f>
        <v>S₁</v>
      </c>
      <c r="E96" s="64" t="str">
        <f>INDEX('Zhuravlev Distances'!$B$30:$K$30,E97)</f>
        <v>S₁₀</v>
      </c>
      <c r="F96" s="64" t="str">
        <f>INDEX('Zhuravlev Distances'!$B$30:$K$30,F97)</f>
        <v>S₂</v>
      </c>
      <c r="G96" s="64" t="str">
        <f>INDEX('Zhuravlev Distances'!$B$30:$K$30,G97)</f>
        <v>S₆</v>
      </c>
      <c r="H96" s="64" t="str">
        <f>INDEX('Zhuravlev Distances'!$B$30:$K$30,H97)</f>
        <v>S₇</v>
      </c>
      <c r="I96" s="64" t="str">
        <f>INDEX('Zhuravlev Distances'!$B$30:$K$30,I97)</f>
        <v>S₃</v>
      </c>
      <c r="J96" s="64" t="str">
        <f>INDEX('Zhuravlev Distances'!$B$30:$K$30,J97)</f>
        <v>S₅</v>
      </c>
    </row>
    <row r="97">
      <c r="A97" s="65" t="inlineStr">
        <is>
          <t xml:space="preserve">Original index</t>
        </is>
      </c>
      <c r="B97" s="76">
        <f>MATCH(B$94,$B$12:$K$12,0)</f>
        <v>4</v>
      </c>
      <c r="C97" s="76">
        <f>MATCH(C$94,$B$12:$K$12,0)</f>
        <v>9</v>
      </c>
      <c r="D97" s="76">
        <f>MATCH(D$94,$B$12:$K$12,0)</f>
        <v>1</v>
      </c>
      <c r="E97" s="76">
        <f>MATCH(E$94,$B$12:$K$12,0)</f>
        <v>10</v>
      </c>
      <c r="F97" s="76">
        <f>MATCH(F$94,$B$12:$K$12,0)</f>
        <v>2</v>
      </c>
      <c r="G97" s="76">
        <f>MATCH(G$94,$B$12:$K$12,0)</f>
        <v>6</v>
      </c>
      <c r="H97" s="76">
        <f>MATCH(H$94,$B$12:$K$12,0)</f>
        <v>7</v>
      </c>
      <c r="I97" s="76">
        <f>MATCH(I$94,$B$12:$K$12,0)</f>
        <v>3</v>
      </c>
      <c r="J97" s="76">
        <f>MATCH(J$94,$B$12:$K$12,0)</f>
        <v>5</v>
      </c>
    </row>
    <row r="98">
      <c r="A98" s="65" t="inlineStr">
        <is>
          <t xml:space="preserve">ρ_J(S₈, neighbour)</t>
        </is>
      </c>
      <c r="B98" s="72">
        <f>INDEX('Zhuravlev Distances'!$B$38:$K$38,B97)</f>
        <v>1</v>
      </c>
      <c r="C98" s="72">
        <f>INDEX('Zhuravlev Distances'!$B$38:$K$38,C97)</f>
        <v>1</v>
      </c>
      <c r="D98" s="72">
        <f>INDEX('Zhuravlev Distances'!$B$38:$K$38,D97)</f>
        <v>2</v>
      </c>
      <c r="E98" s="72">
        <f>INDEX('Zhuravlev Distances'!$B$38:$K$38,E97)</f>
        <v>2</v>
      </c>
      <c r="F98" s="72">
        <f>INDEX('Zhuravlev Distances'!$B$38:$K$38,F97)</f>
        <v>3</v>
      </c>
      <c r="G98" s="72">
        <f>INDEX('Zhuravlev Distances'!$B$38:$K$38,G97)</f>
        <v>3</v>
      </c>
      <c r="H98" s="72">
        <f>INDEX('Zhuravlev Distances'!$B$38:$K$38,H97)</f>
        <v>3</v>
      </c>
      <c r="I98" s="72">
        <f>INDEX('Zhuravlev Distances'!$B$38:$K$38,I97)</f>
        <v>4</v>
      </c>
      <c r="J98" s="72">
        <f>INDEX('Zhuravlev Distances'!$B$38:$K$38,J97)</f>
        <v>4</v>
      </c>
    </row>
    <row r="99">
      <c r="A99" s="65" t="inlineStr">
        <is>
          <t xml:space="preserve">Class</t>
        </is>
      </c>
      <c r="B99" s="68">
        <f>INDEX(Dataset!$O$3:$O$12,B97)</f>
        <v>1</v>
      </c>
      <c r="C99" s="68">
        <f>INDEX(Dataset!$O$3:$O$12,C97)</f>
        <v>2</v>
      </c>
      <c r="D99" s="68">
        <f>INDEX(Dataset!$O$3:$O$12,D97)</f>
        <v>2</v>
      </c>
      <c r="E99" s="68">
        <f>INDEX(Dataset!$O$3:$O$12,E97)</f>
        <v>2</v>
      </c>
      <c r="F99" s="68">
        <f>INDEX(Dataset!$O$3:$O$12,F97)</f>
        <v>1</v>
      </c>
      <c r="G99" s="68">
        <f>INDEX(Dataset!$O$3:$O$12,G97)</f>
        <v>1</v>
      </c>
      <c r="H99" s="68">
        <f>INDEX(Dataset!$O$3:$O$12,H97)</f>
        <v>2</v>
      </c>
      <c r="I99" s="68">
        <f>INDEX(Dataset!$O$3:$O$12,I97)</f>
        <v>2</v>
      </c>
      <c r="J99" s="68">
        <f>INDEX(Dataset!$O$3:$O$12,J97)</f>
        <v>1</v>
      </c>
    </row>
    <row r="100">
      <c r="A100" s="65" t="inlineStr">
        <is>
          <t xml:space="preserve">Same class as S₈</t>
        </is>
      </c>
      <c r="B100" s="74">
        <f>IF(B99=Dataset!$O$10,1,0)</f>
        <v>0</v>
      </c>
      <c r="C100" s="74">
        <f>IF(C99=Dataset!$O$10,1,0)</f>
        <v>1</v>
      </c>
      <c r="D100" s="74">
        <f>IF(D99=Dataset!$O$10,1,0)</f>
        <v>1</v>
      </c>
      <c r="E100" s="74">
        <f>IF(E99=Dataset!$O$10,1,0)</f>
        <v>1</v>
      </c>
      <c r="F100" s="74">
        <f>IF(F99=Dataset!$O$10,1,0)</f>
        <v>0</v>
      </c>
      <c r="G100" s="74">
        <f>IF(G99=Dataset!$O$10,1,0)</f>
        <v>0</v>
      </c>
      <c r="H100" s="74">
        <f>IF(H99=Dataset!$O$10,1,0)</f>
        <v>1</v>
      </c>
      <c r="I100" s="74">
        <f>IF(I99=Dataset!$O$10,1,0)</f>
        <v>1</v>
      </c>
      <c r="J100" s="74">
        <f>IF(J99=Dataset!$O$10,1,0)</f>
        <v>0</v>
      </c>
    </row>
    <row r="101">
      <c r="A101" s="65" t="inlineStr">
        <is>
          <t xml:space="preserve">Same-class count μ (1 … rank)</t>
        </is>
      </c>
      <c r="B101" s="74">
        <f>SUM($B100:B100)</f>
        <v>0</v>
      </c>
      <c r="C101" s="74">
        <f>SUM($B100:C100)</f>
        <v>1</v>
      </c>
      <c r="D101" s="74">
        <f>SUM($B100:D100)</f>
        <v>2</v>
      </c>
      <c r="E101" s="74">
        <f>SUM($B100:E100)</f>
        <v>3</v>
      </c>
      <c r="F101" s="74">
        <f>SUM($B100:F100)</f>
        <v>3</v>
      </c>
      <c r="G101" s="74">
        <f>SUM($B100:G100)</f>
        <v>3</v>
      </c>
      <c r="H101" s="74">
        <f>SUM($B100:H100)</f>
        <v>4</v>
      </c>
      <c r="I101" s="74">
        <f>SUM($B100:I100)</f>
        <v>5</v>
      </c>
      <c r="J101" s="74">
        <f>SUM($B100:J100)</f>
        <v>5</v>
      </c>
    </row>
    <row r="102">
      <c r="A102" s="65" t="inlineStr">
        <is>
          <t xml:space="preserve">K1 count χ₁ (1 … rank)</t>
        </is>
      </c>
      <c r="B102" s="74">
        <f>COUNTIF($B99:B99,1)</f>
        <v>1</v>
      </c>
      <c r="C102" s="74">
        <f>COUNTIF($B99:C99,1)</f>
        <v>1</v>
      </c>
      <c r="D102" s="74">
        <f>COUNTIF($B99:D99,1)</f>
        <v>1</v>
      </c>
      <c r="E102" s="74">
        <f>COUNTIF($B99:E99,1)</f>
        <v>1</v>
      </c>
      <c r="F102" s="74">
        <f>COUNTIF($B99:F99,1)</f>
        <v>2</v>
      </c>
      <c r="G102" s="74">
        <f>COUNTIF($B99:G99,1)</f>
        <v>3</v>
      </c>
      <c r="H102" s="74">
        <f>COUNTIF($B99:H99,1)</f>
        <v>3</v>
      </c>
      <c r="I102" s="74">
        <f>COUNTIF($B99:I99,1)</f>
        <v>3</v>
      </c>
      <c r="J102" s="74">
        <f>COUNTIF($B99:J99,1)</f>
        <v>4</v>
      </c>
    </row>
    <row r="103"/>
    <row r="104">
      <c r="A104" s="59" t="str">
        <f>"S₉  ·  class "&amp;Dataset!$O$11&amp;"  —  neighbours in ascending ρ_J  (target row 13 of the rank matrix)"</f>
        <v>S₉  ·  class 2  —  neighbours in ascending ρ_J  (target row 13 of the rank matrix)</v>
      </c>
      <c r="B104" s="59"/>
      <c r="C104" s="59"/>
      <c r="D104" s="59"/>
      <c r="E104" s="59"/>
      <c r="F104" s="59"/>
      <c r="G104" s="59"/>
      <c r="H104" s="59"/>
      <c r="I104" s="59"/>
      <c r="J104" s="59"/>
    </row>
    <row r="105">
      <c r="A105" s="60" t="inlineStr">
        <is>
          <t xml:space="preserve">Rank</t>
        </is>
      </c>
      <c r="B105" s="60">
        <v>1</v>
      </c>
      <c r="C105" s="60">
        <v>2</v>
      </c>
      <c r="D105" s="60">
        <v>3</v>
      </c>
      <c r="E105" s="60">
        <v>4</v>
      </c>
      <c r="F105" s="60">
        <v>5</v>
      </c>
      <c r="G105" s="60">
        <v>6</v>
      </c>
      <c r="H105" s="60">
        <v>7</v>
      </c>
      <c r="I105" s="60">
        <v>8</v>
      </c>
      <c r="J105" s="60">
        <v>9</v>
      </c>
    </row>
    <row r="106">
      <c r="A106" s="65" t="inlineStr">
        <is>
          <t xml:space="preserve">k-neighbourhood</t>
        </is>
      </c>
      <c r="B106" s="78" t="str">
        <f>IF(AND(B$105&gt;='Parameters'!$B$9,B$105&lt;='Parameters'!$B$10,MOD(B$105-'Parameters'!$B$9,2)=0),"k = "&amp;B$105,"")</f>
        <v/>
      </c>
      <c r="C106" s="78" t="str">
        <f>IF(AND(C$105&gt;='Parameters'!$B$9,C$105&lt;='Parameters'!$B$10,MOD(C$105-'Parameters'!$B$9,2)=0),"k = "&amp;C$105,"")</f>
        <v/>
      </c>
      <c r="D106" s="78" t="str">
        <f>IF(AND(D$105&gt;='Parameters'!$B$9,D$105&lt;='Parameters'!$B$10,MOD(D$105-'Parameters'!$B$9,2)=0),"k = "&amp;D$105,"")</f>
        <v>k = 3</v>
      </c>
      <c r="E106" s="78" t="str">
        <f>IF(AND(E$105&gt;='Parameters'!$B$9,E$105&lt;='Parameters'!$B$10,MOD(E$105-'Parameters'!$B$9,2)=0),"k = "&amp;E$105,"")</f>
        <v/>
      </c>
      <c r="F106" s="78" t="str">
        <f>IF(AND(F$105&gt;='Parameters'!$B$9,F$105&lt;='Parameters'!$B$10,MOD(F$105-'Parameters'!$B$9,2)=0),"k = "&amp;F$105,"")</f>
        <v>k = 5</v>
      </c>
      <c r="G106" s="78" t="str">
        <f>IF(AND(G$105&gt;='Parameters'!$B$9,G$105&lt;='Parameters'!$B$10,MOD(G$105-'Parameters'!$B$9,2)=0),"k = "&amp;G$105,"")</f>
        <v/>
      </c>
      <c r="H106" s="78" t="str">
        <f>IF(AND(H$105&gt;='Parameters'!$B$9,H$105&lt;='Parameters'!$B$10,MOD(H$105-'Parameters'!$B$9,2)=0),"k = "&amp;H$105,"")</f>
        <v/>
      </c>
      <c r="I106" s="78" t="str">
        <f>IF(AND(I$105&gt;='Parameters'!$B$9,I$105&lt;='Parameters'!$B$10,MOD(I$105-'Parameters'!$B$9,2)=0),"k = "&amp;I$105,"")</f>
        <v/>
      </c>
      <c r="J106" s="78" t="str">
        <f>IF(AND(J$105&gt;='Parameters'!$B$9,J$105&lt;='Parameters'!$B$10,MOD(J$105-'Parameters'!$B$9,2)=0),"k = "&amp;J$105,"")</f>
        <v/>
      </c>
    </row>
    <row r="107">
      <c r="A107" s="65" t="inlineStr">
        <is>
          <t xml:space="preserve">Neighbour</t>
        </is>
      </c>
      <c r="B107" s="64" t="str">
        <f>INDEX('Zhuravlev Distances'!$B$30:$K$30,B108)</f>
        <v>S₁</v>
      </c>
      <c r="C107" s="64" t="str">
        <f>INDEX('Zhuravlev Distances'!$B$30:$K$30,C108)</f>
        <v>S₈</v>
      </c>
      <c r="D107" s="64" t="str">
        <f>INDEX('Zhuravlev Distances'!$B$30:$K$30,D108)</f>
        <v>S₁₀</v>
      </c>
      <c r="E107" s="64" t="str">
        <f>INDEX('Zhuravlev Distances'!$B$30:$K$30,E108)</f>
        <v>S₂</v>
      </c>
      <c r="F107" s="64" t="str">
        <f>INDEX('Zhuravlev Distances'!$B$30:$K$30,F108)</f>
        <v>S₄</v>
      </c>
      <c r="G107" s="64" t="str">
        <f>INDEX('Zhuravlev Distances'!$B$30:$K$30,G108)</f>
        <v>S₆</v>
      </c>
      <c r="H107" s="64" t="str">
        <f>INDEX('Zhuravlev Distances'!$B$30:$K$30,H108)</f>
        <v>S₃</v>
      </c>
      <c r="I107" s="64" t="str">
        <f>INDEX('Zhuravlev Distances'!$B$30:$K$30,I108)</f>
        <v>S₇</v>
      </c>
      <c r="J107" s="64" t="str">
        <f>INDEX('Zhuravlev Distances'!$B$30:$K$30,J108)</f>
        <v>S₅</v>
      </c>
    </row>
    <row r="108">
      <c r="A108" s="65" t="inlineStr">
        <is>
          <t xml:space="preserve">Original index</t>
        </is>
      </c>
      <c r="B108" s="76">
        <f>MATCH(B$105,$B$13:$K$13,0)</f>
        <v>1</v>
      </c>
      <c r="C108" s="76">
        <f>MATCH(C$105,$B$13:$K$13,0)</f>
        <v>8</v>
      </c>
      <c r="D108" s="76">
        <f>MATCH(D$105,$B$13:$K$13,0)</f>
        <v>10</v>
      </c>
      <c r="E108" s="76">
        <f>MATCH(E$105,$B$13:$K$13,0)</f>
        <v>2</v>
      </c>
      <c r="F108" s="76">
        <f>MATCH(F$105,$B$13:$K$13,0)</f>
        <v>4</v>
      </c>
      <c r="G108" s="76">
        <f>MATCH(G$105,$B$13:$K$13,0)</f>
        <v>6</v>
      </c>
      <c r="H108" s="76">
        <f>MATCH(H$105,$B$13:$K$13,0)</f>
        <v>3</v>
      </c>
      <c r="I108" s="76">
        <f>MATCH(I$105,$B$13:$K$13,0)</f>
        <v>7</v>
      </c>
      <c r="J108" s="76">
        <f>MATCH(J$105,$B$13:$K$13,0)</f>
        <v>5</v>
      </c>
    </row>
    <row r="109">
      <c r="A109" s="65" t="inlineStr">
        <is>
          <t xml:space="preserve">ρ_J(S₉, neighbour)</t>
        </is>
      </c>
      <c r="B109" s="72">
        <f>INDEX('Zhuravlev Distances'!$B$39:$K$39,B108)</f>
        <v>1</v>
      </c>
      <c r="C109" s="72">
        <f>INDEX('Zhuravlev Distances'!$B$39:$K$39,C108)</f>
        <v>1</v>
      </c>
      <c r="D109" s="72">
        <f>INDEX('Zhuravlev Distances'!$B$39:$K$39,D108)</f>
        <v>1</v>
      </c>
      <c r="E109" s="72">
        <f>INDEX('Zhuravlev Distances'!$B$39:$K$39,E108)</f>
        <v>2</v>
      </c>
      <c r="F109" s="72">
        <f>INDEX('Zhuravlev Distances'!$B$39:$K$39,F108)</f>
        <v>2</v>
      </c>
      <c r="G109" s="72">
        <f>INDEX('Zhuravlev Distances'!$B$39:$K$39,G108)</f>
        <v>2</v>
      </c>
      <c r="H109" s="72">
        <f>INDEX('Zhuravlev Distances'!$B$39:$K$39,H108)</f>
        <v>3</v>
      </c>
      <c r="I109" s="72">
        <f>INDEX('Zhuravlev Distances'!$B$39:$K$39,I108)</f>
        <v>4</v>
      </c>
      <c r="J109" s="72">
        <f>INDEX('Zhuravlev Distances'!$B$39:$K$39,J108)</f>
        <v>5</v>
      </c>
    </row>
    <row r="110">
      <c r="A110" s="65" t="inlineStr">
        <is>
          <t xml:space="preserve">Class</t>
        </is>
      </c>
      <c r="B110" s="68">
        <f>INDEX(Dataset!$O$3:$O$12,B108)</f>
        <v>2</v>
      </c>
      <c r="C110" s="68">
        <f>INDEX(Dataset!$O$3:$O$12,C108)</f>
        <v>2</v>
      </c>
      <c r="D110" s="68">
        <f>INDEX(Dataset!$O$3:$O$12,D108)</f>
        <v>2</v>
      </c>
      <c r="E110" s="68">
        <f>INDEX(Dataset!$O$3:$O$12,E108)</f>
        <v>1</v>
      </c>
      <c r="F110" s="68">
        <f>INDEX(Dataset!$O$3:$O$12,F108)</f>
        <v>1</v>
      </c>
      <c r="G110" s="68">
        <f>INDEX(Dataset!$O$3:$O$12,G108)</f>
        <v>1</v>
      </c>
      <c r="H110" s="68">
        <f>INDEX(Dataset!$O$3:$O$12,H108)</f>
        <v>2</v>
      </c>
      <c r="I110" s="68">
        <f>INDEX(Dataset!$O$3:$O$12,I108)</f>
        <v>2</v>
      </c>
      <c r="J110" s="68">
        <f>INDEX(Dataset!$O$3:$O$12,J108)</f>
        <v>1</v>
      </c>
    </row>
    <row r="111">
      <c r="A111" s="65" t="inlineStr">
        <is>
          <t xml:space="preserve">Same class as S₉</t>
        </is>
      </c>
      <c r="B111" s="74">
        <f>IF(B110=Dataset!$O$11,1,0)</f>
        <v>1</v>
      </c>
      <c r="C111" s="74">
        <f>IF(C110=Dataset!$O$11,1,0)</f>
        <v>1</v>
      </c>
      <c r="D111" s="74">
        <f>IF(D110=Dataset!$O$11,1,0)</f>
        <v>1</v>
      </c>
      <c r="E111" s="74">
        <f>IF(E110=Dataset!$O$11,1,0)</f>
        <v>0</v>
      </c>
      <c r="F111" s="74">
        <f>IF(F110=Dataset!$O$11,1,0)</f>
        <v>0</v>
      </c>
      <c r="G111" s="74">
        <f>IF(G110=Dataset!$O$11,1,0)</f>
        <v>0</v>
      </c>
      <c r="H111" s="74">
        <f>IF(H110=Dataset!$O$11,1,0)</f>
        <v>1</v>
      </c>
      <c r="I111" s="74">
        <f>IF(I110=Dataset!$O$11,1,0)</f>
        <v>1</v>
      </c>
      <c r="J111" s="74">
        <f>IF(J110=Dataset!$O$11,1,0)</f>
        <v>0</v>
      </c>
    </row>
    <row r="112">
      <c r="A112" s="65" t="inlineStr">
        <is>
          <t xml:space="preserve">Same-class count μ (1 … rank)</t>
        </is>
      </c>
      <c r="B112" s="74">
        <f>SUM($B111:B111)</f>
        <v>1</v>
      </c>
      <c r="C112" s="74">
        <f>SUM($B111:C111)</f>
        <v>2</v>
      </c>
      <c r="D112" s="74">
        <f>SUM($B111:D111)</f>
        <v>3</v>
      </c>
      <c r="E112" s="74">
        <f>SUM($B111:E111)</f>
        <v>3</v>
      </c>
      <c r="F112" s="74">
        <f>SUM($B111:F111)</f>
        <v>3</v>
      </c>
      <c r="G112" s="74">
        <f>SUM($B111:G111)</f>
        <v>3</v>
      </c>
      <c r="H112" s="74">
        <f>SUM($B111:H111)</f>
        <v>4</v>
      </c>
      <c r="I112" s="74">
        <f>SUM($B111:I111)</f>
        <v>5</v>
      </c>
      <c r="J112" s="74">
        <f>SUM($B111:J111)</f>
        <v>5</v>
      </c>
    </row>
    <row r="113">
      <c r="A113" s="65" t="inlineStr">
        <is>
          <t xml:space="preserve">K1 count χ₁ (1 … rank)</t>
        </is>
      </c>
      <c r="B113" s="74">
        <f>COUNTIF($B110:B110,1)</f>
        <v>0</v>
      </c>
      <c r="C113" s="74">
        <f>COUNTIF($B110:C110,1)</f>
        <v>0</v>
      </c>
      <c r="D113" s="74">
        <f>COUNTIF($B110:D110,1)</f>
        <v>0</v>
      </c>
      <c r="E113" s="74">
        <f>COUNTIF($B110:E110,1)</f>
        <v>1</v>
      </c>
      <c r="F113" s="74">
        <f>COUNTIF($B110:F110,1)</f>
        <v>2</v>
      </c>
      <c r="G113" s="74">
        <f>COUNTIF($B110:G110,1)</f>
        <v>3</v>
      </c>
      <c r="H113" s="74">
        <f>COUNTIF($B110:H110,1)</f>
        <v>3</v>
      </c>
      <c r="I113" s="74">
        <f>COUNTIF($B110:I110,1)</f>
        <v>3</v>
      </c>
      <c r="J113" s="74">
        <f>COUNTIF($B110:J110,1)</f>
        <v>4</v>
      </c>
    </row>
    <row r="114"/>
    <row r="115">
      <c r="A115" s="59" t="str">
        <f>"S₁₀  ·  class "&amp;Dataset!$O$12&amp;"  —  neighbours in ascending ρ_J  (target row 14 of the rank matrix)"</f>
        <v>S₁₀  ·  class 2  —  neighbours in ascending ρ_J  (target row 14 of the rank matrix)</v>
      </c>
      <c r="B115" s="59"/>
      <c r="C115" s="59"/>
      <c r="D115" s="59"/>
      <c r="E115" s="59"/>
      <c r="F115" s="59"/>
      <c r="G115" s="59"/>
      <c r="H115" s="59"/>
      <c r="I115" s="59"/>
      <c r="J115" s="59"/>
    </row>
    <row r="116">
      <c r="A116" s="60" t="inlineStr">
        <is>
          <t xml:space="preserve">Rank</t>
        </is>
      </c>
      <c r="B116" s="60">
        <v>1</v>
      </c>
      <c r="C116" s="60">
        <v>2</v>
      </c>
      <c r="D116" s="60">
        <v>3</v>
      </c>
      <c r="E116" s="60">
        <v>4</v>
      </c>
      <c r="F116" s="60">
        <v>5</v>
      </c>
      <c r="G116" s="60">
        <v>6</v>
      </c>
      <c r="H116" s="60">
        <v>7</v>
      </c>
      <c r="I116" s="60">
        <v>8</v>
      </c>
      <c r="J116" s="60">
        <v>9</v>
      </c>
    </row>
    <row r="117">
      <c r="A117" s="65" t="inlineStr">
        <is>
          <t xml:space="preserve">k-neighbourhood</t>
        </is>
      </c>
      <c r="B117" s="78" t="str">
        <f>IF(AND(B$116&gt;='Parameters'!$B$9,B$116&lt;='Parameters'!$B$10,MOD(B$116-'Parameters'!$B$9,2)=0),"k = "&amp;B$116,"")</f>
        <v/>
      </c>
      <c r="C117" s="78" t="str">
        <f>IF(AND(C$116&gt;='Parameters'!$B$9,C$116&lt;='Parameters'!$B$10,MOD(C$116-'Parameters'!$B$9,2)=0),"k = "&amp;C$116,"")</f>
        <v/>
      </c>
      <c r="D117" s="78" t="str">
        <f>IF(AND(D$116&gt;='Parameters'!$B$9,D$116&lt;='Parameters'!$B$10,MOD(D$116-'Parameters'!$B$9,2)=0),"k = "&amp;D$116,"")</f>
        <v>k = 3</v>
      </c>
      <c r="E117" s="78" t="str">
        <f>IF(AND(E$116&gt;='Parameters'!$B$9,E$116&lt;='Parameters'!$B$10,MOD(E$116-'Parameters'!$B$9,2)=0),"k = "&amp;E$116,"")</f>
        <v/>
      </c>
      <c r="F117" s="78" t="str">
        <f>IF(AND(F$116&gt;='Parameters'!$B$9,F$116&lt;='Parameters'!$B$10,MOD(F$116-'Parameters'!$B$9,2)=0),"k = "&amp;F$116,"")</f>
        <v>k = 5</v>
      </c>
      <c r="G117" s="78" t="str">
        <f>IF(AND(G$116&gt;='Parameters'!$B$9,G$116&lt;='Parameters'!$B$10,MOD(G$116-'Parameters'!$B$9,2)=0),"k = "&amp;G$116,"")</f>
        <v/>
      </c>
      <c r="H117" s="78" t="str">
        <f>IF(AND(H$116&gt;='Parameters'!$B$9,H$116&lt;='Parameters'!$B$10,MOD(H$116-'Parameters'!$B$9,2)=0),"k = "&amp;H$116,"")</f>
        <v/>
      </c>
      <c r="I117" s="78" t="str">
        <f>IF(AND(I$116&gt;='Parameters'!$B$9,I$116&lt;='Parameters'!$B$10,MOD(I$116-'Parameters'!$B$9,2)=0),"k = "&amp;I$116,"")</f>
        <v/>
      </c>
      <c r="J117" s="78" t="str">
        <f>IF(AND(J$116&gt;='Parameters'!$B$9,J$116&lt;='Parameters'!$B$10,MOD(J$116-'Parameters'!$B$9,2)=0),"k = "&amp;J$116,"")</f>
        <v/>
      </c>
    </row>
    <row r="118">
      <c r="A118" s="65" t="inlineStr">
        <is>
          <t xml:space="preserve">Neighbour</t>
        </is>
      </c>
      <c r="B118" s="64" t="str">
        <f>INDEX('Zhuravlev Distances'!$B$30:$K$30,B119)</f>
        <v>S₂</v>
      </c>
      <c r="C118" s="64" t="str">
        <f>INDEX('Zhuravlev Distances'!$B$30:$K$30,C119)</f>
        <v>S₉</v>
      </c>
      <c r="D118" s="64" t="str">
        <f>INDEX('Zhuravlev Distances'!$B$30:$K$30,D119)</f>
        <v>S₁</v>
      </c>
      <c r="E118" s="64" t="str">
        <f>INDEX('Zhuravlev Distances'!$B$30:$K$30,E119)</f>
        <v>S₈</v>
      </c>
      <c r="F118" s="64" t="str">
        <f>INDEX('Zhuravlev Distances'!$B$30:$K$30,F119)</f>
        <v>S₄</v>
      </c>
      <c r="G118" s="64" t="str">
        <f>INDEX('Zhuravlev Distances'!$B$30:$K$30,G119)</f>
        <v>S₆</v>
      </c>
      <c r="H118" s="64" t="str">
        <f>INDEX('Zhuravlev Distances'!$B$30:$K$30,H119)</f>
        <v>S₃</v>
      </c>
      <c r="I118" s="64" t="str">
        <f>INDEX('Zhuravlev Distances'!$B$30:$K$30,I119)</f>
        <v>S₅</v>
      </c>
      <c r="J118" s="64" t="str">
        <f>INDEX('Zhuravlev Distances'!$B$30:$K$30,J119)</f>
        <v>S₇</v>
      </c>
    </row>
    <row r="119">
      <c r="A119" s="65" t="inlineStr">
        <is>
          <t xml:space="preserve">Original index</t>
        </is>
      </c>
      <c r="B119" s="76">
        <f>MATCH(B$116,$B$14:$K$14,0)</f>
        <v>2</v>
      </c>
      <c r="C119" s="76">
        <f>MATCH(C$116,$B$14:$K$14,0)</f>
        <v>9</v>
      </c>
      <c r="D119" s="76">
        <f>MATCH(D$116,$B$14:$K$14,0)</f>
        <v>1</v>
      </c>
      <c r="E119" s="76">
        <f>MATCH(E$116,$B$14:$K$14,0)</f>
        <v>8</v>
      </c>
      <c r="F119" s="76">
        <f>MATCH(F$116,$B$14:$K$14,0)</f>
        <v>4</v>
      </c>
      <c r="G119" s="76">
        <f>MATCH(G$116,$B$14:$K$14,0)</f>
        <v>6</v>
      </c>
      <c r="H119" s="76">
        <f>MATCH(H$116,$B$14:$K$14,0)</f>
        <v>3</v>
      </c>
      <c r="I119" s="76">
        <f>MATCH(I$116,$B$14:$K$14,0)</f>
        <v>5</v>
      </c>
      <c r="J119" s="76">
        <f>MATCH(J$116,$B$14:$K$14,0)</f>
        <v>7</v>
      </c>
    </row>
    <row r="120">
      <c r="A120" s="65" t="inlineStr">
        <is>
          <t xml:space="preserve">ρ_J(S₁₀, neighbour)</t>
        </is>
      </c>
      <c r="B120" s="72">
        <f>INDEX('Zhuravlev Distances'!$B$40:$K$40,B119)</f>
        <v>1</v>
      </c>
      <c r="C120" s="72">
        <f>INDEX('Zhuravlev Distances'!$B$40:$K$40,C119)</f>
        <v>1</v>
      </c>
      <c r="D120" s="72">
        <f>INDEX('Zhuravlev Distances'!$B$40:$K$40,D119)</f>
        <v>2</v>
      </c>
      <c r="E120" s="72">
        <f>INDEX('Zhuravlev Distances'!$B$40:$K$40,E119)</f>
        <v>2</v>
      </c>
      <c r="F120" s="72">
        <f>INDEX('Zhuravlev Distances'!$B$40:$K$40,F119)</f>
        <v>3</v>
      </c>
      <c r="G120" s="72">
        <f>INDEX('Zhuravlev Distances'!$B$40:$K$40,G119)</f>
        <v>3</v>
      </c>
      <c r="H120" s="72">
        <f>INDEX('Zhuravlev Distances'!$B$40:$K$40,H119)</f>
        <v>4</v>
      </c>
      <c r="I120" s="72">
        <f>INDEX('Zhuravlev Distances'!$B$40:$K$40,I119)</f>
        <v>4</v>
      </c>
      <c r="J120" s="72">
        <f>INDEX('Zhuravlev Distances'!$B$40:$K$40,J119)</f>
        <v>5</v>
      </c>
    </row>
    <row r="121">
      <c r="A121" s="65" t="inlineStr">
        <is>
          <t xml:space="preserve">Class</t>
        </is>
      </c>
      <c r="B121" s="68">
        <f>INDEX(Dataset!$O$3:$O$12,B119)</f>
        <v>1</v>
      </c>
      <c r="C121" s="68">
        <f>INDEX(Dataset!$O$3:$O$12,C119)</f>
        <v>2</v>
      </c>
      <c r="D121" s="68">
        <f>INDEX(Dataset!$O$3:$O$12,D119)</f>
        <v>2</v>
      </c>
      <c r="E121" s="68">
        <f>INDEX(Dataset!$O$3:$O$12,E119)</f>
        <v>2</v>
      </c>
      <c r="F121" s="68">
        <f>INDEX(Dataset!$O$3:$O$12,F119)</f>
        <v>1</v>
      </c>
      <c r="G121" s="68">
        <f>INDEX(Dataset!$O$3:$O$12,G119)</f>
        <v>1</v>
      </c>
      <c r="H121" s="68">
        <f>INDEX(Dataset!$O$3:$O$12,H119)</f>
        <v>2</v>
      </c>
      <c r="I121" s="68">
        <f>INDEX(Dataset!$O$3:$O$12,I119)</f>
        <v>1</v>
      </c>
      <c r="J121" s="68">
        <f>INDEX(Dataset!$O$3:$O$12,J119)</f>
        <v>2</v>
      </c>
    </row>
    <row r="122">
      <c r="A122" s="65" t="inlineStr">
        <is>
          <t xml:space="preserve">Same class as S₁₀</t>
        </is>
      </c>
      <c r="B122" s="74">
        <f>IF(B121=Dataset!$O$12,1,0)</f>
        <v>0</v>
      </c>
      <c r="C122" s="74">
        <f>IF(C121=Dataset!$O$12,1,0)</f>
        <v>1</v>
      </c>
      <c r="D122" s="74">
        <f>IF(D121=Dataset!$O$12,1,0)</f>
        <v>1</v>
      </c>
      <c r="E122" s="74">
        <f>IF(E121=Dataset!$O$12,1,0)</f>
        <v>1</v>
      </c>
      <c r="F122" s="74">
        <f>IF(F121=Dataset!$O$12,1,0)</f>
        <v>0</v>
      </c>
      <c r="G122" s="74">
        <f>IF(G121=Dataset!$O$12,1,0)</f>
        <v>0</v>
      </c>
      <c r="H122" s="74">
        <f>IF(H121=Dataset!$O$12,1,0)</f>
        <v>1</v>
      </c>
      <c r="I122" s="74">
        <f>IF(I121=Dataset!$O$12,1,0)</f>
        <v>0</v>
      </c>
      <c r="J122" s="74">
        <f>IF(J121=Dataset!$O$12,1,0)</f>
        <v>1</v>
      </c>
    </row>
    <row r="123">
      <c r="A123" s="65" t="inlineStr">
        <is>
          <t xml:space="preserve">Same-class count μ (1 … rank)</t>
        </is>
      </c>
      <c r="B123" s="74">
        <f>SUM($B122:B122)</f>
        <v>0</v>
      </c>
      <c r="C123" s="74">
        <f>SUM($B122:C122)</f>
        <v>1</v>
      </c>
      <c r="D123" s="74">
        <f>SUM($B122:D122)</f>
        <v>2</v>
      </c>
      <c r="E123" s="74">
        <f>SUM($B122:E122)</f>
        <v>3</v>
      </c>
      <c r="F123" s="74">
        <f>SUM($B122:F122)</f>
        <v>3</v>
      </c>
      <c r="G123" s="74">
        <f>SUM($B122:G122)</f>
        <v>3</v>
      </c>
      <c r="H123" s="74">
        <f>SUM($B122:H122)</f>
        <v>4</v>
      </c>
      <c r="I123" s="74">
        <f>SUM($B122:I122)</f>
        <v>4</v>
      </c>
      <c r="J123" s="74">
        <f>SUM($B122:J122)</f>
        <v>5</v>
      </c>
    </row>
    <row r="124">
      <c r="A124" s="65" t="inlineStr">
        <is>
          <t xml:space="preserve">K1 count χ₁ (1 … rank)</t>
        </is>
      </c>
      <c r="B124" s="74">
        <f>COUNTIF($B121:B121,1)</f>
        <v>1</v>
      </c>
      <c r="C124" s="74">
        <f>COUNTIF($B121:C121,1)</f>
        <v>1</v>
      </c>
      <c r="D124" s="74">
        <f>COUNTIF($B121:D121,1)</f>
        <v>1</v>
      </c>
      <c r="E124" s="74">
        <f>COUNTIF($B121:E121,1)</f>
        <v>1</v>
      </c>
      <c r="F124" s="74">
        <f>COUNTIF($B121:F121,1)</f>
        <v>2</v>
      </c>
      <c r="G124" s="74">
        <f>COUNTIF($B121:G121,1)</f>
        <v>3</v>
      </c>
      <c r="H124" s="74">
        <f>COUNTIF($B121:H121,1)</f>
        <v>3</v>
      </c>
      <c r="I124" s="74">
        <f>COUNTIF($B121:I121,1)</f>
        <v>4</v>
      </c>
      <c r="J124" s="74">
        <f>COUNTIF($B121:J121,1)</f>
        <v>4</v>
      </c>
    </row>
    <row r="125"/>
    <row r="126">
      <c r="A126" s="99" t="inlineStr">
        <is>
          <t xml:space="preserve">Ranks use the distances of Step 2: rank = 1 + #{objects closer than Sⱼ} + #{objects at the same distance with a smaller original index}; the target itself is excluded.</t>
        </is>
      </c>
    </row>
    <row r="127">
      <c r="A127" s="99" t="inlineStr">
        <is>
          <t xml:space="preserve">Yellow cells mark the nested neighbourhoods of the permitted k (odd, k_min … k_max from the Parameters sheet).</t>
        </is>
      </c>
    </row>
    <row r="128">
      <c r="A128" s="99" t="inlineStr">
        <is>
          <t xml:space="preserve">μ (same-class count) needs the class of the target — it is used only on the training side (formulas (1)–(4)).</t>
        </is>
      </c>
    </row>
    <row r="129">
      <c r="A129" s="99" t="inlineStr">
        <is>
          <t xml:space="preserve">χ₁ (number of K1 objects among the first k) does not use the class of the target — it gives the synthetic feature (5) and is computed the same way for a new object.</t>
        </is>
      </c>
    </row>
  </sheetData>
  <mergeCells count="12">
    <mergeCell ref="A1:K1"/>
    <mergeCell ref="A3:K3"/>
    <mergeCell ref="A16:J16"/>
    <mergeCell ref="A27:J27"/>
    <mergeCell ref="A38:J38"/>
    <mergeCell ref="A49:J49"/>
    <mergeCell ref="A60:J60"/>
    <mergeCell ref="A71:J71"/>
    <mergeCell ref="A82:J82"/>
    <mergeCell ref="A93:J93"/>
    <mergeCell ref="A104:J104"/>
    <mergeCell ref="A115:J115"/>
  </mergeCells>
  <conditionalFormatting sqref="B23:J23">
    <cfRule type="cellIs" dxfId="0" priority="1" operator="equal">
      <formula>1</formula>
    </cfRule>
  </conditionalFormatting>
  <conditionalFormatting sqref="B18:J18">
    <cfRule type="expression" dxfId="1" priority="2">
      <formula>B$18&lt;&gt;""</formula>
    </cfRule>
  </conditionalFormatting>
  <conditionalFormatting sqref="B24:J24">
    <cfRule type="expression" dxfId="1" priority="3">
      <formula>B$18&lt;&gt;""</formula>
    </cfRule>
  </conditionalFormatting>
  <conditionalFormatting sqref="B25:J25">
    <cfRule type="expression" dxfId="1" priority="4">
      <formula>B$18&lt;&gt;""</formula>
    </cfRule>
  </conditionalFormatting>
  <conditionalFormatting sqref="B34:J34">
    <cfRule type="cellIs" dxfId="0" priority="5" operator="equal">
      <formula>1</formula>
    </cfRule>
  </conditionalFormatting>
  <conditionalFormatting sqref="B29:J29">
    <cfRule type="expression" dxfId="1" priority="6">
      <formula>B$29&lt;&gt;""</formula>
    </cfRule>
  </conditionalFormatting>
  <conditionalFormatting sqref="B35:J35">
    <cfRule type="expression" dxfId="1" priority="7">
      <formula>B$29&lt;&gt;""</formula>
    </cfRule>
  </conditionalFormatting>
  <conditionalFormatting sqref="B36:J36">
    <cfRule type="expression" dxfId="1" priority="8">
      <formula>B$29&lt;&gt;""</formula>
    </cfRule>
  </conditionalFormatting>
  <conditionalFormatting sqref="B45:J45">
    <cfRule type="cellIs" dxfId="0" priority="9" operator="equal">
      <formula>1</formula>
    </cfRule>
  </conditionalFormatting>
  <conditionalFormatting sqref="B40:J40">
    <cfRule type="expression" dxfId="1" priority="10">
      <formula>B$40&lt;&gt;""</formula>
    </cfRule>
  </conditionalFormatting>
  <conditionalFormatting sqref="B46:J46">
    <cfRule type="expression" dxfId="1" priority="11">
      <formula>B$40&lt;&gt;""</formula>
    </cfRule>
  </conditionalFormatting>
  <conditionalFormatting sqref="B47:J47">
    <cfRule type="expression" dxfId="1" priority="12">
      <formula>B$40&lt;&gt;""</formula>
    </cfRule>
  </conditionalFormatting>
  <conditionalFormatting sqref="B56:J56">
    <cfRule type="cellIs" dxfId="0" priority="13" operator="equal">
      <formula>1</formula>
    </cfRule>
  </conditionalFormatting>
  <conditionalFormatting sqref="B51:J51">
    <cfRule type="expression" dxfId="1" priority="14">
      <formula>B$51&lt;&gt;""</formula>
    </cfRule>
  </conditionalFormatting>
  <conditionalFormatting sqref="B57:J57">
    <cfRule type="expression" dxfId="1" priority="15">
      <formula>B$51&lt;&gt;""</formula>
    </cfRule>
  </conditionalFormatting>
  <conditionalFormatting sqref="B58:J58">
    <cfRule type="expression" dxfId="1" priority="16">
      <formula>B$51&lt;&gt;""</formula>
    </cfRule>
  </conditionalFormatting>
  <conditionalFormatting sqref="B67:J67">
    <cfRule type="cellIs" dxfId="0" priority="17" operator="equal">
      <formula>1</formula>
    </cfRule>
  </conditionalFormatting>
  <conditionalFormatting sqref="B62:J62">
    <cfRule type="expression" dxfId="1" priority="18">
      <formula>B$62&lt;&gt;""</formula>
    </cfRule>
  </conditionalFormatting>
  <conditionalFormatting sqref="B68:J68">
    <cfRule type="expression" dxfId="1" priority="19">
      <formula>B$62&lt;&gt;""</formula>
    </cfRule>
  </conditionalFormatting>
  <conditionalFormatting sqref="B69:J69">
    <cfRule type="expression" dxfId="1" priority="20">
      <formula>B$62&lt;&gt;""</formula>
    </cfRule>
  </conditionalFormatting>
  <conditionalFormatting sqref="B78:J78">
    <cfRule type="cellIs" dxfId="0" priority="21" operator="equal">
      <formula>1</formula>
    </cfRule>
  </conditionalFormatting>
  <conditionalFormatting sqref="B73:J73">
    <cfRule type="expression" dxfId="1" priority="22">
      <formula>B$73&lt;&gt;""</formula>
    </cfRule>
  </conditionalFormatting>
  <conditionalFormatting sqref="B79:J79">
    <cfRule type="expression" dxfId="1" priority="23">
      <formula>B$73&lt;&gt;""</formula>
    </cfRule>
  </conditionalFormatting>
  <conditionalFormatting sqref="B80:J80">
    <cfRule type="expression" dxfId="1" priority="24">
      <formula>B$73&lt;&gt;""</formula>
    </cfRule>
  </conditionalFormatting>
  <conditionalFormatting sqref="B89:J89">
    <cfRule type="cellIs" dxfId="0" priority="25" operator="equal">
      <formula>1</formula>
    </cfRule>
  </conditionalFormatting>
  <conditionalFormatting sqref="B84:J84">
    <cfRule type="expression" dxfId="1" priority="26">
      <formula>B$84&lt;&gt;""</formula>
    </cfRule>
  </conditionalFormatting>
  <conditionalFormatting sqref="B90:J90">
    <cfRule type="expression" dxfId="1" priority="27">
      <formula>B$84&lt;&gt;""</formula>
    </cfRule>
  </conditionalFormatting>
  <conditionalFormatting sqref="B91:J91">
    <cfRule type="expression" dxfId="1" priority="28">
      <formula>B$84&lt;&gt;""</formula>
    </cfRule>
  </conditionalFormatting>
  <conditionalFormatting sqref="B100:J100">
    <cfRule type="cellIs" dxfId="0" priority="29" operator="equal">
      <formula>1</formula>
    </cfRule>
  </conditionalFormatting>
  <conditionalFormatting sqref="B95:J95">
    <cfRule type="expression" dxfId="1" priority="30">
      <formula>B$95&lt;&gt;""</formula>
    </cfRule>
  </conditionalFormatting>
  <conditionalFormatting sqref="B101:J101">
    <cfRule type="expression" dxfId="1" priority="31">
      <formula>B$95&lt;&gt;""</formula>
    </cfRule>
  </conditionalFormatting>
  <conditionalFormatting sqref="B102:J102">
    <cfRule type="expression" dxfId="1" priority="32">
      <formula>B$95&lt;&gt;""</formula>
    </cfRule>
  </conditionalFormatting>
  <conditionalFormatting sqref="B111:J111">
    <cfRule type="cellIs" dxfId="0" priority="33" operator="equal">
      <formula>1</formula>
    </cfRule>
  </conditionalFormatting>
  <conditionalFormatting sqref="B106:J106">
    <cfRule type="expression" dxfId="1" priority="34">
      <formula>B$106&lt;&gt;""</formula>
    </cfRule>
  </conditionalFormatting>
  <conditionalFormatting sqref="B112:J112">
    <cfRule type="expression" dxfId="1" priority="35">
      <formula>B$106&lt;&gt;""</formula>
    </cfRule>
  </conditionalFormatting>
  <conditionalFormatting sqref="B113:J113">
    <cfRule type="expression" dxfId="1" priority="36">
      <formula>B$106&lt;&gt;""</formula>
    </cfRule>
  </conditionalFormatting>
  <conditionalFormatting sqref="B122:J122">
    <cfRule type="cellIs" dxfId="0" priority="37" operator="equal">
      <formula>1</formula>
    </cfRule>
  </conditionalFormatting>
  <conditionalFormatting sqref="B117:J117">
    <cfRule type="expression" dxfId="1" priority="38">
      <formula>B$117&lt;&gt;""</formula>
    </cfRule>
  </conditionalFormatting>
  <conditionalFormatting sqref="B123:J123">
    <cfRule type="expression" dxfId="1" priority="39">
      <formula>B$117&lt;&gt;""</formula>
    </cfRule>
  </conditionalFormatting>
  <conditionalFormatting sqref="B124:J124">
    <cfRule type="expression" dxfId="1" priority="40">
      <formula>B$117&lt;&gt;""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G47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3" width="13.77734375" customWidth="1"/>
    <col min="4" max="4" width="11.77734375" customWidth="1"/>
    <col min="5" max="5" width="4.77734375" customWidth="1"/>
    <col min="6" max="6" width="30.77734375" customWidth="1"/>
    <col min="7" max="7" width="52.77734375" customWidth="1"/>
  </cols>
  <sheetData>
    <row r="1" ht="20" customHeight="1">
      <c r="A1" s="57" t="inlineStr">
        <is>
          <t xml:space="preserve">Step 4 · Synthetic Features based on k-NN — same-class neighbours μ of Sᵢ for k = k_min … k_max, per operator</t>
        </is>
      </c>
      <c r="B1" s="57"/>
      <c r="C1" s="57"/>
      <c r="D1" s="57"/>
      <c r="E1" s="57"/>
      <c r="F1" s="57"/>
      <c r="G1" s="57"/>
    </row>
    <row r="2"/>
    <row r="3">
      <c r="A3" s="58" t="inlineStr">
        <is>
          <t xml:space="preserve">Operator ρ  ·  same-class count μ</t>
        </is>
      </c>
      <c r="B3" s="58"/>
      <c r="C3" s="58"/>
      <c r="D3" s="58"/>
      <c r="F3" s="58" t="inlineStr">
        <is>
          <t xml:space="preserve">k range (Parameters sheet)</t>
        </is>
      </c>
      <c r="G3" s="58"/>
    </row>
    <row r="4">
      <c r="A4" s="60" t="inlineStr">
        <is>
          <t xml:space="preserve">№</t>
        </is>
      </c>
      <c r="B4" s="62">
        <f>IF('Parameters'!$B$9&lt;='Parameters'!$B$10,'Parameters'!$B$9,"—")</f>
        <v>3</v>
      </c>
      <c r="C4" s="62">
        <f>IF('Parameters'!$B$9+2&lt;='Parameters'!$B$10,'Parameters'!$B$9+2,"—")</f>
        <v>5</v>
      </c>
      <c r="D4" s="60" t="inlineStr">
        <is>
          <t xml:space="preserve">Class</t>
        </is>
      </c>
      <c r="F4" s="82" t="inlineStr">
        <is>
          <t xml:space="preserve">|K1|</t>
        </is>
      </c>
      <c r="G4" s="83">
        <f>'Parameters'!B6</f>
        <v>4</v>
      </c>
    </row>
    <row r="5">
      <c r="A5" s="64" t="inlineStr">
        <is>
          <t xml:space="preserve">S₁</t>
        </is>
      </c>
      <c r="B5" s="80">
        <f>IF(ISNUMBER(B$4),INDEX('Sorted Neighbors (ρ)'!$B$24:$J$24,B$4),"—")</f>
        <v>3</v>
      </c>
      <c r="C5" s="80">
        <f>IF(ISNUMBER(C$4),INDEX('Sorted Neighbors (ρ)'!$B$24:$J$24,C$4),"—")</f>
        <v>3</v>
      </c>
      <c r="D5" s="68">
        <f>Dataset!O3</f>
        <v>2</v>
      </c>
      <c r="F5" s="82" t="inlineStr">
        <is>
          <t xml:space="preserve">|K2|</t>
        </is>
      </c>
      <c r="G5" s="83">
        <f>'Parameters'!B7</f>
        <v>6</v>
      </c>
    </row>
    <row r="6">
      <c r="A6" s="64" t="inlineStr">
        <is>
          <t xml:space="preserve">S₂</t>
        </is>
      </c>
      <c r="B6" s="80">
        <f>IF(ISNUMBER(B$4),INDEX('Sorted Neighbors (ρ)'!$B$35:$J$35,B$4),"—")</f>
        <v>0</v>
      </c>
      <c r="C6" s="80">
        <f>IF(ISNUMBER(C$4),INDEX('Sorted Neighbors (ρ)'!$B$35:$J$35,C$4),"—")</f>
        <v>1</v>
      </c>
      <c r="D6" s="68">
        <f>Dataset!O4</f>
        <v>1</v>
      </c>
      <c r="F6" s="82" t="inlineStr">
        <is>
          <t xml:space="preserve">min |Kᵢ|</t>
        </is>
      </c>
      <c r="G6" s="83">
        <f>'Parameters'!B8</f>
        <v>4</v>
      </c>
    </row>
    <row r="7">
      <c r="A7" s="64" t="inlineStr">
        <is>
          <t xml:space="preserve">S₃</t>
        </is>
      </c>
      <c r="B7" s="80">
        <f>IF(ISNUMBER(B$4),INDEX('Sorted Neighbors (ρ)'!$B$46:$J$46,B$4),"—")</f>
        <v>1</v>
      </c>
      <c r="C7" s="80">
        <f>IF(ISNUMBER(C$4),INDEX('Sorted Neighbors (ρ)'!$B$46:$J$46,C$4),"—")</f>
        <v>2</v>
      </c>
      <c r="D7" s="68">
        <f>Dataset!O5</f>
        <v>2</v>
      </c>
      <c r="F7" s="82" t="inlineStr">
        <is>
          <t xml:space="preserve">k_min (fixed)</t>
        </is>
      </c>
      <c r="G7" s="83">
        <f>'Parameters'!B9</f>
        <v>3</v>
      </c>
    </row>
    <row r="8">
      <c r="A8" s="64" t="inlineStr">
        <is>
          <t xml:space="preserve">S₄</t>
        </is>
      </c>
      <c r="B8" s="80">
        <f>IF(ISNUMBER(B$4),INDEX('Sorted Neighbors (ρ)'!$B$57:$J$57,B$4),"—")</f>
        <v>1</v>
      </c>
      <c r="C8" s="80">
        <f>IF(ISNUMBER(C$4),INDEX('Sorted Neighbors (ρ)'!$B$57:$J$57,C$4),"—")</f>
        <v>1</v>
      </c>
      <c r="D8" s="68">
        <f>Dataset!O6</f>
        <v>1</v>
      </c>
      <c r="F8" s="82" t="inlineStr">
        <is>
          <t xml:space="preserve">k_max = 2 · min |Kᵢ| − 3</t>
        </is>
      </c>
      <c r="G8" s="83">
        <f>'Parameters'!B10</f>
        <v>5</v>
      </c>
    </row>
    <row r="9">
      <c r="A9" s="64" t="inlineStr">
        <is>
          <t xml:space="preserve">S₅</t>
        </is>
      </c>
      <c r="B9" s="80">
        <f>IF(ISNUMBER(B$4),INDEX('Sorted Neighbors (ρ)'!$B$68:$J$68,B$4),"—")</f>
        <v>1</v>
      </c>
      <c r="C9" s="80">
        <f>IF(ISNUMBER(C$4),INDEX('Sorted Neighbors (ρ)'!$B$68:$J$68,C$4),"—")</f>
        <v>2</v>
      </c>
      <c r="D9" s="68">
        <f>Dataset!O7</f>
        <v>1</v>
      </c>
      <c r="F9" s="82" t="inlineStr">
        <is>
          <t xml:space="preserve">Permitted k</t>
        </is>
      </c>
      <c r="G9" s="83" t="str">
        <f>'Parameters'!B11</f>
        <v>3, 5</v>
      </c>
    </row>
    <row r="10">
      <c r="A10" s="64" t="inlineStr">
        <is>
          <t xml:space="preserve">S₆</t>
        </is>
      </c>
      <c r="B10" s="80">
        <f>IF(ISNUMBER(B$4),INDEX('Sorted Neighbors (ρ)'!$B$79:$J$79,B$4),"—")</f>
        <v>1</v>
      </c>
      <c r="C10" s="80">
        <f>IF(ISNUMBER(C$4),INDEX('Sorted Neighbors (ρ)'!$B$79:$J$79,C$4),"—")</f>
        <v>2</v>
      </c>
      <c r="D10" s="68">
        <f>Dataset!O8</f>
        <v>1</v>
      </c>
      <c r="F10" s="82" t="inlineStr">
        <is>
          <t xml:space="preserve">Layout check</t>
        </is>
      </c>
      <c r="G10" s="84" t="str">
        <f>'Parameters'!B15</f>
        <v>✓ the workbook has a column for every permitted k</v>
      </c>
    </row>
    <row r="11">
      <c r="A11" s="64" t="inlineStr">
        <is>
          <t xml:space="preserve">S₇</t>
        </is>
      </c>
      <c r="B11" s="80">
        <f>IF(ISNUMBER(B$4),INDEX('Sorted Neighbors (ρ)'!$B$90:$J$90,B$4),"—")</f>
        <v>2</v>
      </c>
      <c r="C11" s="80">
        <f>IF(ISNUMBER(C$4),INDEX('Sorted Neighbors (ρ)'!$B$90:$J$90,C$4),"—")</f>
        <v>4</v>
      </c>
      <c r="D11" s="68">
        <f>Dataset!O9</f>
        <v>2</v>
      </c>
    </row>
    <row r="12">
      <c r="A12" s="64" t="inlineStr">
        <is>
          <t xml:space="preserve">S₈</t>
        </is>
      </c>
      <c r="B12" s="80">
        <f>IF(ISNUMBER(B$4),INDEX('Sorted Neighbors (ρ)'!$B$101:$J$101,B$4),"—")</f>
        <v>2</v>
      </c>
      <c r="C12" s="80">
        <f>IF(ISNUMBER(C$4),INDEX('Sorted Neighbors (ρ)'!$B$101:$J$101,C$4),"—")</f>
        <v>3</v>
      </c>
      <c r="D12" s="68">
        <f>Dataset!O10</f>
        <v>2</v>
      </c>
    </row>
    <row r="13">
      <c r="A13" s="64" t="inlineStr">
        <is>
          <t xml:space="preserve">S₉</t>
        </is>
      </c>
      <c r="B13" s="80">
        <f>IF(ISNUMBER(B$4),INDEX('Sorted Neighbors (ρ)'!$B$112:$J$112,B$4),"—")</f>
        <v>3</v>
      </c>
      <c r="C13" s="80">
        <f>IF(ISNUMBER(C$4),INDEX('Sorted Neighbors (ρ)'!$B$112:$J$112,C$4),"—")</f>
        <v>3</v>
      </c>
      <c r="D13" s="68">
        <f>Dataset!O11</f>
        <v>2</v>
      </c>
    </row>
    <row r="14">
      <c r="A14" s="64" t="inlineStr">
        <is>
          <t xml:space="preserve">S₁₀</t>
        </is>
      </c>
      <c r="B14" s="80">
        <f>IF(ISNUMBER(B$4),INDEX('Sorted Neighbors (ρ)'!$B$123:$J$123,B$4),"—")</f>
        <v>2</v>
      </c>
      <c r="C14" s="80">
        <f>IF(ISNUMBER(C$4),INDEX('Sorted Neighbors (ρ)'!$B$123:$J$123,C$4),"—")</f>
        <v>3</v>
      </c>
      <c r="D14" s="68">
        <f>Dataset!O12</f>
        <v>2</v>
      </c>
    </row>
    <row r="15"/>
    <row r="16"/>
    <row r="17">
      <c r="A17" s="58" t="inlineStr">
        <is>
          <t xml:space="preserve">Operator ρ_I  ·  same-class count μ</t>
        </is>
      </c>
      <c r="B17" s="58"/>
      <c r="C17" s="58"/>
      <c r="D17" s="58"/>
    </row>
    <row r="18">
      <c r="A18" s="60" t="inlineStr">
        <is>
          <t xml:space="preserve">№</t>
        </is>
      </c>
      <c r="B18" s="62">
        <f>IF('Parameters'!$B$9&lt;='Parameters'!$B$10,'Parameters'!$B$9,"—")</f>
        <v>3</v>
      </c>
      <c r="C18" s="62">
        <f>IF('Parameters'!$B$9+2&lt;='Parameters'!$B$10,'Parameters'!$B$9+2,"—")</f>
        <v>5</v>
      </c>
      <c r="D18" s="60" t="inlineStr">
        <is>
          <t xml:space="preserve">Class</t>
        </is>
      </c>
    </row>
    <row r="19">
      <c r="A19" s="64" t="inlineStr">
        <is>
          <t xml:space="preserve">S₁</t>
        </is>
      </c>
      <c r="B19" s="80">
        <f>IF(ISNUMBER(B$18),INDEX('Sorted Neighbors (ρ_I)'!$B$24:$J$24,B$18),"—")</f>
        <v>1</v>
      </c>
      <c r="C19" s="80">
        <f>IF(ISNUMBER(C$18),INDEX('Sorted Neighbors (ρ_I)'!$B$24:$J$24,C$18),"—")</f>
        <v>3</v>
      </c>
      <c r="D19" s="68">
        <f>Dataset!O3</f>
        <v>2</v>
      </c>
    </row>
    <row r="20">
      <c r="A20" s="64" t="inlineStr">
        <is>
          <t xml:space="preserve">S₂</t>
        </is>
      </c>
      <c r="B20" s="80">
        <f>IF(ISNUMBER(B$18),INDEX('Sorted Neighbors (ρ_I)'!$B$35:$J$35,B$18),"—")</f>
        <v>1</v>
      </c>
      <c r="C20" s="80">
        <f>IF(ISNUMBER(C$18),INDEX('Sorted Neighbors (ρ_I)'!$B$35:$J$35,C$18),"—")</f>
        <v>2</v>
      </c>
      <c r="D20" s="68">
        <f>Dataset!O4</f>
        <v>1</v>
      </c>
    </row>
    <row r="21">
      <c r="A21" s="64" t="inlineStr">
        <is>
          <t xml:space="preserve">S₃</t>
        </is>
      </c>
      <c r="B21" s="80">
        <f>IF(ISNUMBER(B$18),INDEX('Sorted Neighbors (ρ_I)'!$B$46:$J$46,B$18),"—")</f>
        <v>2</v>
      </c>
      <c r="C21" s="80">
        <f>IF(ISNUMBER(C$18),INDEX('Sorted Neighbors (ρ_I)'!$B$46:$J$46,C$18),"—")</f>
        <v>2</v>
      </c>
      <c r="D21" s="68">
        <f>Dataset!O5</f>
        <v>2</v>
      </c>
    </row>
    <row r="22">
      <c r="A22" s="64" t="inlineStr">
        <is>
          <t xml:space="preserve">S₄</t>
        </is>
      </c>
      <c r="B22" s="80">
        <f>IF(ISNUMBER(B$18),INDEX('Sorted Neighbors (ρ_I)'!$B$57:$J$57,B$18),"—")</f>
        <v>2</v>
      </c>
      <c r="C22" s="80">
        <f>IF(ISNUMBER(C$18),INDEX('Sorted Neighbors (ρ_I)'!$B$57:$J$57,C$18),"—")</f>
        <v>2</v>
      </c>
      <c r="D22" s="68">
        <f>Dataset!O6</f>
        <v>1</v>
      </c>
    </row>
    <row r="23">
      <c r="A23" s="64" t="inlineStr">
        <is>
          <t xml:space="preserve">S₅</t>
        </is>
      </c>
      <c r="B23" s="80">
        <f>IF(ISNUMBER(B$18),INDEX('Sorted Neighbors (ρ_I)'!$B$68:$J$68,B$18),"—")</f>
        <v>2</v>
      </c>
      <c r="C23" s="80">
        <f>IF(ISNUMBER(C$18),INDEX('Sorted Neighbors (ρ_I)'!$B$68:$J$68,C$18),"—")</f>
        <v>2</v>
      </c>
      <c r="D23" s="68">
        <f>Dataset!O7</f>
        <v>1</v>
      </c>
    </row>
    <row r="24">
      <c r="A24" s="64" t="inlineStr">
        <is>
          <t xml:space="preserve">S₆</t>
        </is>
      </c>
      <c r="B24" s="80">
        <f>IF(ISNUMBER(B$18),INDEX('Sorted Neighbors (ρ_I)'!$B$79:$J$79,B$18),"—")</f>
        <v>0</v>
      </c>
      <c r="C24" s="80">
        <f>IF(ISNUMBER(C$18),INDEX('Sorted Neighbors (ρ_I)'!$B$79:$J$79,C$18),"—")</f>
        <v>2</v>
      </c>
      <c r="D24" s="68">
        <f>Dataset!O8</f>
        <v>1</v>
      </c>
    </row>
    <row r="25">
      <c r="A25" s="64" t="inlineStr">
        <is>
          <t xml:space="preserve">S₇</t>
        </is>
      </c>
      <c r="B25" s="80">
        <f>IF(ISNUMBER(B$18),INDEX('Sorted Neighbors (ρ_I)'!$B$90:$J$90,B$18),"—")</f>
        <v>2</v>
      </c>
      <c r="C25" s="80">
        <f>IF(ISNUMBER(C$18),INDEX('Sorted Neighbors (ρ_I)'!$B$90:$J$90,C$18),"—")</f>
        <v>3</v>
      </c>
      <c r="D25" s="68">
        <f>Dataset!O9</f>
        <v>2</v>
      </c>
    </row>
    <row r="26">
      <c r="A26" s="64" t="inlineStr">
        <is>
          <t xml:space="preserve">S₈</t>
        </is>
      </c>
      <c r="B26" s="80">
        <f>IF(ISNUMBER(B$18),INDEX('Sorted Neighbors (ρ_I)'!$B$101:$J$101,B$18),"—")</f>
        <v>2</v>
      </c>
      <c r="C26" s="80">
        <f>IF(ISNUMBER(C$18),INDEX('Sorted Neighbors (ρ_I)'!$B$101:$J$101,C$18),"—")</f>
        <v>3</v>
      </c>
      <c r="D26" s="68">
        <f>Dataset!O10</f>
        <v>2</v>
      </c>
    </row>
    <row r="27">
      <c r="A27" s="64" t="inlineStr">
        <is>
          <t xml:space="preserve">S₉</t>
        </is>
      </c>
      <c r="B27" s="80">
        <f>IF(ISNUMBER(B$18),INDEX('Sorted Neighbors (ρ_I)'!$B$112:$J$112,B$18),"—")</f>
        <v>3</v>
      </c>
      <c r="C27" s="80">
        <f>IF(ISNUMBER(C$18),INDEX('Sorted Neighbors (ρ_I)'!$B$112:$J$112,C$18),"—")</f>
        <v>4</v>
      </c>
      <c r="D27" s="68">
        <f>Dataset!O11</f>
        <v>2</v>
      </c>
    </row>
    <row r="28">
      <c r="A28" s="64" t="inlineStr">
        <is>
          <t xml:space="preserve">S₁₀</t>
        </is>
      </c>
      <c r="B28" s="80">
        <f>IF(ISNUMBER(B$18),INDEX('Sorted Neighbors (ρ_I)'!$B$123:$J$123,B$18),"—")</f>
        <v>3</v>
      </c>
      <c r="C28" s="80">
        <f>IF(ISNUMBER(C$18),INDEX('Sorted Neighbors (ρ_I)'!$B$123:$J$123,C$18),"—")</f>
        <v>4</v>
      </c>
      <c r="D28" s="68">
        <f>Dataset!O12</f>
        <v>2</v>
      </c>
    </row>
    <row r="29"/>
    <row r="30"/>
    <row r="31">
      <c r="A31" s="58" t="inlineStr">
        <is>
          <t xml:space="preserve">Operator ρ_J  ·  same-class count μ</t>
        </is>
      </c>
      <c r="B31" s="58"/>
      <c r="C31" s="58"/>
      <c r="D31" s="58"/>
    </row>
    <row r="32">
      <c r="A32" s="60" t="inlineStr">
        <is>
          <t xml:space="preserve">№</t>
        </is>
      </c>
      <c r="B32" s="62">
        <f>IF('Parameters'!$B$9&lt;='Parameters'!$B$10,'Parameters'!$B$9,"—")</f>
        <v>3</v>
      </c>
      <c r="C32" s="62">
        <f>IF('Parameters'!$B$9+2&lt;='Parameters'!$B$10,'Parameters'!$B$9+2,"—")</f>
        <v>5</v>
      </c>
      <c r="D32" s="60" t="inlineStr">
        <is>
          <t xml:space="preserve">Class</t>
        </is>
      </c>
    </row>
    <row r="33">
      <c r="A33" s="64" t="inlineStr">
        <is>
          <t xml:space="preserve">S₁</t>
        </is>
      </c>
      <c r="B33" s="80">
        <f>IF(ISNUMBER(B$32),INDEX('Sorted Neighbors (ρ_J)'!$B$24:$J$24,B$32),"—")</f>
        <v>3</v>
      </c>
      <c r="C33" s="80">
        <f>IF(ISNUMBER(C$32),INDEX('Sorted Neighbors (ρ_J)'!$B$24:$J$24,C$32),"—")</f>
        <v>3</v>
      </c>
      <c r="D33" s="68">
        <f>Dataset!O3</f>
        <v>2</v>
      </c>
    </row>
    <row r="34">
      <c r="A34" s="64" t="inlineStr">
        <is>
          <t xml:space="preserve">S₂</t>
        </is>
      </c>
      <c r="B34" s="80">
        <f>IF(ISNUMBER(B$32),INDEX('Sorted Neighbors (ρ_J)'!$B$35:$J$35,B$32),"—")</f>
        <v>0</v>
      </c>
      <c r="C34" s="80">
        <f>IF(ISNUMBER(C$32),INDEX('Sorted Neighbors (ρ_J)'!$B$35:$J$35,C$32),"—")</f>
        <v>0</v>
      </c>
      <c r="D34" s="68">
        <f>Dataset!O4</f>
        <v>1</v>
      </c>
    </row>
    <row r="35">
      <c r="A35" s="64" t="inlineStr">
        <is>
          <t xml:space="preserve">S₃</t>
        </is>
      </c>
      <c r="B35" s="80">
        <f>IF(ISNUMBER(B$32),INDEX('Sorted Neighbors (ρ_J)'!$B$46:$J$46,B$32),"—")</f>
        <v>1</v>
      </c>
      <c r="C35" s="80">
        <f>IF(ISNUMBER(C$32),INDEX('Sorted Neighbors (ρ_J)'!$B$46:$J$46,C$32),"—")</f>
        <v>2</v>
      </c>
      <c r="D35" s="68">
        <f>Dataset!O5</f>
        <v>2</v>
      </c>
    </row>
    <row r="36">
      <c r="A36" s="64" t="inlineStr">
        <is>
          <t xml:space="preserve">S₄</t>
        </is>
      </c>
      <c r="B36" s="80">
        <f>IF(ISNUMBER(B$32),INDEX('Sorted Neighbors (ρ_J)'!$B$57:$J$57,B$32),"—")</f>
        <v>1</v>
      </c>
      <c r="C36" s="80">
        <f>IF(ISNUMBER(C$32),INDEX('Sorted Neighbors (ρ_J)'!$B$57:$J$57,C$32),"—")</f>
        <v>1</v>
      </c>
      <c r="D36" s="68">
        <f>Dataset!O6</f>
        <v>1</v>
      </c>
    </row>
    <row r="37">
      <c r="A37" s="64" t="inlineStr">
        <is>
          <t xml:space="preserve">S₅</t>
        </is>
      </c>
      <c r="B37" s="80">
        <f>IF(ISNUMBER(B$32),INDEX('Sorted Neighbors (ρ_J)'!$B$68:$J$68,B$32),"—")</f>
        <v>1</v>
      </c>
      <c r="C37" s="80">
        <f>IF(ISNUMBER(C$32),INDEX('Sorted Neighbors (ρ_J)'!$B$68:$J$68,C$32),"—")</f>
        <v>1</v>
      </c>
      <c r="D37" s="68">
        <f>Dataset!O7</f>
        <v>1</v>
      </c>
    </row>
    <row r="38">
      <c r="A38" s="64" t="inlineStr">
        <is>
          <t xml:space="preserve">S₆</t>
        </is>
      </c>
      <c r="B38" s="80">
        <f>IF(ISNUMBER(B$32),INDEX('Sorted Neighbors (ρ_J)'!$B$79:$J$79,B$32),"—")</f>
        <v>1</v>
      </c>
      <c r="C38" s="80">
        <f>IF(ISNUMBER(C$32),INDEX('Sorted Neighbors (ρ_J)'!$B$79:$J$79,C$32),"—")</f>
        <v>1</v>
      </c>
      <c r="D38" s="68">
        <f>Dataset!O8</f>
        <v>1</v>
      </c>
    </row>
    <row r="39">
      <c r="A39" s="64" t="inlineStr">
        <is>
          <t xml:space="preserve">S₇</t>
        </is>
      </c>
      <c r="B39" s="80">
        <f>IF(ISNUMBER(B$32),INDEX('Sorted Neighbors (ρ_J)'!$B$90:$J$90,B$32),"—")</f>
        <v>2</v>
      </c>
      <c r="C39" s="80">
        <f>IF(ISNUMBER(C$32),INDEX('Sorted Neighbors (ρ_J)'!$B$90:$J$90,C$32),"—")</f>
        <v>3</v>
      </c>
      <c r="D39" s="68">
        <f>Dataset!O9</f>
        <v>2</v>
      </c>
    </row>
    <row r="40">
      <c r="A40" s="64" t="inlineStr">
        <is>
          <t xml:space="preserve">S₈</t>
        </is>
      </c>
      <c r="B40" s="80">
        <f>IF(ISNUMBER(B$32),INDEX('Sorted Neighbors (ρ_J)'!$B$101:$J$101,B$32),"—")</f>
        <v>2</v>
      </c>
      <c r="C40" s="80">
        <f>IF(ISNUMBER(C$32),INDEX('Sorted Neighbors (ρ_J)'!$B$101:$J$101,C$32),"—")</f>
        <v>3</v>
      </c>
      <c r="D40" s="68">
        <f>Dataset!O10</f>
        <v>2</v>
      </c>
    </row>
    <row r="41">
      <c r="A41" s="64" t="inlineStr">
        <is>
          <t xml:space="preserve">S₉</t>
        </is>
      </c>
      <c r="B41" s="80">
        <f>IF(ISNUMBER(B$32),INDEX('Sorted Neighbors (ρ_J)'!$B$112:$J$112,B$32),"—")</f>
        <v>3</v>
      </c>
      <c r="C41" s="80">
        <f>IF(ISNUMBER(C$32),INDEX('Sorted Neighbors (ρ_J)'!$B$112:$J$112,C$32),"—")</f>
        <v>3</v>
      </c>
      <c r="D41" s="68">
        <f>Dataset!O11</f>
        <v>2</v>
      </c>
    </row>
    <row r="42">
      <c r="A42" s="64" t="inlineStr">
        <is>
          <t xml:space="preserve">S₁₀</t>
        </is>
      </c>
      <c r="B42" s="80">
        <f>IF(ISNUMBER(B$32),INDEX('Sorted Neighbors (ρ_J)'!$B$123:$J$123,B$32),"—")</f>
        <v>2</v>
      </c>
      <c r="C42" s="80">
        <f>IF(ISNUMBER(C$32),INDEX('Sorted Neighbors (ρ_J)'!$B$123:$J$123,C$32),"—")</f>
        <v>3</v>
      </c>
      <c r="D42" s="68">
        <f>Dataset!O12</f>
        <v>2</v>
      </c>
    </row>
    <row r="43"/>
    <row r="44"/>
    <row r="45">
      <c r="A45" s="99" t="inlineStr">
        <is>
          <t xml:space="preserve">Cell value μ = number of the k nearest neighbours (Step 3 order of the operator) whose class equals the class of Sᵢ.</t>
        </is>
      </c>
    </row>
    <row r="46">
      <c r="A46" s="99" t="inlineStr">
        <is>
          <t xml:space="preserve">Only the k permitted by k_max = 2 · min |Kᵢ| − 3 are used: odd k from k_min = 3 (fixed) up to k_max; |K1| and |K2| are counted from the Dataset, so k_max follows the data.</t>
        </is>
      </c>
    </row>
    <row r="47">
      <c r="A47" s="99" t="inlineStr">
        <is>
          <t xml:space="preserve">μ is the training-side gradation of formulas (1)–(4); the class-free synthetic feature a ∈ {1, 2} of formula (5) is built in the next sheet.</t>
        </is>
      </c>
    </row>
  </sheetData>
  <mergeCells count="5">
    <mergeCell ref="A1:G1"/>
    <mergeCell ref="A3:D3"/>
    <mergeCell ref="A17:D17"/>
    <mergeCell ref="A31:D31"/>
    <mergeCell ref="F3:G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H53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3" width="12.77734375" customWidth="1"/>
    <col min="4" max="4" width="24.77734375" customWidth="1"/>
    <col min="5" max="8" width="12.77734375" customWidth="1"/>
  </cols>
  <sheetData>
    <row r="1" ht="20" customHeight="1">
      <c r="A1" s="57" t="inlineStr">
        <is>
          <t xml:space="preserve">Step 5 · Ψ(r) — synthetic features aᵤ ∈ {1, 2} by formula (5): the majority class of the k nearest neighbours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Feature map · one synthetic feature per (base operator, permitted k)   ·   r = |Ψ(r)| = 3 × (number of permitted k)</t>
        </is>
      </c>
      <c r="B3" s="58"/>
      <c r="C3" s="58"/>
      <c r="D3" s="58"/>
      <c r="E3" s="58"/>
      <c r="F3" s="58"/>
      <c r="G3" s="58"/>
      <c r="H3" s="58"/>
    </row>
    <row r="4">
      <c r="A4" s="60" t="inlineStr">
        <is>
          <t xml:space="preserve">Feature</t>
        </is>
      </c>
      <c r="B4" s="60" t="inlineStr">
        <is>
          <t xml:space="preserve">Operator</t>
        </is>
      </c>
      <c r="C4" s="60" t="inlineStr">
        <is>
          <t xml:space="preserve">k</t>
        </is>
      </c>
      <c r="D4" s="61" t="inlineStr">
        <is>
          <t xml:space="preserve">Neighbours sheet</t>
        </is>
      </c>
      <c r="E4" s="61" t="inlineStr">
        <is>
          <t xml:space="preserve">Rule (5)</t>
        </is>
      </c>
      <c r="F4" s="61"/>
      <c r="G4" s="61"/>
      <c r="H4" s="61"/>
    </row>
    <row r="5">
      <c r="A5" s="64" t="inlineStr">
        <is>
          <t xml:space="preserve">a₁</t>
        </is>
      </c>
      <c r="B5" s="83" t="inlineStr">
        <is>
          <t xml:space="preserve">ρ</t>
        </is>
      </c>
      <c r="C5" s="62">
        <f>'Synthetic Features (k-NN)'!B4</f>
        <v>3</v>
      </c>
      <c r="D5" s="65" t="inlineStr">
        <is>
          <t xml:space="preserve">Sorted Neighbors (ρ)</t>
        </is>
      </c>
      <c r="E5" s="100" t="inlineStr">
        <is>
          <t xml:space="preserve">aᵤ = 1 if χ₁(Sⱼ, k) &gt; [k/2],  aᵤ = 2 if χ₂(Sⱼ, k) &gt; [k/2]</t>
        </is>
      </c>
      <c r="F5" s="100"/>
      <c r="G5" s="100"/>
      <c r="H5" s="100"/>
    </row>
    <row r="6">
      <c r="A6" s="64" t="inlineStr">
        <is>
          <t xml:space="preserve">a₂</t>
        </is>
      </c>
      <c r="B6" s="83" t="inlineStr">
        <is>
          <t xml:space="preserve">ρ</t>
        </is>
      </c>
      <c r="C6" s="62">
        <f>'Synthetic Features (k-NN)'!C4</f>
        <v>5</v>
      </c>
      <c r="D6" s="65" t="inlineStr">
        <is>
          <t xml:space="preserve">Sorted Neighbors (ρ)</t>
        </is>
      </c>
      <c r="E6" s="100" t="inlineStr">
        <is>
          <t xml:space="preserve">aᵤ = 1 if χ₁(Sⱼ, k) &gt; [k/2],  aᵤ = 2 if χ₂(Sⱼ, k) &gt; [k/2]</t>
        </is>
      </c>
      <c r="F6" s="100"/>
      <c r="G6" s="100"/>
      <c r="H6" s="100"/>
    </row>
    <row r="7">
      <c r="A7" s="64" t="inlineStr">
        <is>
          <t xml:space="preserve">a₃</t>
        </is>
      </c>
      <c r="B7" s="83" t="inlineStr">
        <is>
          <t xml:space="preserve">ρ_I</t>
        </is>
      </c>
      <c r="C7" s="62">
        <f>'Synthetic Features (k-NN)'!B18</f>
        <v>3</v>
      </c>
      <c r="D7" s="65" t="inlineStr">
        <is>
          <t xml:space="preserve">Sorted Neighbors (ρ_I)</t>
        </is>
      </c>
      <c r="E7" s="100" t="inlineStr">
        <is>
          <t xml:space="preserve">aᵤ = 1 if χ₁(Sⱼ, k) &gt; [k/2],  aᵤ = 2 if χ₂(Sⱼ, k) &gt; [k/2]</t>
        </is>
      </c>
      <c r="F7" s="100"/>
      <c r="G7" s="100"/>
      <c r="H7" s="100"/>
    </row>
    <row r="8">
      <c r="A8" s="64" t="inlineStr">
        <is>
          <t xml:space="preserve">a₄</t>
        </is>
      </c>
      <c r="B8" s="83" t="inlineStr">
        <is>
          <t xml:space="preserve">ρ_I</t>
        </is>
      </c>
      <c r="C8" s="62">
        <f>'Synthetic Features (k-NN)'!C18</f>
        <v>5</v>
      </c>
      <c r="D8" s="65" t="inlineStr">
        <is>
          <t xml:space="preserve">Sorted Neighbors (ρ_I)</t>
        </is>
      </c>
      <c r="E8" s="100" t="inlineStr">
        <is>
          <t xml:space="preserve">aᵤ = 1 if χ₁(Sⱼ, k) &gt; [k/2],  aᵤ = 2 if χ₂(Sⱼ, k) &gt; [k/2]</t>
        </is>
      </c>
      <c r="F8" s="100"/>
      <c r="G8" s="100"/>
      <c r="H8" s="100"/>
    </row>
    <row r="9">
      <c r="A9" s="64" t="inlineStr">
        <is>
          <t xml:space="preserve">a₅</t>
        </is>
      </c>
      <c r="B9" s="83" t="inlineStr">
        <is>
          <t xml:space="preserve">ρ_J</t>
        </is>
      </c>
      <c r="C9" s="62">
        <f>'Synthetic Features (k-NN)'!B32</f>
        <v>3</v>
      </c>
      <c r="D9" s="65" t="inlineStr">
        <is>
          <t xml:space="preserve">Sorted Neighbors (ρ_J)</t>
        </is>
      </c>
      <c r="E9" s="100" t="inlineStr">
        <is>
          <t xml:space="preserve">aᵤ = 1 if χ₁(Sⱼ, k) &gt; [k/2],  aᵤ = 2 if χ₂(Sⱼ, k) &gt; [k/2]</t>
        </is>
      </c>
      <c r="F9" s="100"/>
      <c r="G9" s="100"/>
      <c r="H9" s="100"/>
    </row>
    <row r="10">
      <c r="A10" s="64" t="inlineStr">
        <is>
          <t xml:space="preserve">a₆</t>
        </is>
      </c>
      <c r="B10" s="83" t="inlineStr">
        <is>
          <t xml:space="preserve">ρ_J</t>
        </is>
      </c>
      <c r="C10" s="62">
        <f>'Synthetic Features (k-NN)'!C32</f>
        <v>5</v>
      </c>
      <c r="D10" s="65" t="inlineStr">
        <is>
          <t xml:space="preserve">Sorted Neighbors (ρ_J)</t>
        </is>
      </c>
      <c r="E10" s="100" t="inlineStr">
        <is>
          <t xml:space="preserve">aᵤ = 1 if χ₁(Sⱼ, k) &gt; [k/2],  aᵤ = 2 if χ₂(Sⱼ, k) &gt; [k/2]</t>
        </is>
      </c>
      <c r="F10" s="100"/>
      <c r="G10" s="100"/>
      <c r="H10" s="100"/>
    </row>
    <row r="11"/>
    <row r="12">
      <c r="A12" s="58" t="inlineStr">
        <is>
          <t xml:space="preserve">χ₁(Sⱼ, k) — number of K1 objects among the k nearest neighbours (the class of Sⱼ itself is not used)</t>
        </is>
      </c>
      <c r="B12" s="58"/>
      <c r="C12" s="58"/>
      <c r="D12" s="58"/>
      <c r="E12" s="58"/>
      <c r="F12" s="58"/>
      <c r="G12" s="58"/>
      <c r="H12" s="58"/>
    </row>
    <row r="13">
      <c r="A13" s="60" t="inlineStr">
        <is>
          <t xml:space="preserve">№</t>
        </is>
      </c>
      <c r="B13" s="60" t="inlineStr">
        <is>
          <t xml:space="preserve">a₁</t>
        </is>
      </c>
      <c r="C13" s="60" t="inlineStr">
        <is>
          <t xml:space="preserve">a₂</t>
        </is>
      </c>
      <c r="D13" s="60" t="inlineStr">
        <is>
          <t xml:space="preserve">a₃</t>
        </is>
      </c>
      <c r="E13" s="60" t="inlineStr">
        <is>
          <t xml:space="preserve">a₄</t>
        </is>
      </c>
      <c r="F13" s="60" t="inlineStr">
        <is>
          <t xml:space="preserve">a₅</t>
        </is>
      </c>
      <c r="G13" s="60" t="inlineStr">
        <is>
          <t xml:space="preserve">a₆</t>
        </is>
      </c>
      <c r="H13" s="60" t="inlineStr">
        <is>
          <t xml:space="preserve">Class</t>
        </is>
      </c>
    </row>
    <row r="14">
      <c r="A14" s="64" t="inlineStr">
        <is>
          <t xml:space="preserve">S₁</t>
        </is>
      </c>
      <c r="B14" s="74">
        <f>IF(ISNUMBER('Synthetic Features (k-NN)'!$B$4),INDEX('Sorted Neighbors (ρ)'!$B$25:$J$25,'Synthetic Features (k-NN)'!$B$4),"—")</f>
        <v>0</v>
      </c>
      <c r="C14" s="74">
        <f>IF(ISNUMBER('Synthetic Features (k-NN)'!$C$4),INDEX('Sorted Neighbors (ρ)'!$B$25:$J$25,'Synthetic Features (k-NN)'!$C$4),"—")</f>
        <v>2</v>
      </c>
      <c r="D14" s="74">
        <f>IF(ISNUMBER('Synthetic Features (k-NN)'!$B$18),INDEX('Sorted Neighbors (ρ_I)'!$B$25:$J$25,'Synthetic Features (k-NN)'!$B$18),"—")</f>
        <v>2</v>
      </c>
      <c r="E14" s="74">
        <f>IF(ISNUMBER('Synthetic Features (k-NN)'!$C$18),INDEX('Sorted Neighbors (ρ_I)'!$B$25:$J$25,'Synthetic Features (k-NN)'!$C$18),"—")</f>
        <v>2</v>
      </c>
      <c r="F14" s="74">
        <f>IF(ISNUMBER('Synthetic Features (k-NN)'!$B$32),INDEX('Sorted Neighbors (ρ_J)'!$B$25:$J$25,'Synthetic Features (k-NN)'!$B$32),"—")</f>
        <v>0</v>
      </c>
      <c r="G14" s="74">
        <f>IF(ISNUMBER('Synthetic Features (k-NN)'!$C$32),INDEX('Sorted Neighbors (ρ_J)'!$B$25:$J$25,'Synthetic Features (k-NN)'!$C$32),"—")</f>
        <v>2</v>
      </c>
      <c r="H14" s="68">
        <f>Dataset!O3</f>
        <v>2</v>
      </c>
    </row>
    <row r="15">
      <c r="A15" s="64" t="inlineStr">
        <is>
          <t xml:space="preserve">S₂</t>
        </is>
      </c>
      <c r="B15" s="74">
        <f>IF(ISNUMBER('Synthetic Features (k-NN)'!$B$4),INDEX('Sorted Neighbors (ρ)'!$B$36:$J$36,'Synthetic Features (k-NN)'!$B$4),"—")</f>
        <v>0</v>
      </c>
      <c r="C15" s="74">
        <f>IF(ISNUMBER('Synthetic Features (k-NN)'!$C$4),INDEX('Sorted Neighbors (ρ)'!$B$36:$J$36,'Synthetic Features (k-NN)'!$C$4),"—")</f>
        <v>1</v>
      </c>
      <c r="D15" s="74">
        <f>IF(ISNUMBER('Synthetic Features (k-NN)'!$B$18),INDEX('Sorted Neighbors (ρ_I)'!$B$36:$J$36,'Synthetic Features (k-NN)'!$B$18),"—")</f>
        <v>1</v>
      </c>
      <c r="E15" s="74">
        <f>IF(ISNUMBER('Synthetic Features (k-NN)'!$C$18),INDEX('Sorted Neighbors (ρ_I)'!$B$36:$J$36,'Synthetic Features (k-NN)'!$C$18),"—")</f>
        <v>2</v>
      </c>
      <c r="F15" s="74">
        <f>IF(ISNUMBER('Synthetic Features (k-NN)'!$B$32),INDEX('Sorted Neighbors (ρ_J)'!$B$36:$J$36,'Synthetic Features (k-NN)'!$B$32),"—")</f>
        <v>0</v>
      </c>
      <c r="G15" s="74">
        <f>IF(ISNUMBER('Synthetic Features (k-NN)'!$C$32),INDEX('Sorted Neighbors (ρ_J)'!$B$36:$J$36,'Synthetic Features (k-NN)'!$C$32),"—")</f>
        <v>0</v>
      </c>
      <c r="H15" s="68">
        <f>Dataset!O4</f>
        <v>1</v>
      </c>
    </row>
    <row r="16">
      <c r="A16" s="64" t="inlineStr">
        <is>
          <t xml:space="preserve">S₃</t>
        </is>
      </c>
      <c r="B16" s="74">
        <f>IF(ISNUMBER('Synthetic Features (k-NN)'!$B$4),INDEX('Sorted Neighbors (ρ)'!$B$47:$J$47,'Synthetic Features (k-NN)'!$B$4),"—")</f>
        <v>2</v>
      </c>
      <c r="C16" s="74">
        <f>IF(ISNUMBER('Synthetic Features (k-NN)'!$C$4),INDEX('Sorted Neighbors (ρ)'!$B$47:$J$47,'Synthetic Features (k-NN)'!$C$4),"—")</f>
        <v>3</v>
      </c>
      <c r="D16" s="74">
        <f>IF(ISNUMBER('Synthetic Features (k-NN)'!$B$18),INDEX('Sorted Neighbors (ρ_I)'!$B$47:$J$47,'Synthetic Features (k-NN)'!$B$18),"—")</f>
        <v>1</v>
      </c>
      <c r="E16" s="74">
        <f>IF(ISNUMBER('Synthetic Features (k-NN)'!$C$18),INDEX('Sorted Neighbors (ρ_I)'!$B$47:$J$47,'Synthetic Features (k-NN)'!$C$18),"—")</f>
        <v>3</v>
      </c>
      <c r="F16" s="74">
        <f>IF(ISNUMBER('Synthetic Features (k-NN)'!$B$32),INDEX('Sorted Neighbors (ρ_J)'!$B$47:$J$47,'Synthetic Features (k-NN)'!$B$32),"—")</f>
        <v>2</v>
      </c>
      <c r="G16" s="74">
        <f>IF(ISNUMBER('Synthetic Features (k-NN)'!$C$32),INDEX('Sorted Neighbors (ρ_J)'!$B$47:$J$47,'Synthetic Features (k-NN)'!$C$32),"—")</f>
        <v>3</v>
      </c>
      <c r="H16" s="68">
        <f>Dataset!O5</f>
        <v>2</v>
      </c>
    </row>
    <row r="17">
      <c r="A17" s="64" t="inlineStr">
        <is>
          <t xml:space="preserve">S₄</t>
        </is>
      </c>
      <c r="B17" s="74">
        <f>IF(ISNUMBER('Synthetic Features (k-NN)'!$B$4),INDEX('Sorted Neighbors (ρ)'!$B$58:$J$58,'Synthetic Features (k-NN)'!$B$4),"—")</f>
        <v>1</v>
      </c>
      <c r="C17" s="74">
        <f>IF(ISNUMBER('Synthetic Features (k-NN)'!$C$4),INDEX('Sorted Neighbors (ρ)'!$B$58:$J$58,'Synthetic Features (k-NN)'!$C$4),"—")</f>
        <v>1</v>
      </c>
      <c r="D17" s="74">
        <f>IF(ISNUMBER('Synthetic Features (k-NN)'!$B$18),INDEX('Sorted Neighbors (ρ_I)'!$B$58:$J$58,'Synthetic Features (k-NN)'!$B$18),"—")</f>
        <v>2</v>
      </c>
      <c r="E17" s="74">
        <f>IF(ISNUMBER('Synthetic Features (k-NN)'!$C$18),INDEX('Sorted Neighbors (ρ_I)'!$B$58:$J$58,'Synthetic Features (k-NN)'!$C$18),"—")</f>
        <v>2</v>
      </c>
      <c r="F17" s="74">
        <f>IF(ISNUMBER('Synthetic Features (k-NN)'!$B$32),INDEX('Sorted Neighbors (ρ_J)'!$B$58:$J$58,'Synthetic Features (k-NN)'!$B$32),"—")</f>
        <v>1</v>
      </c>
      <c r="G17" s="74">
        <f>IF(ISNUMBER('Synthetic Features (k-NN)'!$C$32),INDEX('Sorted Neighbors (ρ_J)'!$B$58:$J$58,'Synthetic Features (k-NN)'!$C$32),"—")</f>
        <v>1</v>
      </c>
      <c r="H17" s="68">
        <f>Dataset!O6</f>
        <v>1</v>
      </c>
    </row>
    <row r="18">
      <c r="A18" s="64" t="inlineStr">
        <is>
          <t xml:space="preserve">S₅</t>
        </is>
      </c>
      <c r="B18" s="74">
        <f>IF(ISNUMBER('Synthetic Features (k-NN)'!$B$4),INDEX('Sorted Neighbors (ρ)'!$B$69:$J$69,'Synthetic Features (k-NN)'!$B$4),"—")</f>
        <v>1</v>
      </c>
      <c r="C18" s="74">
        <f>IF(ISNUMBER('Synthetic Features (k-NN)'!$C$4),INDEX('Sorted Neighbors (ρ)'!$B$69:$J$69,'Synthetic Features (k-NN)'!$C$4),"—")</f>
        <v>2</v>
      </c>
      <c r="D18" s="74">
        <f>IF(ISNUMBER('Synthetic Features (k-NN)'!$B$18),INDEX('Sorted Neighbors (ρ_I)'!$B$69:$J$69,'Synthetic Features (k-NN)'!$B$18),"—")</f>
        <v>2</v>
      </c>
      <c r="E18" s="74">
        <f>IF(ISNUMBER('Synthetic Features (k-NN)'!$C$18),INDEX('Sorted Neighbors (ρ_I)'!$B$69:$J$69,'Synthetic Features (k-NN)'!$C$18),"—")</f>
        <v>2</v>
      </c>
      <c r="F18" s="74">
        <f>IF(ISNUMBER('Synthetic Features (k-NN)'!$B$32),INDEX('Sorted Neighbors (ρ_J)'!$B$69:$J$69,'Synthetic Features (k-NN)'!$B$32),"—")</f>
        <v>1</v>
      </c>
      <c r="G18" s="74">
        <f>IF(ISNUMBER('Synthetic Features (k-NN)'!$C$32),INDEX('Sorted Neighbors (ρ_J)'!$B$69:$J$69,'Synthetic Features (k-NN)'!$C$32),"—")</f>
        <v>1</v>
      </c>
      <c r="H18" s="68">
        <f>Dataset!O7</f>
        <v>1</v>
      </c>
    </row>
    <row r="19">
      <c r="A19" s="64" t="inlineStr">
        <is>
          <t xml:space="preserve">S₆</t>
        </is>
      </c>
      <c r="B19" s="74">
        <f>IF(ISNUMBER('Synthetic Features (k-NN)'!$B$4),INDEX('Sorted Neighbors (ρ)'!$B$80:$J$80,'Synthetic Features (k-NN)'!$B$4),"—")</f>
        <v>1</v>
      </c>
      <c r="C19" s="74">
        <f>IF(ISNUMBER('Synthetic Features (k-NN)'!$C$4),INDEX('Sorted Neighbors (ρ)'!$B$80:$J$80,'Synthetic Features (k-NN)'!$C$4),"—")</f>
        <v>2</v>
      </c>
      <c r="D19" s="74">
        <f>IF(ISNUMBER('Synthetic Features (k-NN)'!$B$18),INDEX('Sorted Neighbors (ρ_I)'!$B$80:$J$80,'Synthetic Features (k-NN)'!$B$18),"—")</f>
        <v>0</v>
      </c>
      <c r="E19" s="74">
        <f>IF(ISNUMBER('Synthetic Features (k-NN)'!$C$18),INDEX('Sorted Neighbors (ρ_I)'!$B$80:$J$80,'Synthetic Features (k-NN)'!$C$18),"—")</f>
        <v>2</v>
      </c>
      <c r="F19" s="74">
        <f>IF(ISNUMBER('Synthetic Features (k-NN)'!$B$32),INDEX('Sorted Neighbors (ρ_J)'!$B$80:$J$80,'Synthetic Features (k-NN)'!$B$32),"—")</f>
        <v>1</v>
      </c>
      <c r="G19" s="74">
        <f>IF(ISNUMBER('Synthetic Features (k-NN)'!$C$32),INDEX('Sorted Neighbors (ρ_J)'!$B$80:$J$80,'Synthetic Features (k-NN)'!$C$32),"—")</f>
        <v>1</v>
      </c>
      <c r="H19" s="68">
        <f>Dataset!O8</f>
        <v>1</v>
      </c>
    </row>
    <row r="20">
      <c r="A20" s="64" t="inlineStr">
        <is>
          <t xml:space="preserve">S₇</t>
        </is>
      </c>
      <c r="B20" s="74">
        <f>IF(ISNUMBER('Synthetic Features (k-NN)'!$B$4),INDEX('Sorted Neighbors (ρ)'!$B$91:$J$91,'Synthetic Features (k-NN)'!$B$4),"—")</f>
        <v>1</v>
      </c>
      <c r="C20" s="74">
        <f>IF(ISNUMBER('Synthetic Features (k-NN)'!$C$4),INDEX('Sorted Neighbors (ρ)'!$B$91:$J$91,'Synthetic Features (k-NN)'!$C$4),"—")</f>
        <v>1</v>
      </c>
      <c r="D20" s="74">
        <f>IF(ISNUMBER('Synthetic Features (k-NN)'!$B$18),INDEX('Sorted Neighbors (ρ_I)'!$B$91:$J$91,'Synthetic Features (k-NN)'!$B$18),"—")</f>
        <v>1</v>
      </c>
      <c r="E20" s="74">
        <f>IF(ISNUMBER('Synthetic Features (k-NN)'!$C$18),INDEX('Sorted Neighbors (ρ_I)'!$B$91:$J$91,'Synthetic Features (k-NN)'!$C$18),"—")</f>
        <v>2</v>
      </c>
      <c r="F20" s="74">
        <f>IF(ISNUMBER('Synthetic Features (k-NN)'!$B$32),INDEX('Sorted Neighbors (ρ_J)'!$B$91:$J$91,'Synthetic Features (k-NN)'!$B$32),"—")</f>
        <v>1</v>
      </c>
      <c r="G20" s="74">
        <f>IF(ISNUMBER('Synthetic Features (k-NN)'!$C$32),INDEX('Sorted Neighbors (ρ_J)'!$B$91:$J$91,'Synthetic Features (k-NN)'!$C$32),"—")</f>
        <v>2</v>
      </c>
      <c r="H20" s="68">
        <f>Dataset!O9</f>
        <v>2</v>
      </c>
    </row>
    <row r="21">
      <c r="A21" s="64" t="inlineStr">
        <is>
          <t xml:space="preserve">S₈</t>
        </is>
      </c>
      <c r="B21" s="74">
        <f>IF(ISNUMBER('Synthetic Features (k-NN)'!$B$4),INDEX('Sorted Neighbors (ρ)'!$B$102:$J$102,'Synthetic Features (k-NN)'!$B$4),"—")</f>
        <v>1</v>
      </c>
      <c r="C21" s="74">
        <f>IF(ISNUMBER('Synthetic Features (k-NN)'!$C$4),INDEX('Sorted Neighbors (ρ)'!$B$102:$J$102,'Synthetic Features (k-NN)'!$C$4),"—")</f>
        <v>2</v>
      </c>
      <c r="D21" s="74">
        <f>IF(ISNUMBER('Synthetic Features (k-NN)'!$B$18),INDEX('Sorted Neighbors (ρ_I)'!$B$102:$J$102,'Synthetic Features (k-NN)'!$B$18),"—")</f>
        <v>1</v>
      </c>
      <c r="E21" s="74">
        <f>IF(ISNUMBER('Synthetic Features (k-NN)'!$C$18),INDEX('Sorted Neighbors (ρ_I)'!$B$102:$J$102,'Synthetic Features (k-NN)'!$C$18),"—")</f>
        <v>2</v>
      </c>
      <c r="F21" s="74">
        <f>IF(ISNUMBER('Synthetic Features (k-NN)'!$B$32),INDEX('Sorted Neighbors (ρ_J)'!$B$102:$J$102,'Synthetic Features (k-NN)'!$B$32),"—")</f>
        <v>1</v>
      </c>
      <c r="G21" s="74">
        <f>IF(ISNUMBER('Synthetic Features (k-NN)'!$C$32),INDEX('Sorted Neighbors (ρ_J)'!$B$102:$J$102,'Synthetic Features (k-NN)'!$C$32),"—")</f>
        <v>2</v>
      </c>
      <c r="H21" s="68">
        <f>Dataset!O10</f>
        <v>2</v>
      </c>
    </row>
    <row r="22">
      <c r="A22" s="64" t="inlineStr">
        <is>
          <t xml:space="preserve">S₉</t>
        </is>
      </c>
      <c r="B22" s="74">
        <f>IF(ISNUMBER('Synthetic Features (k-NN)'!$B$4),INDEX('Sorted Neighbors (ρ)'!$B$113:$J$113,'Synthetic Features (k-NN)'!$B$4),"—")</f>
        <v>0</v>
      </c>
      <c r="C22" s="74">
        <f>IF(ISNUMBER('Synthetic Features (k-NN)'!$C$4),INDEX('Sorted Neighbors (ρ)'!$B$113:$J$113,'Synthetic Features (k-NN)'!$C$4),"—")</f>
        <v>2</v>
      </c>
      <c r="D22" s="74">
        <f>IF(ISNUMBER('Synthetic Features (k-NN)'!$B$18),INDEX('Sorted Neighbors (ρ_I)'!$B$113:$J$113,'Synthetic Features (k-NN)'!$B$18),"—")</f>
        <v>0</v>
      </c>
      <c r="E22" s="74">
        <f>IF(ISNUMBER('Synthetic Features (k-NN)'!$C$18),INDEX('Sorted Neighbors (ρ_I)'!$B$113:$J$113,'Synthetic Features (k-NN)'!$C$18),"—")</f>
        <v>1</v>
      </c>
      <c r="F22" s="74">
        <f>IF(ISNUMBER('Synthetic Features (k-NN)'!$B$32),INDEX('Sorted Neighbors (ρ_J)'!$B$113:$J$113,'Synthetic Features (k-NN)'!$B$32),"—")</f>
        <v>0</v>
      </c>
      <c r="G22" s="74">
        <f>IF(ISNUMBER('Synthetic Features (k-NN)'!$C$32),INDEX('Sorted Neighbors (ρ_J)'!$B$113:$J$113,'Synthetic Features (k-NN)'!$C$32),"—")</f>
        <v>2</v>
      </c>
      <c r="H22" s="68">
        <f>Dataset!O11</f>
        <v>2</v>
      </c>
    </row>
    <row r="23">
      <c r="A23" s="64" t="inlineStr">
        <is>
          <t xml:space="preserve">S₁₀</t>
        </is>
      </c>
      <c r="B23" s="74">
        <f>IF(ISNUMBER('Synthetic Features (k-NN)'!$B$4),INDEX('Sorted Neighbors (ρ)'!$B$124:$J$124,'Synthetic Features (k-NN)'!$B$4),"—")</f>
        <v>1</v>
      </c>
      <c r="C23" s="74">
        <f>IF(ISNUMBER('Synthetic Features (k-NN)'!$C$4),INDEX('Sorted Neighbors (ρ)'!$B$124:$J$124,'Synthetic Features (k-NN)'!$C$4),"—")</f>
        <v>2</v>
      </c>
      <c r="D23" s="74">
        <f>IF(ISNUMBER('Synthetic Features (k-NN)'!$B$18),INDEX('Sorted Neighbors (ρ_I)'!$B$124:$J$124,'Synthetic Features (k-NN)'!$B$18),"—")</f>
        <v>0</v>
      </c>
      <c r="E23" s="74">
        <f>IF(ISNUMBER('Synthetic Features (k-NN)'!$C$18),INDEX('Sorted Neighbors (ρ_I)'!$B$124:$J$124,'Synthetic Features (k-NN)'!$C$18),"—")</f>
        <v>1</v>
      </c>
      <c r="F23" s="74">
        <f>IF(ISNUMBER('Synthetic Features (k-NN)'!$B$32),INDEX('Sorted Neighbors (ρ_J)'!$B$124:$J$124,'Synthetic Features (k-NN)'!$B$32),"—")</f>
        <v>1</v>
      </c>
      <c r="G23" s="74">
        <f>IF(ISNUMBER('Synthetic Features (k-NN)'!$C$32),INDEX('Sorted Neighbors (ρ_J)'!$B$124:$J$124,'Synthetic Features (k-NN)'!$C$32),"—")</f>
        <v>2</v>
      </c>
      <c r="H23" s="68">
        <f>Dataset!O12</f>
        <v>2</v>
      </c>
    </row>
    <row r="24"/>
    <row r="25">
      <c r="A25" s="58" t="inlineStr">
        <is>
          <t xml:space="preserve">χ₂(Sⱼ, k) = k − χ₁(Sⱼ, k) — number of K2 objects among the k nearest neighbours</t>
        </is>
      </c>
      <c r="B25" s="58"/>
      <c r="C25" s="58"/>
      <c r="D25" s="58"/>
      <c r="E25" s="58"/>
      <c r="F25" s="58"/>
      <c r="G25" s="58"/>
      <c r="H25" s="58"/>
    </row>
    <row r="26">
      <c r="A26" s="60" t="inlineStr">
        <is>
          <t xml:space="preserve">№</t>
        </is>
      </c>
      <c r="B26" s="60" t="inlineStr">
        <is>
          <t xml:space="preserve">a₁</t>
        </is>
      </c>
      <c r="C26" s="60" t="inlineStr">
        <is>
          <t xml:space="preserve">a₂</t>
        </is>
      </c>
      <c r="D26" s="60" t="inlineStr">
        <is>
          <t xml:space="preserve">a₃</t>
        </is>
      </c>
      <c r="E26" s="60" t="inlineStr">
        <is>
          <t xml:space="preserve">a₄</t>
        </is>
      </c>
      <c r="F26" s="60" t="inlineStr">
        <is>
          <t xml:space="preserve">a₅</t>
        </is>
      </c>
      <c r="G26" s="60" t="inlineStr">
        <is>
          <t xml:space="preserve">a₆</t>
        </is>
      </c>
      <c r="H26" s="60" t="inlineStr">
        <is>
          <t xml:space="preserve">Class</t>
        </is>
      </c>
    </row>
    <row r="27">
      <c r="A27" s="64" t="inlineStr">
        <is>
          <t xml:space="preserve">S₁</t>
        </is>
      </c>
      <c r="B27" s="74">
        <f>IF(ISNUMBER(B14),'Synthetic Features (k-NN)'!$B$4-B14,"—")</f>
        <v>3</v>
      </c>
      <c r="C27" s="74">
        <f>IF(ISNUMBER(C14),'Synthetic Features (k-NN)'!$C$4-C14,"—")</f>
        <v>3</v>
      </c>
      <c r="D27" s="74">
        <f>IF(ISNUMBER(D14),'Synthetic Features (k-NN)'!$B$18-D14,"—")</f>
        <v>1</v>
      </c>
      <c r="E27" s="74">
        <f>IF(ISNUMBER(E14),'Synthetic Features (k-NN)'!$C$18-E14,"—")</f>
        <v>3</v>
      </c>
      <c r="F27" s="74">
        <f>IF(ISNUMBER(F14),'Synthetic Features (k-NN)'!$B$32-F14,"—")</f>
        <v>3</v>
      </c>
      <c r="G27" s="74">
        <f>IF(ISNUMBER(G14),'Synthetic Features (k-NN)'!$C$32-G14,"—")</f>
        <v>3</v>
      </c>
      <c r="H27" s="68">
        <f>Dataset!O3</f>
        <v>2</v>
      </c>
    </row>
    <row r="28">
      <c r="A28" s="64" t="inlineStr">
        <is>
          <t xml:space="preserve">S₂</t>
        </is>
      </c>
      <c r="B28" s="74">
        <f>IF(ISNUMBER(B15),'Synthetic Features (k-NN)'!$B$4-B15,"—")</f>
        <v>3</v>
      </c>
      <c r="C28" s="74">
        <f>IF(ISNUMBER(C15),'Synthetic Features (k-NN)'!$C$4-C15,"—")</f>
        <v>4</v>
      </c>
      <c r="D28" s="74">
        <f>IF(ISNUMBER(D15),'Synthetic Features (k-NN)'!$B$18-D15,"—")</f>
        <v>2</v>
      </c>
      <c r="E28" s="74">
        <f>IF(ISNUMBER(E15),'Synthetic Features (k-NN)'!$C$18-E15,"—")</f>
        <v>3</v>
      </c>
      <c r="F28" s="74">
        <f>IF(ISNUMBER(F15),'Synthetic Features (k-NN)'!$B$32-F15,"—")</f>
        <v>3</v>
      </c>
      <c r="G28" s="74">
        <f>IF(ISNUMBER(G15),'Synthetic Features (k-NN)'!$C$32-G15,"—")</f>
        <v>5</v>
      </c>
      <c r="H28" s="68">
        <f>Dataset!O4</f>
        <v>1</v>
      </c>
    </row>
    <row r="29">
      <c r="A29" s="64" t="inlineStr">
        <is>
          <t xml:space="preserve">S₃</t>
        </is>
      </c>
      <c r="B29" s="74">
        <f>IF(ISNUMBER(B16),'Synthetic Features (k-NN)'!$B$4-B16,"—")</f>
        <v>1</v>
      </c>
      <c r="C29" s="74">
        <f>IF(ISNUMBER(C16),'Synthetic Features (k-NN)'!$C$4-C16,"—")</f>
        <v>2</v>
      </c>
      <c r="D29" s="74">
        <f>IF(ISNUMBER(D16),'Synthetic Features (k-NN)'!$B$18-D16,"—")</f>
        <v>2</v>
      </c>
      <c r="E29" s="74">
        <f>IF(ISNUMBER(E16),'Synthetic Features (k-NN)'!$C$18-E16,"—")</f>
        <v>2</v>
      </c>
      <c r="F29" s="74">
        <f>IF(ISNUMBER(F16),'Synthetic Features (k-NN)'!$B$32-F16,"—")</f>
        <v>1</v>
      </c>
      <c r="G29" s="74">
        <f>IF(ISNUMBER(G16),'Synthetic Features (k-NN)'!$C$32-G16,"—")</f>
        <v>2</v>
      </c>
      <c r="H29" s="68">
        <f>Dataset!O5</f>
        <v>2</v>
      </c>
    </row>
    <row r="30">
      <c r="A30" s="64" t="inlineStr">
        <is>
          <t xml:space="preserve">S₄</t>
        </is>
      </c>
      <c r="B30" s="74">
        <f>IF(ISNUMBER(B17),'Synthetic Features (k-NN)'!$B$4-B17,"—")</f>
        <v>2</v>
      </c>
      <c r="C30" s="74">
        <f>IF(ISNUMBER(C17),'Synthetic Features (k-NN)'!$C$4-C17,"—")</f>
        <v>4</v>
      </c>
      <c r="D30" s="74">
        <f>IF(ISNUMBER(D17),'Synthetic Features (k-NN)'!$B$18-D17,"—")</f>
        <v>1</v>
      </c>
      <c r="E30" s="74">
        <f>IF(ISNUMBER(E17),'Synthetic Features (k-NN)'!$C$18-E17,"—")</f>
        <v>3</v>
      </c>
      <c r="F30" s="74">
        <f>IF(ISNUMBER(F17),'Synthetic Features (k-NN)'!$B$32-F17,"—")</f>
        <v>2</v>
      </c>
      <c r="G30" s="74">
        <f>IF(ISNUMBER(G17),'Synthetic Features (k-NN)'!$C$32-G17,"—")</f>
        <v>4</v>
      </c>
      <c r="H30" s="68">
        <f>Dataset!O6</f>
        <v>1</v>
      </c>
    </row>
    <row r="31">
      <c r="A31" s="64" t="inlineStr">
        <is>
          <t xml:space="preserve">S₅</t>
        </is>
      </c>
      <c r="B31" s="74">
        <f>IF(ISNUMBER(B18),'Synthetic Features (k-NN)'!$B$4-B18,"—")</f>
        <v>2</v>
      </c>
      <c r="C31" s="74">
        <f>IF(ISNUMBER(C18),'Synthetic Features (k-NN)'!$C$4-C18,"—")</f>
        <v>3</v>
      </c>
      <c r="D31" s="74">
        <f>IF(ISNUMBER(D18),'Synthetic Features (k-NN)'!$B$18-D18,"—")</f>
        <v>1</v>
      </c>
      <c r="E31" s="74">
        <f>IF(ISNUMBER(E18),'Synthetic Features (k-NN)'!$C$18-E18,"—")</f>
        <v>3</v>
      </c>
      <c r="F31" s="74">
        <f>IF(ISNUMBER(F18),'Synthetic Features (k-NN)'!$B$32-F18,"—")</f>
        <v>2</v>
      </c>
      <c r="G31" s="74">
        <f>IF(ISNUMBER(G18),'Synthetic Features (k-NN)'!$C$32-G18,"—")</f>
        <v>4</v>
      </c>
      <c r="H31" s="68">
        <f>Dataset!O7</f>
        <v>1</v>
      </c>
    </row>
    <row r="32">
      <c r="A32" s="64" t="inlineStr">
        <is>
          <t xml:space="preserve">S₆</t>
        </is>
      </c>
      <c r="B32" s="74">
        <f>IF(ISNUMBER(B19),'Synthetic Features (k-NN)'!$B$4-B19,"—")</f>
        <v>2</v>
      </c>
      <c r="C32" s="74">
        <f>IF(ISNUMBER(C19),'Synthetic Features (k-NN)'!$C$4-C19,"—")</f>
        <v>3</v>
      </c>
      <c r="D32" s="74">
        <f>IF(ISNUMBER(D19),'Synthetic Features (k-NN)'!$B$18-D19,"—")</f>
        <v>3</v>
      </c>
      <c r="E32" s="74">
        <f>IF(ISNUMBER(E19),'Synthetic Features (k-NN)'!$C$18-E19,"—")</f>
        <v>3</v>
      </c>
      <c r="F32" s="74">
        <f>IF(ISNUMBER(F19),'Synthetic Features (k-NN)'!$B$32-F19,"—")</f>
        <v>2</v>
      </c>
      <c r="G32" s="74">
        <f>IF(ISNUMBER(G19),'Synthetic Features (k-NN)'!$C$32-G19,"—")</f>
        <v>4</v>
      </c>
      <c r="H32" s="68">
        <f>Dataset!O8</f>
        <v>1</v>
      </c>
    </row>
    <row r="33">
      <c r="A33" s="64" t="inlineStr">
        <is>
          <t xml:space="preserve">S₇</t>
        </is>
      </c>
      <c r="B33" s="74">
        <f>IF(ISNUMBER(B20),'Synthetic Features (k-NN)'!$B$4-B20,"—")</f>
        <v>2</v>
      </c>
      <c r="C33" s="74">
        <f>IF(ISNUMBER(C20),'Synthetic Features (k-NN)'!$C$4-C20,"—")</f>
        <v>4</v>
      </c>
      <c r="D33" s="74">
        <f>IF(ISNUMBER(D20),'Synthetic Features (k-NN)'!$B$18-D20,"—")</f>
        <v>2</v>
      </c>
      <c r="E33" s="74">
        <f>IF(ISNUMBER(E20),'Synthetic Features (k-NN)'!$C$18-E20,"—")</f>
        <v>3</v>
      </c>
      <c r="F33" s="74">
        <f>IF(ISNUMBER(F20),'Synthetic Features (k-NN)'!$B$32-F20,"—")</f>
        <v>2</v>
      </c>
      <c r="G33" s="74">
        <f>IF(ISNUMBER(G20),'Synthetic Features (k-NN)'!$C$32-G20,"—")</f>
        <v>3</v>
      </c>
      <c r="H33" s="68">
        <f>Dataset!O9</f>
        <v>2</v>
      </c>
    </row>
    <row r="34">
      <c r="A34" s="64" t="inlineStr">
        <is>
          <t xml:space="preserve">S₈</t>
        </is>
      </c>
      <c r="B34" s="74">
        <f>IF(ISNUMBER(B21),'Synthetic Features (k-NN)'!$B$4-B21,"—")</f>
        <v>2</v>
      </c>
      <c r="C34" s="74">
        <f>IF(ISNUMBER(C21),'Synthetic Features (k-NN)'!$C$4-C21,"—")</f>
        <v>3</v>
      </c>
      <c r="D34" s="74">
        <f>IF(ISNUMBER(D21),'Synthetic Features (k-NN)'!$B$18-D21,"—")</f>
        <v>2</v>
      </c>
      <c r="E34" s="74">
        <f>IF(ISNUMBER(E21),'Synthetic Features (k-NN)'!$C$18-E21,"—")</f>
        <v>3</v>
      </c>
      <c r="F34" s="74">
        <f>IF(ISNUMBER(F21),'Synthetic Features (k-NN)'!$B$32-F21,"—")</f>
        <v>2</v>
      </c>
      <c r="G34" s="74">
        <f>IF(ISNUMBER(G21),'Synthetic Features (k-NN)'!$C$32-G21,"—")</f>
        <v>3</v>
      </c>
      <c r="H34" s="68">
        <f>Dataset!O10</f>
        <v>2</v>
      </c>
    </row>
    <row r="35">
      <c r="A35" s="64" t="inlineStr">
        <is>
          <t xml:space="preserve">S₉</t>
        </is>
      </c>
      <c r="B35" s="74">
        <f>IF(ISNUMBER(B22),'Synthetic Features (k-NN)'!$B$4-B22,"—")</f>
        <v>3</v>
      </c>
      <c r="C35" s="74">
        <f>IF(ISNUMBER(C22),'Synthetic Features (k-NN)'!$C$4-C22,"—")</f>
        <v>3</v>
      </c>
      <c r="D35" s="74">
        <f>IF(ISNUMBER(D22),'Synthetic Features (k-NN)'!$B$18-D22,"—")</f>
        <v>3</v>
      </c>
      <c r="E35" s="74">
        <f>IF(ISNUMBER(E22),'Synthetic Features (k-NN)'!$C$18-E22,"—")</f>
        <v>4</v>
      </c>
      <c r="F35" s="74">
        <f>IF(ISNUMBER(F22),'Synthetic Features (k-NN)'!$B$32-F22,"—")</f>
        <v>3</v>
      </c>
      <c r="G35" s="74">
        <f>IF(ISNUMBER(G22),'Synthetic Features (k-NN)'!$C$32-G22,"—")</f>
        <v>3</v>
      </c>
      <c r="H35" s="68">
        <f>Dataset!O11</f>
        <v>2</v>
      </c>
    </row>
    <row r="36">
      <c r="A36" s="64" t="inlineStr">
        <is>
          <t xml:space="preserve">S₁₀</t>
        </is>
      </c>
      <c r="B36" s="74">
        <f>IF(ISNUMBER(B23),'Synthetic Features (k-NN)'!$B$4-B23,"—")</f>
        <v>2</v>
      </c>
      <c r="C36" s="74">
        <f>IF(ISNUMBER(C23),'Synthetic Features (k-NN)'!$C$4-C23,"—")</f>
        <v>3</v>
      </c>
      <c r="D36" s="74">
        <f>IF(ISNUMBER(D23),'Synthetic Features (k-NN)'!$B$18-D23,"—")</f>
        <v>3</v>
      </c>
      <c r="E36" s="74">
        <f>IF(ISNUMBER(E23),'Synthetic Features (k-NN)'!$C$18-E23,"—")</f>
        <v>4</v>
      </c>
      <c r="F36" s="74">
        <f>IF(ISNUMBER(F23),'Synthetic Features (k-NN)'!$B$32-F23,"—")</f>
        <v>2</v>
      </c>
      <c r="G36" s="74">
        <f>IF(ISNUMBER(G23),'Synthetic Features (k-NN)'!$C$32-G23,"—")</f>
        <v>3</v>
      </c>
      <c r="H36" s="68">
        <f>Dataset!O12</f>
        <v>2</v>
      </c>
    </row>
    <row r="37"/>
    <row r="38">
      <c r="A38" s="58" t="inlineStr">
        <is>
          <t xml:space="preserve">Ψ(r) · synthetic features aᵤ(Sⱼ) ∈ {1, 2} by formula (5)</t>
        </is>
      </c>
      <c r="B38" s="58"/>
      <c r="C38" s="58"/>
      <c r="D38" s="58"/>
      <c r="E38" s="58"/>
      <c r="F38" s="58"/>
      <c r="G38" s="58"/>
      <c r="H38" s="58"/>
    </row>
    <row r="39">
      <c r="A39" s="60" t="inlineStr">
        <is>
          <t xml:space="preserve">№</t>
        </is>
      </c>
      <c r="B39" s="60" t="inlineStr">
        <is>
          <t xml:space="preserve">a₁</t>
        </is>
      </c>
      <c r="C39" s="60" t="inlineStr">
        <is>
          <t xml:space="preserve">a₂</t>
        </is>
      </c>
      <c r="D39" s="60" t="inlineStr">
        <is>
          <t xml:space="preserve">a₃</t>
        </is>
      </c>
      <c r="E39" s="60" t="inlineStr">
        <is>
          <t xml:space="preserve">a₄</t>
        </is>
      </c>
      <c r="F39" s="60" t="inlineStr">
        <is>
          <t xml:space="preserve">a₅</t>
        </is>
      </c>
      <c r="G39" s="60" t="inlineStr">
        <is>
          <t xml:space="preserve">a₆</t>
        </is>
      </c>
      <c r="H39" s="60" t="inlineStr">
        <is>
          <t xml:space="preserve">Class</t>
        </is>
      </c>
    </row>
    <row r="40">
      <c r="A40" s="64" t="inlineStr">
        <is>
          <t xml:space="preserve">S₁</t>
        </is>
      </c>
      <c r="B40" s="80">
        <f>IF(ISNUMBER(B14),IF(B14&gt;INT('Synthetic Features (k-NN)'!$B$4/2),1,IF(B27&gt;INT('Synthetic Features (k-NN)'!$B$4/2),2,"—")),"—")</f>
        <v>2</v>
      </c>
      <c r="C40" s="80">
        <f>IF(ISNUMBER(C14),IF(C14&gt;INT('Synthetic Features (k-NN)'!$C$4/2),1,IF(C27&gt;INT('Synthetic Features (k-NN)'!$C$4/2),2,"—")),"—")</f>
        <v>2</v>
      </c>
      <c r="D40" s="80">
        <f>IF(ISNUMBER(D14),IF(D14&gt;INT('Synthetic Features (k-NN)'!$B$18/2),1,IF(D27&gt;INT('Synthetic Features (k-NN)'!$B$18/2),2,"—")),"—")</f>
        <v>1</v>
      </c>
      <c r="E40" s="80">
        <f>IF(ISNUMBER(E14),IF(E14&gt;INT('Synthetic Features (k-NN)'!$C$18/2),1,IF(E27&gt;INT('Synthetic Features (k-NN)'!$C$18/2),2,"—")),"—")</f>
        <v>2</v>
      </c>
      <c r="F40" s="80">
        <f>IF(ISNUMBER(F14),IF(F14&gt;INT('Synthetic Features (k-NN)'!$B$32/2),1,IF(F27&gt;INT('Synthetic Features (k-NN)'!$B$32/2),2,"—")),"—")</f>
        <v>2</v>
      </c>
      <c r="G40" s="80">
        <f>IF(ISNUMBER(G14),IF(G14&gt;INT('Synthetic Features (k-NN)'!$C$32/2),1,IF(G27&gt;INT('Synthetic Features (k-NN)'!$C$32/2),2,"—")),"—")</f>
        <v>2</v>
      </c>
      <c r="H40" s="68">
        <f>Dataset!O3</f>
        <v>2</v>
      </c>
    </row>
    <row r="41">
      <c r="A41" s="64" t="inlineStr">
        <is>
          <t xml:space="preserve">S₂</t>
        </is>
      </c>
      <c r="B41" s="80">
        <f>IF(ISNUMBER(B15),IF(B15&gt;INT('Synthetic Features (k-NN)'!$B$4/2),1,IF(B28&gt;INT('Synthetic Features (k-NN)'!$B$4/2),2,"—")),"—")</f>
        <v>2</v>
      </c>
      <c r="C41" s="80">
        <f>IF(ISNUMBER(C15),IF(C15&gt;INT('Synthetic Features (k-NN)'!$C$4/2),1,IF(C28&gt;INT('Synthetic Features (k-NN)'!$C$4/2),2,"—")),"—")</f>
        <v>2</v>
      </c>
      <c r="D41" s="80">
        <f>IF(ISNUMBER(D15),IF(D15&gt;INT('Synthetic Features (k-NN)'!$B$18/2),1,IF(D28&gt;INT('Synthetic Features (k-NN)'!$B$18/2),2,"—")),"—")</f>
        <v>2</v>
      </c>
      <c r="E41" s="80">
        <f>IF(ISNUMBER(E15),IF(E15&gt;INT('Synthetic Features (k-NN)'!$C$18/2),1,IF(E28&gt;INT('Synthetic Features (k-NN)'!$C$18/2),2,"—")),"—")</f>
        <v>2</v>
      </c>
      <c r="F41" s="80">
        <f>IF(ISNUMBER(F15),IF(F15&gt;INT('Synthetic Features (k-NN)'!$B$32/2),1,IF(F28&gt;INT('Synthetic Features (k-NN)'!$B$32/2),2,"—")),"—")</f>
        <v>2</v>
      </c>
      <c r="G41" s="80">
        <f>IF(ISNUMBER(G15),IF(G15&gt;INT('Synthetic Features (k-NN)'!$C$32/2),1,IF(G28&gt;INT('Synthetic Features (k-NN)'!$C$32/2),2,"—")),"—")</f>
        <v>2</v>
      </c>
      <c r="H41" s="68">
        <f>Dataset!O4</f>
        <v>1</v>
      </c>
    </row>
    <row r="42">
      <c r="A42" s="64" t="inlineStr">
        <is>
          <t xml:space="preserve">S₃</t>
        </is>
      </c>
      <c r="B42" s="80">
        <f>IF(ISNUMBER(B16),IF(B16&gt;INT('Synthetic Features (k-NN)'!$B$4/2),1,IF(B29&gt;INT('Synthetic Features (k-NN)'!$B$4/2),2,"—")),"—")</f>
        <v>1</v>
      </c>
      <c r="C42" s="80">
        <f>IF(ISNUMBER(C16),IF(C16&gt;INT('Synthetic Features (k-NN)'!$C$4/2),1,IF(C29&gt;INT('Synthetic Features (k-NN)'!$C$4/2),2,"—")),"—")</f>
        <v>1</v>
      </c>
      <c r="D42" s="80">
        <f>IF(ISNUMBER(D16),IF(D16&gt;INT('Synthetic Features (k-NN)'!$B$18/2),1,IF(D29&gt;INT('Synthetic Features (k-NN)'!$B$18/2),2,"—")),"—")</f>
        <v>2</v>
      </c>
      <c r="E42" s="80">
        <f>IF(ISNUMBER(E16),IF(E16&gt;INT('Synthetic Features (k-NN)'!$C$18/2),1,IF(E29&gt;INT('Synthetic Features (k-NN)'!$C$18/2),2,"—")),"—")</f>
        <v>1</v>
      </c>
      <c r="F42" s="80">
        <f>IF(ISNUMBER(F16),IF(F16&gt;INT('Synthetic Features (k-NN)'!$B$32/2),1,IF(F29&gt;INT('Synthetic Features (k-NN)'!$B$32/2),2,"—")),"—")</f>
        <v>1</v>
      </c>
      <c r="G42" s="80">
        <f>IF(ISNUMBER(G16),IF(G16&gt;INT('Synthetic Features (k-NN)'!$C$32/2),1,IF(G29&gt;INT('Synthetic Features (k-NN)'!$C$32/2),2,"—")),"—")</f>
        <v>1</v>
      </c>
      <c r="H42" s="68">
        <f>Dataset!O5</f>
        <v>2</v>
      </c>
    </row>
    <row r="43">
      <c r="A43" s="64" t="inlineStr">
        <is>
          <t xml:space="preserve">S₄</t>
        </is>
      </c>
      <c r="B43" s="80">
        <f>IF(ISNUMBER(B17),IF(B17&gt;INT('Synthetic Features (k-NN)'!$B$4/2),1,IF(B30&gt;INT('Synthetic Features (k-NN)'!$B$4/2),2,"—")),"—")</f>
        <v>2</v>
      </c>
      <c r="C43" s="80">
        <f>IF(ISNUMBER(C17),IF(C17&gt;INT('Synthetic Features (k-NN)'!$C$4/2),1,IF(C30&gt;INT('Synthetic Features (k-NN)'!$C$4/2),2,"—")),"—")</f>
        <v>2</v>
      </c>
      <c r="D43" s="80">
        <f>IF(ISNUMBER(D17),IF(D17&gt;INT('Synthetic Features (k-NN)'!$B$18/2),1,IF(D30&gt;INT('Synthetic Features (k-NN)'!$B$18/2),2,"—")),"—")</f>
        <v>1</v>
      </c>
      <c r="E43" s="80">
        <f>IF(ISNUMBER(E17),IF(E17&gt;INT('Synthetic Features (k-NN)'!$C$18/2),1,IF(E30&gt;INT('Synthetic Features (k-NN)'!$C$18/2),2,"—")),"—")</f>
        <v>2</v>
      </c>
      <c r="F43" s="80">
        <f>IF(ISNUMBER(F17),IF(F17&gt;INT('Synthetic Features (k-NN)'!$B$32/2),1,IF(F30&gt;INT('Synthetic Features (k-NN)'!$B$32/2),2,"—")),"—")</f>
        <v>2</v>
      </c>
      <c r="G43" s="80">
        <f>IF(ISNUMBER(G17),IF(G17&gt;INT('Synthetic Features (k-NN)'!$C$32/2),1,IF(G30&gt;INT('Synthetic Features (k-NN)'!$C$32/2),2,"—")),"—")</f>
        <v>2</v>
      </c>
      <c r="H43" s="68">
        <f>Dataset!O6</f>
        <v>1</v>
      </c>
    </row>
    <row r="44">
      <c r="A44" s="64" t="inlineStr">
        <is>
          <t xml:space="preserve">S₅</t>
        </is>
      </c>
      <c r="B44" s="80">
        <f>IF(ISNUMBER(B18),IF(B18&gt;INT('Synthetic Features (k-NN)'!$B$4/2),1,IF(B31&gt;INT('Synthetic Features (k-NN)'!$B$4/2),2,"—")),"—")</f>
        <v>2</v>
      </c>
      <c r="C44" s="80">
        <f>IF(ISNUMBER(C18),IF(C18&gt;INT('Synthetic Features (k-NN)'!$C$4/2),1,IF(C31&gt;INT('Synthetic Features (k-NN)'!$C$4/2),2,"—")),"—")</f>
        <v>2</v>
      </c>
      <c r="D44" s="80">
        <f>IF(ISNUMBER(D18),IF(D18&gt;INT('Synthetic Features (k-NN)'!$B$18/2),1,IF(D31&gt;INT('Synthetic Features (k-NN)'!$B$18/2),2,"—")),"—")</f>
        <v>1</v>
      </c>
      <c r="E44" s="80">
        <f>IF(ISNUMBER(E18),IF(E18&gt;INT('Synthetic Features (k-NN)'!$C$18/2),1,IF(E31&gt;INT('Synthetic Features (k-NN)'!$C$18/2),2,"—")),"—")</f>
        <v>2</v>
      </c>
      <c r="F44" s="80">
        <f>IF(ISNUMBER(F18),IF(F18&gt;INT('Synthetic Features (k-NN)'!$B$32/2),1,IF(F31&gt;INT('Synthetic Features (k-NN)'!$B$32/2),2,"—")),"—")</f>
        <v>2</v>
      </c>
      <c r="G44" s="80">
        <f>IF(ISNUMBER(G18),IF(G18&gt;INT('Synthetic Features (k-NN)'!$C$32/2),1,IF(G31&gt;INT('Synthetic Features (k-NN)'!$C$32/2),2,"—")),"—")</f>
        <v>2</v>
      </c>
      <c r="H44" s="68">
        <f>Dataset!O7</f>
        <v>1</v>
      </c>
    </row>
    <row r="45">
      <c r="A45" s="64" t="inlineStr">
        <is>
          <t xml:space="preserve">S₆</t>
        </is>
      </c>
      <c r="B45" s="80">
        <f>IF(ISNUMBER(B19),IF(B19&gt;INT('Synthetic Features (k-NN)'!$B$4/2),1,IF(B32&gt;INT('Synthetic Features (k-NN)'!$B$4/2),2,"—")),"—")</f>
        <v>2</v>
      </c>
      <c r="C45" s="80">
        <f>IF(ISNUMBER(C19),IF(C19&gt;INT('Synthetic Features (k-NN)'!$C$4/2),1,IF(C32&gt;INT('Synthetic Features (k-NN)'!$C$4/2),2,"—")),"—")</f>
        <v>2</v>
      </c>
      <c r="D45" s="80">
        <f>IF(ISNUMBER(D19),IF(D19&gt;INT('Synthetic Features (k-NN)'!$B$18/2),1,IF(D32&gt;INT('Synthetic Features (k-NN)'!$B$18/2),2,"—")),"—")</f>
        <v>2</v>
      </c>
      <c r="E45" s="80">
        <f>IF(ISNUMBER(E19),IF(E19&gt;INT('Synthetic Features (k-NN)'!$C$18/2),1,IF(E32&gt;INT('Synthetic Features (k-NN)'!$C$18/2),2,"—")),"—")</f>
        <v>2</v>
      </c>
      <c r="F45" s="80">
        <f>IF(ISNUMBER(F19),IF(F19&gt;INT('Synthetic Features (k-NN)'!$B$32/2),1,IF(F32&gt;INT('Synthetic Features (k-NN)'!$B$32/2),2,"—")),"—")</f>
        <v>2</v>
      </c>
      <c r="G45" s="80">
        <f>IF(ISNUMBER(G19),IF(G19&gt;INT('Synthetic Features (k-NN)'!$C$32/2),1,IF(G32&gt;INT('Synthetic Features (k-NN)'!$C$32/2),2,"—")),"—")</f>
        <v>2</v>
      </c>
      <c r="H45" s="68">
        <f>Dataset!O8</f>
        <v>1</v>
      </c>
    </row>
    <row r="46">
      <c r="A46" s="64" t="inlineStr">
        <is>
          <t xml:space="preserve">S₇</t>
        </is>
      </c>
      <c r="B46" s="80">
        <f>IF(ISNUMBER(B20),IF(B20&gt;INT('Synthetic Features (k-NN)'!$B$4/2),1,IF(B33&gt;INT('Synthetic Features (k-NN)'!$B$4/2),2,"—")),"—")</f>
        <v>2</v>
      </c>
      <c r="C46" s="80">
        <f>IF(ISNUMBER(C20),IF(C20&gt;INT('Synthetic Features (k-NN)'!$C$4/2),1,IF(C33&gt;INT('Synthetic Features (k-NN)'!$C$4/2),2,"—")),"—")</f>
        <v>2</v>
      </c>
      <c r="D46" s="80">
        <f>IF(ISNUMBER(D20),IF(D20&gt;INT('Synthetic Features (k-NN)'!$B$18/2),1,IF(D33&gt;INT('Synthetic Features (k-NN)'!$B$18/2),2,"—")),"—")</f>
        <v>2</v>
      </c>
      <c r="E46" s="80">
        <f>IF(ISNUMBER(E20),IF(E20&gt;INT('Synthetic Features (k-NN)'!$C$18/2),1,IF(E33&gt;INT('Synthetic Features (k-NN)'!$C$18/2),2,"—")),"—")</f>
        <v>2</v>
      </c>
      <c r="F46" s="80">
        <f>IF(ISNUMBER(F20),IF(F20&gt;INT('Synthetic Features (k-NN)'!$B$32/2),1,IF(F33&gt;INT('Synthetic Features (k-NN)'!$B$32/2),2,"—")),"—")</f>
        <v>2</v>
      </c>
      <c r="G46" s="80">
        <f>IF(ISNUMBER(G20),IF(G20&gt;INT('Synthetic Features (k-NN)'!$C$32/2),1,IF(G33&gt;INT('Synthetic Features (k-NN)'!$C$32/2),2,"—")),"—")</f>
        <v>2</v>
      </c>
      <c r="H46" s="68">
        <f>Dataset!O9</f>
        <v>2</v>
      </c>
    </row>
    <row r="47">
      <c r="A47" s="64" t="inlineStr">
        <is>
          <t xml:space="preserve">S₈</t>
        </is>
      </c>
      <c r="B47" s="80">
        <f>IF(ISNUMBER(B21),IF(B21&gt;INT('Synthetic Features (k-NN)'!$B$4/2),1,IF(B34&gt;INT('Synthetic Features (k-NN)'!$B$4/2),2,"—")),"—")</f>
        <v>2</v>
      </c>
      <c r="C47" s="80">
        <f>IF(ISNUMBER(C21),IF(C21&gt;INT('Synthetic Features (k-NN)'!$C$4/2),1,IF(C34&gt;INT('Synthetic Features (k-NN)'!$C$4/2),2,"—")),"—")</f>
        <v>2</v>
      </c>
      <c r="D47" s="80">
        <f>IF(ISNUMBER(D21),IF(D21&gt;INT('Synthetic Features (k-NN)'!$B$18/2),1,IF(D34&gt;INT('Synthetic Features (k-NN)'!$B$18/2),2,"—")),"—")</f>
        <v>2</v>
      </c>
      <c r="E47" s="80">
        <f>IF(ISNUMBER(E21),IF(E21&gt;INT('Synthetic Features (k-NN)'!$C$18/2),1,IF(E34&gt;INT('Synthetic Features (k-NN)'!$C$18/2),2,"—")),"—")</f>
        <v>2</v>
      </c>
      <c r="F47" s="80">
        <f>IF(ISNUMBER(F21),IF(F21&gt;INT('Synthetic Features (k-NN)'!$B$32/2),1,IF(F34&gt;INT('Synthetic Features (k-NN)'!$B$32/2),2,"—")),"—")</f>
        <v>2</v>
      </c>
      <c r="G47" s="80">
        <f>IF(ISNUMBER(G21),IF(G21&gt;INT('Synthetic Features (k-NN)'!$C$32/2),1,IF(G34&gt;INT('Synthetic Features (k-NN)'!$C$32/2),2,"—")),"—")</f>
        <v>2</v>
      </c>
      <c r="H47" s="68">
        <f>Dataset!O10</f>
        <v>2</v>
      </c>
    </row>
    <row r="48">
      <c r="A48" s="64" t="inlineStr">
        <is>
          <t xml:space="preserve">S₉</t>
        </is>
      </c>
      <c r="B48" s="80">
        <f>IF(ISNUMBER(B22),IF(B22&gt;INT('Synthetic Features (k-NN)'!$B$4/2),1,IF(B35&gt;INT('Synthetic Features (k-NN)'!$B$4/2),2,"—")),"—")</f>
        <v>2</v>
      </c>
      <c r="C48" s="80">
        <f>IF(ISNUMBER(C22),IF(C22&gt;INT('Synthetic Features (k-NN)'!$C$4/2),1,IF(C35&gt;INT('Synthetic Features (k-NN)'!$C$4/2),2,"—")),"—")</f>
        <v>2</v>
      </c>
      <c r="D48" s="80">
        <f>IF(ISNUMBER(D22),IF(D22&gt;INT('Synthetic Features (k-NN)'!$B$18/2),1,IF(D35&gt;INT('Synthetic Features (k-NN)'!$B$18/2),2,"—")),"—")</f>
        <v>2</v>
      </c>
      <c r="E48" s="80">
        <f>IF(ISNUMBER(E22),IF(E22&gt;INT('Synthetic Features (k-NN)'!$C$18/2),1,IF(E35&gt;INT('Synthetic Features (k-NN)'!$C$18/2),2,"—")),"—")</f>
        <v>2</v>
      </c>
      <c r="F48" s="80">
        <f>IF(ISNUMBER(F22),IF(F22&gt;INT('Synthetic Features (k-NN)'!$B$32/2),1,IF(F35&gt;INT('Synthetic Features (k-NN)'!$B$32/2),2,"—")),"—")</f>
        <v>2</v>
      </c>
      <c r="G48" s="80">
        <f>IF(ISNUMBER(G22),IF(G22&gt;INT('Synthetic Features (k-NN)'!$C$32/2),1,IF(G35&gt;INT('Synthetic Features (k-NN)'!$C$32/2),2,"—")),"—")</f>
        <v>2</v>
      </c>
      <c r="H48" s="68">
        <f>Dataset!O11</f>
        <v>2</v>
      </c>
    </row>
    <row r="49">
      <c r="A49" s="64" t="inlineStr">
        <is>
          <t xml:space="preserve">S₁₀</t>
        </is>
      </c>
      <c r="B49" s="80">
        <f>IF(ISNUMBER(B23),IF(B23&gt;INT('Synthetic Features (k-NN)'!$B$4/2),1,IF(B36&gt;INT('Synthetic Features (k-NN)'!$B$4/2),2,"—")),"—")</f>
        <v>2</v>
      </c>
      <c r="C49" s="80">
        <f>IF(ISNUMBER(C23),IF(C23&gt;INT('Synthetic Features (k-NN)'!$C$4/2),1,IF(C36&gt;INT('Synthetic Features (k-NN)'!$C$4/2),2,"—")),"—")</f>
        <v>2</v>
      </c>
      <c r="D49" s="80">
        <f>IF(ISNUMBER(D23),IF(D23&gt;INT('Synthetic Features (k-NN)'!$B$18/2),1,IF(D36&gt;INT('Synthetic Features (k-NN)'!$B$18/2),2,"—")),"—")</f>
        <v>2</v>
      </c>
      <c r="E49" s="80">
        <f>IF(ISNUMBER(E23),IF(E23&gt;INT('Synthetic Features (k-NN)'!$C$18/2),1,IF(E36&gt;INT('Synthetic Features (k-NN)'!$C$18/2),2,"—")),"—")</f>
        <v>2</v>
      </c>
      <c r="F49" s="80">
        <f>IF(ISNUMBER(F23),IF(F23&gt;INT('Synthetic Features (k-NN)'!$B$32/2),1,IF(F36&gt;INT('Synthetic Features (k-NN)'!$B$32/2),2,"—")),"—")</f>
        <v>2</v>
      </c>
      <c r="G49" s="80">
        <f>IF(ISNUMBER(G23),IF(G23&gt;INT('Synthetic Features (k-NN)'!$C$32/2),1,IF(G36&gt;INT('Synthetic Features (k-NN)'!$C$32/2),2,"—")),"—")</f>
        <v>2</v>
      </c>
      <c r="H49" s="68">
        <f>Dataset!O12</f>
        <v>2</v>
      </c>
    </row>
    <row r="50"/>
    <row r="51">
      <c r="A51" s="99" t="inlineStr">
        <is>
          <t xml:space="preserve">Formula (5): the synthetic feature takes the value 1 when class K1 has the majority among the k nearest neighbours and 2 when K2 has it (k is odd, so one of the two always holds).</t>
        </is>
      </c>
    </row>
    <row r="52">
      <c r="A52" s="99" t="inlineStr">
        <is>
          <t xml:space="preserve">χ₁ and χ₂ only use the classes of the neighbours, never the class of Sⱼ itself — so the same feature can be computed for a new object whose class is unknown (Theorem of the article).</t>
        </is>
      </c>
    </row>
    <row r="53">
      <c r="A53" s="99" t="inlineStr">
        <is>
          <t xml:space="preserve">The six features are the input set Ψ(r) of the hierarchical agglomerative grouping (Steps 8–9).</t>
        </is>
      </c>
    </row>
  </sheetData>
  <mergeCells count="12">
    <mergeCell ref="A1:H1"/>
    <mergeCell ref="A3:H3"/>
    <mergeCell ref="E4:H4"/>
    <mergeCell ref="E5:H5"/>
    <mergeCell ref="E6:H6"/>
    <mergeCell ref="E7:H7"/>
    <mergeCell ref="E8:H8"/>
    <mergeCell ref="E9:H9"/>
    <mergeCell ref="E10:H10"/>
    <mergeCell ref="A12:H12"/>
    <mergeCell ref="A25:H25"/>
    <mergeCell ref="A38:H38"/>
  </mergeCells>
  <hyperlinks>
    <hyperlink ref="D5" location="'Sorted Neighbors (ρ)'!A1" display="Sorted Neighbors (ρ)" tooltip="Go to Sorted Neighbors (ρ)"/>
    <hyperlink ref="D6" location="'Sorted Neighbors (ρ)'!A1" display="Sorted Neighbors (ρ)" tooltip="Go to Sorted Neighbors (ρ)"/>
    <hyperlink ref="D7" location="'Sorted Neighbors (ρ_I)'!A1" display="Sorted Neighbors (ρ_I)" tooltip="Go to Sorted Neighbors (ρ_I)"/>
    <hyperlink ref="D8" location="'Sorted Neighbors (ρ_I)'!A1" display="Sorted Neighbors (ρ_I)" tooltip="Go to Sorted Neighbors (ρ_I)"/>
    <hyperlink ref="D9" location="'Sorted Neighbors (ρ_J)'!A1" display="Sorted Neighbors (ρ_J)" tooltip="Go to Sorted Neighbors (ρ_J)"/>
    <hyperlink ref="D10" location="'Sorted Neighbors (ρ_J)'!A1" display="Sorted Neighbors (ρ_J)" tooltip="Go to Sorted Neighbors (ρ_J)"/>
  </hyperlink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T65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22" width="11.77734375" customWidth="1"/>
  </cols>
  <sheetData>
    <row r="1" ht="20" customHeight="1">
      <c r="A1" s="57" t="inlineStr">
        <is>
          <t xml:space="preserve">Step 6 · Membership function f_k(μ) — formula (1) — and stability g_k — formula (2), per synthetic feature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</row>
    <row r="2"/>
    <row r="3">
      <c r="A3" s="58" t="str">
        <f>"a₁  ·  operator ρ  ·  k = "&amp;'Synthetic Features (k-NN)'!$B$4&amp;"  ·  gradation μ = same-class count"</f>
        <v>a₁  ·  operator ρ  ·  k = 3  ·  gradation μ = same-class count</v>
      </c>
      <c r="B3" s="58"/>
      <c r="C3" s="58"/>
      <c r="D3" s="58"/>
      <c r="E3" s="58"/>
      <c r="F3" s="58"/>
      <c r="G3" s="58"/>
      <c r="H3" s="58"/>
      <c r="J3" s="58" t="str">
        <f>"a₂  ·  operator ρ  ·  k = "&amp;'Synthetic Features (k-NN)'!$C$4&amp;"  ·  gradation μ = same-class count"</f>
        <v>a₂  ·  operator ρ  ·  k = 5  ·  gradation μ = same-class count</v>
      </c>
      <c r="K3" s="58"/>
      <c r="L3" s="58"/>
      <c r="M3" s="58"/>
      <c r="N3" s="58"/>
      <c r="O3" s="58"/>
      <c r="P3" s="58"/>
      <c r="Q3" s="58"/>
    </row>
    <row r="4">
      <c r="A4" s="60" t="inlineStr">
        <is>
          <t xml:space="preserve">μ</t>
        </is>
      </c>
      <c r="B4" s="60" t="inlineStr">
        <is>
          <t xml:space="preserve">d₁ₖ(μ)</t>
        </is>
      </c>
      <c r="C4" s="60" t="inlineStr">
        <is>
          <t xml:space="preserve">d₂ₖ(μ)</t>
        </is>
      </c>
      <c r="D4" s="60" t="inlineStr">
        <is>
          <t xml:space="preserve">n(μ)</t>
        </is>
      </c>
      <c r="E4" s="60" t="inlineStr">
        <is>
          <t xml:space="preserve">d₁ₖ/|K1|</t>
        </is>
      </c>
      <c r="F4" s="60" t="inlineStr">
        <is>
          <t xml:space="preserve">d₂ₖ/|K2|</t>
        </is>
      </c>
      <c r="G4" s="60" t="inlineStr">
        <is>
          <t xml:space="preserve">f_k(μ)</t>
        </is>
      </c>
      <c r="H4" s="60" t="inlineStr">
        <is>
          <t xml:space="preserve">n·max(f, 1−f)</t>
        </is>
      </c>
      <c r="J4" s="60" t="inlineStr">
        <is>
          <t xml:space="preserve">μ</t>
        </is>
      </c>
      <c r="K4" s="60" t="inlineStr">
        <is>
          <t xml:space="preserve">d₁ₖ(μ)</t>
        </is>
      </c>
      <c r="L4" s="60" t="inlineStr">
        <is>
          <t xml:space="preserve">d₂ₖ(μ)</t>
        </is>
      </c>
      <c r="M4" s="60" t="inlineStr">
        <is>
          <t xml:space="preserve">n(μ)</t>
        </is>
      </c>
      <c r="N4" s="60" t="inlineStr">
        <is>
          <t xml:space="preserve">d₁ₖ/|K1|</t>
        </is>
      </c>
      <c r="O4" s="60" t="inlineStr">
        <is>
          <t xml:space="preserve">d₂ₖ/|K2|</t>
        </is>
      </c>
      <c r="P4" s="60" t="inlineStr">
        <is>
          <t xml:space="preserve">f_k(μ)</t>
        </is>
      </c>
      <c r="Q4" s="60" t="inlineStr">
        <is>
          <t xml:space="preserve">n·max(f, 1−f)</t>
        </is>
      </c>
    </row>
    <row r="5">
      <c r="A5" s="64">
        <v>0</v>
      </c>
      <c r="B5" s="74">
        <f>IF(AND(ISNUMBER('Synthetic Features (k-NN)'!$B$4),A5&lt;='Synthetic Features (k-NN)'!$B$4),COUNTIFS('Synthetic Features (k-NN)'!$B$5:$B$14,A5,Dataset!$O$3:$O$12,1),"—")</f>
        <v>1</v>
      </c>
      <c r="C5" s="74">
        <f>IF(AND(ISNUMBER('Synthetic Features (k-NN)'!$B$4),A5&lt;='Synthetic Features (k-NN)'!$B$4),COUNTIFS('Synthetic Features (k-NN)'!$B$5:$B$14,A5,Dataset!$O$3:$O$12,2),"—")</f>
        <v>0</v>
      </c>
      <c r="D5" s="74">
        <f>IF(AND(ISNUMBER('Synthetic Features (k-NN)'!$B$4),A5&lt;='Synthetic Features (k-NN)'!$B$4),B5+C5,"—")</f>
        <v>1</v>
      </c>
      <c r="E5" s="72">
        <f>IF(AND(ISNUMBER('Synthetic Features (k-NN)'!$B$4),A5&lt;='Synthetic Features (k-NN)'!$B$4),B5/'Parameters'!$B$6,"—")</f>
        <v>0.25</v>
      </c>
      <c r="F5" s="72">
        <f>IF(AND(ISNUMBER('Synthetic Features (k-NN)'!$B$4),A5&lt;='Synthetic Features (k-NN)'!$B$4),C5/'Parameters'!$B$7,"—")</f>
        <v>0</v>
      </c>
      <c r="G5" s="81">
        <f>IF(AND(ISNUMBER('Synthetic Features (k-NN)'!$B$4),A5&lt;='Synthetic Features (k-NN)'!$B$4),IF(D5&gt;0,E5/(E5+F5),"—"),"—")</f>
        <v>1</v>
      </c>
      <c r="H5" s="72">
        <f>IF(ISNUMBER(G5),D5*MAX(G5,1-G5),0)</f>
        <v>1</v>
      </c>
      <c r="J5" s="64">
        <v>0</v>
      </c>
      <c r="K5" s="74">
        <f>IF(AND(ISNUMBER('Synthetic Features (k-NN)'!$C$4),J5&lt;='Synthetic Features (k-NN)'!$C$4),COUNTIFS('Synthetic Features (k-NN)'!$C$5:$C$14,J5,Dataset!$O$3:$O$12,1),"—")</f>
        <v>0</v>
      </c>
      <c r="L5" s="74">
        <f>IF(AND(ISNUMBER('Synthetic Features (k-NN)'!$C$4),J5&lt;='Synthetic Features (k-NN)'!$C$4),COUNTIFS('Synthetic Features (k-NN)'!$C$5:$C$14,J5,Dataset!$O$3:$O$12,2),"—")</f>
        <v>0</v>
      </c>
      <c r="M5" s="74">
        <f>IF(AND(ISNUMBER('Synthetic Features (k-NN)'!$C$4),J5&lt;='Synthetic Features (k-NN)'!$C$4),K5+L5,"—")</f>
        <v>0</v>
      </c>
      <c r="N5" s="72">
        <f>IF(AND(ISNUMBER('Synthetic Features (k-NN)'!$C$4),J5&lt;='Synthetic Features (k-NN)'!$C$4),K5/'Parameters'!$B$6,"—")</f>
        <v>0</v>
      </c>
      <c r="O5" s="72">
        <f>IF(AND(ISNUMBER('Synthetic Features (k-NN)'!$C$4),J5&lt;='Synthetic Features (k-NN)'!$C$4),L5/'Parameters'!$B$7,"—")</f>
        <v>0</v>
      </c>
      <c r="P5" s="81" t="str">
        <f>IF(AND(ISNUMBER('Synthetic Features (k-NN)'!$C$4),J5&lt;='Synthetic Features (k-NN)'!$C$4),IF(M5&gt;0,N5/(N5+O5),"—"),"—")</f>
        <v>—</v>
      </c>
      <c r="Q5" s="72">
        <f>IF(ISNUMBER(P5),M5*MAX(P5,1-P5),0)</f>
        <v>0</v>
      </c>
    </row>
    <row r="6">
      <c r="A6" s="64">
        <v>1</v>
      </c>
      <c r="B6" s="74">
        <f>IF(AND(ISNUMBER('Synthetic Features (k-NN)'!$B$4),A6&lt;='Synthetic Features (k-NN)'!$B$4),COUNTIFS('Synthetic Features (k-NN)'!$B$5:$B$14,A6,Dataset!$O$3:$O$12,1),"—")</f>
        <v>3</v>
      </c>
      <c r="C6" s="74">
        <f>IF(AND(ISNUMBER('Synthetic Features (k-NN)'!$B$4),A6&lt;='Synthetic Features (k-NN)'!$B$4),COUNTIFS('Synthetic Features (k-NN)'!$B$5:$B$14,A6,Dataset!$O$3:$O$12,2),"—")</f>
        <v>1</v>
      </c>
      <c r="D6" s="74">
        <f>IF(AND(ISNUMBER('Synthetic Features (k-NN)'!$B$4),A6&lt;='Synthetic Features (k-NN)'!$B$4),B6+C6,"—")</f>
        <v>4</v>
      </c>
      <c r="E6" s="72">
        <f>IF(AND(ISNUMBER('Synthetic Features (k-NN)'!$B$4),A6&lt;='Synthetic Features (k-NN)'!$B$4),B6/'Parameters'!$B$6,"—")</f>
        <v>0.75</v>
      </c>
      <c r="F6" s="72">
        <f>IF(AND(ISNUMBER('Synthetic Features (k-NN)'!$B$4),A6&lt;='Synthetic Features (k-NN)'!$B$4),C6/'Parameters'!$B$7,"—")</f>
        <v>0.166666666666667</v>
      </c>
      <c r="G6" s="81">
        <f>IF(AND(ISNUMBER('Synthetic Features (k-NN)'!$B$4),A6&lt;='Synthetic Features (k-NN)'!$B$4),IF(D6&gt;0,E6/(E6+F6),"—"),"—")</f>
        <v>0.818181818181818</v>
      </c>
      <c r="H6" s="72">
        <f>IF(ISNUMBER(G6),D6*MAX(G6,1-G6),0)</f>
        <v>3.27272727272727</v>
      </c>
      <c r="J6" s="64">
        <v>1</v>
      </c>
      <c r="K6" s="74">
        <f>IF(AND(ISNUMBER('Synthetic Features (k-NN)'!$C$4),J6&lt;='Synthetic Features (k-NN)'!$C$4),COUNTIFS('Synthetic Features (k-NN)'!$C$5:$C$14,J6,Dataset!$O$3:$O$12,1),"—")</f>
        <v>2</v>
      </c>
      <c r="L6" s="74">
        <f>IF(AND(ISNUMBER('Synthetic Features (k-NN)'!$C$4),J6&lt;='Synthetic Features (k-NN)'!$C$4),COUNTIFS('Synthetic Features (k-NN)'!$C$5:$C$14,J6,Dataset!$O$3:$O$12,2),"—")</f>
        <v>0</v>
      </c>
      <c r="M6" s="74">
        <f>IF(AND(ISNUMBER('Synthetic Features (k-NN)'!$C$4),J6&lt;='Synthetic Features (k-NN)'!$C$4),K6+L6,"—")</f>
        <v>2</v>
      </c>
      <c r="N6" s="72">
        <f>IF(AND(ISNUMBER('Synthetic Features (k-NN)'!$C$4),J6&lt;='Synthetic Features (k-NN)'!$C$4),K6/'Parameters'!$B$6,"—")</f>
        <v>0.5</v>
      </c>
      <c r="O6" s="72">
        <f>IF(AND(ISNUMBER('Synthetic Features (k-NN)'!$C$4),J6&lt;='Synthetic Features (k-NN)'!$C$4),L6/'Parameters'!$B$7,"—")</f>
        <v>0</v>
      </c>
      <c r="P6" s="81">
        <f>IF(AND(ISNUMBER('Synthetic Features (k-NN)'!$C$4),J6&lt;='Synthetic Features (k-NN)'!$C$4),IF(M6&gt;0,N6/(N6+O6),"—"),"—")</f>
        <v>1</v>
      </c>
      <c r="Q6" s="72">
        <f>IF(ISNUMBER(P6),M6*MAX(P6,1-P6),0)</f>
        <v>2</v>
      </c>
    </row>
    <row r="7">
      <c r="A7" s="64">
        <v>2</v>
      </c>
      <c r="B7" s="74">
        <f>IF(AND(ISNUMBER('Synthetic Features (k-NN)'!$B$4),A7&lt;='Synthetic Features (k-NN)'!$B$4),COUNTIFS('Synthetic Features (k-NN)'!$B$5:$B$14,A7,Dataset!$O$3:$O$12,1),"—")</f>
        <v>0</v>
      </c>
      <c r="C7" s="74">
        <f>IF(AND(ISNUMBER('Synthetic Features (k-NN)'!$B$4),A7&lt;='Synthetic Features (k-NN)'!$B$4),COUNTIFS('Synthetic Features (k-NN)'!$B$5:$B$14,A7,Dataset!$O$3:$O$12,2),"—")</f>
        <v>3</v>
      </c>
      <c r="D7" s="74">
        <f>IF(AND(ISNUMBER('Synthetic Features (k-NN)'!$B$4),A7&lt;='Synthetic Features (k-NN)'!$B$4),B7+C7,"—")</f>
        <v>3</v>
      </c>
      <c r="E7" s="72">
        <f>IF(AND(ISNUMBER('Synthetic Features (k-NN)'!$B$4),A7&lt;='Synthetic Features (k-NN)'!$B$4),B7/'Parameters'!$B$6,"—")</f>
        <v>0</v>
      </c>
      <c r="F7" s="72">
        <f>IF(AND(ISNUMBER('Synthetic Features (k-NN)'!$B$4),A7&lt;='Synthetic Features (k-NN)'!$B$4),C7/'Parameters'!$B$7,"—")</f>
        <v>0.5</v>
      </c>
      <c r="G7" s="81">
        <f>IF(AND(ISNUMBER('Synthetic Features (k-NN)'!$B$4),A7&lt;='Synthetic Features (k-NN)'!$B$4),IF(D7&gt;0,E7/(E7+F7),"—"),"—")</f>
        <v>0</v>
      </c>
      <c r="H7" s="72">
        <f>IF(ISNUMBER(G7),D7*MAX(G7,1-G7),0)</f>
        <v>3</v>
      </c>
      <c r="J7" s="64">
        <v>2</v>
      </c>
      <c r="K7" s="74">
        <f>IF(AND(ISNUMBER('Synthetic Features (k-NN)'!$C$4),J7&lt;='Synthetic Features (k-NN)'!$C$4),COUNTIFS('Synthetic Features (k-NN)'!$C$5:$C$14,J7,Dataset!$O$3:$O$12,1),"—")</f>
        <v>2</v>
      </c>
      <c r="L7" s="74">
        <f>IF(AND(ISNUMBER('Synthetic Features (k-NN)'!$C$4),J7&lt;='Synthetic Features (k-NN)'!$C$4),COUNTIFS('Synthetic Features (k-NN)'!$C$5:$C$14,J7,Dataset!$O$3:$O$12,2),"—")</f>
        <v>1</v>
      </c>
      <c r="M7" s="74">
        <f>IF(AND(ISNUMBER('Synthetic Features (k-NN)'!$C$4),J7&lt;='Synthetic Features (k-NN)'!$C$4),K7+L7,"—")</f>
        <v>3</v>
      </c>
      <c r="N7" s="72">
        <f>IF(AND(ISNUMBER('Synthetic Features (k-NN)'!$C$4),J7&lt;='Synthetic Features (k-NN)'!$C$4),K7/'Parameters'!$B$6,"—")</f>
        <v>0.5</v>
      </c>
      <c r="O7" s="72">
        <f>IF(AND(ISNUMBER('Synthetic Features (k-NN)'!$C$4),J7&lt;='Synthetic Features (k-NN)'!$C$4),L7/'Parameters'!$B$7,"—")</f>
        <v>0.166666666666667</v>
      </c>
      <c r="P7" s="81">
        <f>IF(AND(ISNUMBER('Synthetic Features (k-NN)'!$C$4),J7&lt;='Synthetic Features (k-NN)'!$C$4),IF(M7&gt;0,N7/(N7+O7),"—"),"—")</f>
        <v>0.75</v>
      </c>
      <c r="Q7" s="72">
        <f>IF(ISNUMBER(P7),M7*MAX(P7,1-P7),0)</f>
        <v>2.25</v>
      </c>
    </row>
    <row r="8">
      <c r="A8" s="64">
        <v>3</v>
      </c>
      <c r="B8" s="74">
        <f>IF(AND(ISNUMBER('Synthetic Features (k-NN)'!$B$4),A8&lt;='Synthetic Features (k-NN)'!$B$4),COUNTIFS('Synthetic Features (k-NN)'!$B$5:$B$14,A8,Dataset!$O$3:$O$12,1),"—")</f>
        <v>0</v>
      </c>
      <c r="C8" s="74">
        <f>IF(AND(ISNUMBER('Synthetic Features (k-NN)'!$B$4),A8&lt;='Synthetic Features (k-NN)'!$B$4),COUNTIFS('Synthetic Features (k-NN)'!$B$5:$B$14,A8,Dataset!$O$3:$O$12,2),"—")</f>
        <v>2</v>
      </c>
      <c r="D8" s="74">
        <f>IF(AND(ISNUMBER('Synthetic Features (k-NN)'!$B$4),A8&lt;='Synthetic Features (k-NN)'!$B$4),B8+C8,"—")</f>
        <v>2</v>
      </c>
      <c r="E8" s="72">
        <f>IF(AND(ISNUMBER('Synthetic Features (k-NN)'!$B$4),A8&lt;='Synthetic Features (k-NN)'!$B$4),B8/'Parameters'!$B$6,"—")</f>
        <v>0</v>
      </c>
      <c r="F8" s="72">
        <f>IF(AND(ISNUMBER('Synthetic Features (k-NN)'!$B$4),A8&lt;='Synthetic Features (k-NN)'!$B$4),C8/'Parameters'!$B$7,"—")</f>
        <v>0.333333333333333</v>
      </c>
      <c r="G8" s="81">
        <f>IF(AND(ISNUMBER('Synthetic Features (k-NN)'!$B$4),A8&lt;='Synthetic Features (k-NN)'!$B$4),IF(D8&gt;0,E8/(E8+F8),"—"),"—")</f>
        <v>0</v>
      </c>
      <c r="H8" s="72">
        <f>IF(ISNUMBER(G8),D8*MAX(G8,1-G8),0)</f>
        <v>2</v>
      </c>
      <c r="J8" s="64">
        <v>3</v>
      </c>
      <c r="K8" s="74">
        <f>IF(AND(ISNUMBER('Synthetic Features (k-NN)'!$C$4),J8&lt;='Synthetic Features (k-NN)'!$C$4),COUNTIFS('Synthetic Features (k-NN)'!$C$5:$C$14,J8,Dataset!$O$3:$O$12,1),"—")</f>
        <v>0</v>
      </c>
      <c r="L8" s="74">
        <f>IF(AND(ISNUMBER('Synthetic Features (k-NN)'!$C$4),J8&lt;='Synthetic Features (k-NN)'!$C$4),COUNTIFS('Synthetic Features (k-NN)'!$C$5:$C$14,J8,Dataset!$O$3:$O$12,2),"—")</f>
        <v>4</v>
      </c>
      <c r="M8" s="74">
        <f>IF(AND(ISNUMBER('Synthetic Features (k-NN)'!$C$4),J8&lt;='Synthetic Features (k-NN)'!$C$4),K8+L8,"—")</f>
        <v>4</v>
      </c>
      <c r="N8" s="72">
        <f>IF(AND(ISNUMBER('Synthetic Features (k-NN)'!$C$4),J8&lt;='Synthetic Features (k-NN)'!$C$4),K8/'Parameters'!$B$6,"—")</f>
        <v>0</v>
      </c>
      <c r="O8" s="72">
        <f>IF(AND(ISNUMBER('Synthetic Features (k-NN)'!$C$4),J8&lt;='Synthetic Features (k-NN)'!$C$4),L8/'Parameters'!$B$7,"—")</f>
        <v>0.666666666666667</v>
      </c>
      <c r="P8" s="81">
        <f>IF(AND(ISNUMBER('Synthetic Features (k-NN)'!$C$4),J8&lt;='Synthetic Features (k-NN)'!$C$4),IF(M8&gt;0,N8/(N8+O8),"—"),"—")</f>
        <v>0</v>
      </c>
      <c r="Q8" s="72">
        <f>IF(ISNUMBER(P8),M8*MAX(P8,1-P8),0)</f>
        <v>4</v>
      </c>
    </row>
    <row r="9">
      <c r="A9" s="64">
        <v>4</v>
      </c>
      <c r="B9" s="74" t="str">
        <f>IF(AND(ISNUMBER('Synthetic Features (k-NN)'!$B$4),A9&lt;='Synthetic Features (k-NN)'!$B$4),COUNTIFS('Synthetic Features (k-NN)'!$B$5:$B$14,A9,Dataset!$O$3:$O$12,1),"—")</f>
        <v>—</v>
      </c>
      <c r="C9" s="74" t="str">
        <f>IF(AND(ISNUMBER('Synthetic Features (k-NN)'!$B$4),A9&lt;='Synthetic Features (k-NN)'!$B$4),COUNTIFS('Synthetic Features (k-NN)'!$B$5:$B$14,A9,Dataset!$O$3:$O$12,2),"—")</f>
        <v>—</v>
      </c>
      <c r="D9" s="74" t="str">
        <f>IF(AND(ISNUMBER('Synthetic Features (k-NN)'!$B$4),A9&lt;='Synthetic Features (k-NN)'!$B$4),B9+C9,"—")</f>
        <v>—</v>
      </c>
      <c r="E9" s="72" t="str">
        <f>IF(AND(ISNUMBER('Synthetic Features (k-NN)'!$B$4),A9&lt;='Synthetic Features (k-NN)'!$B$4),B9/'Parameters'!$B$6,"—")</f>
        <v>—</v>
      </c>
      <c r="F9" s="72" t="str">
        <f>IF(AND(ISNUMBER('Synthetic Features (k-NN)'!$B$4),A9&lt;='Synthetic Features (k-NN)'!$B$4),C9/'Parameters'!$B$7,"—")</f>
        <v>—</v>
      </c>
      <c r="G9" s="81" t="str">
        <f>IF(AND(ISNUMBER('Synthetic Features (k-NN)'!$B$4),A9&lt;='Synthetic Features (k-NN)'!$B$4),IF(D9&gt;0,E9/(E9+F9),"—"),"—")</f>
        <v>—</v>
      </c>
      <c r="H9" s="72">
        <f>IF(ISNUMBER(G9),D9*MAX(G9,1-G9),0)</f>
        <v>0</v>
      </c>
      <c r="J9" s="64">
        <v>4</v>
      </c>
      <c r="K9" s="74">
        <f>IF(AND(ISNUMBER('Synthetic Features (k-NN)'!$C$4),J9&lt;='Synthetic Features (k-NN)'!$C$4),COUNTIFS('Synthetic Features (k-NN)'!$C$5:$C$14,J9,Dataset!$O$3:$O$12,1),"—")</f>
        <v>0</v>
      </c>
      <c r="L9" s="74">
        <f>IF(AND(ISNUMBER('Synthetic Features (k-NN)'!$C$4),J9&lt;='Synthetic Features (k-NN)'!$C$4),COUNTIFS('Synthetic Features (k-NN)'!$C$5:$C$14,J9,Dataset!$O$3:$O$12,2),"—")</f>
        <v>1</v>
      </c>
      <c r="M9" s="74">
        <f>IF(AND(ISNUMBER('Synthetic Features (k-NN)'!$C$4),J9&lt;='Synthetic Features (k-NN)'!$C$4),K9+L9,"—")</f>
        <v>1</v>
      </c>
      <c r="N9" s="72">
        <f>IF(AND(ISNUMBER('Synthetic Features (k-NN)'!$C$4),J9&lt;='Synthetic Features (k-NN)'!$C$4),K9/'Parameters'!$B$6,"—")</f>
        <v>0</v>
      </c>
      <c r="O9" s="72">
        <f>IF(AND(ISNUMBER('Synthetic Features (k-NN)'!$C$4),J9&lt;='Synthetic Features (k-NN)'!$C$4),L9/'Parameters'!$B$7,"—")</f>
        <v>0.166666666666667</v>
      </c>
      <c r="P9" s="81">
        <f>IF(AND(ISNUMBER('Synthetic Features (k-NN)'!$C$4),J9&lt;='Synthetic Features (k-NN)'!$C$4),IF(M9&gt;0,N9/(N9+O9),"—"),"—")</f>
        <v>0</v>
      </c>
      <c r="Q9" s="72">
        <f>IF(ISNUMBER(P9),M9*MAX(P9,1-P9),0)</f>
        <v>1</v>
      </c>
    </row>
    <row r="10">
      <c r="A10" s="64">
        <v>5</v>
      </c>
      <c r="B10" s="74" t="str">
        <f>IF(AND(ISNUMBER('Synthetic Features (k-NN)'!$B$4),A10&lt;='Synthetic Features (k-NN)'!$B$4),COUNTIFS('Synthetic Features (k-NN)'!$B$5:$B$14,A10,Dataset!$O$3:$O$12,1),"—")</f>
        <v>—</v>
      </c>
      <c r="C10" s="74" t="str">
        <f>IF(AND(ISNUMBER('Synthetic Features (k-NN)'!$B$4),A10&lt;='Synthetic Features (k-NN)'!$B$4),COUNTIFS('Synthetic Features (k-NN)'!$B$5:$B$14,A10,Dataset!$O$3:$O$12,2),"—")</f>
        <v>—</v>
      </c>
      <c r="D10" s="74" t="str">
        <f>IF(AND(ISNUMBER('Synthetic Features (k-NN)'!$B$4),A10&lt;='Synthetic Features (k-NN)'!$B$4),B10+C10,"—")</f>
        <v>—</v>
      </c>
      <c r="E10" s="72" t="str">
        <f>IF(AND(ISNUMBER('Synthetic Features (k-NN)'!$B$4),A10&lt;='Synthetic Features (k-NN)'!$B$4),B10/'Parameters'!$B$6,"—")</f>
        <v>—</v>
      </c>
      <c r="F10" s="72" t="str">
        <f>IF(AND(ISNUMBER('Synthetic Features (k-NN)'!$B$4),A10&lt;='Synthetic Features (k-NN)'!$B$4),C10/'Parameters'!$B$7,"—")</f>
        <v>—</v>
      </c>
      <c r="G10" s="81" t="str">
        <f>IF(AND(ISNUMBER('Synthetic Features (k-NN)'!$B$4),A10&lt;='Synthetic Features (k-NN)'!$B$4),IF(D10&gt;0,E10/(E10+F10),"—"),"—")</f>
        <v>—</v>
      </c>
      <c r="H10" s="72">
        <f>IF(ISNUMBER(G10),D10*MAX(G10,1-G10),0)</f>
        <v>0</v>
      </c>
      <c r="J10" s="64">
        <v>5</v>
      </c>
      <c r="K10" s="74">
        <f>IF(AND(ISNUMBER('Synthetic Features (k-NN)'!$C$4),J10&lt;='Synthetic Features (k-NN)'!$C$4),COUNTIFS('Synthetic Features (k-NN)'!$C$5:$C$14,J10,Dataset!$O$3:$O$12,1),"—")</f>
        <v>0</v>
      </c>
      <c r="L10" s="74">
        <f>IF(AND(ISNUMBER('Synthetic Features (k-NN)'!$C$4),J10&lt;='Synthetic Features (k-NN)'!$C$4),COUNTIFS('Synthetic Features (k-NN)'!$C$5:$C$14,J10,Dataset!$O$3:$O$12,2),"—")</f>
        <v>0</v>
      </c>
      <c r="M10" s="74">
        <f>IF(AND(ISNUMBER('Synthetic Features (k-NN)'!$C$4),J10&lt;='Synthetic Features (k-NN)'!$C$4),K10+L10,"—")</f>
        <v>0</v>
      </c>
      <c r="N10" s="72">
        <f>IF(AND(ISNUMBER('Synthetic Features (k-NN)'!$C$4),J10&lt;='Synthetic Features (k-NN)'!$C$4),K10/'Parameters'!$B$6,"—")</f>
        <v>0</v>
      </c>
      <c r="O10" s="72">
        <f>IF(AND(ISNUMBER('Synthetic Features (k-NN)'!$C$4),J10&lt;='Synthetic Features (k-NN)'!$C$4),L10/'Parameters'!$B$7,"—")</f>
        <v>0</v>
      </c>
      <c r="P10" s="81" t="str">
        <f>IF(AND(ISNUMBER('Synthetic Features (k-NN)'!$C$4),J10&lt;='Synthetic Features (k-NN)'!$C$4),IF(M10&gt;0,N10/(N10+O10),"—"),"—")</f>
        <v>—</v>
      </c>
      <c r="Q10" s="72">
        <f>IF(ISNUMBER(P10),M10*MAX(P10,1-P10),0)</f>
        <v>0</v>
      </c>
    </row>
    <row r="11">
      <c r="A11" s="82" t="str">
        <f>"stability g_k by (2),  β = k = "&amp;'Synthetic Features (k-NN)'!$B$4&amp;",  g = Σ / m"</f>
        <v>stability g_k by (2),  β = k = 3,  g = Σ / m</v>
      </c>
      <c r="B11" s="82"/>
      <c r="C11" s="82"/>
      <c r="D11" s="82"/>
      <c r="E11" s="82"/>
      <c r="F11" s="82"/>
      <c r="G11" s="82"/>
      <c r="H11" s="85">
        <f>SUM(H5:H10)/'Parameters'!$B$5</f>
        <v>0.927272727272727</v>
      </c>
      <c r="J11" s="82" t="str">
        <f>"stability g_k by (2),  β = k = "&amp;'Synthetic Features (k-NN)'!$C$4&amp;",  g = Σ / m"</f>
        <v>stability g_k by (2),  β = k = 5,  g = Σ / m</v>
      </c>
      <c r="K11" s="82"/>
      <c r="L11" s="82"/>
      <c r="M11" s="82"/>
      <c r="N11" s="82"/>
      <c r="O11" s="82"/>
      <c r="P11" s="82"/>
      <c r="Q11" s="85">
        <f>SUM(Q5:Q10)/'Parameters'!$B$5</f>
        <v>0.925</v>
      </c>
    </row>
    <row r="12"/>
    <row r="13"/>
    <row r="14">
      <c r="A14" s="58" t="str">
        <f>"a₃  ·  operator ρ_I  ·  k = "&amp;'Synthetic Features (k-NN)'!$B$18&amp;"  ·  gradation μ = same-class count"</f>
        <v>a₃  ·  operator ρ_I  ·  k = 3  ·  gradation μ = same-class count</v>
      </c>
      <c r="B14" s="58"/>
      <c r="C14" s="58"/>
      <c r="D14" s="58"/>
      <c r="E14" s="58"/>
      <c r="F14" s="58"/>
      <c r="G14" s="58"/>
      <c r="H14" s="58"/>
      <c r="J14" s="58" t="str">
        <f>"a₄  ·  operator ρ_I  ·  k = "&amp;'Synthetic Features (k-NN)'!$C$18&amp;"  ·  gradation μ = same-class count"</f>
        <v>a₄  ·  operator ρ_I  ·  k = 5  ·  gradation μ = same-class count</v>
      </c>
      <c r="K14" s="58"/>
      <c r="L14" s="58"/>
      <c r="M14" s="58"/>
      <c r="N14" s="58"/>
      <c r="O14" s="58"/>
      <c r="P14" s="58"/>
      <c r="Q14" s="58"/>
    </row>
    <row r="15">
      <c r="A15" s="60" t="inlineStr">
        <is>
          <t xml:space="preserve">μ</t>
        </is>
      </c>
      <c r="B15" s="60" t="inlineStr">
        <is>
          <t xml:space="preserve">d₁ₖ(μ)</t>
        </is>
      </c>
      <c r="C15" s="60" t="inlineStr">
        <is>
          <t xml:space="preserve">d₂ₖ(μ)</t>
        </is>
      </c>
      <c r="D15" s="60" t="inlineStr">
        <is>
          <t xml:space="preserve">n(μ)</t>
        </is>
      </c>
      <c r="E15" s="60" t="inlineStr">
        <is>
          <t xml:space="preserve">d₁ₖ/|K1|</t>
        </is>
      </c>
      <c r="F15" s="60" t="inlineStr">
        <is>
          <t xml:space="preserve">d₂ₖ/|K2|</t>
        </is>
      </c>
      <c r="G15" s="60" t="inlineStr">
        <is>
          <t xml:space="preserve">f_k(μ)</t>
        </is>
      </c>
      <c r="H15" s="60" t="inlineStr">
        <is>
          <t xml:space="preserve">n·max(f, 1−f)</t>
        </is>
      </c>
      <c r="J15" s="60" t="inlineStr">
        <is>
          <t xml:space="preserve">μ</t>
        </is>
      </c>
      <c r="K15" s="60" t="inlineStr">
        <is>
          <t xml:space="preserve">d₁ₖ(μ)</t>
        </is>
      </c>
      <c r="L15" s="60" t="inlineStr">
        <is>
          <t xml:space="preserve">d₂ₖ(μ)</t>
        </is>
      </c>
      <c r="M15" s="60" t="inlineStr">
        <is>
          <t xml:space="preserve">n(μ)</t>
        </is>
      </c>
      <c r="N15" s="60" t="inlineStr">
        <is>
          <t xml:space="preserve">d₁ₖ/|K1|</t>
        </is>
      </c>
      <c r="O15" s="60" t="inlineStr">
        <is>
          <t xml:space="preserve">d₂ₖ/|K2|</t>
        </is>
      </c>
      <c r="P15" s="60" t="inlineStr">
        <is>
          <t xml:space="preserve">f_k(μ)</t>
        </is>
      </c>
      <c r="Q15" s="60" t="inlineStr">
        <is>
          <t xml:space="preserve">n·max(f, 1−f)</t>
        </is>
      </c>
    </row>
    <row r="16">
      <c r="A16" s="64">
        <v>0</v>
      </c>
      <c r="B16" s="74">
        <f>IF(AND(ISNUMBER('Synthetic Features (k-NN)'!$B$18),A16&lt;='Synthetic Features (k-NN)'!$B$18),COUNTIFS('Synthetic Features (k-NN)'!$B$19:$B$28,A16,Dataset!$O$3:$O$12,1),"—")</f>
        <v>1</v>
      </c>
      <c r="C16" s="74">
        <f>IF(AND(ISNUMBER('Synthetic Features (k-NN)'!$B$18),A16&lt;='Synthetic Features (k-NN)'!$B$18),COUNTIFS('Synthetic Features (k-NN)'!$B$19:$B$28,A16,Dataset!$O$3:$O$12,2),"—")</f>
        <v>0</v>
      </c>
      <c r="D16" s="74">
        <f>IF(AND(ISNUMBER('Synthetic Features (k-NN)'!$B$18),A16&lt;='Synthetic Features (k-NN)'!$B$18),B16+C16,"—")</f>
        <v>1</v>
      </c>
      <c r="E16" s="72">
        <f>IF(AND(ISNUMBER('Synthetic Features (k-NN)'!$B$18),A16&lt;='Synthetic Features (k-NN)'!$B$18),B16/'Parameters'!$B$6,"—")</f>
        <v>0.25</v>
      </c>
      <c r="F16" s="72">
        <f>IF(AND(ISNUMBER('Synthetic Features (k-NN)'!$B$18),A16&lt;='Synthetic Features (k-NN)'!$B$18),C16/'Parameters'!$B$7,"—")</f>
        <v>0</v>
      </c>
      <c r="G16" s="81">
        <f>IF(AND(ISNUMBER('Synthetic Features (k-NN)'!$B$18),A16&lt;='Synthetic Features (k-NN)'!$B$18),IF(D16&gt;0,E16/(E16+F16),"—"),"—")</f>
        <v>1</v>
      </c>
      <c r="H16" s="72">
        <f>IF(ISNUMBER(G16),D16*MAX(G16,1-G16),0)</f>
        <v>1</v>
      </c>
      <c r="J16" s="64">
        <v>0</v>
      </c>
      <c r="K16" s="74">
        <f>IF(AND(ISNUMBER('Synthetic Features (k-NN)'!$C$18),J16&lt;='Synthetic Features (k-NN)'!$C$18),COUNTIFS('Synthetic Features (k-NN)'!$C$19:$C$28,J16,Dataset!$O$3:$O$12,1),"—")</f>
        <v>0</v>
      </c>
      <c r="L16" s="74">
        <f>IF(AND(ISNUMBER('Synthetic Features (k-NN)'!$C$18),J16&lt;='Synthetic Features (k-NN)'!$C$18),COUNTIFS('Synthetic Features (k-NN)'!$C$19:$C$28,J16,Dataset!$O$3:$O$12,2),"—")</f>
        <v>0</v>
      </c>
      <c r="M16" s="74">
        <f>IF(AND(ISNUMBER('Synthetic Features (k-NN)'!$C$18),J16&lt;='Synthetic Features (k-NN)'!$C$18),K16+L16,"—")</f>
        <v>0</v>
      </c>
      <c r="N16" s="72">
        <f>IF(AND(ISNUMBER('Synthetic Features (k-NN)'!$C$18),J16&lt;='Synthetic Features (k-NN)'!$C$18),K16/'Parameters'!$B$6,"—")</f>
        <v>0</v>
      </c>
      <c r="O16" s="72">
        <f>IF(AND(ISNUMBER('Synthetic Features (k-NN)'!$C$18),J16&lt;='Synthetic Features (k-NN)'!$C$18),L16/'Parameters'!$B$7,"—")</f>
        <v>0</v>
      </c>
      <c r="P16" s="81" t="str">
        <f>IF(AND(ISNUMBER('Synthetic Features (k-NN)'!$C$18),J16&lt;='Synthetic Features (k-NN)'!$C$18),IF(M16&gt;0,N16/(N16+O16),"—"),"—")</f>
        <v>—</v>
      </c>
      <c r="Q16" s="72">
        <f>IF(ISNUMBER(P16),M16*MAX(P16,1-P16),0)</f>
        <v>0</v>
      </c>
    </row>
    <row r="17">
      <c r="A17" s="64">
        <v>1</v>
      </c>
      <c r="B17" s="74">
        <f>IF(AND(ISNUMBER('Synthetic Features (k-NN)'!$B$18),A17&lt;='Synthetic Features (k-NN)'!$B$18),COUNTIFS('Synthetic Features (k-NN)'!$B$19:$B$28,A17,Dataset!$O$3:$O$12,1),"—")</f>
        <v>1</v>
      </c>
      <c r="C17" s="74">
        <f>IF(AND(ISNUMBER('Synthetic Features (k-NN)'!$B$18),A17&lt;='Synthetic Features (k-NN)'!$B$18),COUNTIFS('Synthetic Features (k-NN)'!$B$19:$B$28,A17,Dataset!$O$3:$O$12,2),"—")</f>
        <v>1</v>
      </c>
      <c r="D17" s="74">
        <f>IF(AND(ISNUMBER('Synthetic Features (k-NN)'!$B$18),A17&lt;='Synthetic Features (k-NN)'!$B$18),B17+C17,"—")</f>
        <v>2</v>
      </c>
      <c r="E17" s="72">
        <f>IF(AND(ISNUMBER('Synthetic Features (k-NN)'!$B$18),A17&lt;='Synthetic Features (k-NN)'!$B$18),B17/'Parameters'!$B$6,"—")</f>
        <v>0.25</v>
      </c>
      <c r="F17" s="72">
        <f>IF(AND(ISNUMBER('Synthetic Features (k-NN)'!$B$18),A17&lt;='Synthetic Features (k-NN)'!$B$18),C17/'Parameters'!$B$7,"—")</f>
        <v>0.166666666666667</v>
      </c>
      <c r="G17" s="81">
        <f>IF(AND(ISNUMBER('Synthetic Features (k-NN)'!$B$18),A17&lt;='Synthetic Features (k-NN)'!$B$18),IF(D17&gt;0,E17/(E17+F17),"—"),"—")</f>
        <v>0.6</v>
      </c>
      <c r="H17" s="72">
        <f>IF(ISNUMBER(G17),D17*MAX(G17,1-G17),0)</f>
        <v>1.2</v>
      </c>
      <c r="J17" s="64">
        <v>1</v>
      </c>
      <c r="K17" s="74">
        <f>IF(AND(ISNUMBER('Synthetic Features (k-NN)'!$C$18),J17&lt;='Synthetic Features (k-NN)'!$C$18),COUNTIFS('Synthetic Features (k-NN)'!$C$19:$C$28,J17,Dataset!$O$3:$O$12,1),"—")</f>
        <v>0</v>
      </c>
      <c r="L17" s="74">
        <f>IF(AND(ISNUMBER('Synthetic Features (k-NN)'!$C$18),J17&lt;='Synthetic Features (k-NN)'!$C$18),COUNTIFS('Synthetic Features (k-NN)'!$C$19:$C$28,J17,Dataset!$O$3:$O$12,2),"—")</f>
        <v>0</v>
      </c>
      <c r="M17" s="74">
        <f>IF(AND(ISNUMBER('Synthetic Features (k-NN)'!$C$18),J17&lt;='Synthetic Features (k-NN)'!$C$18),K17+L17,"—")</f>
        <v>0</v>
      </c>
      <c r="N17" s="72">
        <f>IF(AND(ISNUMBER('Synthetic Features (k-NN)'!$C$18),J17&lt;='Synthetic Features (k-NN)'!$C$18),K17/'Parameters'!$B$6,"—")</f>
        <v>0</v>
      </c>
      <c r="O17" s="72">
        <f>IF(AND(ISNUMBER('Synthetic Features (k-NN)'!$C$18),J17&lt;='Synthetic Features (k-NN)'!$C$18),L17/'Parameters'!$B$7,"—")</f>
        <v>0</v>
      </c>
      <c r="P17" s="81" t="str">
        <f>IF(AND(ISNUMBER('Synthetic Features (k-NN)'!$C$18),J17&lt;='Synthetic Features (k-NN)'!$C$18),IF(M17&gt;0,N17/(N17+O17),"—"),"—")</f>
        <v>—</v>
      </c>
      <c r="Q17" s="72">
        <f>IF(ISNUMBER(P17),M17*MAX(P17,1-P17),0)</f>
        <v>0</v>
      </c>
    </row>
    <row r="18">
      <c r="A18" s="64">
        <v>2</v>
      </c>
      <c r="B18" s="74">
        <f>IF(AND(ISNUMBER('Synthetic Features (k-NN)'!$B$18),A18&lt;='Synthetic Features (k-NN)'!$B$18),COUNTIFS('Synthetic Features (k-NN)'!$B$19:$B$28,A18,Dataset!$O$3:$O$12,1),"—")</f>
        <v>2</v>
      </c>
      <c r="C18" s="74">
        <f>IF(AND(ISNUMBER('Synthetic Features (k-NN)'!$B$18),A18&lt;='Synthetic Features (k-NN)'!$B$18),COUNTIFS('Synthetic Features (k-NN)'!$B$19:$B$28,A18,Dataset!$O$3:$O$12,2),"—")</f>
        <v>3</v>
      </c>
      <c r="D18" s="74">
        <f>IF(AND(ISNUMBER('Synthetic Features (k-NN)'!$B$18),A18&lt;='Synthetic Features (k-NN)'!$B$18),B18+C18,"—")</f>
        <v>5</v>
      </c>
      <c r="E18" s="72">
        <f>IF(AND(ISNUMBER('Synthetic Features (k-NN)'!$B$18),A18&lt;='Synthetic Features (k-NN)'!$B$18),B18/'Parameters'!$B$6,"—")</f>
        <v>0.5</v>
      </c>
      <c r="F18" s="72">
        <f>IF(AND(ISNUMBER('Synthetic Features (k-NN)'!$B$18),A18&lt;='Synthetic Features (k-NN)'!$B$18),C18/'Parameters'!$B$7,"—")</f>
        <v>0.5</v>
      </c>
      <c r="G18" s="81">
        <f>IF(AND(ISNUMBER('Synthetic Features (k-NN)'!$B$18),A18&lt;='Synthetic Features (k-NN)'!$B$18),IF(D18&gt;0,E18/(E18+F18),"—"),"—")</f>
        <v>0.5</v>
      </c>
      <c r="H18" s="72">
        <f>IF(ISNUMBER(G18),D18*MAX(G18,1-G18),0)</f>
        <v>2.5</v>
      </c>
      <c r="J18" s="64">
        <v>2</v>
      </c>
      <c r="K18" s="74">
        <f>IF(AND(ISNUMBER('Synthetic Features (k-NN)'!$C$18),J18&lt;='Synthetic Features (k-NN)'!$C$18),COUNTIFS('Synthetic Features (k-NN)'!$C$19:$C$28,J18,Dataset!$O$3:$O$12,1),"—")</f>
        <v>4</v>
      </c>
      <c r="L18" s="74">
        <f>IF(AND(ISNUMBER('Synthetic Features (k-NN)'!$C$18),J18&lt;='Synthetic Features (k-NN)'!$C$18),COUNTIFS('Synthetic Features (k-NN)'!$C$19:$C$28,J18,Dataset!$O$3:$O$12,2),"—")</f>
        <v>1</v>
      </c>
      <c r="M18" s="74">
        <f>IF(AND(ISNUMBER('Synthetic Features (k-NN)'!$C$18),J18&lt;='Synthetic Features (k-NN)'!$C$18),K18+L18,"—")</f>
        <v>5</v>
      </c>
      <c r="N18" s="72">
        <f>IF(AND(ISNUMBER('Synthetic Features (k-NN)'!$C$18),J18&lt;='Synthetic Features (k-NN)'!$C$18),K18/'Parameters'!$B$6,"—")</f>
        <v>1</v>
      </c>
      <c r="O18" s="72">
        <f>IF(AND(ISNUMBER('Synthetic Features (k-NN)'!$C$18),J18&lt;='Synthetic Features (k-NN)'!$C$18),L18/'Parameters'!$B$7,"—")</f>
        <v>0.166666666666667</v>
      </c>
      <c r="P18" s="81">
        <f>IF(AND(ISNUMBER('Synthetic Features (k-NN)'!$C$18),J18&lt;='Synthetic Features (k-NN)'!$C$18),IF(M18&gt;0,N18/(N18+O18),"—"),"—")</f>
        <v>0.857142857142857</v>
      </c>
      <c r="Q18" s="72">
        <f>IF(ISNUMBER(P18),M18*MAX(P18,1-P18),0)</f>
        <v>4.28571428571429</v>
      </c>
    </row>
    <row r="19">
      <c r="A19" s="64">
        <v>3</v>
      </c>
      <c r="B19" s="74">
        <f>IF(AND(ISNUMBER('Synthetic Features (k-NN)'!$B$18),A19&lt;='Synthetic Features (k-NN)'!$B$18),COUNTIFS('Synthetic Features (k-NN)'!$B$19:$B$28,A19,Dataset!$O$3:$O$12,1),"—")</f>
        <v>0</v>
      </c>
      <c r="C19" s="74">
        <f>IF(AND(ISNUMBER('Synthetic Features (k-NN)'!$B$18),A19&lt;='Synthetic Features (k-NN)'!$B$18),COUNTIFS('Synthetic Features (k-NN)'!$B$19:$B$28,A19,Dataset!$O$3:$O$12,2),"—")</f>
        <v>2</v>
      </c>
      <c r="D19" s="74">
        <f>IF(AND(ISNUMBER('Synthetic Features (k-NN)'!$B$18),A19&lt;='Synthetic Features (k-NN)'!$B$18),B19+C19,"—")</f>
        <v>2</v>
      </c>
      <c r="E19" s="72">
        <f>IF(AND(ISNUMBER('Synthetic Features (k-NN)'!$B$18),A19&lt;='Synthetic Features (k-NN)'!$B$18),B19/'Parameters'!$B$6,"—")</f>
        <v>0</v>
      </c>
      <c r="F19" s="72">
        <f>IF(AND(ISNUMBER('Synthetic Features (k-NN)'!$B$18),A19&lt;='Synthetic Features (k-NN)'!$B$18),C19/'Parameters'!$B$7,"—")</f>
        <v>0.333333333333333</v>
      </c>
      <c r="G19" s="81">
        <f>IF(AND(ISNUMBER('Synthetic Features (k-NN)'!$B$18),A19&lt;='Synthetic Features (k-NN)'!$B$18),IF(D19&gt;0,E19/(E19+F19),"—"),"—")</f>
        <v>0</v>
      </c>
      <c r="H19" s="72">
        <f>IF(ISNUMBER(G19),D19*MAX(G19,1-G19),0)</f>
        <v>2</v>
      </c>
      <c r="J19" s="64">
        <v>3</v>
      </c>
      <c r="K19" s="74">
        <f>IF(AND(ISNUMBER('Synthetic Features (k-NN)'!$C$18),J19&lt;='Synthetic Features (k-NN)'!$C$18),COUNTIFS('Synthetic Features (k-NN)'!$C$19:$C$28,J19,Dataset!$O$3:$O$12,1),"—")</f>
        <v>0</v>
      </c>
      <c r="L19" s="74">
        <f>IF(AND(ISNUMBER('Synthetic Features (k-NN)'!$C$18),J19&lt;='Synthetic Features (k-NN)'!$C$18),COUNTIFS('Synthetic Features (k-NN)'!$C$19:$C$28,J19,Dataset!$O$3:$O$12,2),"—")</f>
        <v>3</v>
      </c>
      <c r="M19" s="74">
        <f>IF(AND(ISNUMBER('Synthetic Features (k-NN)'!$C$18),J19&lt;='Synthetic Features (k-NN)'!$C$18),K19+L19,"—")</f>
        <v>3</v>
      </c>
      <c r="N19" s="72">
        <f>IF(AND(ISNUMBER('Synthetic Features (k-NN)'!$C$18),J19&lt;='Synthetic Features (k-NN)'!$C$18),K19/'Parameters'!$B$6,"—")</f>
        <v>0</v>
      </c>
      <c r="O19" s="72">
        <f>IF(AND(ISNUMBER('Synthetic Features (k-NN)'!$C$18),J19&lt;='Synthetic Features (k-NN)'!$C$18),L19/'Parameters'!$B$7,"—")</f>
        <v>0.5</v>
      </c>
      <c r="P19" s="81">
        <f>IF(AND(ISNUMBER('Synthetic Features (k-NN)'!$C$18),J19&lt;='Synthetic Features (k-NN)'!$C$18),IF(M19&gt;0,N19/(N19+O19),"—"),"—")</f>
        <v>0</v>
      </c>
      <c r="Q19" s="72">
        <f>IF(ISNUMBER(P19),M19*MAX(P19,1-P19),0)</f>
        <v>3</v>
      </c>
    </row>
    <row r="20">
      <c r="A20" s="64">
        <v>4</v>
      </c>
      <c r="B20" s="74" t="str">
        <f>IF(AND(ISNUMBER('Synthetic Features (k-NN)'!$B$18),A20&lt;='Synthetic Features (k-NN)'!$B$18),COUNTIFS('Synthetic Features (k-NN)'!$B$19:$B$28,A20,Dataset!$O$3:$O$12,1),"—")</f>
        <v>—</v>
      </c>
      <c r="C20" s="74" t="str">
        <f>IF(AND(ISNUMBER('Synthetic Features (k-NN)'!$B$18),A20&lt;='Synthetic Features (k-NN)'!$B$18),COUNTIFS('Synthetic Features (k-NN)'!$B$19:$B$28,A20,Dataset!$O$3:$O$12,2),"—")</f>
        <v>—</v>
      </c>
      <c r="D20" s="74" t="str">
        <f>IF(AND(ISNUMBER('Synthetic Features (k-NN)'!$B$18),A20&lt;='Synthetic Features (k-NN)'!$B$18),B20+C20,"—")</f>
        <v>—</v>
      </c>
      <c r="E20" s="72" t="str">
        <f>IF(AND(ISNUMBER('Synthetic Features (k-NN)'!$B$18),A20&lt;='Synthetic Features (k-NN)'!$B$18),B20/'Parameters'!$B$6,"—")</f>
        <v>—</v>
      </c>
      <c r="F20" s="72" t="str">
        <f>IF(AND(ISNUMBER('Synthetic Features (k-NN)'!$B$18),A20&lt;='Synthetic Features (k-NN)'!$B$18),C20/'Parameters'!$B$7,"—")</f>
        <v>—</v>
      </c>
      <c r="G20" s="81" t="str">
        <f>IF(AND(ISNUMBER('Synthetic Features (k-NN)'!$B$18),A20&lt;='Synthetic Features (k-NN)'!$B$18),IF(D20&gt;0,E20/(E20+F20),"—"),"—")</f>
        <v>—</v>
      </c>
      <c r="H20" s="72">
        <f>IF(ISNUMBER(G20),D20*MAX(G20,1-G20),0)</f>
        <v>0</v>
      </c>
      <c r="J20" s="64">
        <v>4</v>
      </c>
      <c r="K20" s="74">
        <f>IF(AND(ISNUMBER('Synthetic Features (k-NN)'!$C$18),J20&lt;='Synthetic Features (k-NN)'!$C$18),COUNTIFS('Synthetic Features (k-NN)'!$C$19:$C$28,J20,Dataset!$O$3:$O$12,1),"—")</f>
        <v>0</v>
      </c>
      <c r="L20" s="74">
        <f>IF(AND(ISNUMBER('Synthetic Features (k-NN)'!$C$18),J20&lt;='Synthetic Features (k-NN)'!$C$18),COUNTIFS('Synthetic Features (k-NN)'!$C$19:$C$28,J20,Dataset!$O$3:$O$12,2),"—")</f>
        <v>2</v>
      </c>
      <c r="M20" s="74">
        <f>IF(AND(ISNUMBER('Synthetic Features (k-NN)'!$C$18),J20&lt;='Synthetic Features (k-NN)'!$C$18),K20+L20,"—")</f>
        <v>2</v>
      </c>
      <c r="N20" s="72">
        <f>IF(AND(ISNUMBER('Synthetic Features (k-NN)'!$C$18),J20&lt;='Synthetic Features (k-NN)'!$C$18),K20/'Parameters'!$B$6,"—")</f>
        <v>0</v>
      </c>
      <c r="O20" s="72">
        <f>IF(AND(ISNUMBER('Synthetic Features (k-NN)'!$C$18),J20&lt;='Synthetic Features (k-NN)'!$C$18),L20/'Parameters'!$B$7,"—")</f>
        <v>0.333333333333333</v>
      </c>
      <c r="P20" s="81">
        <f>IF(AND(ISNUMBER('Synthetic Features (k-NN)'!$C$18),J20&lt;='Synthetic Features (k-NN)'!$C$18),IF(M20&gt;0,N20/(N20+O20),"—"),"—")</f>
        <v>0</v>
      </c>
      <c r="Q20" s="72">
        <f>IF(ISNUMBER(P20),M20*MAX(P20,1-P20),0)</f>
        <v>2</v>
      </c>
    </row>
    <row r="21">
      <c r="A21" s="64">
        <v>5</v>
      </c>
      <c r="B21" s="74" t="str">
        <f>IF(AND(ISNUMBER('Synthetic Features (k-NN)'!$B$18),A21&lt;='Synthetic Features (k-NN)'!$B$18),COUNTIFS('Synthetic Features (k-NN)'!$B$19:$B$28,A21,Dataset!$O$3:$O$12,1),"—")</f>
        <v>—</v>
      </c>
      <c r="C21" s="74" t="str">
        <f>IF(AND(ISNUMBER('Synthetic Features (k-NN)'!$B$18),A21&lt;='Synthetic Features (k-NN)'!$B$18),COUNTIFS('Synthetic Features (k-NN)'!$B$19:$B$28,A21,Dataset!$O$3:$O$12,2),"—")</f>
        <v>—</v>
      </c>
      <c r="D21" s="74" t="str">
        <f>IF(AND(ISNUMBER('Synthetic Features (k-NN)'!$B$18),A21&lt;='Synthetic Features (k-NN)'!$B$18),B21+C21,"—")</f>
        <v>—</v>
      </c>
      <c r="E21" s="72" t="str">
        <f>IF(AND(ISNUMBER('Synthetic Features (k-NN)'!$B$18),A21&lt;='Synthetic Features (k-NN)'!$B$18),B21/'Parameters'!$B$6,"—")</f>
        <v>—</v>
      </c>
      <c r="F21" s="72" t="str">
        <f>IF(AND(ISNUMBER('Synthetic Features (k-NN)'!$B$18),A21&lt;='Synthetic Features (k-NN)'!$B$18),C21/'Parameters'!$B$7,"—")</f>
        <v>—</v>
      </c>
      <c r="G21" s="81" t="str">
        <f>IF(AND(ISNUMBER('Synthetic Features (k-NN)'!$B$18),A21&lt;='Synthetic Features (k-NN)'!$B$18),IF(D21&gt;0,E21/(E21+F21),"—"),"—")</f>
        <v>—</v>
      </c>
      <c r="H21" s="72">
        <f>IF(ISNUMBER(G21),D21*MAX(G21,1-G21),0)</f>
        <v>0</v>
      </c>
      <c r="J21" s="64">
        <v>5</v>
      </c>
      <c r="K21" s="74">
        <f>IF(AND(ISNUMBER('Synthetic Features (k-NN)'!$C$18),J21&lt;='Synthetic Features (k-NN)'!$C$18),COUNTIFS('Synthetic Features (k-NN)'!$C$19:$C$28,J21,Dataset!$O$3:$O$12,1),"—")</f>
        <v>0</v>
      </c>
      <c r="L21" s="74">
        <f>IF(AND(ISNUMBER('Synthetic Features (k-NN)'!$C$18),J21&lt;='Synthetic Features (k-NN)'!$C$18),COUNTIFS('Synthetic Features (k-NN)'!$C$19:$C$28,J21,Dataset!$O$3:$O$12,2),"—")</f>
        <v>0</v>
      </c>
      <c r="M21" s="74">
        <f>IF(AND(ISNUMBER('Synthetic Features (k-NN)'!$C$18),J21&lt;='Synthetic Features (k-NN)'!$C$18),K21+L21,"—")</f>
        <v>0</v>
      </c>
      <c r="N21" s="72">
        <f>IF(AND(ISNUMBER('Synthetic Features (k-NN)'!$C$18),J21&lt;='Synthetic Features (k-NN)'!$C$18),K21/'Parameters'!$B$6,"—")</f>
        <v>0</v>
      </c>
      <c r="O21" s="72">
        <f>IF(AND(ISNUMBER('Synthetic Features (k-NN)'!$C$18),J21&lt;='Synthetic Features (k-NN)'!$C$18),L21/'Parameters'!$B$7,"—")</f>
        <v>0</v>
      </c>
      <c r="P21" s="81" t="str">
        <f>IF(AND(ISNUMBER('Synthetic Features (k-NN)'!$C$18),J21&lt;='Synthetic Features (k-NN)'!$C$18),IF(M21&gt;0,N21/(N21+O21),"—"),"—")</f>
        <v>—</v>
      </c>
      <c r="Q21" s="72">
        <f>IF(ISNUMBER(P21),M21*MAX(P21,1-P21),0)</f>
        <v>0</v>
      </c>
    </row>
    <row r="22">
      <c r="A22" s="82" t="str">
        <f>"stability g_k by (2),  β = k = "&amp;'Synthetic Features (k-NN)'!$B$18&amp;",  g = Σ / m"</f>
        <v>stability g_k by (2),  β = k = 3,  g = Σ / m</v>
      </c>
      <c r="B22" s="82"/>
      <c r="C22" s="82"/>
      <c r="D22" s="82"/>
      <c r="E22" s="82"/>
      <c r="F22" s="82"/>
      <c r="G22" s="82"/>
      <c r="H22" s="85">
        <f>SUM(H16:H21)/'Parameters'!$B$5</f>
        <v>0.67</v>
      </c>
      <c r="J22" s="82" t="str">
        <f>"stability g_k by (2),  β = k = "&amp;'Synthetic Features (k-NN)'!$C$18&amp;",  g = Σ / m"</f>
        <v>stability g_k by (2),  β = k = 5,  g = Σ / m</v>
      </c>
      <c r="K22" s="82"/>
      <c r="L22" s="82"/>
      <c r="M22" s="82"/>
      <c r="N22" s="82"/>
      <c r="O22" s="82"/>
      <c r="P22" s="82"/>
      <c r="Q22" s="85">
        <f>SUM(Q16:Q21)/'Parameters'!$B$5</f>
        <v>0.928571428571429</v>
      </c>
    </row>
    <row r="23"/>
    <row r="24"/>
    <row r="25">
      <c r="A25" s="58" t="str">
        <f>"a₅  ·  operator ρ_J  ·  k = "&amp;'Synthetic Features (k-NN)'!$B$32&amp;"  ·  gradation μ = same-class count"</f>
        <v>a₅  ·  operator ρ_J  ·  k = 3  ·  gradation μ = same-class count</v>
      </c>
      <c r="B25" s="58"/>
      <c r="C25" s="58"/>
      <c r="D25" s="58"/>
      <c r="E25" s="58"/>
      <c r="F25" s="58"/>
      <c r="G25" s="58"/>
      <c r="H25" s="58"/>
      <c r="J25" s="58" t="str">
        <f>"a₆  ·  operator ρ_J  ·  k = "&amp;'Synthetic Features (k-NN)'!$C$32&amp;"  ·  gradation μ = same-class count"</f>
        <v>a₆  ·  operator ρ_J  ·  k = 5  ·  gradation μ = same-class count</v>
      </c>
      <c r="K25" s="58"/>
      <c r="L25" s="58"/>
      <c r="M25" s="58"/>
      <c r="N25" s="58"/>
      <c r="O25" s="58"/>
      <c r="P25" s="58"/>
      <c r="Q25" s="58"/>
    </row>
    <row r="26">
      <c r="A26" s="60" t="inlineStr">
        <is>
          <t xml:space="preserve">μ</t>
        </is>
      </c>
      <c r="B26" s="60" t="inlineStr">
        <is>
          <t xml:space="preserve">d₁ₖ(μ)</t>
        </is>
      </c>
      <c r="C26" s="60" t="inlineStr">
        <is>
          <t xml:space="preserve">d₂ₖ(μ)</t>
        </is>
      </c>
      <c r="D26" s="60" t="inlineStr">
        <is>
          <t xml:space="preserve">n(μ)</t>
        </is>
      </c>
      <c r="E26" s="60" t="inlineStr">
        <is>
          <t xml:space="preserve">d₁ₖ/|K1|</t>
        </is>
      </c>
      <c r="F26" s="60" t="inlineStr">
        <is>
          <t xml:space="preserve">d₂ₖ/|K2|</t>
        </is>
      </c>
      <c r="G26" s="60" t="inlineStr">
        <is>
          <t xml:space="preserve">f_k(μ)</t>
        </is>
      </c>
      <c r="H26" s="60" t="inlineStr">
        <is>
          <t xml:space="preserve">n·max(f, 1−f)</t>
        </is>
      </c>
      <c r="J26" s="60" t="inlineStr">
        <is>
          <t xml:space="preserve">μ</t>
        </is>
      </c>
      <c r="K26" s="60" t="inlineStr">
        <is>
          <t xml:space="preserve">d₁ₖ(μ)</t>
        </is>
      </c>
      <c r="L26" s="60" t="inlineStr">
        <is>
          <t xml:space="preserve">d₂ₖ(μ)</t>
        </is>
      </c>
      <c r="M26" s="60" t="inlineStr">
        <is>
          <t xml:space="preserve">n(μ)</t>
        </is>
      </c>
      <c r="N26" s="60" t="inlineStr">
        <is>
          <t xml:space="preserve">d₁ₖ/|K1|</t>
        </is>
      </c>
      <c r="O26" s="60" t="inlineStr">
        <is>
          <t xml:space="preserve">d₂ₖ/|K2|</t>
        </is>
      </c>
      <c r="P26" s="60" t="inlineStr">
        <is>
          <t xml:space="preserve">f_k(μ)</t>
        </is>
      </c>
      <c r="Q26" s="60" t="inlineStr">
        <is>
          <t xml:space="preserve">n·max(f, 1−f)</t>
        </is>
      </c>
    </row>
    <row r="27">
      <c r="A27" s="64">
        <v>0</v>
      </c>
      <c r="B27" s="74">
        <f>IF(AND(ISNUMBER('Synthetic Features (k-NN)'!$B$32),A27&lt;='Synthetic Features (k-NN)'!$B$32),COUNTIFS('Synthetic Features (k-NN)'!$B$33:$B$42,A27,Dataset!$O$3:$O$12,1),"—")</f>
        <v>1</v>
      </c>
      <c r="C27" s="74">
        <f>IF(AND(ISNUMBER('Synthetic Features (k-NN)'!$B$32),A27&lt;='Synthetic Features (k-NN)'!$B$32),COUNTIFS('Synthetic Features (k-NN)'!$B$33:$B$42,A27,Dataset!$O$3:$O$12,2),"—")</f>
        <v>0</v>
      </c>
      <c r="D27" s="74">
        <f>IF(AND(ISNUMBER('Synthetic Features (k-NN)'!$B$32),A27&lt;='Synthetic Features (k-NN)'!$B$32),B27+C27,"—")</f>
        <v>1</v>
      </c>
      <c r="E27" s="72">
        <f>IF(AND(ISNUMBER('Synthetic Features (k-NN)'!$B$32),A27&lt;='Synthetic Features (k-NN)'!$B$32),B27/'Parameters'!$B$6,"—")</f>
        <v>0.25</v>
      </c>
      <c r="F27" s="72">
        <f>IF(AND(ISNUMBER('Synthetic Features (k-NN)'!$B$32),A27&lt;='Synthetic Features (k-NN)'!$B$32),C27/'Parameters'!$B$7,"—")</f>
        <v>0</v>
      </c>
      <c r="G27" s="81">
        <f>IF(AND(ISNUMBER('Synthetic Features (k-NN)'!$B$32),A27&lt;='Synthetic Features (k-NN)'!$B$32),IF(D27&gt;0,E27/(E27+F27),"—"),"—")</f>
        <v>1</v>
      </c>
      <c r="H27" s="72">
        <f>IF(ISNUMBER(G27),D27*MAX(G27,1-G27),0)</f>
        <v>1</v>
      </c>
      <c r="J27" s="64">
        <v>0</v>
      </c>
      <c r="K27" s="74">
        <f>IF(AND(ISNUMBER('Synthetic Features (k-NN)'!$C$32),J27&lt;='Synthetic Features (k-NN)'!$C$32),COUNTIFS('Synthetic Features (k-NN)'!$C$33:$C$42,J27,Dataset!$O$3:$O$12,1),"—")</f>
        <v>1</v>
      </c>
      <c r="L27" s="74">
        <f>IF(AND(ISNUMBER('Synthetic Features (k-NN)'!$C$32),J27&lt;='Synthetic Features (k-NN)'!$C$32),COUNTIFS('Synthetic Features (k-NN)'!$C$33:$C$42,J27,Dataset!$O$3:$O$12,2),"—")</f>
        <v>0</v>
      </c>
      <c r="M27" s="74">
        <f>IF(AND(ISNUMBER('Synthetic Features (k-NN)'!$C$32),J27&lt;='Synthetic Features (k-NN)'!$C$32),K27+L27,"—")</f>
        <v>1</v>
      </c>
      <c r="N27" s="72">
        <f>IF(AND(ISNUMBER('Synthetic Features (k-NN)'!$C$32),J27&lt;='Synthetic Features (k-NN)'!$C$32),K27/'Parameters'!$B$6,"—")</f>
        <v>0.25</v>
      </c>
      <c r="O27" s="72">
        <f>IF(AND(ISNUMBER('Synthetic Features (k-NN)'!$C$32),J27&lt;='Synthetic Features (k-NN)'!$C$32),L27/'Parameters'!$B$7,"—")</f>
        <v>0</v>
      </c>
      <c r="P27" s="81">
        <f>IF(AND(ISNUMBER('Synthetic Features (k-NN)'!$C$32),J27&lt;='Synthetic Features (k-NN)'!$C$32),IF(M27&gt;0,N27/(N27+O27),"—"),"—")</f>
        <v>1</v>
      </c>
      <c r="Q27" s="72">
        <f>IF(ISNUMBER(P27),M27*MAX(P27,1-P27),0)</f>
        <v>1</v>
      </c>
    </row>
    <row r="28">
      <c r="A28" s="64">
        <v>1</v>
      </c>
      <c r="B28" s="74">
        <f>IF(AND(ISNUMBER('Synthetic Features (k-NN)'!$B$32),A28&lt;='Synthetic Features (k-NN)'!$B$32),COUNTIFS('Synthetic Features (k-NN)'!$B$33:$B$42,A28,Dataset!$O$3:$O$12,1),"—")</f>
        <v>3</v>
      </c>
      <c r="C28" s="74">
        <f>IF(AND(ISNUMBER('Synthetic Features (k-NN)'!$B$32),A28&lt;='Synthetic Features (k-NN)'!$B$32),COUNTIFS('Synthetic Features (k-NN)'!$B$33:$B$42,A28,Dataset!$O$3:$O$12,2),"—")</f>
        <v>1</v>
      </c>
      <c r="D28" s="74">
        <f>IF(AND(ISNUMBER('Synthetic Features (k-NN)'!$B$32),A28&lt;='Synthetic Features (k-NN)'!$B$32),B28+C28,"—")</f>
        <v>4</v>
      </c>
      <c r="E28" s="72">
        <f>IF(AND(ISNUMBER('Synthetic Features (k-NN)'!$B$32),A28&lt;='Synthetic Features (k-NN)'!$B$32),B28/'Parameters'!$B$6,"—")</f>
        <v>0.75</v>
      </c>
      <c r="F28" s="72">
        <f>IF(AND(ISNUMBER('Synthetic Features (k-NN)'!$B$32),A28&lt;='Synthetic Features (k-NN)'!$B$32),C28/'Parameters'!$B$7,"—")</f>
        <v>0.166666666666667</v>
      </c>
      <c r="G28" s="81">
        <f>IF(AND(ISNUMBER('Synthetic Features (k-NN)'!$B$32),A28&lt;='Synthetic Features (k-NN)'!$B$32),IF(D28&gt;0,E28/(E28+F28),"—"),"—")</f>
        <v>0.818181818181818</v>
      </c>
      <c r="H28" s="72">
        <f>IF(ISNUMBER(G28),D28*MAX(G28,1-G28),0)</f>
        <v>3.27272727272727</v>
      </c>
      <c r="J28" s="64">
        <v>1</v>
      </c>
      <c r="K28" s="74">
        <f>IF(AND(ISNUMBER('Synthetic Features (k-NN)'!$C$32),J28&lt;='Synthetic Features (k-NN)'!$C$32),COUNTIFS('Synthetic Features (k-NN)'!$C$33:$C$42,J28,Dataset!$O$3:$O$12,1),"—")</f>
        <v>3</v>
      </c>
      <c r="L28" s="74">
        <f>IF(AND(ISNUMBER('Synthetic Features (k-NN)'!$C$32),J28&lt;='Synthetic Features (k-NN)'!$C$32),COUNTIFS('Synthetic Features (k-NN)'!$C$33:$C$42,J28,Dataset!$O$3:$O$12,2),"—")</f>
        <v>0</v>
      </c>
      <c r="M28" s="74">
        <f>IF(AND(ISNUMBER('Synthetic Features (k-NN)'!$C$32),J28&lt;='Synthetic Features (k-NN)'!$C$32),K28+L28,"—")</f>
        <v>3</v>
      </c>
      <c r="N28" s="72">
        <f>IF(AND(ISNUMBER('Synthetic Features (k-NN)'!$C$32),J28&lt;='Synthetic Features (k-NN)'!$C$32),K28/'Parameters'!$B$6,"—")</f>
        <v>0.75</v>
      </c>
      <c r="O28" s="72">
        <f>IF(AND(ISNUMBER('Synthetic Features (k-NN)'!$C$32),J28&lt;='Synthetic Features (k-NN)'!$C$32),L28/'Parameters'!$B$7,"—")</f>
        <v>0</v>
      </c>
      <c r="P28" s="81">
        <f>IF(AND(ISNUMBER('Synthetic Features (k-NN)'!$C$32),J28&lt;='Synthetic Features (k-NN)'!$C$32),IF(M28&gt;0,N28/(N28+O28),"—"),"—")</f>
        <v>1</v>
      </c>
      <c r="Q28" s="72">
        <f>IF(ISNUMBER(P28),M28*MAX(P28,1-P28),0)</f>
        <v>3</v>
      </c>
    </row>
    <row r="29">
      <c r="A29" s="64">
        <v>2</v>
      </c>
      <c r="B29" s="74">
        <f>IF(AND(ISNUMBER('Synthetic Features (k-NN)'!$B$32),A29&lt;='Synthetic Features (k-NN)'!$B$32),COUNTIFS('Synthetic Features (k-NN)'!$B$33:$B$42,A29,Dataset!$O$3:$O$12,1),"—")</f>
        <v>0</v>
      </c>
      <c r="C29" s="74">
        <f>IF(AND(ISNUMBER('Synthetic Features (k-NN)'!$B$32),A29&lt;='Synthetic Features (k-NN)'!$B$32),COUNTIFS('Synthetic Features (k-NN)'!$B$33:$B$42,A29,Dataset!$O$3:$O$12,2),"—")</f>
        <v>3</v>
      </c>
      <c r="D29" s="74">
        <f>IF(AND(ISNUMBER('Synthetic Features (k-NN)'!$B$32),A29&lt;='Synthetic Features (k-NN)'!$B$32),B29+C29,"—")</f>
        <v>3</v>
      </c>
      <c r="E29" s="72">
        <f>IF(AND(ISNUMBER('Synthetic Features (k-NN)'!$B$32),A29&lt;='Synthetic Features (k-NN)'!$B$32),B29/'Parameters'!$B$6,"—")</f>
        <v>0</v>
      </c>
      <c r="F29" s="72">
        <f>IF(AND(ISNUMBER('Synthetic Features (k-NN)'!$B$32),A29&lt;='Synthetic Features (k-NN)'!$B$32),C29/'Parameters'!$B$7,"—")</f>
        <v>0.5</v>
      </c>
      <c r="G29" s="81">
        <f>IF(AND(ISNUMBER('Synthetic Features (k-NN)'!$B$32),A29&lt;='Synthetic Features (k-NN)'!$B$32),IF(D29&gt;0,E29/(E29+F29),"—"),"—")</f>
        <v>0</v>
      </c>
      <c r="H29" s="72">
        <f>IF(ISNUMBER(G29),D29*MAX(G29,1-G29),0)</f>
        <v>3</v>
      </c>
      <c r="J29" s="64">
        <v>2</v>
      </c>
      <c r="K29" s="74">
        <f>IF(AND(ISNUMBER('Synthetic Features (k-NN)'!$C$32),J29&lt;='Synthetic Features (k-NN)'!$C$32),COUNTIFS('Synthetic Features (k-NN)'!$C$33:$C$42,J29,Dataset!$O$3:$O$12,1),"—")</f>
        <v>0</v>
      </c>
      <c r="L29" s="74">
        <f>IF(AND(ISNUMBER('Synthetic Features (k-NN)'!$C$32),J29&lt;='Synthetic Features (k-NN)'!$C$32),COUNTIFS('Synthetic Features (k-NN)'!$C$33:$C$42,J29,Dataset!$O$3:$O$12,2),"—")</f>
        <v>1</v>
      </c>
      <c r="M29" s="74">
        <f>IF(AND(ISNUMBER('Synthetic Features (k-NN)'!$C$32),J29&lt;='Synthetic Features (k-NN)'!$C$32),K29+L29,"—")</f>
        <v>1</v>
      </c>
      <c r="N29" s="72">
        <f>IF(AND(ISNUMBER('Synthetic Features (k-NN)'!$C$32),J29&lt;='Synthetic Features (k-NN)'!$C$32),K29/'Parameters'!$B$6,"—")</f>
        <v>0</v>
      </c>
      <c r="O29" s="72">
        <f>IF(AND(ISNUMBER('Synthetic Features (k-NN)'!$C$32),J29&lt;='Synthetic Features (k-NN)'!$C$32),L29/'Parameters'!$B$7,"—")</f>
        <v>0.166666666666667</v>
      </c>
      <c r="P29" s="81">
        <f>IF(AND(ISNUMBER('Synthetic Features (k-NN)'!$C$32),J29&lt;='Synthetic Features (k-NN)'!$C$32),IF(M29&gt;0,N29/(N29+O29),"—"),"—")</f>
        <v>0</v>
      </c>
      <c r="Q29" s="72">
        <f>IF(ISNUMBER(P29),M29*MAX(P29,1-P29),0)</f>
        <v>1</v>
      </c>
    </row>
    <row r="30">
      <c r="A30" s="64">
        <v>3</v>
      </c>
      <c r="B30" s="74">
        <f>IF(AND(ISNUMBER('Synthetic Features (k-NN)'!$B$32),A30&lt;='Synthetic Features (k-NN)'!$B$32),COUNTIFS('Synthetic Features (k-NN)'!$B$33:$B$42,A30,Dataset!$O$3:$O$12,1),"—")</f>
        <v>0</v>
      </c>
      <c r="C30" s="74">
        <f>IF(AND(ISNUMBER('Synthetic Features (k-NN)'!$B$32),A30&lt;='Synthetic Features (k-NN)'!$B$32),COUNTIFS('Synthetic Features (k-NN)'!$B$33:$B$42,A30,Dataset!$O$3:$O$12,2),"—")</f>
        <v>2</v>
      </c>
      <c r="D30" s="74">
        <f>IF(AND(ISNUMBER('Synthetic Features (k-NN)'!$B$32),A30&lt;='Synthetic Features (k-NN)'!$B$32),B30+C30,"—")</f>
        <v>2</v>
      </c>
      <c r="E30" s="72">
        <f>IF(AND(ISNUMBER('Synthetic Features (k-NN)'!$B$32),A30&lt;='Synthetic Features (k-NN)'!$B$32),B30/'Parameters'!$B$6,"—")</f>
        <v>0</v>
      </c>
      <c r="F30" s="72">
        <f>IF(AND(ISNUMBER('Synthetic Features (k-NN)'!$B$32),A30&lt;='Synthetic Features (k-NN)'!$B$32),C30/'Parameters'!$B$7,"—")</f>
        <v>0.333333333333333</v>
      </c>
      <c r="G30" s="81">
        <f>IF(AND(ISNUMBER('Synthetic Features (k-NN)'!$B$32),A30&lt;='Synthetic Features (k-NN)'!$B$32),IF(D30&gt;0,E30/(E30+F30),"—"),"—")</f>
        <v>0</v>
      </c>
      <c r="H30" s="72">
        <f>IF(ISNUMBER(G30),D30*MAX(G30,1-G30),0)</f>
        <v>2</v>
      </c>
      <c r="J30" s="64">
        <v>3</v>
      </c>
      <c r="K30" s="74">
        <f>IF(AND(ISNUMBER('Synthetic Features (k-NN)'!$C$32),J30&lt;='Synthetic Features (k-NN)'!$C$32),COUNTIFS('Synthetic Features (k-NN)'!$C$33:$C$42,J30,Dataset!$O$3:$O$12,1),"—")</f>
        <v>0</v>
      </c>
      <c r="L30" s="74">
        <f>IF(AND(ISNUMBER('Synthetic Features (k-NN)'!$C$32),J30&lt;='Synthetic Features (k-NN)'!$C$32),COUNTIFS('Synthetic Features (k-NN)'!$C$33:$C$42,J30,Dataset!$O$3:$O$12,2),"—")</f>
        <v>5</v>
      </c>
      <c r="M30" s="74">
        <f>IF(AND(ISNUMBER('Synthetic Features (k-NN)'!$C$32),J30&lt;='Synthetic Features (k-NN)'!$C$32),K30+L30,"—")</f>
        <v>5</v>
      </c>
      <c r="N30" s="72">
        <f>IF(AND(ISNUMBER('Synthetic Features (k-NN)'!$C$32),J30&lt;='Synthetic Features (k-NN)'!$C$32),K30/'Parameters'!$B$6,"—")</f>
        <v>0</v>
      </c>
      <c r="O30" s="72">
        <f>IF(AND(ISNUMBER('Synthetic Features (k-NN)'!$C$32),J30&lt;='Synthetic Features (k-NN)'!$C$32),L30/'Parameters'!$B$7,"—")</f>
        <v>0.833333333333333</v>
      </c>
      <c r="P30" s="81">
        <f>IF(AND(ISNUMBER('Synthetic Features (k-NN)'!$C$32),J30&lt;='Synthetic Features (k-NN)'!$C$32),IF(M30&gt;0,N30/(N30+O30),"—"),"—")</f>
        <v>0</v>
      </c>
      <c r="Q30" s="72">
        <f>IF(ISNUMBER(P30),M30*MAX(P30,1-P30),0)</f>
        <v>5</v>
      </c>
    </row>
    <row r="31">
      <c r="A31" s="64">
        <v>4</v>
      </c>
      <c r="B31" s="74" t="str">
        <f>IF(AND(ISNUMBER('Synthetic Features (k-NN)'!$B$32),A31&lt;='Synthetic Features (k-NN)'!$B$32),COUNTIFS('Synthetic Features (k-NN)'!$B$33:$B$42,A31,Dataset!$O$3:$O$12,1),"—")</f>
        <v>—</v>
      </c>
      <c r="C31" s="74" t="str">
        <f>IF(AND(ISNUMBER('Synthetic Features (k-NN)'!$B$32),A31&lt;='Synthetic Features (k-NN)'!$B$32),COUNTIFS('Synthetic Features (k-NN)'!$B$33:$B$42,A31,Dataset!$O$3:$O$12,2),"—")</f>
        <v>—</v>
      </c>
      <c r="D31" s="74" t="str">
        <f>IF(AND(ISNUMBER('Synthetic Features (k-NN)'!$B$32),A31&lt;='Synthetic Features (k-NN)'!$B$32),B31+C31,"—")</f>
        <v>—</v>
      </c>
      <c r="E31" s="72" t="str">
        <f>IF(AND(ISNUMBER('Synthetic Features (k-NN)'!$B$32),A31&lt;='Synthetic Features (k-NN)'!$B$32),B31/'Parameters'!$B$6,"—")</f>
        <v>—</v>
      </c>
      <c r="F31" s="72" t="str">
        <f>IF(AND(ISNUMBER('Synthetic Features (k-NN)'!$B$32),A31&lt;='Synthetic Features (k-NN)'!$B$32),C31/'Parameters'!$B$7,"—")</f>
        <v>—</v>
      </c>
      <c r="G31" s="81" t="str">
        <f>IF(AND(ISNUMBER('Synthetic Features (k-NN)'!$B$32),A31&lt;='Synthetic Features (k-NN)'!$B$32),IF(D31&gt;0,E31/(E31+F31),"—"),"—")</f>
        <v>—</v>
      </c>
      <c r="H31" s="72">
        <f>IF(ISNUMBER(G31),D31*MAX(G31,1-G31),0)</f>
        <v>0</v>
      </c>
      <c r="J31" s="64">
        <v>4</v>
      </c>
      <c r="K31" s="74">
        <f>IF(AND(ISNUMBER('Synthetic Features (k-NN)'!$C$32),J31&lt;='Synthetic Features (k-NN)'!$C$32),COUNTIFS('Synthetic Features (k-NN)'!$C$33:$C$42,J31,Dataset!$O$3:$O$12,1),"—")</f>
        <v>0</v>
      </c>
      <c r="L31" s="74">
        <f>IF(AND(ISNUMBER('Synthetic Features (k-NN)'!$C$32),J31&lt;='Synthetic Features (k-NN)'!$C$32),COUNTIFS('Synthetic Features (k-NN)'!$C$33:$C$42,J31,Dataset!$O$3:$O$12,2),"—")</f>
        <v>0</v>
      </c>
      <c r="M31" s="74">
        <f>IF(AND(ISNUMBER('Synthetic Features (k-NN)'!$C$32),J31&lt;='Synthetic Features (k-NN)'!$C$32),K31+L31,"—")</f>
        <v>0</v>
      </c>
      <c r="N31" s="72">
        <f>IF(AND(ISNUMBER('Synthetic Features (k-NN)'!$C$32),J31&lt;='Synthetic Features (k-NN)'!$C$32),K31/'Parameters'!$B$6,"—")</f>
        <v>0</v>
      </c>
      <c r="O31" s="72">
        <f>IF(AND(ISNUMBER('Synthetic Features (k-NN)'!$C$32),J31&lt;='Synthetic Features (k-NN)'!$C$32),L31/'Parameters'!$B$7,"—")</f>
        <v>0</v>
      </c>
      <c r="P31" s="81" t="str">
        <f>IF(AND(ISNUMBER('Synthetic Features (k-NN)'!$C$32),J31&lt;='Synthetic Features (k-NN)'!$C$32),IF(M31&gt;0,N31/(N31+O31),"—"),"—")</f>
        <v>—</v>
      </c>
      <c r="Q31" s="72">
        <f>IF(ISNUMBER(P31),M31*MAX(P31,1-P31),0)</f>
        <v>0</v>
      </c>
    </row>
    <row r="32">
      <c r="A32" s="64">
        <v>5</v>
      </c>
      <c r="B32" s="74" t="str">
        <f>IF(AND(ISNUMBER('Synthetic Features (k-NN)'!$B$32),A32&lt;='Synthetic Features (k-NN)'!$B$32),COUNTIFS('Synthetic Features (k-NN)'!$B$33:$B$42,A32,Dataset!$O$3:$O$12,1),"—")</f>
        <v>—</v>
      </c>
      <c r="C32" s="74" t="str">
        <f>IF(AND(ISNUMBER('Synthetic Features (k-NN)'!$B$32),A32&lt;='Synthetic Features (k-NN)'!$B$32),COUNTIFS('Synthetic Features (k-NN)'!$B$33:$B$42,A32,Dataset!$O$3:$O$12,2),"—")</f>
        <v>—</v>
      </c>
      <c r="D32" s="74" t="str">
        <f>IF(AND(ISNUMBER('Synthetic Features (k-NN)'!$B$32),A32&lt;='Synthetic Features (k-NN)'!$B$32),B32+C32,"—")</f>
        <v>—</v>
      </c>
      <c r="E32" s="72" t="str">
        <f>IF(AND(ISNUMBER('Synthetic Features (k-NN)'!$B$32),A32&lt;='Synthetic Features (k-NN)'!$B$32),B32/'Parameters'!$B$6,"—")</f>
        <v>—</v>
      </c>
      <c r="F32" s="72" t="str">
        <f>IF(AND(ISNUMBER('Synthetic Features (k-NN)'!$B$32),A32&lt;='Synthetic Features (k-NN)'!$B$32),C32/'Parameters'!$B$7,"—")</f>
        <v>—</v>
      </c>
      <c r="G32" s="81" t="str">
        <f>IF(AND(ISNUMBER('Synthetic Features (k-NN)'!$B$32),A32&lt;='Synthetic Features (k-NN)'!$B$32),IF(D32&gt;0,E32/(E32+F32),"—"),"—")</f>
        <v>—</v>
      </c>
      <c r="H32" s="72">
        <f>IF(ISNUMBER(G32),D32*MAX(G32,1-G32),0)</f>
        <v>0</v>
      </c>
      <c r="J32" s="64">
        <v>5</v>
      </c>
      <c r="K32" s="74">
        <f>IF(AND(ISNUMBER('Synthetic Features (k-NN)'!$C$32),J32&lt;='Synthetic Features (k-NN)'!$C$32),COUNTIFS('Synthetic Features (k-NN)'!$C$33:$C$42,J32,Dataset!$O$3:$O$12,1),"—")</f>
        <v>0</v>
      </c>
      <c r="L32" s="74">
        <f>IF(AND(ISNUMBER('Synthetic Features (k-NN)'!$C$32),J32&lt;='Synthetic Features (k-NN)'!$C$32),COUNTIFS('Synthetic Features (k-NN)'!$C$33:$C$42,J32,Dataset!$O$3:$O$12,2),"—")</f>
        <v>0</v>
      </c>
      <c r="M32" s="74">
        <f>IF(AND(ISNUMBER('Synthetic Features (k-NN)'!$C$32),J32&lt;='Synthetic Features (k-NN)'!$C$32),K32+L32,"—")</f>
        <v>0</v>
      </c>
      <c r="N32" s="72">
        <f>IF(AND(ISNUMBER('Synthetic Features (k-NN)'!$C$32),J32&lt;='Synthetic Features (k-NN)'!$C$32),K32/'Parameters'!$B$6,"—")</f>
        <v>0</v>
      </c>
      <c r="O32" s="72">
        <f>IF(AND(ISNUMBER('Synthetic Features (k-NN)'!$C$32),J32&lt;='Synthetic Features (k-NN)'!$C$32),L32/'Parameters'!$B$7,"—")</f>
        <v>0</v>
      </c>
      <c r="P32" s="81" t="str">
        <f>IF(AND(ISNUMBER('Synthetic Features (k-NN)'!$C$32),J32&lt;='Synthetic Features (k-NN)'!$C$32),IF(M32&gt;0,N32/(N32+O32),"—"),"—")</f>
        <v>—</v>
      </c>
      <c r="Q32" s="72">
        <f>IF(ISNUMBER(P32),M32*MAX(P32,1-P32),0)</f>
        <v>0</v>
      </c>
    </row>
    <row r="33">
      <c r="A33" s="82" t="str">
        <f>"stability g_k by (2),  β = k = "&amp;'Synthetic Features (k-NN)'!$B$32&amp;",  g = Σ / m"</f>
        <v>stability g_k by (2),  β = k = 3,  g = Σ / m</v>
      </c>
      <c r="B33" s="82"/>
      <c r="C33" s="82"/>
      <c r="D33" s="82"/>
      <c r="E33" s="82"/>
      <c r="F33" s="82"/>
      <c r="G33" s="82"/>
      <c r="H33" s="85">
        <f>SUM(H27:H32)/'Parameters'!$B$5</f>
        <v>0.927272727272727</v>
      </c>
      <c r="J33" s="82" t="str">
        <f>"stability g_k by (2),  β = k = "&amp;'Synthetic Features (k-NN)'!$C$32&amp;",  g = Σ / m"</f>
        <v>stability g_k by (2),  β = k = 5,  g = Σ / m</v>
      </c>
      <c r="K33" s="82"/>
      <c r="L33" s="82"/>
      <c r="M33" s="82"/>
      <c r="N33" s="82"/>
      <c r="O33" s="82"/>
      <c r="P33" s="82"/>
      <c r="Q33" s="85">
        <f>SUM(Q27:Q32)/'Parameters'!$B$5</f>
        <v>1</v>
      </c>
    </row>
    <row r="34"/>
    <row r="35"/>
    <row r="36">
      <c r="A36" s="58" t="inlineStr">
        <is>
          <t xml:space="preserve">Meta-object · the stability vector (g) of the training sample (section 1.4)</t>
        </is>
      </c>
      <c r="B36" s="58"/>
      <c r="C36" s="58"/>
      <c r="D36" s="58"/>
      <c r="E36" s="58"/>
      <c r="F36" s="58"/>
      <c r="G36" s="58"/>
    </row>
    <row r="37">
      <c r="A37" s="60" t="inlineStr">
        <is>
          <t xml:space="preserve">Feature</t>
        </is>
      </c>
      <c r="B37" s="60" t="inlineStr">
        <is>
          <t xml:space="preserve">a₁</t>
        </is>
      </c>
      <c r="C37" s="60" t="inlineStr">
        <is>
          <t xml:space="preserve">a₂</t>
        </is>
      </c>
      <c r="D37" s="60" t="inlineStr">
        <is>
          <t xml:space="preserve">a₃</t>
        </is>
      </c>
      <c r="E37" s="60" t="inlineStr">
        <is>
          <t xml:space="preserve">a₄</t>
        </is>
      </c>
      <c r="F37" s="60" t="inlineStr">
        <is>
          <t xml:space="preserve">a₅</t>
        </is>
      </c>
      <c r="G37" s="60" t="inlineStr">
        <is>
          <t xml:space="preserve">a₆</t>
        </is>
      </c>
    </row>
    <row r="38">
      <c r="A38" s="65" t="inlineStr">
        <is>
          <t xml:space="preserve">Operator</t>
        </is>
      </c>
      <c r="B38" s="83" t="inlineStr">
        <is>
          <t xml:space="preserve">ρ</t>
        </is>
      </c>
      <c r="C38" s="83" t="inlineStr">
        <is>
          <t xml:space="preserve">ρ</t>
        </is>
      </c>
      <c r="D38" s="83" t="inlineStr">
        <is>
          <t xml:space="preserve">ρ_I</t>
        </is>
      </c>
      <c r="E38" s="83" t="inlineStr">
        <is>
          <t xml:space="preserve">ρ_I</t>
        </is>
      </c>
      <c r="F38" s="83" t="inlineStr">
        <is>
          <t xml:space="preserve">ρ_J</t>
        </is>
      </c>
      <c r="G38" s="83" t="inlineStr">
        <is>
          <t xml:space="preserve">ρ_J</t>
        </is>
      </c>
    </row>
    <row r="39">
      <c r="A39" s="65" t="inlineStr">
        <is>
          <t xml:space="preserve">k</t>
        </is>
      </c>
      <c r="B39" s="62">
        <f>'Synthetic Features (k-NN)'!B4</f>
        <v>3</v>
      </c>
      <c r="C39" s="62">
        <f>'Synthetic Features (k-NN)'!C4</f>
        <v>5</v>
      </c>
      <c r="D39" s="62">
        <f>'Synthetic Features (k-NN)'!B18</f>
        <v>3</v>
      </c>
      <c r="E39" s="62">
        <f>'Synthetic Features (k-NN)'!C18</f>
        <v>5</v>
      </c>
      <c r="F39" s="62">
        <f>'Synthetic Features (k-NN)'!B32</f>
        <v>3</v>
      </c>
      <c r="G39" s="62">
        <f>'Synthetic Features (k-NN)'!C32</f>
        <v>5</v>
      </c>
    </row>
    <row r="40">
      <c r="A40" s="65" t="inlineStr">
        <is>
          <t xml:space="preserve">g_k</t>
        </is>
      </c>
      <c r="B40" s="81">
        <f>'Membership &amp; Stability'!H11</f>
        <v>0.927272727272727</v>
      </c>
      <c r="C40" s="81">
        <f>'Membership &amp; Stability'!Q11</f>
        <v>0.925</v>
      </c>
      <c r="D40" s="81">
        <f>'Membership &amp; Stability'!H22</f>
        <v>0.67</v>
      </c>
      <c r="E40" s="81">
        <f>'Membership &amp; Stability'!Q22</f>
        <v>0.928571428571429</v>
      </c>
      <c r="F40" s="81">
        <f>'Membership &amp; Stability'!H33</f>
        <v>0.927272727272727</v>
      </c>
      <c r="G40" s="81">
        <f>'Membership &amp; Stability'!Q33</f>
        <v>1</v>
      </c>
    </row>
    <row r="41"/>
    <row r="42">
      <c r="A42" s="58" t="inlineStr">
        <is>
          <t xml:space="preserve">Task 2 · Bit representations by the majority rule (section 1.3): bit = 1 if μ &gt; k/2, one bit per permitted k, read as a binary number</t>
        </is>
      </c>
      <c r="B42" s="58"/>
      <c r="C42" s="58"/>
      <c r="D42" s="58"/>
      <c r="E42" s="58"/>
      <c r="F42" s="58"/>
      <c r="G42" s="58"/>
      <c r="H42" s="58"/>
      <c r="I42" s="58"/>
      <c r="J42" s="58"/>
      <c r="K42" s="58"/>
    </row>
    <row r="43">
      <c r="A43" s="60" t="inlineStr">
        <is>
          <t xml:space="preserve">№</t>
        </is>
      </c>
      <c r="B43" s="60" t="str">
        <f>"ρ · bit k = "&amp;'Synthetic Features (k-NN)'!$B$4</f>
        <v>ρ · bit k = 3</v>
      </c>
      <c r="C43" s="60" t="str">
        <f>"ρ · bit k = "&amp;'Synthetic Features (k-NN)'!$C$4</f>
        <v>ρ · bit k = 5</v>
      </c>
      <c r="D43" s="60" t="inlineStr">
        <is>
          <t xml:space="preserve">ρ · mask</t>
        </is>
      </c>
      <c r="E43" s="60" t="str">
        <f>"ρ_I · bit k = "&amp;'Synthetic Features (k-NN)'!$B$18</f>
        <v>ρ_I · bit k = 3</v>
      </c>
      <c r="F43" s="60" t="str">
        <f>"ρ_I · bit k = "&amp;'Synthetic Features (k-NN)'!$C$18</f>
        <v>ρ_I · bit k = 5</v>
      </c>
      <c r="G43" s="60" t="inlineStr">
        <is>
          <t xml:space="preserve">ρ_I · mask</t>
        </is>
      </c>
      <c r="H43" s="60" t="str">
        <f>"ρ_J · bit k = "&amp;'Synthetic Features (k-NN)'!$B$32</f>
        <v>ρ_J · bit k = 3</v>
      </c>
      <c r="I43" s="60" t="str">
        <f>"ρ_J · bit k = "&amp;'Synthetic Features (k-NN)'!$C$32</f>
        <v>ρ_J · bit k = 5</v>
      </c>
      <c r="J43" s="60" t="inlineStr">
        <is>
          <t xml:space="preserve">ρ_J · mask</t>
        </is>
      </c>
      <c r="K43" s="60" t="inlineStr">
        <is>
          <t xml:space="preserve">Class</t>
        </is>
      </c>
    </row>
    <row r="44">
      <c r="A44" s="64" t="inlineStr">
        <is>
          <t xml:space="preserve">S₁</t>
        </is>
      </c>
      <c r="B44" s="74">
        <f>IF(ISNUMBER('Synthetic Features (k-NN)'!B5),IF('Synthetic Features (k-NN)'!B5&gt;'Synthetic Features (k-NN)'!$B$4/2,1,0),0)</f>
        <v>1</v>
      </c>
      <c r="C44" s="74">
        <f>IF(ISNUMBER('Synthetic Features (k-NN)'!C5),IF('Synthetic Features (k-NN)'!C5&gt;'Synthetic Features (k-NN)'!$C$4/2,1,0),0)</f>
        <v>1</v>
      </c>
      <c r="D44" s="80">
        <f>B44*2+C44*1</f>
        <v>3</v>
      </c>
      <c r="E44" s="74">
        <f>IF(ISNUMBER('Synthetic Features (k-NN)'!B19),IF('Synthetic Features (k-NN)'!B19&gt;'Synthetic Features (k-NN)'!$B$18/2,1,0),0)</f>
        <v>0</v>
      </c>
      <c r="F44" s="74">
        <f>IF(ISNUMBER('Synthetic Features (k-NN)'!C19),IF('Synthetic Features (k-NN)'!C19&gt;'Synthetic Features (k-NN)'!$C$18/2,1,0),0)</f>
        <v>1</v>
      </c>
      <c r="G44" s="80">
        <f>E44*2+F44*1</f>
        <v>1</v>
      </c>
      <c r="H44" s="74">
        <f>IF(ISNUMBER('Synthetic Features (k-NN)'!B33),IF('Synthetic Features (k-NN)'!B33&gt;'Synthetic Features (k-NN)'!$B$32/2,1,0),0)</f>
        <v>1</v>
      </c>
      <c r="I44" s="74">
        <f>IF(ISNUMBER('Synthetic Features (k-NN)'!C33),IF('Synthetic Features (k-NN)'!C33&gt;'Synthetic Features (k-NN)'!$C$32/2,1,0),0)</f>
        <v>1</v>
      </c>
      <c r="J44" s="80">
        <f>H44*2+I44*1</f>
        <v>3</v>
      </c>
      <c r="K44" s="68">
        <f>Dataset!O3</f>
        <v>2</v>
      </c>
    </row>
    <row r="45">
      <c r="A45" s="64" t="inlineStr">
        <is>
          <t xml:space="preserve">S₂</t>
        </is>
      </c>
      <c r="B45" s="74">
        <f>IF(ISNUMBER('Synthetic Features (k-NN)'!B6),IF('Synthetic Features (k-NN)'!B6&gt;'Synthetic Features (k-NN)'!$B$4/2,1,0),0)</f>
        <v>0</v>
      </c>
      <c r="C45" s="74">
        <f>IF(ISNUMBER('Synthetic Features (k-NN)'!C6),IF('Synthetic Features (k-NN)'!C6&gt;'Synthetic Features (k-NN)'!$C$4/2,1,0),0)</f>
        <v>0</v>
      </c>
      <c r="D45" s="80">
        <f>B45*2+C45*1</f>
        <v>0</v>
      </c>
      <c r="E45" s="74">
        <f>IF(ISNUMBER('Synthetic Features (k-NN)'!B20),IF('Synthetic Features (k-NN)'!B20&gt;'Synthetic Features (k-NN)'!$B$18/2,1,0),0)</f>
        <v>0</v>
      </c>
      <c r="F45" s="74">
        <f>IF(ISNUMBER('Synthetic Features (k-NN)'!C20),IF('Synthetic Features (k-NN)'!C20&gt;'Synthetic Features (k-NN)'!$C$18/2,1,0),0)</f>
        <v>0</v>
      </c>
      <c r="G45" s="80">
        <f>E45*2+F45*1</f>
        <v>0</v>
      </c>
      <c r="H45" s="74">
        <f>IF(ISNUMBER('Synthetic Features (k-NN)'!B34),IF('Synthetic Features (k-NN)'!B34&gt;'Synthetic Features (k-NN)'!$B$32/2,1,0),0)</f>
        <v>0</v>
      </c>
      <c r="I45" s="74">
        <f>IF(ISNUMBER('Synthetic Features (k-NN)'!C34),IF('Synthetic Features (k-NN)'!C34&gt;'Synthetic Features (k-NN)'!$C$32/2,1,0),0)</f>
        <v>0</v>
      </c>
      <c r="J45" s="80">
        <f>H45*2+I45*1</f>
        <v>0</v>
      </c>
      <c r="K45" s="68">
        <f>Dataset!O4</f>
        <v>1</v>
      </c>
    </row>
    <row r="46">
      <c r="A46" s="64" t="inlineStr">
        <is>
          <t xml:space="preserve">S₃</t>
        </is>
      </c>
      <c r="B46" s="74">
        <f>IF(ISNUMBER('Synthetic Features (k-NN)'!B7),IF('Synthetic Features (k-NN)'!B7&gt;'Synthetic Features (k-NN)'!$B$4/2,1,0),0)</f>
        <v>0</v>
      </c>
      <c r="C46" s="74">
        <f>IF(ISNUMBER('Synthetic Features (k-NN)'!C7),IF('Synthetic Features (k-NN)'!C7&gt;'Synthetic Features (k-NN)'!$C$4/2,1,0),0)</f>
        <v>0</v>
      </c>
      <c r="D46" s="80">
        <f>B46*2+C46*1</f>
        <v>0</v>
      </c>
      <c r="E46" s="74">
        <f>IF(ISNUMBER('Synthetic Features (k-NN)'!B21),IF('Synthetic Features (k-NN)'!B21&gt;'Synthetic Features (k-NN)'!$B$18/2,1,0),0)</f>
        <v>1</v>
      </c>
      <c r="F46" s="74">
        <f>IF(ISNUMBER('Synthetic Features (k-NN)'!C21),IF('Synthetic Features (k-NN)'!C21&gt;'Synthetic Features (k-NN)'!$C$18/2,1,0),0)</f>
        <v>0</v>
      </c>
      <c r="G46" s="80">
        <f>E46*2+F46*1</f>
        <v>2</v>
      </c>
      <c r="H46" s="74">
        <f>IF(ISNUMBER('Synthetic Features (k-NN)'!B35),IF('Synthetic Features (k-NN)'!B35&gt;'Synthetic Features (k-NN)'!$B$32/2,1,0),0)</f>
        <v>0</v>
      </c>
      <c r="I46" s="74">
        <f>IF(ISNUMBER('Synthetic Features (k-NN)'!C35),IF('Synthetic Features (k-NN)'!C35&gt;'Synthetic Features (k-NN)'!$C$32/2,1,0),0)</f>
        <v>0</v>
      </c>
      <c r="J46" s="80">
        <f>H46*2+I46*1</f>
        <v>0</v>
      </c>
      <c r="K46" s="68">
        <f>Dataset!O5</f>
        <v>2</v>
      </c>
    </row>
    <row r="47">
      <c r="A47" s="64" t="inlineStr">
        <is>
          <t xml:space="preserve">S₄</t>
        </is>
      </c>
      <c r="B47" s="74">
        <f>IF(ISNUMBER('Synthetic Features (k-NN)'!B8),IF('Synthetic Features (k-NN)'!B8&gt;'Synthetic Features (k-NN)'!$B$4/2,1,0),0)</f>
        <v>0</v>
      </c>
      <c r="C47" s="74">
        <f>IF(ISNUMBER('Synthetic Features (k-NN)'!C8),IF('Synthetic Features (k-NN)'!C8&gt;'Synthetic Features (k-NN)'!$C$4/2,1,0),0)</f>
        <v>0</v>
      </c>
      <c r="D47" s="80">
        <f>B47*2+C47*1</f>
        <v>0</v>
      </c>
      <c r="E47" s="74">
        <f>IF(ISNUMBER('Synthetic Features (k-NN)'!B22),IF('Synthetic Features (k-NN)'!B22&gt;'Synthetic Features (k-NN)'!$B$18/2,1,0),0)</f>
        <v>1</v>
      </c>
      <c r="F47" s="74">
        <f>IF(ISNUMBER('Synthetic Features (k-NN)'!C22),IF('Synthetic Features (k-NN)'!C22&gt;'Synthetic Features (k-NN)'!$C$18/2,1,0),0)</f>
        <v>0</v>
      </c>
      <c r="G47" s="80">
        <f>E47*2+F47*1</f>
        <v>2</v>
      </c>
      <c r="H47" s="74">
        <f>IF(ISNUMBER('Synthetic Features (k-NN)'!B36),IF('Synthetic Features (k-NN)'!B36&gt;'Synthetic Features (k-NN)'!$B$32/2,1,0),0)</f>
        <v>0</v>
      </c>
      <c r="I47" s="74">
        <f>IF(ISNUMBER('Synthetic Features (k-NN)'!C36),IF('Synthetic Features (k-NN)'!C36&gt;'Synthetic Features (k-NN)'!$C$32/2,1,0),0)</f>
        <v>0</v>
      </c>
      <c r="J47" s="80">
        <f>H47*2+I47*1</f>
        <v>0</v>
      </c>
      <c r="K47" s="68">
        <f>Dataset!O6</f>
        <v>1</v>
      </c>
    </row>
    <row r="48">
      <c r="A48" s="64" t="inlineStr">
        <is>
          <t xml:space="preserve">S₅</t>
        </is>
      </c>
      <c r="B48" s="74">
        <f>IF(ISNUMBER('Synthetic Features (k-NN)'!B9),IF('Synthetic Features (k-NN)'!B9&gt;'Synthetic Features (k-NN)'!$B$4/2,1,0),0)</f>
        <v>0</v>
      </c>
      <c r="C48" s="74">
        <f>IF(ISNUMBER('Synthetic Features (k-NN)'!C9),IF('Synthetic Features (k-NN)'!C9&gt;'Synthetic Features (k-NN)'!$C$4/2,1,0),0)</f>
        <v>0</v>
      </c>
      <c r="D48" s="80">
        <f>B48*2+C48*1</f>
        <v>0</v>
      </c>
      <c r="E48" s="74">
        <f>IF(ISNUMBER('Synthetic Features (k-NN)'!B23),IF('Synthetic Features (k-NN)'!B23&gt;'Synthetic Features (k-NN)'!$B$18/2,1,0),0)</f>
        <v>1</v>
      </c>
      <c r="F48" s="74">
        <f>IF(ISNUMBER('Synthetic Features (k-NN)'!C23),IF('Synthetic Features (k-NN)'!C23&gt;'Synthetic Features (k-NN)'!$C$18/2,1,0),0)</f>
        <v>0</v>
      </c>
      <c r="G48" s="80">
        <f>E48*2+F48*1</f>
        <v>2</v>
      </c>
      <c r="H48" s="74">
        <f>IF(ISNUMBER('Synthetic Features (k-NN)'!B37),IF('Synthetic Features (k-NN)'!B37&gt;'Synthetic Features (k-NN)'!$B$32/2,1,0),0)</f>
        <v>0</v>
      </c>
      <c r="I48" s="74">
        <f>IF(ISNUMBER('Synthetic Features (k-NN)'!C37),IF('Synthetic Features (k-NN)'!C37&gt;'Synthetic Features (k-NN)'!$C$32/2,1,0),0)</f>
        <v>0</v>
      </c>
      <c r="J48" s="80">
        <f>H48*2+I48*1</f>
        <v>0</v>
      </c>
      <c r="K48" s="68">
        <f>Dataset!O7</f>
        <v>1</v>
      </c>
    </row>
    <row r="49">
      <c r="A49" s="64" t="inlineStr">
        <is>
          <t xml:space="preserve">S₆</t>
        </is>
      </c>
      <c r="B49" s="74">
        <f>IF(ISNUMBER('Synthetic Features (k-NN)'!B10),IF('Synthetic Features (k-NN)'!B10&gt;'Synthetic Features (k-NN)'!$B$4/2,1,0),0)</f>
        <v>0</v>
      </c>
      <c r="C49" s="74">
        <f>IF(ISNUMBER('Synthetic Features (k-NN)'!C10),IF('Synthetic Features (k-NN)'!C10&gt;'Synthetic Features (k-NN)'!$C$4/2,1,0),0)</f>
        <v>0</v>
      </c>
      <c r="D49" s="80">
        <f>B49*2+C49*1</f>
        <v>0</v>
      </c>
      <c r="E49" s="74">
        <f>IF(ISNUMBER('Synthetic Features (k-NN)'!B24),IF('Synthetic Features (k-NN)'!B24&gt;'Synthetic Features (k-NN)'!$B$18/2,1,0),0)</f>
        <v>0</v>
      </c>
      <c r="F49" s="74">
        <f>IF(ISNUMBER('Synthetic Features (k-NN)'!C24),IF('Synthetic Features (k-NN)'!C24&gt;'Synthetic Features (k-NN)'!$C$18/2,1,0),0)</f>
        <v>0</v>
      </c>
      <c r="G49" s="80">
        <f>E49*2+F49*1</f>
        <v>0</v>
      </c>
      <c r="H49" s="74">
        <f>IF(ISNUMBER('Synthetic Features (k-NN)'!B38),IF('Synthetic Features (k-NN)'!B38&gt;'Synthetic Features (k-NN)'!$B$32/2,1,0),0)</f>
        <v>0</v>
      </c>
      <c r="I49" s="74">
        <f>IF(ISNUMBER('Synthetic Features (k-NN)'!C38),IF('Synthetic Features (k-NN)'!C38&gt;'Synthetic Features (k-NN)'!$C$32/2,1,0),0)</f>
        <v>0</v>
      </c>
      <c r="J49" s="80">
        <f>H49*2+I49*1</f>
        <v>0</v>
      </c>
      <c r="K49" s="68">
        <f>Dataset!O8</f>
        <v>1</v>
      </c>
    </row>
    <row r="50">
      <c r="A50" s="64" t="inlineStr">
        <is>
          <t xml:space="preserve">S₇</t>
        </is>
      </c>
      <c r="B50" s="74">
        <f>IF(ISNUMBER('Synthetic Features (k-NN)'!B11),IF('Synthetic Features (k-NN)'!B11&gt;'Synthetic Features (k-NN)'!$B$4/2,1,0),0)</f>
        <v>1</v>
      </c>
      <c r="C50" s="74">
        <f>IF(ISNUMBER('Synthetic Features (k-NN)'!C11),IF('Synthetic Features (k-NN)'!C11&gt;'Synthetic Features (k-NN)'!$C$4/2,1,0),0)</f>
        <v>1</v>
      </c>
      <c r="D50" s="80">
        <f>B50*2+C50*1</f>
        <v>3</v>
      </c>
      <c r="E50" s="74">
        <f>IF(ISNUMBER('Synthetic Features (k-NN)'!B25),IF('Synthetic Features (k-NN)'!B25&gt;'Synthetic Features (k-NN)'!$B$18/2,1,0),0)</f>
        <v>1</v>
      </c>
      <c r="F50" s="74">
        <f>IF(ISNUMBER('Synthetic Features (k-NN)'!C25),IF('Synthetic Features (k-NN)'!C25&gt;'Synthetic Features (k-NN)'!$C$18/2,1,0),0)</f>
        <v>1</v>
      </c>
      <c r="G50" s="80">
        <f>E50*2+F50*1</f>
        <v>3</v>
      </c>
      <c r="H50" s="74">
        <f>IF(ISNUMBER('Synthetic Features (k-NN)'!B39),IF('Synthetic Features (k-NN)'!B39&gt;'Synthetic Features (k-NN)'!$B$32/2,1,0),0)</f>
        <v>1</v>
      </c>
      <c r="I50" s="74">
        <f>IF(ISNUMBER('Synthetic Features (k-NN)'!C39),IF('Synthetic Features (k-NN)'!C39&gt;'Synthetic Features (k-NN)'!$C$32/2,1,0),0)</f>
        <v>1</v>
      </c>
      <c r="J50" s="80">
        <f>H50*2+I50*1</f>
        <v>3</v>
      </c>
      <c r="K50" s="68">
        <f>Dataset!O9</f>
        <v>2</v>
      </c>
    </row>
    <row r="51">
      <c r="A51" s="64" t="inlineStr">
        <is>
          <t xml:space="preserve">S₈</t>
        </is>
      </c>
      <c r="B51" s="74">
        <f>IF(ISNUMBER('Synthetic Features (k-NN)'!B12),IF('Synthetic Features (k-NN)'!B12&gt;'Synthetic Features (k-NN)'!$B$4/2,1,0),0)</f>
        <v>1</v>
      </c>
      <c r="C51" s="74">
        <f>IF(ISNUMBER('Synthetic Features (k-NN)'!C12),IF('Synthetic Features (k-NN)'!C12&gt;'Synthetic Features (k-NN)'!$C$4/2,1,0),0)</f>
        <v>1</v>
      </c>
      <c r="D51" s="80">
        <f>B51*2+C51*1</f>
        <v>3</v>
      </c>
      <c r="E51" s="74">
        <f>IF(ISNUMBER('Synthetic Features (k-NN)'!B26),IF('Synthetic Features (k-NN)'!B26&gt;'Synthetic Features (k-NN)'!$B$18/2,1,0),0)</f>
        <v>1</v>
      </c>
      <c r="F51" s="74">
        <f>IF(ISNUMBER('Synthetic Features (k-NN)'!C26),IF('Synthetic Features (k-NN)'!C26&gt;'Synthetic Features (k-NN)'!$C$18/2,1,0),0)</f>
        <v>1</v>
      </c>
      <c r="G51" s="80">
        <f>E51*2+F51*1</f>
        <v>3</v>
      </c>
      <c r="H51" s="74">
        <f>IF(ISNUMBER('Synthetic Features (k-NN)'!B40),IF('Synthetic Features (k-NN)'!B40&gt;'Synthetic Features (k-NN)'!$B$32/2,1,0),0)</f>
        <v>1</v>
      </c>
      <c r="I51" s="74">
        <f>IF(ISNUMBER('Synthetic Features (k-NN)'!C40),IF('Synthetic Features (k-NN)'!C40&gt;'Synthetic Features (k-NN)'!$C$32/2,1,0),0)</f>
        <v>1</v>
      </c>
      <c r="J51" s="80">
        <f>H51*2+I51*1</f>
        <v>3</v>
      </c>
      <c r="K51" s="68">
        <f>Dataset!O10</f>
        <v>2</v>
      </c>
    </row>
    <row r="52">
      <c r="A52" s="64" t="inlineStr">
        <is>
          <t xml:space="preserve">S₉</t>
        </is>
      </c>
      <c r="B52" s="74">
        <f>IF(ISNUMBER('Synthetic Features (k-NN)'!B13),IF('Synthetic Features (k-NN)'!B13&gt;'Synthetic Features (k-NN)'!$B$4/2,1,0),0)</f>
        <v>1</v>
      </c>
      <c r="C52" s="74">
        <f>IF(ISNUMBER('Synthetic Features (k-NN)'!C13),IF('Synthetic Features (k-NN)'!C13&gt;'Synthetic Features (k-NN)'!$C$4/2,1,0),0)</f>
        <v>1</v>
      </c>
      <c r="D52" s="80">
        <f>B52*2+C52*1</f>
        <v>3</v>
      </c>
      <c r="E52" s="74">
        <f>IF(ISNUMBER('Synthetic Features (k-NN)'!B27),IF('Synthetic Features (k-NN)'!B27&gt;'Synthetic Features (k-NN)'!$B$18/2,1,0),0)</f>
        <v>1</v>
      </c>
      <c r="F52" s="74">
        <f>IF(ISNUMBER('Synthetic Features (k-NN)'!C27),IF('Synthetic Features (k-NN)'!C27&gt;'Synthetic Features (k-NN)'!$C$18/2,1,0),0)</f>
        <v>1</v>
      </c>
      <c r="G52" s="80">
        <f>E52*2+F52*1</f>
        <v>3</v>
      </c>
      <c r="H52" s="74">
        <f>IF(ISNUMBER('Synthetic Features (k-NN)'!B41),IF('Synthetic Features (k-NN)'!B41&gt;'Synthetic Features (k-NN)'!$B$32/2,1,0),0)</f>
        <v>1</v>
      </c>
      <c r="I52" s="74">
        <f>IF(ISNUMBER('Synthetic Features (k-NN)'!C41),IF('Synthetic Features (k-NN)'!C41&gt;'Synthetic Features (k-NN)'!$C$32/2,1,0),0)</f>
        <v>1</v>
      </c>
      <c r="J52" s="80">
        <f>H52*2+I52*1</f>
        <v>3</v>
      </c>
      <c r="K52" s="68">
        <f>Dataset!O11</f>
        <v>2</v>
      </c>
    </row>
    <row r="53">
      <c r="A53" s="64" t="inlineStr">
        <is>
          <t xml:space="preserve">S₁₀</t>
        </is>
      </c>
      <c r="B53" s="74">
        <f>IF(ISNUMBER('Synthetic Features (k-NN)'!B14),IF('Synthetic Features (k-NN)'!B14&gt;'Synthetic Features (k-NN)'!$B$4/2,1,0),0)</f>
        <v>1</v>
      </c>
      <c r="C53" s="74">
        <f>IF(ISNUMBER('Synthetic Features (k-NN)'!C14),IF('Synthetic Features (k-NN)'!C14&gt;'Synthetic Features (k-NN)'!$C$4/2,1,0),0)</f>
        <v>1</v>
      </c>
      <c r="D53" s="80">
        <f>B53*2+C53*1</f>
        <v>3</v>
      </c>
      <c r="E53" s="74">
        <f>IF(ISNUMBER('Synthetic Features (k-NN)'!B28),IF('Synthetic Features (k-NN)'!B28&gt;'Synthetic Features (k-NN)'!$B$18/2,1,0),0)</f>
        <v>1</v>
      </c>
      <c r="F53" s="74">
        <f>IF(ISNUMBER('Synthetic Features (k-NN)'!C28),IF('Synthetic Features (k-NN)'!C28&gt;'Synthetic Features (k-NN)'!$C$18/2,1,0),0)</f>
        <v>1</v>
      </c>
      <c r="G53" s="80">
        <f>E53*2+F53*1</f>
        <v>3</v>
      </c>
      <c r="H53" s="74">
        <f>IF(ISNUMBER('Synthetic Features (k-NN)'!B42),IF('Synthetic Features (k-NN)'!B42&gt;'Synthetic Features (k-NN)'!$B$32/2,1,0),0)</f>
        <v>1</v>
      </c>
      <c r="I53" s="74">
        <f>IF(ISNUMBER('Synthetic Features (k-NN)'!C42),IF('Synthetic Features (k-NN)'!C42&gt;'Synthetic Features (k-NN)'!$C$32/2,1,0),0)</f>
        <v>1</v>
      </c>
      <c r="J53" s="80">
        <f>H53*2+I53*1</f>
        <v>3</v>
      </c>
      <c r="K53" s="68">
        <f>Dataset!O12</f>
        <v>2</v>
      </c>
    </row>
    <row r="54"/>
    <row r="55">
      <c r="A55" s="58" t="inlineStr">
        <is>
          <t xml:space="preserve">Membership (1) and stability (2) of the bit masks — gradations 0 … 2^r − 1 = 3, β = 3</t>
        </is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</row>
    <row r="56">
      <c r="A56" s="60" t="inlineStr">
        <is>
          <t xml:space="preserve">ρ · mask</t>
        </is>
      </c>
      <c r="B56" s="60" t="inlineStr">
        <is>
          <t xml:space="preserve">d₁</t>
        </is>
      </c>
      <c r="C56" s="60" t="inlineStr">
        <is>
          <t xml:space="preserve">d₂</t>
        </is>
      </c>
      <c r="D56" s="60" t="inlineStr">
        <is>
          <t xml:space="preserve">n</t>
        </is>
      </c>
      <c r="E56" s="60" t="inlineStr">
        <is>
          <t xml:space="preserve">f</t>
        </is>
      </c>
      <c r="F56" s="60" t="inlineStr">
        <is>
          <t xml:space="preserve">n·max(f,1−f)</t>
        </is>
      </c>
      <c r="H56" s="60" t="inlineStr">
        <is>
          <t xml:space="preserve">ρ_I · mask</t>
        </is>
      </c>
      <c r="I56" s="60" t="inlineStr">
        <is>
          <t xml:space="preserve">d₁</t>
        </is>
      </c>
      <c r="J56" s="60" t="inlineStr">
        <is>
          <t xml:space="preserve">d₂</t>
        </is>
      </c>
      <c r="K56" s="60" t="inlineStr">
        <is>
          <t xml:space="preserve">n</t>
        </is>
      </c>
      <c r="L56" s="60" t="inlineStr">
        <is>
          <t xml:space="preserve">f</t>
        </is>
      </c>
      <c r="M56" s="60" t="inlineStr">
        <is>
          <t xml:space="preserve">n·max(f,1−f)</t>
        </is>
      </c>
      <c r="O56" s="60" t="inlineStr">
        <is>
          <t xml:space="preserve">ρ_J · mask</t>
        </is>
      </c>
      <c r="P56" s="60" t="inlineStr">
        <is>
          <t xml:space="preserve">d₁</t>
        </is>
      </c>
      <c r="Q56" s="60" t="inlineStr">
        <is>
          <t xml:space="preserve">d₂</t>
        </is>
      </c>
      <c r="R56" s="60" t="inlineStr">
        <is>
          <t xml:space="preserve">n</t>
        </is>
      </c>
      <c r="S56" s="60" t="inlineStr">
        <is>
          <t xml:space="preserve">f</t>
        </is>
      </c>
      <c r="T56" s="60" t="inlineStr">
        <is>
          <t xml:space="preserve">n·max(f,1−f)</t>
        </is>
      </c>
    </row>
    <row r="57">
      <c r="A57" s="64">
        <v>0</v>
      </c>
      <c r="B57" s="74">
        <f>COUNTIFS($D$44:$D$53,A57,$K$44:$K$53,1)</f>
        <v>4</v>
      </c>
      <c r="C57" s="74">
        <f>COUNTIFS($D$44:$D$53,A57,$K$44:$K$53,2)</f>
        <v>1</v>
      </c>
      <c r="D57" s="74">
        <f>B57+C57</f>
        <v>5</v>
      </c>
      <c r="E57" s="81">
        <f>IF(D57&gt;0,(B57/'Parameters'!$B$6)/(B57/'Parameters'!$B$6+C57/'Parameters'!$B$7),"—")</f>
        <v>0.857142857142857</v>
      </c>
      <c r="F57" s="72">
        <f>IF(ISNUMBER(E57),D57*MAX(E57,1-E57),0)</f>
        <v>4.28571428571429</v>
      </c>
      <c r="H57" s="64">
        <v>0</v>
      </c>
      <c r="I57" s="74">
        <f>COUNTIFS($G$44:$G$53,H57,$K$44:$K$53,1)</f>
        <v>2</v>
      </c>
      <c r="J57" s="74">
        <f>COUNTIFS($G$44:$G$53,H57,$K$44:$K$53,2)</f>
        <v>0</v>
      </c>
      <c r="K57" s="74">
        <f>I57+J57</f>
        <v>2</v>
      </c>
      <c r="L57" s="81">
        <f>IF(K57&gt;0,(I57/'Parameters'!$B$6)/(I57/'Parameters'!$B$6+J57/'Parameters'!$B$7),"—")</f>
        <v>1</v>
      </c>
      <c r="M57" s="72">
        <f>IF(ISNUMBER(L57),K57*MAX(L57,1-L57),0)</f>
        <v>2</v>
      </c>
      <c r="O57" s="64">
        <v>0</v>
      </c>
      <c r="P57" s="74">
        <f>COUNTIFS($J$44:$J$53,O57,$K$44:$K$53,1)</f>
        <v>4</v>
      </c>
      <c r="Q57" s="74">
        <f>COUNTIFS($J$44:$J$53,O57,$K$44:$K$53,2)</f>
        <v>1</v>
      </c>
      <c r="R57" s="74">
        <f>P57+Q57</f>
        <v>5</v>
      </c>
      <c r="S57" s="81">
        <f>IF(R57&gt;0,(P57/'Parameters'!$B$6)/(P57/'Parameters'!$B$6+Q57/'Parameters'!$B$7),"—")</f>
        <v>0.857142857142857</v>
      </c>
      <c r="T57" s="72">
        <f>IF(ISNUMBER(S57),R57*MAX(S57,1-S57),0)</f>
        <v>4.28571428571429</v>
      </c>
    </row>
    <row r="58">
      <c r="A58" s="64">
        <v>1</v>
      </c>
      <c r="B58" s="74">
        <f>COUNTIFS($D$44:$D$53,A58,$K$44:$K$53,1)</f>
        <v>0</v>
      </c>
      <c r="C58" s="74">
        <f>COUNTIFS($D$44:$D$53,A58,$K$44:$K$53,2)</f>
        <v>0</v>
      </c>
      <c r="D58" s="74">
        <f>B58+C58</f>
        <v>0</v>
      </c>
      <c r="E58" s="81" t="str">
        <f>IF(D58&gt;0,(B58/'Parameters'!$B$6)/(B58/'Parameters'!$B$6+C58/'Parameters'!$B$7),"—")</f>
        <v>—</v>
      </c>
      <c r="F58" s="72">
        <f>IF(ISNUMBER(E58),D58*MAX(E58,1-E58),0)</f>
        <v>0</v>
      </c>
      <c r="H58" s="64">
        <v>1</v>
      </c>
      <c r="I58" s="74">
        <f>COUNTIFS($G$44:$G$53,H58,$K$44:$K$53,1)</f>
        <v>0</v>
      </c>
      <c r="J58" s="74">
        <f>COUNTIFS($G$44:$G$53,H58,$K$44:$K$53,2)</f>
        <v>1</v>
      </c>
      <c r="K58" s="74">
        <f>I58+J58</f>
        <v>1</v>
      </c>
      <c r="L58" s="81">
        <f>IF(K58&gt;0,(I58/'Parameters'!$B$6)/(I58/'Parameters'!$B$6+J58/'Parameters'!$B$7),"—")</f>
        <v>0</v>
      </c>
      <c r="M58" s="72">
        <f>IF(ISNUMBER(L58),K58*MAX(L58,1-L58),0)</f>
        <v>1</v>
      </c>
      <c r="O58" s="64">
        <v>1</v>
      </c>
      <c r="P58" s="74">
        <f>COUNTIFS($J$44:$J$53,O58,$K$44:$K$53,1)</f>
        <v>0</v>
      </c>
      <c r="Q58" s="74">
        <f>COUNTIFS($J$44:$J$53,O58,$K$44:$K$53,2)</f>
        <v>0</v>
      </c>
      <c r="R58" s="74">
        <f>P58+Q58</f>
        <v>0</v>
      </c>
      <c r="S58" s="81" t="str">
        <f>IF(R58&gt;0,(P58/'Parameters'!$B$6)/(P58/'Parameters'!$B$6+Q58/'Parameters'!$B$7),"—")</f>
        <v>—</v>
      </c>
      <c r="T58" s="72">
        <f>IF(ISNUMBER(S58),R58*MAX(S58,1-S58),0)</f>
        <v>0</v>
      </c>
    </row>
    <row r="59">
      <c r="A59" s="64">
        <v>2</v>
      </c>
      <c r="B59" s="74">
        <f>COUNTIFS($D$44:$D$53,A59,$K$44:$K$53,1)</f>
        <v>0</v>
      </c>
      <c r="C59" s="74">
        <f>COUNTIFS($D$44:$D$53,A59,$K$44:$K$53,2)</f>
        <v>0</v>
      </c>
      <c r="D59" s="74">
        <f>B59+C59</f>
        <v>0</v>
      </c>
      <c r="E59" s="81" t="str">
        <f>IF(D59&gt;0,(B59/'Parameters'!$B$6)/(B59/'Parameters'!$B$6+C59/'Parameters'!$B$7),"—")</f>
        <v>—</v>
      </c>
      <c r="F59" s="72">
        <f>IF(ISNUMBER(E59),D59*MAX(E59,1-E59),0)</f>
        <v>0</v>
      </c>
      <c r="H59" s="64">
        <v>2</v>
      </c>
      <c r="I59" s="74">
        <f>COUNTIFS($G$44:$G$53,H59,$K$44:$K$53,1)</f>
        <v>2</v>
      </c>
      <c r="J59" s="74">
        <f>COUNTIFS($G$44:$G$53,H59,$K$44:$K$53,2)</f>
        <v>1</v>
      </c>
      <c r="K59" s="74">
        <f>I59+J59</f>
        <v>3</v>
      </c>
      <c r="L59" s="81">
        <f>IF(K59&gt;0,(I59/'Parameters'!$B$6)/(I59/'Parameters'!$B$6+J59/'Parameters'!$B$7),"—")</f>
        <v>0.75</v>
      </c>
      <c r="M59" s="72">
        <f>IF(ISNUMBER(L59),K59*MAX(L59,1-L59),0)</f>
        <v>2.25</v>
      </c>
      <c r="O59" s="64">
        <v>2</v>
      </c>
      <c r="P59" s="74">
        <f>COUNTIFS($J$44:$J$53,O59,$K$44:$K$53,1)</f>
        <v>0</v>
      </c>
      <c r="Q59" s="74">
        <f>COUNTIFS($J$44:$J$53,O59,$K$44:$K$53,2)</f>
        <v>0</v>
      </c>
      <c r="R59" s="74">
        <f>P59+Q59</f>
        <v>0</v>
      </c>
      <c r="S59" s="81" t="str">
        <f>IF(R59&gt;0,(P59/'Parameters'!$B$6)/(P59/'Parameters'!$B$6+Q59/'Parameters'!$B$7),"—")</f>
        <v>—</v>
      </c>
      <c r="T59" s="72">
        <f>IF(ISNUMBER(S59),R59*MAX(S59,1-S59),0)</f>
        <v>0</v>
      </c>
    </row>
    <row r="60">
      <c r="A60" s="64">
        <v>3</v>
      </c>
      <c r="B60" s="74">
        <f>COUNTIFS($D$44:$D$53,A60,$K$44:$K$53,1)</f>
        <v>0</v>
      </c>
      <c r="C60" s="74">
        <f>COUNTIFS($D$44:$D$53,A60,$K$44:$K$53,2)</f>
        <v>5</v>
      </c>
      <c r="D60" s="74">
        <f>B60+C60</f>
        <v>5</v>
      </c>
      <c r="E60" s="81">
        <f>IF(D60&gt;0,(B60/'Parameters'!$B$6)/(B60/'Parameters'!$B$6+C60/'Parameters'!$B$7),"—")</f>
        <v>0</v>
      </c>
      <c r="F60" s="72">
        <f>IF(ISNUMBER(E60),D60*MAX(E60,1-E60),0)</f>
        <v>5</v>
      </c>
      <c r="H60" s="64">
        <v>3</v>
      </c>
      <c r="I60" s="74">
        <f>COUNTIFS($G$44:$G$53,H60,$K$44:$K$53,1)</f>
        <v>0</v>
      </c>
      <c r="J60" s="74">
        <f>COUNTIFS($G$44:$G$53,H60,$K$44:$K$53,2)</f>
        <v>4</v>
      </c>
      <c r="K60" s="74">
        <f>I60+J60</f>
        <v>4</v>
      </c>
      <c r="L60" s="81">
        <f>IF(K60&gt;0,(I60/'Parameters'!$B$6)/(I60/'Parameters'!$B$6+J60/'Parameters'!$B$7),"—")</f>
        <v>0</v>
      </c>
      <c r="M60" s="72">
        <f>IF(ISNUMBER(L60),K60*MAX(L60,1-L60),0)</f>
        <v>4</v>
      </c>
      <c r="O60" s="64">
        <v>3</v>
      </c>
      <c r="P60" s="74">
        <f>COUNTIFS($J$44:$J$53,O60,$K$44:$K$53,1)</f>
        <v>0</v>
      </c>
      <c r="Q60" s="74">
        <f>COUNTIFS($J$44:$J$53,O60,$K$44:$K$53,2)</f>
        <v>5</v>
      </c>
      <c r="R60" s="74">
        <f>P60+Q60</f>
        <v>5</v>
      </c>
      <c r="S60" s="81">
        <f>IF(R60&gt;0,(P60/'Parameters'!$B$6)/(P60/'Parameters'!$B$6+Q60/'Parameters'!$B$7),"—")</f>
        <v>0</v>
      </c>
      <c r="T60" s="72">
        <f>IF(ISNUMBER(S60),R60*MAX(S60,1-S60),0)</f>
        <v>5</v>
      </c>
    </row>
    <row r="61">
      <c r="A61" s="82" t="inlineStr">
        <is>
          <t xml:space="preserve">g (2)</t>
        </is>
      </c>
      <c r="B61" s="82"/>
      <c r="C61" s="82"/>
      <c r="D61" s="82"/>
      <c r="E61" s="82"/>
      <c r="F61" s="85">
        <f>SUM(F57:F60)/'Parameters'!$B$5</f>
        <v>0.928571428571429</v>
      </c>
      <c r="H61" s="82" t="inlineStr">
        <is>
          <t xml:space="preserve">g (2)</t>
        </is>
      </c>
      <c r="I61" s="82"/>
      <c r="J61" s="82"/>
      <c r="K61" s="82"/>
      <c r="L61" s="82"/>
      <c r="M61" s="85">
        <f>SUM(M57:M60)/'Parameters'!$B$5</f>
        <v>0.925</v>
      </c>
      <c r="O61" s="82" t="inlineStr">
        <is>
          <t xml:space="preserve">g (2)</t>
        </is>
      </c>
      <c r="P61" s="82"/>
      <c r="Q61" s="82"/>
      <c r="R61" s="82"/>
      <c r="S61" s="82"/>
      <c r="T61" s="85">
        <f>SUM(T57:T60)/'Parameters'!$B$5</f>
        <v>0.928571428571429</v>
      </c>
    </row>
    <row r="62"/>
    <row r="63">
      <c r="A63" s="99" t="inlineStr">
        <is>
          <t xml:space="preserve">Formula (1): f_k(μ) = (d₁ₖ(μ)/|K1|) / (d₁ₖ(μ)/|K1| + d₂ₖ(μ)/|K2|), where d₁ₖ(μ), d₂ₖ(μ) are the numbers of K1 and K2 objects with gradation μ; "—" = no object has this gradation.</t>
        </is>
      </c>
    </row>
    <row r="64">
      <c r="A64" s="99" t="inlineStr">
        <is>
          <t xml:space="preserve">Formula (2): g_k = (1/m) Σ n(μ)·f_k(μ) if f_k(μ) ≥ 0.5, else n(μ)·(1 − f_k(μ)); g = 0.5 means no difference between the classes, g = 1 full difference.</t>
        </is>
      </c>
    </row>
    <row r="65">
      <c r="A65" s="99" t="inlineStr">
        <is>
          <t xml:space="preserve">Bit masks: the first permitted k is the most significant bit. Stability does not depend on this convention (it only relabels the gradations).</t>
        </is>
      </c>
    </row>
  </sheetData>
  <mergeCells count="19">
    <mergeCell ref="A1:Q1"/>
    <mergeCell ref="A3:H3"/>
    <mergeCell ref="A11:G11"/>
    <mergeCell ref="J3:Q3"/>
    <mergeCell ref="J11:P11"/>
    <mergeCell ref="A14:H14"/>
    <mergeCell ref="A22:G22"/>
    <mergeCell ref="J14:Q14"/>
    <mergeCell ref="J22:P22"/>
    <mergeCell ref="A25:H25"/>
    <mergeCell ref="A33:G33"/>
    <mergeCell ref="J25:Q25"/>
    <mergeCell ref="J33:P33"/>
    <mergeCell ref="A36:G36"/>
    <mergeCell ref="A42:K42"/>
    <mergeCell ref="A55:T55"/>
    <mergeCell ref="A61:E61"/>
    <mergeCell ref="H61:L61"/>
    <mergeCell ref="O61:S61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H41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26.77734375" customWidth="1"/>
    <col min="2" max="8" width="12.77734375" customWidth="1"/>
  </cols>
  <sheetData>
    <row r="1" ht="20" customHeight="1">
      <c r="A1" s="57" t="inlineStr">
        <is>
          <t xml:space="preserve">Step 7 · Class boundary G_k — formula (3) — and informativeness ω — formula (4), per synthetic feature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Boundary and informativeness of every synthetic feature aᵤ ∈ Ψ(r)</t>
        </is>
      </c>
      <c r="B3" s="58"/>
      <c r="C3" s="58"/>
      <c r="D3" s="58"/>
      <c r="E3" s="58"/>
      <c r="F3" s="58"/>
      <c r="G3" s="58"/>
      <c r="H3" s="58"/>
    </row>
    <row r="4">
      <c r="A4" s="61" t="inlineStr">
        <is>
          <t xml:space="preserve">Quantity</t>
        </is>
      </c>
      <c r="B4" s="60" t="inlineStr">
        <is>
          <t xml:space="preserve">a₁</t>
        </is>
      </c>
      <c r="C4" s="60" t="inlineStr">
        <is>
          <t xml:space="preserve">a₂</t>
        </is>
      </c>
      <c r="D4" s="60" t="inlineStr">
        <is>
          <t xml:space="preserve">a₃</t>
        </is>
      </c>
      <c r="E4" s="60" t="inlineStr">
        <is>
          <t xml:space="preserve">a₄</t>
        </is>
      </c>
      <c r="F4" s="60" t="inlineStr">
        <is>
          <t xml:space="preserve">a₅</t>
        </is>
      </c>
      <c r="G4" s="60" t="inlineStr">
        <is>
          <t xml:space="preserve">a₆</t>
        </is>
      </c>
    </row>
    <row r="5">
      <c r="A5" s="65" t="inlineStr">
        <is>
          <t xml:space="preserve">Operator</t>
        </is>
      </c>
      <c r="B5" s="83" t="inlineStr">
        <is>
          <t xml:space="preserve">ρ</t>
        </is>
      </c>
      <c r="C5" s="83" t="inlineStr">
        <is>
          <t xml:space="preserve">ρ</t>
        </is>
      </c>
      <c r="D5" s="83" t="inlineStr">
        <is>
          <t xml:space="preserve">ρ_I</t>
        </is>
      </c>
      <c r="E5" s="83" t="inlineStr">
        <is>
          <t xml:space="preserve">ρ_I</t>
        </is>
      </c>
      <c r="F5" s="83" t="inlineStr">
        <is>
          <t xml:space="preserve">ρ_J</t>
        </is>
      </c>
      <c r="G5" s="83" t="inlineStr">
        <is>
          <t xml:space="preserve">ρ_J</t>
        </is>
      </c>
    </row>
    <row r="6">
      <c r="A6" s="65" t="inlineStr">
        <is>
          <t xml:space="preserve">k</t>
        </is>
      </c>
      <c r="B6" s="62">
        <f>'Synthetic Features (k-NN)'!B4</f>
        <v>3</v>
      </c>
      <c r="C6" s="62">
        <f>'Synthetic Features (k-NN)'!C4</f>
        <v>5</v>
      </c>
      <c r="D6" s="62">
        <f>'Synthetic Features (k-NN)'!B18</f>
        <v>3</v>
      </c>
      <c r="E6" s="62">
        <f>'Synthetic Features (k-NN)'!C18</f>
        <v>5</v>
      </c>
      <c r="F6" s="62">
        <f>'Synthetic Features (k-NN)'!B32</f>
        <v>3</v>
      </c>
      <c r="G6" s="62">
        <f>'Synthetic Features (k-NN)'!C32</f>
        <v>5</v>
      </c>
    </row>
    <row r="7">
      <c r="A7" s="65" t="inlineStr">
        <is>
          <t xml:space="preserve">q₂ = max{f &lt; 0.5}</t>
        </is>
      </c>
      <c r="B7" s="72">
        <f>IF(COUNTIFS('Membership &amp; Stability'!$G$5:$G$10,"&lt;0.5")=0,"none",_xlfn.MAXIFS('Membership &amp; Stability'!$G$5:$G$10,'Membership &amp; Stability'!$G$5:$G$10,"&lt;0.5"))</f>
        <v>0</v>
      </c>
      <c r="C7" s="72">
        <f>IF(COUNTIFS('Membership &amp; Stability'!$P$5:$P$10,"&lt;0.5")=0,"none",_xlfn.MAXIFS('Membership &amp; Stability'!$P$5:$P$10,'Membership &amp; Stability'!$P$5:$P$10,"&lt;0.5"))</f>
        <v>0</v>
      </c>
      <c r="D7" s="72">
        <f>IF(COUNTIFS('Membership &amp; Stability'!$G$16:$G$21,"&lt;0.5")=0,"none",_xlfn.MAXIFS('Membership &amp; Stability'!$G$16:$G$21,'Membership &amp; Stability'!$G$16:$G$21,"&lt;0.5"))</f>
        <v>0</v>
      </c>
      <c r="E7" s="72">
        <f>IF(COUNTIFS('Membership &amp; Stability'!$P$16:$P$21,"&lt;0.5")=0,"none",_xlfn.MAXIFS('Membership &amp; Stability'!$P$16:$P$21,'Membership &amp; Stability'!$P$16:$P$21,"&lt;0.5"))</f>
        <v>0</v>
      </c>
      <c r="F7" s="72">
        <f>IF(COUNTIFS('Membership &amp; Stability'!$G$27:$G$32,"&lt;0.5")=0,"none",_xlfn.MAXIFS('Membership &amp; Stability'!$G$27:$G$32,'Membership &amp; Stability'!$G$27:$G$32,"&lt;0.5"))</f>
        <v>0</v>
      </c>
      <c r="G7" s="72">
        <f>IF(COUNTIFS('Membership &amp; Stability'!$P$27:$P$32,"&lt;0.5")=0,"none",_xlfn.MAXIFS('Membership &amp; Stability'!$P$27:$P$32,'Membership &amp; Stability'!$P$27:$P$32,"&lt;0.5"))</f>
        <v>0</v>
      </c>
    </row>
    <row r="8">
      <c r="A8" s="65" t="inlineStr">
        <is>
          <t xml:space="preserve">q₁ = min{f &gt; 0.5}</t>
        </is>
      </c>
      <c r="B8" s="72">
        <f>IF(COUNTIFS('Membership &amp; Stability'!$G$5:$G$10,"&gt;0.5")=0,"none",_xlfn.MINIFS('Membership &amp; Stability'!$G$5:$G$10,'Membership &amp; Stability'!$G$5:$G$10,"&gt;0.5"))</f>
        <v>0.818181818181818</v>
      </c>
      <c r="C8" s="72">
        <f>IF(COUNTIFS('Membership &amp; Stability'!$P$5:$P$10,"&gt;0.5")=0,"none",_xlfn.MINIFS('Membership &amp; Stability'!$P$5:$P$10,'Membership &amp; Stability'!$P$5:$P$10,"&gt;0.5"))</f>
        <v>0.75</v>
      </c>
      <c r="D8" s="72">
        <f>IF(COUNTIFS('Membership &amp; Stability'!$G$16:$G$21,"&gt;0.5")=0,"none",_xlfn.MINIFS('Membership &amp; Stability'!$G$16:$G$21,'Membership &amp; Stability'!$G$16:$G$21,"&gt;0.5"))</f>
        <v>0.6</v>
      </c>
      <c r="E8" s="72">
        <f>IF(COUNTIFS('Membership &amp; Stability'!$P$16:$P$21,"&gt;0.5")=0,"none",_xlfn.MINIFS('Membership &amp; Stability'!$P$16:$P$21,'Membership &amp; Stability'!$P$16:$P$21,"&gt;0.5"))</f>
        <v>0.857142857142857</v>
      </c>
      <c r="F8" s="72">
        <f>IF(COUNTIFS('Membership &amp; Stability'!$G$27:$G$32,"&gt;0.5")=0,"none",_xlfn.MINIFS('Membership &amp; Stability'!$G$27:$G$32,'Membership &amp; Stability'!$G$27:$G$32,"&gt;0.5"))</f>
        <v>0.818181818181818</v>
      </c>
      <c r="G8" s="72">
        <f>IF(COUNTIFS('Membership &amp; Stability'!$P$27:$P$32,"&gt;0.5")=0,"none",_xlfn.MINIFS('Membership &amp; Stability'!$P$27:$P$32,'Membership &amp; Stability'!$P$27:$P$32,"&gt;0.5"))</f>
        <v>1</v>
      </c>
    </row>
    <row r="9">
      <c r="A9" s="65" t="inlineStr">
        <is>
          <t xml:space="preserve">G_k = (q₁ + q₂)/2</t>
        </is>
      </c>
      <c r="B9" s="81">
        <f>IF(AND(ISNUMBER(B8),ISNUMBER(B7)),(B8+B7)/2,0.5)</f>
        <v>0.409090909090909</v>
      </c>
      <c r="C9" s="81">
        <f>IF(AND(ISNUMBER(C8),ISNUMBER(C7)),(C8+C7)/2,0.5)</f>
        <v>0.375</v>
      </c>
      <c r="D9" s="81">
        <f>IF(AND(ISNUMBER(D8),ISNUMBER(D7)),(D8+D7)/2,0.5)</f>
        <v>0.3</v>
      </c>
      <c r="E9" s="81">
        <f>IF(AND(ISNUMBER(E8),ISNUMBER(E7)),(E8+E7)/2,0.5)</f>
        <v>0.428571428571429</v>
      </c>
      <c r="F9" s="81">
        <f>IF(AND(ISNUMBER(F8),ISNUMBER(F7)),(F8+F7)/2,0.5)</f>
        <v>0.409090909090909</v>
      </c>
      <c r="G9" s="81">
        <f>IF(AND(ISNUMBER(G8),ISNUMBER(G7)),(G8+G7)/2,0.5)</f>
        <v>0.5</v>
      </c>
    </row>
    <row r="10">
      <c r="A10" s="65" t="inlineStr">
        <is>
          <t xml:space="preserve">Correctly placed objects</t>
        </is>
      </c>
      <c r="B10" s="74">
        <f>SUM(B29:B38)</f>
        <v>9</v>
      </c>
      <c r="C10" s="74">
        <f>SUM(C29:C38)</f>
        <v>9</v>
      </c>
      <c r="D10" s="74">
        <f>SUM(D29:D38)</f>
        <v>6</v>
      </c>
      <c r="E10" s="74">
        <f>SUM(E29:E38)</f>
        <v>9</v>
      </c>
      <c r="F10" s="74">
        <f>SUM(F29:F38)</f>
        <v>9</v>
      </c>
      <c r="G10" s="74">
        <f>SUM(G29:G38)</f>
        <v>10</v>
      </c>
    </row>
    <row r="11">
      <c r="A11" s="65" t="inlineStr">
        <is>
          <t xml:space="preserve">ω = correct / m  (4)</t>
        </is>
      </c>
      <c r="B11" s="85">
        <f>B10/'Parameters'!$B$5</f>
        <v>0.9</v>
      </c>
      <c r="C11" s="85">
        <f>C10/'Parameters'!$B$5</f>
        <v>0.9</v>
      </c>
      <c r="D11" s="85">
        <f>D10/'Parameters'!$B$5</f>
        <v>0.6</v>
      </c>
      <c r="E11" s="85">
        <f>E10/'Parameters'!$B$5</f>
        <v>0.9</v>
      </c>
      <c r="F11" s="85">
        <f>F10/'Parameters'!$B$5</f>
        <v>0.9</v>
      </c>
      <c r="G11" s="85">
        <f>G10/'Parameters'!$B$5</f>
        <v>1</v>
      </c>
    </row>
    <row r="12">
      <c r="A12" s="65" t="inlineStr">
        <is>
          <t xml:space="preserve">Rank of ω</t>
        </is>
      </c>
      <c r="B12" s="74">
        <f>COUNTIF($B$11:$G$11,"&gt;"&amp;B11)+COUNTIF($B$11:B11,"="&amp;B11)</f>
        <v>2</v>
      </c>
      <c r="C12" s="74">
        <f>COUNTIF($B$11:$G$11,"&gt;"&amp;C11)+COUNTIF($B$11:C11,"="&amp;C11)</f>
        <v>3</v>
      </c>
      <c r="D12" s="74">
        <f>COUNTIF($B$11:$G$11,"&gt;"&amp;D11)+COUNTIF($B$11:D11,"="&amp;D11)</f>
        <v>6</v>
      </c>
      <c r="E12" s="74">
        <f>COUNTIF($B$11:$G$11,"&gt;"&amp;E11)+COUNTIF($B$11:E11,"="&amp;E11)</f>
        <v>4</v>
      </c>
      <c r="F12" s="74">
        <f>COUNTIF($B$11:$G$11,"&gt;"&amp;F11)+COUNTIF($B$11:F11,"="&amp;F11)</f>
        <v>5</v>
      </c>
      <c r="G12" s="74">
        <f>COUNTIF($B$11:$G$11,"&gt;"&amp;G11)+COUNTIF($B$11:G11,"="&amp;G11)</f>
        <v>1</v>
      </c>
    </row>
    <row r="13"/>
    <row r="14">
      <c r="A14" s="58" t="inlineStr">
        <is>
          <t xml:space="preserve">g(S, k) = f_k(μ_S) — membership value of every object at its own gradation μ_S</t>
        </is>
      </c>
      <c r="B14" s="58"/>
      <c r="C14" s="58"/>
      <c r="D14" s="58"/>
      <c r="E14" s="58"/>
      <c r="F14" s="58"/>
      <c r="G14" s="58"/>
      <c r="H14" s="58"/>
    </row>
    <row r="15">
      <c r="A15" s="60" t="inlineStr">
        <is>
          <t xml:space="preserve">№</t>
        </is>
      </c>
      <c r="B15" s="60" t="inlineStr">
        <is>
          <t xml:space="preserve">a₁</t>
        </is>
      </c>
      <c r="C15" s="60" t="inlineStr">
        <is>
          <t xml:space="preserve">a₂</t>
        </is>
      </c>
      <c r="D15" s="60" t="inlineStr">
        <is>
          <t xml:space="preserve">a₃</t>
        </is>
      </c>
      <c r="E15" s="60" t="inlineStr">
        <is>
          <t xml:space="preserve">a₄</t>
        </is>
      </c>
      <c r="F15" s="60" t="inlineStr">
        <is>
          <t xml:space="preserve">a₅</t>
        </is>
      </c>
      <c r="G15" s="60" t="inlineStr">
        <is>
          <t xml:space="preserve">a₆</t>
        </is>
      </c>
      <c r="H15" s="60" t="inlineStr">
        <is>
          <t xml:space="preserve">Class</t>
        </is>
      </c>
    </row>
    <row r="16">
      <c r="A16" s="64" t="inlineStr">
        <is>
          <t xml:space="preserve">S₁</t>
        </is>
      </c>
      <c r="B16" s="72">
        <f>IF(ISNUMBER('Synthetic Features (k-NN)'!B5),INDEX('Membership &amp; Stability'!$G$5:$G$10,'Synthetic Features (k-NN)'!B5+1),"—")</f>
        <v>0</v>
      </c>
      <c r="C16" s="72">
        <f>IF(ISNUMBER('Synthetic Features (k-NN)'!C5),INDEX('Membership &amp; Stability'!$P$5:$P$10,'Synthetic Features (k-NN)'!C5+1),"—")</f>
        <v>0</v>
      </c>
      <c r="D16" s="72">
        <f>IF(ISNUMBER('Synthetic Features (k-NN)'!B19),INDEX('Membership &amp; Stability'!$G$16:$G$21,'Synthetic Features (k-NN)'!B19+1),"—")</f>
        <v>0.6</v>
      </c>
      <c r="E16" s="72">
        <f>IF(ISNUMBER('Synthetic Features (k-NN)'!C19),INDEX('Membership &amp; Stability'!$P$16:$P$21,'Synthetic Features (k-NN)'!C19+1),"—")</f>
        <v>0</v>
      </c>
      <c r="F16" s="72">
        <f>IF(ISNUMBER('Synthetic Features (k-NN)'!B33),INDEX('Membership &amp; Stability'!$G$27:$G$32,'Synthetic Features (k-NN)'!B33+1),"—")</f>
        <v>0</v>
      </c>
      <c r="G16" s="72">
        <f>IF(ISNUMBER('Synthetic Features (k-NN)'!C33),INDEX('Membership &amp; Stability'!$P$27:$P$32,'Synthetic Features (k-NN)'!C33+1),"—")</f>
        <v>0</v>
      </c>
      <c r="H16" s="68">
        <f>Dataset!O3</f>
        <v>2</v>
      </c>
    </row>
    <row r="17">
      <c r="A17" s="64" t="inlineStr">
        <is>
          <t xml:space="preserve">S₂</t>
        </is>
      </c>
      <c r="B17" s="72">
        <f>IF(ISNUMBER('Synthetic Features (k-NN)'!B6),INDEX('Membership &amp; Stability'!$G$5:$G$10,'Synthetic Features (k-NN)'!B6+1),"—")</f>
        <v>1</v>
      </c>
      <c r="C17" s="72">
        <f>IF(ISNUMBER('Synthetic Features (k-NN)'!C6),INDEX('Membership &amp; Stability'!$P$5:$P$10,'Synthetic Features (k-NN)'!C6+1),"—")</f>
        <v>1</v>
      </c>
      <c r="D17" s="72">
        <f>IF(ISNUMBER('Synthetic Features (k-NN)'!B20),INDEX('Membership &amp; Stability'!$G$16:$G$21,'Synthetic Features (k-NN)'!B20+1),"—")</f>
        <v>0.6</v>
      </c>
      <c r="E17" s="72">
        <f>IF(ISNUMBER('Synthetic Features (k-NN)'!C20),INDEX('Membership &amp; Stability'!$P$16:$P$21,'Synthetic Features (k-NN)'!C20+1),"—")</f>
        <v>0.857142857142857</v>
      </c>
      <c r="F17" s="72">
        <f>IF(ISNUMBER('Synthetic Features (k-NN)'!B34),INDEX('Membership &amp; Stability'!$G$27:$G$32,'Synthetic Features (k-NN)'!B34+1),"—")</f>
        <v>1</v>
      </c>
      <c r="G17" s="72">
        <f>IF(ISNUMBER('Synthetic Features (k-NN)'!C34),INDEX('Membership &amp; Stability'!$P$27:$P$32,'Synthetic Features (k-NN)'!C34+1),"—")</f>
        <v>1</v>
      </c>
      <c r="H17" s="68">
        <f>Dataset!O4</f>
        <v>1</v>
      </c>
    </row>
    <row r="18">
      <c r="A18" s="64" t="inlineStr">
        <is>
          <t xml:space="preserve">S₃</t>
        </is>
      </c>
      <c r="B18" s="72">
        <f>IF(ISNUMBER('Synthetic Features (k-NN)'!B7),INDEX('Membership &amp; Stability'!$G$5:$G$10,'Synthetic Features (k-NN)'!B7+1),"—")</f>
        <v>0.818181818181818</v>
      </c>
      <c r="C18" s="72">
        <f>IF(ISNUMBER('Synthetic Features (k-NN)'!C7),INDEX('Membership &amp; Stability'!$P$5:$P$10,'Synthetic Features (k-NN)'!C7+1),"—")</f>
        <v>0.75</v>
      </c>
      <c r="D18" s="72">
        <f>IF(ISNUMBER('Synthetic Features (k-NN)'!B21),INDEX('Membership &amp; Stability'!$G$16:$G$21,'Synthetic Features (k-NN)'!B21+1),"—")</f>
        <v>0.5</v>
      </c>
      <c r="E18" s="72">
        <f>IF(ISNUMBER('Synthetic Features (k-NN)'!C21),INDEX('Membership &amp; Stability'!$P$16:$P$21,'Synthetic Features (k-NN)'!C21+1),"—")</f>
        <v>0.857142857142857</v>
      </c>
      <c r="F18" s="72">
        <f>IF(ISNUMBER('Synthetic Features (k-NN)'!B35),INDEX('Membership &amp; Stability'!$G$27:$G$32,'Synthetic Features (k-NN)'!B35+1),"—")</f>
        <v>0.818181818181818</v>
      </c>
      <c r="G18" s="72">
        <f>IF(ISNUMBER('Synthetic Features (k-NN)'!C35),INDEX('Membership &amp; Stability'!$P$27:$P$32,'Synthetic Features (k-NN)'!C35+1),"—")</f>
        <v>0</v>
      </c>
      <c r="H18" s="68">
        <f>Dataset!O5</f>
        <v>2</v>
      </c>
    </row>
    <row r="19">
      <c r="A19" s="64" t="inlineStr">
        <is>
          <t xml:space="preserve">S₄</t>
        </is>
      </c>
      <c r="B19" s="72">
        <f>IF(ISNUMBER('Synthetic Features (k-NN)'!B8),INDEX('Membership &amp; Stability'!$G$5:$G$10,'Synthetic Features (k-NN)'!B8+1),"—")</f>
        <v>0.818181818181818</v>
      </c>
      <c r="C19" s="72">
        <f>IF(ISNUMBER('Synthetic Features (k-NN)'!C8),INDEX('Membership &amp; Stability'!$P$5:$P$10,'Synthetic Features (k-NN)'!C8+1),"—")</f>
        <v>1</v>
      </c>
      <c r="D19" s="72">
        <f>IF(ISNUMBER('Synthetic Features (k-NN)'!B22),INDEX('Membership &amp; Stability'!$G$16:$G$21,'Synthetic Features (k-NN)'!B22+1),"—")</f>
        <v>0.5</v>
      </c>
      <c r="E19" s="72">
        <f>IF(ISNUMBER('Synthetic Features (k-NN)'!C22),INDEX('Membership &amp; Stability'!$P$16:$P$21,'Synthetic Features (k-NN)'!C22+1),"—")</f>
        <v>0.857142857142857</v>
      </c>
      <c r="F19" s="72">
        <f>IF(ISNUMBER('Synthetic Features (k-NN)'!B36),INDEX('Membership &amp; Stability'!$G$27:$G$32,'Synthetic Features (k-NN)'!B36+1),"—")</f>
        <v>0.818181818181818</v>
      </c>
      <c r="G19" s="72">
        <f>IF(ISNUMBER('Synthetic Features (k-NN)'!C36),INDEX('Membership &amp; Stability'!$P$27:$P$32,'Synthetic Features (k-NN)'!C36+1),"—")</f>
        <v>1</v>
      </c>
      <c r="H19" s="68">
        <f>Dataset!O6</f>
        <v>1</v>
      </c>
    </row>
    <row r="20">
      <c r="A20" s="64" t="inlineStr">
        <is>
          <t xml:space="preserve">S₅</t>
        </is>
      </c>
      <c r="B20" s="72">
        <f>IF(ISNUMBER('Synthetic Features (k-NN)'!B9),INDEX('Membership &amp; Stability'!$G$5:$G$10,'Synthetic Features (k-NN)'!B9+1),"—")</f>
        <v>0.818181818181818</v>
      </c>
      <c r="C20" s="72">
        <f>IF(ISNUMBER('Synthetic Features (k-NN)'!C9),INDEX('Membership &amp; Stability'!$P$5:$P$10,'Synthetic Features (k-NN)'!C9+1),"—")</f>
        <v>0.75</v>
      </c>
      <c r="D20" s="72">
        <f>IF(ISNUMBER('Synthetic Features (k-NN)'!B23),INDEX('Membership &amp; Stability'!$G$16:$G$21,'Synthetic Features (k-NN)'!B23+1),"—")</f>
        <v>0.5</v>
      </c>
      <c r="E20" s="72">
        <f>IF(ISNUMBER('Synthetic Features (k-NN)'!C23),INDEX('Membership &amp; Stability'!$P$16:$P$21,'Synthetic Features (k-NN)'!C23+1),"—")</f>
        <v>0.857142857142857</v>
      </c>
      <c r="F20" s="72">
        <f>IF(ISNUMBER('Synthetic Features (k-NN)'!B37),INDEX('Membership &amp; Stability'!$G$27:$G$32,'Synthetic Features (k-NN)'!B37+1),"—")</f>
        <v>0.818181818181818</v>
      </c>
      <c r="G20" s="72">
        <f>IF(ISNUMBER('Synthetic Features (k-NN)'!C37),INDEX('Membership &amp; Stability'!$P$27:$P$32,'Synthetic Features (k-NN)'!C37+1),"—")</f>
        <v>1</v>
      </c>
      <c r="H20" s="68">
        <f>Dataset!O7</f>
        <v>1</v>
      </c>
    </row>
    <row r="21">
      <c r="A21" s="64" t="inlineStr">
        <is>
          <t xml:space="preserve">S₆</t>
        </is>
      </c>
      <c r="B21" s="72">
        <f>IF(ISNUMBER('Synthetic Features (k-NN)'!B10),INDEX('Membership &amp; Stability'!$G$5:$G$10,'Synthetic Features (k-NN)'!B10+1),"—")</f>
        <v>0.818181818181818</v>
      </c>
      <c r="C21" s="72">
        <f>IF(ISNUMBER('Synthetic Features (k-NN)'!C10),INDEX('Membership &amp; Stability'!$P$5:$P$10,'Synthetic Features (k-NN)'!C10+1),"—")</f>
        <v>0.75</v>
      </c>
      <c r="D21" s="72">
        <f>IF(ISNUMBER('Synthetic Features (k-NN)'!B24),INDEX('Membership &amp; Stability'!$G$16:$G$21,'Synthetic Features (k-NN)'!B24+1),"—")</f>
        <v>1</v>
      </c>
      <c r="E21" s="72">
        <f>IF(ISNUMBER('Synthetic Features (k-NN)'!C24),INDEX('Membership &amp; Stability'!$P$16:$P$21,'Synthetic Features (k-NN)'!C24+1),"—")</f>
        <v>0.857142857142857</v>
      </c>
      <c r="F21" s="72">
        <f>IF(ISNUMBER('Synthetic Features (k-NN)'!B38),INDEX('Membership &amp; Stability'!$G$27:$G$32,'Synthetic Features (k-NN)'!B38+1),"—")</f>
        <v>0.818181818181818</v>
      </c>
      <c r="G21" s="72">
        <f>IF(ISNUMBER('Synthetic Features (k-NN)'!C38),INDEX('Membership &amp; Stability'!$P$27:$P$32,'Synthetic Features (k-NN)'!C38+1),"—")</f>
        <v>1</v>
      </c>
      <c r="H21" s="68">
        <f>Dataset!O8</f>
        <v>1</v>
      </c>
    </row>
    <row r="22">
      <c r="A22" s="64" t="inlineStr">
        <is>
          <t xml:space="preserve">S₇</t>
        </is>
      </c>
      <c r="B22" s="72">
        <f>IF(ISNUMBER('Synthetic Features (k-NN)'!B11),INDEX('Membership &amp; Stability'!$G$5:$G$10,'Synthetic Features (k-NN)'!B11+1),"—")</f>
        <v>0</v>
      </c>
      <c r="C22" s="72">
        <f>IF(ISNUMBER('Synthetic Features (k-NN)'!C11),INDEX('Membership &amp; Stability'!$P$5:$P$10,'Synthetic Features (k-NN)'!C11+1),"—")</f>
        <v>0</v>
      </c>
      <c r="D22" s="72">
        <f>IF(ISNUMBER('Synthetic Features (k-NN)'!B25),INDEX('Membership &amp; Stability'!$G$16:$G$21,'Synthetic Features (k-NN)'!B25+1),"—")</f>
        <v>0.5</v>
      </c>
      <c r="E22" s="72">
        <f>IF(ISNUMBER('Synthetic Features (k-NN)'!C25),INDEX('Membership &amp; Stability'!$P$16:$P$21,'Synthetic Features (k-NN)'!C25+1),"—")</f>
        <v>0</v>
      </c>
      <c r="F22" s="72">
        <f>IF(ISNUMBER('Synthetic Features (k-NN)'!B39),INDEX('Membership &amp; Stability'!$G$27:$G$32,'Synthetic Features (k-NN)'!B39+1),"—")</f>
        <v>0</v>
      </c>
      <c r="G22" s="72">
        <f>IF(ISNUMBER('Synthetic Features (k-NN)'!C39),INDEX('Membership &amp; Stability'!$P$27:$P$32,'Synthetic Features (k-NN)'!C39+1),"—")</f>
        <v>0</v>
      </c>
      <c r="H22" s="68">
        <f>Dataset!O9</f>
        <v>2</v>
      </c>
    </row>
    <row r="23">
      <c r="A23" s="64" t="inlineStr">
        <is>
          <t xml:space="preserve">S₈</t>
        </is>
      </c>
      <c r="B23" s="72">
        <f>IF(ISNUMBER('Synthetic Features (k-NN)'!B12),INDEX('Membership &amp; Stability'!$G$5:$G$10,'Synthetic Features (k-NN)'!B12+1),"—")</f>
        <v>0</v>
      </c>
      <c r="C23" s="72">
        <f>IF(ISNUMBER('Synthetic Features (k-NN)'!C12),INDEX('Membership &amp; Stability'!$P$5:$P$10,'Synthetic Features (k-NN)'!C12+1),"—")</f>
        <v>0</v>
      </c>
      <c r="D23" s="72">
        <f>IF(ISNUMBER('Synthetic Features (k-NN)'!B26),INDEX('Membership &amp; Stability'!$G$16:$G$21,'Synthetic Features (k-NN)'!B26+1),"—")</f>
        <v>0.5</v>
      </c>
      <c r="E23" s="72">
        <f>IF(ISNUMBER('Synthetic Features (k-NN)'!C26),INDEX('Membership &amp; Stability'!$P$16:$P$21,'Synthetic Features (k-NN)'!C26+1),"—")</f>
        <v>0</v>
      </c>
      <c r="F23" s="72">
        <f>IF(ISNUMBER('Synthetic Features (k-NN)'!B40),INDEX('Membership &amp; Stability'!$G$27:$G$32,'Synthetic Features (k-NN)'!B40+1),"—")</f>
        <v>0</v>
      </c>
      <c r="G23" s="72">
        <f>IF(ISNUMBER('Synthetic Features (k-NN)'!C40),INDEX('Membership &amp; Stability'!$P$27:$P$32,'Synthetic Features (k-NN)'!C40+1),"—")</f>
        <v>0</v>
      </c>
      <c r="H23" s="68">
        <f>Dataset!O10</f>
        <v>2</v>
      </c>
    </row>
    <row r="24">
      <c r="A24" s="64" t="inlineStr">
        <is>
          <t xml:space="preserve">S₉</t>
        </is>
      </c>
      <c r="B24" s="72">
        <f>IF(ISNUMBER('Synthetic Features (k-NN)'!B13),INDEX('Membership &amp; Stability'!$G$5:$G$10,'Synthetic Features (k-NN)'!B13+1),"—")</f>
        <v>0</v>
      </c>
      <c r="C24" s="72">
        <f>IF(ISNUMBER('Synthetic Features (k-NN)'!C13),INDEX('Membership &amp; Stability'!$P$5:$P$10,'Synthetic Features (k-NN)'!C13+1),"—")</f>
        <v>0</v>
      </c>
      <c r="D24" s="72">
        <f>IF(ISNUMBER('Synthetic Features (k-NN)'!B27),INDEX('Membership &amp; Stability'!$G$16:$G$21,'Synthetic Features (k-NN)'!B27+1),"—")</f>
        <v>0</v>
      </c>
      <c r="E24" s="72">
        <f>IF(ISNUMBER('Synthetic Features (k-NN)'!C27),INDEX('Membership &amp; Stability'!$P$16:$P$21,'Synthetic Features (k-NN)'!C27+1),"—")</f>
        <v>0</v>
      </c>
      <c r="F24" s="72">
        <f>IF(ISNUMBER('Synthetic Features (k-NN)'!B41),INDEX('Membership &amp; Stability'!$G$27:$G$32,'Synthetic Features (k-NN)'!B41+1),"—")</f>
        <v>0</v>
      </c>
      <c r="G24" s="72">
        <f>IF(ISNUMBER('Synthetic Features (k-NN)'!C41),INDEX('Membership &amp; Stability'!$P$27:$P$32,'Synthetic Features (k-NN)'!C41+1),"—")</f>
        <v>0</v>
      </c>
      <c r="H24" s="68">
        <f>Dataset!O11</f>
        <v>2</v>
      </c>
    </row>
    <row r="25">
      <c r="A25" s="64" t="inlineStr">
        <is>
          <t xml:space="preserve">S₁₀</t>
        </is>
      </c>
      <c r="B25" s="72">
        <f>IF(ISNUMBER('Synthetic Features (k-NN)'!B14),INDEX('Membership &amp; Stability'!$G$5:$G$10,'Synthetic Features (k-NN)'!B14+1),"—")</f>
        <v>0</v>
      </c>
      <c r="C25" s="72">
        <f>IF(ISNUMBER('Synthetic Features (k-NN)'!C14),INDEX('Membership &amp; Stability'!$P$5:$P$10,'Synthetic Features (k-NN)'!C14+1),"—")</f>
        <v>0</v>
      </c>
      <c r="D25" s="72">
        <f>IF(ISNUMBER('Synthetic Features (k-NN)'!B28),INDEX('Membership &amp; Stability'!$G$16:$G$21,'Synthetic Features (k-NN)'!B28+1),"—")</f>
        <v>0</v>
      </c>
      <c r="E25" s="72">
        <f>IF(ISNUMBER('Synthetic Features (k-NN)'!C28),INDEX('Membership &amp; Stability'!$P$16:$P$21,'Synthetic Features (k-NN)'!C28+1),"—")</f>
        <v>0</v>
      </c>
      <c r="F25" s="72">
        <f>IF(ISNUMBER('Synthetic Features (k-NN)'!B42),INDEX('Membership &amp; Stability'!$G$27:$G$32,'Synthetic Features (k-NN)'!B42+1),"—")</f>
        <v>0</v>
      </c>
      <c r="G25" s="72">
        <f>IF(ISNUMBER('Synthetic Features (k-NN)'!C42),INDEX('Membership &amp; Stability'!$P$27:$P$32,'Synthetic Features (k-NN)'!C42+1),"—")</f>
        <v>0</v>
      </c>
      <c r="H25" s="68">
        <f>Dataset!O12</f>
        <v>2</v>
      </c>
    </row>
    <row r="26"/>
    <row r="27">
      <c r="A27" s="58" t="inlineStr">
        <is>
          <t xml:space="preserve">Correct side of the boundary: 1 if (Sₜ ∈ K1 and g &gt; G_k) or (Sₜ ∈ K2 and g &lt; G_k)</t>
        </is>
      </c>
      <c r="B27" s="58"/>
      <c r="C27" s="58"/>
      <c r="D27" s="58"/>
      <c r="E27" s="58"/>
      <c r="F27" s="58"/>
      <c r="G27" s="58"/>
      <c r="H27" s="58"/>
    </row>
    <row r="28">
      <c r="A28" s="60" t="inlineStr">
        <is>
          <t xml:space="preserve">№</t>
        </is>
      </c>
      <c r="B28" s="60" t="inlineStr">
        <is>
          <t xml:space="preserve">a₁</t>
        </is>
      </c>
      <c r="C28" s="60" t="inlineStr">
        <is>
          <t xml:space="preserve">a₂</t>
        </is>
      </c>
      <c r="D28" s="60" t="inlineStr">
        <is>
          <t xml:space="preserve">a₃</t>
        </is>
      </c>
      <c r="E28" s="60" t="inlineStr">
        <is>
          <t xml:space="preserve">a₄</t>
        </is>
      </c>
      <c r="F28" s="60" t="inlineStr">
        <is>
          <t xml:space="preserve">a₅</t>
        </is>
      </c>
      <c r="G28" s="60" t="inlineStr">
        <is>
          <t xml:space="preserve">a₆</t>
        </is>
      </c>
      <c r="H28" s="60" t="inlineStr">
        <is>
          <t xml:space="preserve">Class</t>
        </is>
      </c>
    </row>
    <row r="29">
      <c r="A29" s="64" t="inlineStr">
        <is>
          <t xml:space="preserve">S₁</t>
        </is>
      </c>
      <c r="B29" s="74">
        <f>IF(ISNUMBER(B16),IF(Dataset!$O$3=1,IF(B16&gt;B$9,1,0),IF(B16&lt;B$9,1,0)),0)</f>
        <v>1</v>
      </c>
      <c r="C29" s="74">
        <f>IF(ISNUMBER(C16),IF(Dataset!$O$3=1,IF(C16&gt;C$9,1,0),IF(C16&lt;C$9,1,0)),0)</f>
        <v>1</v>
      </c>
      <c r="D29" s="74">
        <f>IF(ISNUMBER(D16),IF(Dataset!$O$3=1,IF(D16&gt;D$9,1,0),IF(D16&lt;D$9,1,0)),0)</f>
        <v>0</v>
      </c>
      <c r="E29" s="74">
        <f>IF(ISNUMBER(E16),IF(Dataset!$O$3=1,IF(E16&gt;E$9,1,0),IF(E16&lt;E$9,1,0)),0)</f>
        <v>1</v>
      </c>
      <c r="F29" s="74">
        <f>IF(ISNUMBER(F16),IF(Dataset!$O$3=1,IF(F16&gt;F$9,1,0),IF(F16&lt;F$9,1,0)),0)</f>
        <v>1</v>
      </c>
      <c r="G29" s="74">
        <f>IF(ISNUMBER(G16),IF(Dataset!$O$3=1,IF(G16&gt;G$9,1,0),IF(G16&lt;G$9,1,0)),0)</f>
        <v>1</v>
      </c>
      <c r="H29" s="68">
        <f>Dataset!O3</f>
        <v>2</v>
      </c>
    </row>
    <row r="30">
      <c r="A30" s="64" t="inlineStr">
        <is>
          <t xml:space="preserve">S₂</t>
        </is>
      </c>
      <c r="B30" s="74">
        <f>IF(ISNUMBER(B17),IF(Dataset!$O$4=1,IF(B17&gt;B$9,1,0),IF(B17&lt;B$9,1,0)),0)</f>
        <v>1</v>
      </c>
      <c r="C30" s="74">
        <f>IF(ISNUMBER(C17),IF(Dataset!$O$4=1,IF(C17&gt;C$9,1,0),IF(C17&lt;C$9,1,0)),0)</f>
        <v>1</v>
      </c>
      <c r="D30" s="74">
        <f>IF(ISNUMBER(D17),IF(Dataset!$O$4=1,IF(D17&gt;D$9,1,0),IF(D17&lt;D$9,1,0)),0)</f>
        <v>1</v>
      </c>
      <c r="E30" s="74">
        <f>IF(ISNUMBER(E17),IF(Dataset!$O$4=1,IF(E17&gt;E$9,1,0),IF(E17&lt;E$9,1,0)),0)</f>
        <v>1</v>
      </c>
      <c r="F30" s="74">
        <f>IF(ISNUMBER(F17),IF(Dataset!$O$4=1,IF(F17&gt;F$9,1,0),IF(F17&lt;F$9,1,0)),0)</f>
        <v>1</v>
      </c>
      <c r="G30" s="74">
        <f>IF(ISNUMBER(G17),IF(Dataset!$O$4=1,IF(G17&gt;G$9,1,0),IF(G17&lt;G$9,1,0)),0)</f>
        <v>1</v>
      </c>
      <c r="H30" s="68">
        <f>Dataset!O4</f>
        <v>1</v>
      </c>
    </row>
    <row r="31">
      <c r="A31" s="64" t="inlineStr">
        <is>
          <t xml:space="preserve">S₃</t>
        </is>
      </c>
      <c r="B31" s="74">
        <f>IF(ISNUMBER(B18),IF(Dataset!$O$5=1,IF(B18&gt;B$9,1,0),IF(B18&lt;B$9,1,0)),0)</f>
        <v>0</v>
      </c>
      <c r="C31" s="74">
        <f>IF(ISNUMBER(C18),IF(Dataset!$O$5=1,IF(C18&gt;C$9,1,0),IF(C18&lt;C$9,1,0)),0)</f>
        <v>0</v>
      </c>
      <c r="D31" s="74">
        <f>IF(ISNUMBER(D18),IF(Dataset!$O$5=1,IF(D18&gt;D$9,1,0),IF(D18&lt;D$9,1,0)),0)</f>
        <v>0</v>
      </c>
      <c r="E31" s="74">
        <f>IF(ISNUMBER(E18),IF(Dataset!$O$5=1,IF(E18&gt;E$9,1,0),IF(E18&lt;E$9,1,0)),0)</f>
        <v>0</v>
      </c>
      <c r="F31" s="74">
        <f>IF(ISNUMBER(F18),IF(Dataset!$O$5=1,IF(F18&gt;F$9,1,0),IF(F18&lt;F$9,1,0)),0)</f>
        <v>0</v>
      </c>
      <c r="G31" s="74">
        <f>IF(ISNUMBER(G18),IF(Dataset!$O$5=1,IF(G18&gt;G$9,1,0),IF(G18&lt;G$9,1,0)),0)</f>
        <v>1</v>
      </c>
      <c r="H31" s="68">
        <f>Dataset!O5</f>
        <v>2</v>
      </c>
    </row>
    <row r="32">
      <c r="A32" s="64" t="inlineStr">
        <is>
          <t xml:space="preserve">S₄</t>
        </is>
      </c>
      <c r="B32" s="74">
        <f>IF(ISNUMBER(B19),IF(Dataset!$O$6=1,IF(B19&gt;B$9,1,0),IF(B19&lt;B$9,1,0)),0)</f>
        <v>1</v>
      </c>
      <c r="C32" s="74">
        <f>IF(ISNUMBER(C19),IF(Dataset!$O$6=1,IF(C19&gt;C$9,1,0),IF(C19&lt;C$9,1,0)),0)</f>
        <v>1</v>
      </c>
      <c r="D32" s="74">
        <f>IF(ISNUMBER(D19),IF(Dataset!$O$6=1,IF(D19&gt;D$9,1,0),IF(D19&lt;D$9,1,0)),0)</f>
        <v>1</v>
      </c>
      <c r="E32" s="74">
        <f>IF(ISNUMBER(E19),IF(Dataset!$O$6=1,IF(E19&gt;E$9,1,0),IF(E19&lt;E$9,1,0)),0)</f>
        <v>1</v>
      </c>
      <c r="F32" s="74">
        <f>IF(ISNUMBER(F19),IF(Dataset!$O$6=1,IF(F19&gt;F$9,1,0),IF(F19&lt;F$9,1,0)),0)</f>
        <v>1</v>
      </c>
      <c r="G32" s="74">
        <f>IF(ISNUMBER(G19),IF(Dataset!$O$6=1,IF(G19&gt;G$9,1,0),IF(G19&lt;G$9,1,0)),0)</f>
        <v>1</v>
      </c>
      <c r="H32" s="68">
        <f>Dataset!O6</f>
        <v>1</v>
      </c>
    </row>
    <row r="33">
      <c r="A33" s="64" t="inlineStr">
        <is>
          <t xml:space="preserve">S₅</t>
        </is>
      </c>
      <c r="B33" s="74">
        <f>IF(ISNUMBER(B20),IF(Dataset!$O$7=1,IF(B20&gt;B$9,1,0),IF(B20&lt;B$9,1,0)),0)</f>
        <v>1</v>
      </c>
      <c r="C33" s="74">
        <f>IF(ISNUMBER(C20),IF(Dataset!$O$7=1,IF(C20&gt;C$9,1,0),IF(C20&lt;C$9,1,0)),0)</f>
        <v>1</v>
      </c>
      <c r="D33" s="74">
        <f>IF(ISNUMBER(D20),IF(Dataset!$O$7=1,IF(D20&gt;D$9,1,0),IF(D20&lt;D$9,1,0)),0)</f>
        <v>1</v>
      </c>
      <c r="E33" s="74">
        <f>IF(ISNUMBER(E20),IF(Dataset!$O$7=1,IF(E20&gt;E$9,1,0),IF(E20&lt;E$9,1,0)),0)</f>
        <v>1</v>
      </c>
      <c r="F33" s="74">
        <f>IF(ISNUMBER(F20),IF(Dataset!$O$7=1,IF(F20&gt;F$9,1,0),IF(F20&lt;F$9,1,0)),0)</f>
        <v>1</v>
      </c>
      <c r="G33" s="74">
        <f>IF(ISNUMBER(G20),IF(Dataset!$O$7=1,IF(G20&gt;G$9,1,0),IF(G20&lt;G$9,1,0)),0)</f>
        <v>1</v>
      </c>
      <c r="H33" s="68">
        <f>Dataset!O7</f>
        <v>1</v>
      </c>
    </row>
    <row r="34">
      <c r="A34" s="64" t="inlineStr">
        <is>
          <t xml:space="preserve">S₆</t>
        </is>
      </c>
      <c r="B34" s="74">
        <f>IF(ISNUMBER(B21),IF(Dataset!$O$8=1,IF(B21&gt;B$9,1,0),IF(B21&lt;B$9,1,0)),0)</f>
        <v>1</v>
      </c>
      <c r="C34" s="74">
        <f>IF(ISNUMBER(C21),IF(Dataset!$O$8=1,IF(C21&gt;C$9,1,0),IF(C21&lt;C$9,1,0)),0)</f>
        <v>1</v>
      </c>
      <c r="D34" s="74">
        <f>IF(ISNUMBER(D21),IF(Dataset!$O$8=1,IF(D21&gt;D$9,1,0),IF(D21&lt;D$9,1,0)),0)</f>
        <v>1</v>
      </c>
      <c r="E34" s="74">
        <f>IF(ISNUMBER(E21),IF(Dataset!$O$8=1,IF(E21&gt;E$9,1,0),IF(E21&lt;E$9,1,0)),0)</f>
        <v>1</v>
      </c>
      <c r="F34" s="74">
        <f>IF(ISNUMBER(F21),IF(Dataset!$O$8=1,IF(F21&gt;F$9,1,0),IF(F21&lt;F$9,1,0)),0)</f>
        <v>1</v>
      </c>
      <c r="G34" s="74">
        <f>IF(ISNUMBER(G21),IF(Dataset!$O$8=1,IF(G21&gt;G$9,1,0),IF(G21&lt;G$9,1,0)),0)</f>
        <v>1</v>
      </c>
      <c r="H34" s="68">
        <f>Dataset!O8</f>
        <v>1</v>
      </c>
    </row>
    <row r="35">
      <c r="A35" s="64" t="inlineStr">
        <is>
          <t xml:space="preserve">S₇</t>
        </is>
      </c>
      <c r="B35" s="74">
        <f>IF(ISNUMBER(B22),IF(Dataset!$O$9=1,IF(B22&gt;B$9,1,0),IF(B22&lt;B$9,1,0)),0)</f>
        <v>1</v>
      </c>
      <c r="C35" s="74">
        <f>IF(ISNUMBER(C22),IF(Dataset!$O$9=1,IF(C22&gt;C$9,1,0),IF(C22&lt;C$9,1,0)),0)</f>
        <v>1</v>
      </c>
      <c r="D35" s="74">
        <f>IF(ISNUMBER(D22),IF(Dataset!$O$9=1,IF(D22&gt;D$9,1,0),IF(D22&lt;D$9,1,0)),0)</f>
        <v>0</v>
      </c>
      <c r="E35" s="74">
        <f>IF(ISNUMBER(E22),IF(Dataset!$O$9=1,IF(E22&gt;E$9,1,0),IF(E22&lt;E$9,1,0)),0)</f>
        <v>1</v>
      </c>
      <c r="F35" s="74">
        <f>IF(ISNUMBER(F22),IF(Dataset!$O$9=1,IF(F22&gt;F$9,1,0),IF(F22&lt;F$9,1,0)),0)</f>
        <v>1</v>
      </c>
      <c r="G35" s="74">
        <f>IF(ISNUMBER(G22),IF(Dataset!$O$9=1,IF(G22&gt;G$9,1,0),IF(G22&lt;G$9,1,0)),0)</f>
        <v>1</v>
      </c>
      <c r="H35" s="68">
        <f>Dataset!O9</f>
        <v>2</v>
      </c>
    </row>
    <row r="36">
      <c r="A36" s="64" t="inlineStr">
        <is>
          <t xml:space="preserve">S₈</t>
        </is>
      </c>
      <c r="B36" s="74">
        <f>IF(ISNUMBER(B23),IF(Dataset!$O$10=1,IF(B23&gt;B$9,1,0),IF(B23&lt;B$9,1,0)),0)</f>
        <v>1</v>
      </c>
      <c r="C36" s="74">
        <f>IF(ISNUMBER(C23),IF(Dataset!$O$10=1,IF(C23&gt;C$9,1,0),IF(C23&lt;C$9,1,0)),0)</f>
        <v>1</v>
      </c>
      <c r="D36" s="74">
        <f>IF(ISNUMBER(D23),IF(Dataset!$O$10=1,IF(D23&gt;D$9,1,0),IF(D23&lt;D$9,1,0)),0)</f>
        <v>0</v>
      </c>
      <c r="E36" s="74">
        <f>IF(ISNUMBER(E23),IF(Dataset!$O$10=1,IF(E23&gt;E$9,1,0),IF(E23&lt;E$9,1,0)),0)</f>
        <v>1</v>
      </c>
      <c r="F36" s="74">
        <f>IF(ISNUMBER(F23),IF(Dataset!$O$10=1,IF(F23&gt;F$9,1,0),IF(F23&lt;F$9,1,0)),0)</f>
        <v>1</v>
      </c>
      <c r="G36" s="74">
        <f>IF(ISNUMBER(G23),IF(Dataset!$O$10=1,IF(G23&gt;G$9,1,0),IF(G23&lt;G$9,1,0)),0)</f>
        <v>1</v>
      </c>
      <c r="H36" s="68">
        <f>Dataset!O10</f>
        <v>2</v>
      </c>
    </row>
    <row r="37">
      <c r="A37" s="64" t="inlineStr">
        <is>
          <t xml:space="preserve">S₉</t>
        </is>
      </c>
      <c r="B37" s="74">
        <f>IF(ISNUMBER(B24),IF(Dataset!$O$11=1,IF(B24&gt;B$9,1,0),IF(B24&lt;B$9,1,0)),0)</f>
        <v>1</v>
      </c>
      <c r="C37" s="74">
        <f>IF(ISNUMBER(C24),IF(Dataset!$O$11=1,IF(C24&gt;C$9,1,0),IF(C24&lt;C$9,1,0)),0)</f>
        <v>1</v>
      </c>
      <c r="D37" s="74">
        <f>IF(ISNUMBER(D24),IF(Dataset!$O$11=1,IF(D24&gt;D$9,1,0),IF(D24&lt;D$9,1,0)),0)</f>
        <v>1</v>
      </c>
      <c r="E37" s="74">
        <f>IF(ISNUMBER(E24),IF(Dataset!$O$11=1,IF(E24&gt;E$9,1,0),IF(E24&lt;E$9,1,0)),0)</f>
        <v>1</v>
      </c>
      <c r="F37" s="74">
        <f>IF(ISNUMBER(F24),IF(Dataset!$O$11=1,IF(F24&gt;F$9,1,0),IF(F24&lt;F$9,1,0)),0)</f>
        <v>1</v>
      </c>
      <c r="G37" s="74">
        <f>IF(ISNUMBER(G24),IF(Dataset!$O$11=1,IF(G24&gt;G$9,1,0),IF(G24&lt;G$9,1,0)),0)</f>
        <v>1</v>
      </c>
      <c r="H37" s="68">
        <f>Dataset!O11</f>
        <v>2</v>
      </c>
    </row>
    <row r="38">
      <c r="A38" s="64" t="inlineStr">
        <is>
          <t xml:space="preserve">S₁₀</t>
        </is>
      </c>
      <c r="B38" s="74">
        <f>IF(ISNUMBER(B25),IF(Dataset!$O$12=1,IF(B25&gt;B$9,1,0),IF(B25&lt;B$9,1,0)),0)</f>
        <v>1</v>
      </c>
      <c r="C38" s="74">
        <f>IF(ISNUMBER(C25),IF(Dataset!$O$12=1,IF(C25&gt;C$9,1,0),IF(C25&lt;C$9,1,0)),0)</f>
        <v>1</v>
      </c>
      <c r="D38" s="74">
        <f>IF(ISNUMBER(D25),IF(Dataset!$O$12=1,IF(D25&gt;D$9,1,0),IF(D25&lt;D$9,1,0)),0)</f>
        <v>1</v>
      </c>
      <c r="E38" s="74">
        <f>IF(ISNUMBER(E25),IF(Dataset!$O$12=1,IF(E25&gt;E$9,1,0),IF(E25&lt;E$9,1,0)),0)</f>
        <v>1</v>
      </c>
      <c r="F38" s="74">
        <f>IF(ISNUMBER(F25),IF(Dataset!$O$12=1,IF(F25&gt;F$9,1,0),IF(F25&lt;F$9,1,0)),0)</f>
        <v>1</v>
      </c>
      <c r="G38" s="74">
        <f>IF(ISNUMBER(G25),IF(Dataset!$O$12=1,IF(G25&gt;G$9,1,0),IF(G25&lt;G$9,1,0)),0)</f>
        <v>1</v>
      </c>
      <c r="H38" s="68">
        <f>Dataset!O12</f>
        <v>2</v>
      </c>
    </row>
    <row r="39"/>
    <row r="40">
      <c r="A40" s="99" t="inlineStr">
        <is>
          <t xml:space="preserve">Formula (3): G_k = (q₁ + q₂)/2 with q₂ = max{f_k(μ) | f_k(μ) &lt; 0.5} and q₁ = min{f_k(μ) | f_k(μ) &gt; 0.5}. If one side is empty, the neutral threshold 0.5 of section 1.3 is used.</t>
        </is>
      </c>
    </row>
    <row r="41">
      <c r="A41" s="99" t="inlineStr">
        <is>
          <t xml:space="preserve">Formula (4): ω = (|{S ∈ K1 | g(S, k) &gt; G_k}| + |{S ∈ K2 | g(S, k) &lt; G_k}|) / |K1 ∪ K2| — the informativeness (weight) of the synthetic feature.</t>
        </is>
      </c>
    </row>
  </sheetData>
  <mergeCells count="4">
    <mergeCell ref="A1:H1"/>
    <mergeCell ref="A3:H3"/>
    <mergeCell ref="A14:H14"/>
    <mergeCell ref="A27:H27"/>
  </mergeCells>
  <conditionalFormatting sqref="B29:B38">
    <cfRule type="cellIs" dxfId="0" priority="1" operator="equal">
      <formula>1</formula>
    </cfRule>
  </conditionalFormatting>
  <conditionalFormatting sqref="C29:C38">
    <cfRule type="cellIs" dxfId="0" priority="2" operator="equal">
      <formula>1</formula>
    </cfRule>
  </conditionalFormatting>
  <conditionalFormatting sqref="D29:D38">
    <cfRule type="cellIs" dxfId="0" priority="3" operator="equal">
      <formula>1</formula>
    </cfRule>
  </conditionalFormatting>
  <conditionalFormatting sqref="E29:E38">
    <cfRule type="cellIs" dxfId="0" priority="4" operator="equal">
      <formula>1</formula>
    </cfRule>
  </conditionalFormatting>
  <conditionalFormatting sqref="F29:F38">
    <cfRule type="cellIs" dxfId="0" priority="5" operator="equal">
      <formula>1</formula>
    </cfRule>
  </conditionalFormatting>
  <conditionalFormatting sqref="G29:G38">
    <cfRule type="cellIs" dxfId="0" priority="6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C55A11"/>
    <pageSetUpPr fitToPage="1"/>
  </sheetPr>
  <dimension ref="A1:H35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24.77734375" customWidth="1"/>
    <col min="2" max="8" width="12.77734375" customWidth="1"/>
  </cols>
  <sheetData>
    <row r="1" ht="20" customHeight="1">
      <c r="A1" s="57" t="inlineStr">
        <is>
          <t xml:space="preserve">Step 8 · Ψ(r) with contribution values η — formula (6) — and weights ω: the input of the hierarchical agglomerative grouping</t>
        </is>
      </c>
      <c r="B1" s="57"/>
      <c r="C1" s="57"/>
      <c r="D1" s="57"/>
      <c r="E1" s="57"/>
      <c r="F1" s="57"/>
      <c r="G1" s="57"/>
      <c r="H1" s="57"/>
    </row>
    <row r="2"/>
    <row r="3">
      <c r="A3" s="58" t="inlineStr">
        <is>
          <t xml:space="preserve">Gradations of the synthetic features  (α¹ⱼ, α²ⱼ = number of objects with aᵤ = j in K1 and K2)</t>
        </is>
      </c>
      <c r="B3" s="58"/>
      <c r="C3" s="58"/>
      <c r="D3" s="58"/>
      <c r="E3" s="58"/>
      <c r="F3" s="58"/>
      <c r="G3" s="58"/>
      <c r="H3" s="58"/>
    </row>
    <row r="4">
      <c r="A4" s="61" t="inlineStr">
        <is>
          <t xml:space="preserve">Gradations {1, 2}</t>
        </is>
      </c>
      <c r="B4" s="60" t="inlineStr">
        <is>
          <t xml:space="preserve">a₁</t>
        </is>
      </c>
      <c r="C4" s="60" t="inlineStr">
        <is>
          <t xml:space="preserve">a₂</t>
        </is>
      </c>
      <c r="D4" s="60" t="inlineStr">
        <is>
          <t xml:space="preserve">a₃</t>
        </is>
      </c>
      <c r="E4" s="60" t="inlineStr">
        <is>
          <t xml:space="preserve">a₄</t>
        </is>
      </c>
      <c r="F4" s="60" t="inlineStr">
        <is>
          <t xml:space="preserve">a₅</t>
        </is>
      </c>
      <c r="G4" s="60" t="inlineStr">
        <is>
          <t xml:space="preserve">a₆</t>
        </is>
      </c>
    </row>
    <row r="5">
      <c r="A5" s="65" t="inlineStr">
        <is>
          <t xml:space="preserve">α¹₁  (aᵤ = 1 in K1)</t>
        </is>
      </c>
      <c r="B5" s="74">
        <f>COUNTIFS('Ψ(r) Binary Features'!$B$40:$B$49,1,Dataset!$O$3:$O$12,1)</f>
        <v>0</v>
      </c>
      <c r="C5" s="74">
        <f>COUNTIFS('Ψ(r) Binary Features'!$C$40:$C$49,1,Dataset!$O$3:$O$12,1)</f>
        <v>0</v>
      </c>
      <c r="D5" s="74">
        <f>COUNTIFS('Ψ(r) Binary Features'!$D$40:$D$49,1,Dataset!$O$3:$O$12,1)</f>
        <v>2</v>
      </c>
      <c r="E5" s="74">
        <f>COUNTIFS('Ψ(r) Binary Features'!$E$40:$E$49,1,Dataset!$O$3:$O$12,1)</f>
        <v>0</v>
      </c>
      <c r="F5" s="74">
        <f>COUNTIFS('Ψ(r) Binary Features'!$F$40:$F$49,1,Dataset!$O$3:$O$12,1)</f>
        <v>0</v>
      </c>
      <c r="G5" s="74">
        <f>COUNTIFS('Ψ(r) Binary Features'!$G$40:$G$49,1,Dataset!$O$3:$O$12,1)</f>
        <v>0</v>
      </c>
    </row>
    <row r="6">
      <c r="A6" s="65" t="inlineStr">
        <is>
          <t xml:space="preserve">α²₁  (aᵤ = 1 in K2)</t>
        </is>
      </c>
      <c r="B6" s="74">
        <f>COUNTIFS('Ψ(r) Binary Features'!$B$40:$B$49,1,Dataset!$O$3:$O$12,2)</f>
        <v>1</v>
      </c>
      <c r="C6" s="74">
        <f>COUNTIFS('Ψ(r) Binary Features'!$C$40:$C$49,1,Dataset!$O$3:$O$12,2)</f>
        <v>1</v>
      </c>
      <c r="D6" s="74">
        <f>COUNTIFS('Ψ(r) Binary Features'!$D$40:$D$49,1,Dataset!$O$3:$O$12,2)</f>
        <v>1</v>
      </c>
      <c r="E6" s="74">
        <f>COUNTIFS('Ψ(r) Binary Features'!$E$40:$E$49,1,Dataset!$O$3:$O$12,2)</f>
        <v>1</v>
      </c>
      <c r="F6" s="74">
        <f>COUNTIFS('Ψ(r) Binary Features'!$F$40:$F$49,1,Dataset!$O$3:$O$12,2)</f>
        <v>1</v>
      </c>
      <c r="G6" s="74">
        <f>COUNTIFS('Ψ(r) Binary Features'!$G$40:$G$49,1,Dataset!$O$3:$O$12,2)</f>
        <v>1</v>
      </c>
    </row>
    <row r="7">
      <c r="A7" s="65" t="inlineStr">
        <is>
          <t xml:space="preserve">α¹₂  (aᵤ = 2 in K1)</t>
        </is>
      </c>
      <c r="B7" s="74">
        <f>COUNTIFS('Ψ(r) Binary Features'!$B$40:$B$49,2,Dataset!$O$3:$O$12,1)</f>
        <v>4</v>
      </c>
      <c r="C7" s="74">
        <f>COUNTIFS('Ψ(r) Binary Features'!$C$40:$C$49,2,Dataset!$O$3:$O$12,1)</f>
        <v>4</v>
      </c>
      <c r="D7" s="74">
        <f>COUNTIFS('Ψ(r) Binary Features'!$D$40:$D$49,2,Dataset!$O$3:$O$12,1)</f>
        <v>2</v>
      </c>
      <c r="E7" s="74">
        <f>COUNTIFS('Ψ(r) Binary Features'!$E$40:$E$49,2,Dataset!$O$3:$O$12,1)</f>
        <v>4</v>
      </c>
      <c r="F7" s="74">
        <f>COUNTIFS('Ψ(r) Binary Features'!$F$40:$F$49,2,Dataset!$O$3:$O$12,1)</f>
        <v>4</v>
      </c>
      <c r="G7" s="74">
        <f>COUNTIFS('Ψ(r) Binary Features'!$G$40:$G$49,2,Dataset!$O$3:$O$12,1)</f>
        <v>4</v>
      </c>
    </row>
    <row r="8">
      <c r="A8" s="65" t="inlineStr">
        <is>
          <t xml:space="preserve">α²₂  (aᵤ = 2 in K2)</t>
        </is>
      </c>
      <c r="B8" s="74">
        <f>COUNTIFS('Ψ(r) Binary Features'!$B$40:$B$49,2,Dataset!$O$3:$O$12,2)</f>
        <v>5</v>
      </c>
      <c r="C8" s="74">
        <f>COUNTIFS('Ψ(r) Binary Features'!$C$40:$C$49,2,Dataset!$O$3:$O$12,2)</f>
        <v>5</v>
      </c>
      <c r="D8" s="74">
        <f>COUNTIFS('Ψ(r) Binary Features'!$D$40:$D$49,2,Dataset!$O$3:$O$12,2)</f>
        <v>5</v>
      </c>
      <c r="E8" s="74">
        <f>COUNTIFS('Ψ(r) Binary Features'!$E$40:$E$49,2,Dataset!$O$3:$O$12,2)</f>
        <v>5</v>
      </c>
      <c r="F8" s="74">
        <f>COUNTIFS('Ψ(r) Binary Features'!$F$40:$F$49,2,Dataset!$O$3:$O$12,2)</f>
        <v>5</v>
      </c>
      <c r="G8" s="74">
        <f>COUNTIFS('Ψ(r) Binary Features'!$G$40:$G$49,2,Dataset!$O$3:$O$12,2)</f>
        <v>5</v>
      </c>
    </row>
    <row r="9"/>
    <row r="10">
      <c r="A10" s="58" t="inlineStr">
        <is>
          <t xml:space="preserve">Weight ω (Step 7) and contributions of gradations η(j) = ω · (α¹ⱼ/|K1| − α²ⱼ/|K2|)  — formula (6)</t>
        </is>
      </c>
      <c r="B10" s="58"/>
      <c r="C10" s="58"/>
      <c r="D10" s="58"/>
      <c r="E10" s="58"/>
      <c r="F10" s="58"/>
      <c r="G10" s="58"/>
      <c r="H10" s="58"/>
    </row>
    <row r="11">
      <c r="A11" s="61" t="inlineStr">
        <is>
          <t xml:space="preserve">Quantity</t>
        </is>
      </c>
      <c r="B11" s="60" t="inlineStr">
        <is>
          <t xml:space="preserve">a₁</t>
        </is>
      </c>
      <c r="C11" s="60" t="inlineStr">
        <is>
          <t xml:space="preserve">a₂</t>
        </is>
      </c>
      <c r="D11" s="60" t="inlineStr">
        <is>
          <t xml:space="preserve">a₃</t>
        </is>
      </c>
      <c r="E11" s="60" t="inlineStr">
        <is>
          <t xml:space="preserve">a₄</t>
        </is>
      </c>
      <c r="F11" s="60" t="inlineStr">
        <is>
          <t xml:space="preserve">a₅</t>
        </is>
      </c>
      <c r="G11" s="60" t="inlineStr">
        <is>
          <t xml:space="preserve">a₆</t>
        </is>
      </c>
    </row>
    <row r="12">
      <c r="A12" s="65" t="inlineStr">
        <is>
          <t xml:space="preserve">ω  (informativeness)</t>
        </is>
      </c>
      <c r="B12" s="85">
        <f>'Informativeness ω'!$B$11</f>
        <v>0.9</v>
      </c>
      <c r="C12" s="85">
        <f>'Informativeness ω'!$C$11</f>
        <v>0.9</v>
      </c>
      <c r="D12" s="85">
        <f>'Informativeness ω'!$D$11</f>
        <v>0.6</v>
      </c>
      <c r="E12" s="85">
        <f>'Informativeness ω'!$E$11</f>
        <v>0.9</v>
      </c>
      <c r="F12" s="85">
        <f>'Informativeness ω'!$F$11</f>
        <v>0.9</v>
      </c>
      <c r="G12" s="85">
        <f>'Informativeness ω'!$G$11</f>
        <v>1</v>
      </c>
    </row>
    <row r="13">
      <c r="A13" s="65" t="inlineStr">
        <is>
          <t xml:space="preserve">η(1)</t>
        </is>
      </c>
      <c r="B13" s="72">
        <f>B$12*(B5/'Parameters'!$B$6-B6/'Parameters'!$B$7)</f>
        <v>-0.15</v>
      </c>
      <c r="C13" s="72">
        <f>C$12*(C5/'Parameters'!$B$6-C6/'Parameters'!$B$7)</f>
        <v>-0.15</v>
      </c>
      <c r="D13" s="72">
        <f>D$12*(D5/'Parameters'!$B$6-D6/'Parameters'!$B$7)</f>
        <v>0.2</v>
      </c>
      <c r="E13" s="72">
        <f>E$12*(E5/'Parameters'!$B$6-E6/'Parameters'!$B$7)</f>
        <v>-0.15</v>
      </c>
      <c r="F13" s="72">
        <f>F$12*(F5/'Parameters'!$B$6-F6/'Parameters'!$B$7)</f>
        <v>-0.15</v>
      </c>
      <c r="G13" s="72">
        <f>G$12*(G5/'Parameters'!$B$6-G6/'Parameters'!$B$7)</f>
        <v>-0.166666666666667</v>
      </c>
    </row>
    <row r="14">
      <c r="A14" s="65" t="inlineStr">
        <is>
          <t xml:space="preserve">η(2)</t>
        </is>
      </c>
      <c r="B14" s="72">
        <f>B$12*(B7/'Parameters'!$B$6-B8/'Parameters'!$B$7)</f>
        <v>0.15</v>
      </c>
      <c r="C14" s="72">
        <f>C$12*(C7/'Parameters'!$B$6-C8/'Parameters'!$B$7)</f>
        <v>0.15</v>
      </c>
      <c r="D14" s="72">
        <f>D$12*(D7/'Parameters'!$B$6-D8/'Parameters'!$B$7)</f>
        <v>-0.2</v>
      </c>
      <c r="E14" s="72">
        <f>E$12*(E7/'Parameters'!$B$6-E8/'Parameters'!$B$7)</f>
        <v>0.15</v>
      </c>
      <c r="F14" s="72">
        <f>F$12*(F7/'Parameters'!$B$6-F8/'Parameters'!$B$7)</f>
        <v>0.15</v>
      </c>
      <c r="G14" s="72">
        <f>G$12*(G7/'Parameters'!$B$6-G8/'Parameters'!$B$7)</f>
        <v>0.166666666666667</v>
      </c>
    </row>
    <row r="15"/>
    <row r="16">
      <c r="A16" s="58" t="inlineStr">
        <is>
          <t xml:space="preserve">Ψ(r) with contribution values  ηᵤ(a_tu)  [Heart + Disease (10, 13, 2)]</t>
        </is>
      </c>
      <c r="B16" s="58"/>
      <c r="C16" s="58"/>
      <c r="D16" s="58"/>
      <c r="E16" s="58"/>
      <c r="F16" s="58"/>
      <c r="G16" s="58"/>
      <c r="H16" s="58"/>
    </row>
    <row r="17">
      <c r="A17" s="60" t="inlineStr">
        <is>
          <t xml:space="preserve">№</t>
        </is>
      </c>
      <c r="B17" s="60" t="inlineStr">
        <is>
          <t xml:space="preserve">a₁</t>
        </is>
      </c>
      <c r="C17" s="60" t="inlineStr">
        <is>
          <t xml:space="preserve">a₂</t>
        </is>
      </c>
      <c r="D17" s="60" t="inlineStr">
        <is>
          <t xml:space="preserve">a₃</t>
        </is>
      </c>
      <c r="E17" s="60" t="inlineStr">
        <is>
          <t xml:space="preserve">a₄</t>
        </is>
      </c>
      <c r="F17" s="60" t="inlineStr">
        <is>
          <t xml:space="preserve">a₅</t>
        </is>
      </c>
      <c r="G17" s="60" t="inlineStr">
        <is>
          <t xml:space="preserve">a₆</t>
        </is>
      </c>
      <c r="H17" s="60" t="inlineStr">
        <is>
          <t xml:space="preserve">Class</t>
        </is>
      </c>
    </row>
    <row r="18">
      <c r="A18" s="64" t="inlineStr">
        <is>
          <t xml:space="preserve">S₁</t>
        </is>
      </c>
      <c r="B18" s="72">
        <f>IF('Ψ(r) Binary Features'!B40=1,B$13,IF('Ψ(r) Binary Features'!B40=2,B$14,"—"))</f>
        <v>0.15</v>
      </c>
      <c r="C18" s="72">
        <f>IF('Ψ(r) Binary Features'!C40=1,C$13,IF('Ψ(r) Binary Features'!C40=2,C$14,"—"))</f>
        <v>0.15</v>
      </c>
      <c r="D18" s="72">
        <f>IF('Ψ(r) Binary Features'!D40=1,D$13,IF('Ψ(r) Binary Features'!D40=2,D$14,"—"))</f>
        <v>0.2</v>
      </c>
      <c r="E18" s="72">
        <f>IF('Ψ(r) Binary Features'!E40=1,E$13,IF('Ψ(r) Binary Features'!E40=2,E$14,"—"))</f>
        <v>0.15</v>
      </c>
      <c r="F18" s="72">
        <f>IF('Ψ(r) Binary Features'!F40=1,F$13,IF('Ψ(r) Binary Features'!F40=2,F$14,"—"))</f>
        <v>0.15</v>
      </c>
      <c r="G18" s="72">
        <f>IF('Ψ(r) Binary Features'!G40=1,G$13,IF('Ψ(r) Binary Features'!G40=2,G$14,"—"))</f>
        <v>0.166666666666667</v>
      </c>
      <c r="H18" s="68">
        <f>Dataset!O3</f>
        <v>2</v>
      </c>
    </row>
    <row r="19">
      <c r="A19" s="64" t="inlineStr">
        <is>
          <t xml:space="preserve">S₂</t>
        </is>
      </c>
      <c r="B19" s="72">
        <f>IF('Ψ(r) Binary Features'!B41=1,B$13,IF('Ψ(r) Binary Features'!B41=2,B$14,"—"))</f>
        <v>0.15</v>
      </c>
      <c r="C19" s="72">
        <f>IF('Ψ(r) Binary Features'!C41=1,C$13,IF('Ψ(r) Binary Features'!C41=2,C$14,"—"))</f>
        <v>0.15</v>
      </c>
      <c r="D19" s="72">
        <f>IF('Ψ(r) Binary Features'!D41=1,D$13,IF('Ψ(r) Binary Features'!D41=2,D$14,"—"))</f>
        <v>-0.2</v>
      </c>
      <c r="E19" s="72">
        <f>IF('Ψ(r) Binary Features'!E41=1,E$13,IF('Ψ(r) Binary Features'!E41=2,E$14,"—"))</f>
        <v>0.15</v>
      </c>
      <c r="F19" s="72">
        <f>IF('Ψ(r) Binary Features'!F41=1,F$13,IF('Ψ(r) Binary Features'!F41=2,F$14,"—"))</f>
        <v>0.15</v>
      </c>
      <c r="G19" s="72">
        <f>IF('Ψ(r) Binary Features'!G41=1,G$13,IF('Ψ(r) Binary Features'!G41=2,G$14,"—"))</f>
        <v>0.166666666666667</v>
      </c>
      <c r="H19" s="68">
        <f>Dataset!O4</f>
        <v>1</v>
      </c>
    </row>
    <row r="20">
      <c r="A20" s="64" t="inlineStr">
        <is>
          <t xml:space="preserve">S₃</t>
        </is>
      </c>
      <c r="B20" s="72">
        <f>IF('Ψ(r) Binary Features'!B42=1,B$13,IF('Ψ(r) Binary Features'!B42=2,B$14,"—"))</f>
        <v>-0.15</v>
      </c>
      <c r="C20" s="72">
        <f>IF('Ψ(r) Binary Features'!C42=1,C$13,IF('Ψ(r) Binary Features'!C42=2,C$14,"—"))</f>
        <v>-0.15</v>
      </c>
      <c r="D20" s="72">
        <f>IF('Ψ(r) Binary Features'!D42=1,D$13,IF('Ψ(r) Binary Features'!D42=2,D$14,"—"))</f>
        <v>-0.2</v>
      </c>
      <c r="E20" s="72">
        <f>IF('Ψ(r) Binary Features'!E42=1,E$13,IF('Ψ(r) Binary Features'!E42=2,E$14,"—"))</f>
        <v>-0.15</v>
      </c>
      <c r="F20" s="72">
        <f>IF('Ψ(r) Binary Features'!F42=1,F$13,IF('Ψ(r) Binary Features'!F42=2,F$14,"—"))</f>
        <v>-0.15</v>
      </c>
      <c r="G20" s="72">
        <f>IF('Ψ(r) Binary Features'!G42=1,G$13,IF('Ψ(r) Binary Features'!G42=2,G$14,"—"))</f>
        <v>-0.166666666666667</v>
      </c>
      <c r="H20" s="68">
        <f>Dataset!O5</f>
        <v>2</v>
      </c>
    </row>
    <row r="21">
      <c r="A21" s="64" t="inlineStr">
        <is>
          <t xml:space="preserve">S₄</t>
        </is>
      </c>
      <c r="B21" s="72">
        <f>IF('Ψ(r) Binary Features'!B43=1,B$13,IF('Ψ(r) Binary Features'!B43=2,B$14,"—"))</f>
        <v>0.15</v>
      </c>
      <c r="C21" s="72">
        <f>IF('Ψ(r) Binary Features'!C43=1,C$13,IF('Ψ(r) Binary Features'!C43=2,C$14,"—"))</f>
        <v>0.15</v>
      </c>
      <c r="D21" s="72">
        <f>IF('Ψ(r) Binary Features'!D43=1,D$13,IF('Ψ(r) Binary Features'!D43=2,D$14,"—"))</f>
        <v>0.2</v>
      </c>
      <c r="E21" s="72">
        <f>IF('Ψ(r) Binary Features'!E43=1,E$13,IF('Ψ(r) Binary Features'!E43=2,E$14,"—"))</f>
        <v>0.15</v>
      </c>
      <c r="F21" s="72">
        <f>IF('Ψ(r) Binary Features'!F43=1,F$13,IF('Ψ(r) Binary Features'!F43=2,F$14,"—"))</f>
        <v>0.15</v>
      </c>
      <c r="G21" s="72">
        <f>IF('Ψ(r) Binary Features'!G43=1,G$13,IF('Ψ(r) Binary Features'!G43=2,G$14,"—"))</f>
        <v>0.166666666666667</v>
      </c>
      <c r="H21" s="68">
        <f>Dataset!O6</f>
        <v>1</v>
      </c>
    </row>
    <row r="22">
      <c r="A22" s="64" t="inlineStr">
        <is>
          <t xml:space="preserve">S₅</t>
        </is>
      </c>
      <c r="B22" s="72">
        <f>IF('Ψ(r) Binary Features'!B44=1,B$13,IF('Ψ(r) Binary Features'!B44=2,B$14,"—"))</f>
        <v>0.15</v>
      </c>
      <c r="C22" s="72">
        <f>IF('Ψ(r) Binary Features'!C44=1,C$13,IF('Ψ(r) Binary Features'!C44=2,C$14,"—"))</f>
        <v>0.15</v>
      </c>
      <c r="D22" s="72">
        <f>IF('Ψ(r) Binary Features'!D44=1,D$13,IF('Ψ(r) Binary Features'!D44=2,D$14,"—"))</f>
        <v>0.2</v>
      </c>
      <c r="E22" s="72">
        <f>IF('Ψ(r) Binary Features'!E44=1,E$13,IF('Ψ(r) Binary Features'!E44=2,E$14,"—"))</f>
        <v>0.15</v>
      </c>
      <c r="F22" s="72">
        <f>IF('Ψ(r) Binary Features'!F44=1,F$13,IF('Ψ(r) Binary Features'!F44=2,F$14,"—"))</f>
        <v>0.15</v>
      </c>
      <c r="G22" s="72">
        <f>IF('Ψ(r) Binary Features'!G44=1,G$13,IF('Ψ(r) Binary Features'!G44=2,G$14,"—"))</f>
        <v>0.166666666666667</v>
      </c>
      <c r="H22" s="68">
        <f>Dataset!O7</f>
        <v>1</v>
      </c>
    </row>
    <row r="23">
      <c r="A23" s="64" t="inlineStr">
        <is>
          <t xml:space="preserve">S₆</t>
        </is>
      </c>
      <c r="B23" s="72">
        <f>IF('Ψ(r) Binary Features'!B45=1,B$13,IF('Ψ(r) Binary Features'!B45=2,B$14,"—"))</f>
        <v>0.15</v>
      </c>
      <c r="C23" s="72">
        <f>IF('Ψ(r) Binary Features'!C45=1,C$13,IF('Ψ(r) Binary Features'!C45=2,C$14,"—"))</f>
        <v>0.15</v>
      </c>
      <c r="D23" s="72">
        <f>IF('Ψ(r) Binary Features'!D45=1,D$13,IF('Ψ(r) Binary Features'!D45=2,D$14,"—"))</f>
        <v>-0.2</v>
      </c>
      <c r="E23" s="72">
        <f>IF('Ψ(r) Binary Features'!E45=1,E$13,IF('Ψ(r) Binary Features'!E45=2,E$14,"—"))</f>
        <v>0.15</v>
      </c>
      <c r="F23" s="72">
        <f>IF('Ψ(r) Binary Features'!F45=1,F$13,IF('Ψ(r) Binary Features'!F45=2,F$14,"—"))</f>
        <v>0.15</v>
      </c>
      <c r="G23" s="72">
        <f>IF('Ψ(r) Binary Features'!G45=1,G$13,IF('Ψ(r) Binary Features'!G45=2,G$14,"—"))</f>
        <v>0.166666666666667</v>
      </c>
      <c r="H23" s="68">
        <f>Dataset!O8</f>
        <v>1</v>
      </c>
    </row>
    <row r="24">
      <c r="A24" s="64" t="inlineStr">
        <is>
          <t xml:space="preserve">S₇</t>
        </is>
      </c>
      <c r="B24" s="72">
        <f>IF('Ψ(r) Binary Features'!B46=1,B$13,IF('Ψ(r) Binary Features'!B46=2,B$14,"—"))</f>
        <v>0.15</v>
      </c>
      <c r="C24" s="72">
        <f>IF('Ψ(r) Binary Features'!C46=1,C$13,IF('Ψ(r) Binary Features'!C46=2,C$14,"—"))</f>
        <v>0.15</v>
      </c>
      <c r="D24" s="72">
        <f>IF('Ψ(r) Binary Features'!D46=1,D$13,IF('Ψ(r) Binary Features'!D46=2,D$14,"—"))</f>
        <v>-0.2</v>
      </c>
      <c r="E24" s="72">
        <f>IF('Ψ(r) Binary Features'!E46=1,E$13,IF('Ψ(r) Binary Features'!E46=2,E$14,"—"))</f>
        <v>0.15</v>
      </c>
      <c r="F24" s="72">
        <f>IF('Ψ(r) Binary Features'!F46=1,F$13,IF('Ψ(r) Binary Features'!F46=2,F$14,"—"))</f>
        <v>0.15</v>
      </c>
      <c r="G24" s="72">
        <f>IF('Ψ(r) Binary Features'!G46=1,G$13,IF('Ψ(r) Binary Features'!G46=2,G$14,"—"))</f>
        <v>0.166666666666667</v>
      </c>
      <c r="H24" s="68">
        <f>Dataset!O9</f>
        <v>2</v>
      </c>
    </row>
    <row r="25">
      <c r="A25" s="64" t="inlineStr">
        <is>
          <t xml:space="preserve">S₈</t>
        </is>
      </c>
      <c r="B25" s="72">
        <f>IF('Ψ(r) Binary Features'!B47=1,B$13,IF('Ψ(r) Binary Features'!B47=2,B$14,"—"))</f>
        <v>0.15</v>
      </c>
      <c r="C25" s="72">
        <f>IF('Ψ(r) Binary Features'!C47=1,C$13,IF('Ψ(r) Binary Features'!C47=2,C$14,"—"))</f>
        <v>0.15</v>
      </c>
      <c r="D25" s="72">
        <f>IF('Ψ(r) Binary Features'!D47=1,D$13,IF('Ψ(r) Binary Features'!D47=2,D$14,"—"))</f>
        <v>-0.2</v>
      </c>
      <c r="E25" s="72">
        <f>IF('Ψ(r) Binary Features'!E47=1,E$13,IF('Ψ(r) Binary Features'!E47=2,E$14,"—"))</f>
        <v>0.15</v>
      </c>
      <c r="F25" s="72">
        <f>IF('Ψ(r) Binary Features'!F47=1,F$13,IF('Ψ(r) Binary Features'!F47=2,F$14,"—"))</f>
        <v>0.15</v>
      </c>
      <c r="G25" s="72">
        <f>IF('Ψ(r) Binary Features'!G47=1,G$13,IF('Ψ(r) Binary Features'!G47=2,G$14,"—"))</f>
        <v>0.166666666666667</v>
      </c>
      <c r="H25" s="68">
        <f>Dataset!O10</f>
        <v>2</v>
      </c>
    </row>
    <row r="26">
      <c r="A26" s="64" t="inlineStr">
        <is>
          <t xml:space="preserve">S₉</t>
        </is>
      </c>
      <c r="B26" s="72">
        <f>IF('Ψ(r) Binary Features'!B48=1,B$13,IF('Ψ(r) Binary Features'!B48=2,B$14,"—"))</f>
        <v>0.15</v>
      </c>
      <c r="C26" s="72">
        <f>IF('Ψ(r) Binary Features'!C48=1,C$13,IF('Ψ(r) Binary Features'!C48=2,C$14,"—"))</f>
        <v>0.15</v>
      </c>
      <c r="D26" s="72">
        <f>IF('Ψ(r) Binary Features'!D48=1,D$13,IF('Ψ(r) Binary Features'!D48=2,D$14,"—"))</f>
        <v>-0.2</v>
      </c>
      <c r="E26" s="72">
        <f>IF('Ψ(r) Binary Features'!E48=1,E$13,IF('Ψ(r) Binary Features'!E48=2,E$14,"—"))</f>
        <v>0.15</v>
      </c>
      <c r="F26" s="72">
        <f>IF('Ψ(r) Binary Features'!F48=1,F$13,IF('Ψ(r) Binary Features'!F48=2,F$14,"—"))</f>
        <v>0.15</v>
      </c>
      <c r="G26" s="72">
        <f>IF('Ψ(r) Binary Features'!G48=1,G$13,IF('Ψ(r) Binary Features'!G48=2,G$14,"—"))</f>
        <v>0.166666666666667</v>
      </c>
      <c r="H26" s="68">
        <f>Dataset!O11</f>
        <v>2</v>
      </c>
    </row>
    <row r="27">
      <c r="A27" s="64" t="inlineStr">
        <is>
          <t xml:space="preserve">S₁₀</t>
        </is>
      </c>
      <c r="B27" s="72">
        <f>IF('Ψ(r) Binary Features'!B49=1,B$13,IF('Ψ(r) Binary Features'!B49=2,B$14,"—"))</f>
        <v>0.15</v>
      </c>
      <c r="C27" s="72">
        <f>IF('Ψ(r) Binary Features'!C49=1,C$13,IF('Ψ(r) Binary Features'!C49=2,C$14,"—"))</f>
        <v>0.15</v>
      </c>
      <c r="D27" s="72">
        <f>IF('Ψ(r) Binary Features'!D49=1,D$13,IF('Ψ(r) Binary Features'!D49=2,D$14,"—"))</f>
        <v>-0.2</v>
      </c>
      <c r="E27" s="72">
        <f>IF('Ψ(r) Binary Features'!E49=1,E$13,IF('Ψ(r) Binary Features'!E49=2,E$14,"—"))</f>
        <v>0.15</v>
      </c>
      <c r="F27" s="72">
        <f>IF('Ψ(r) Binary Features'!F49=1,F$13,IF('Ψ(r) Binary Features'!F49=2,F$14,"—"))</f>
        <v>0.15</v>
      </c>
      <c r="G27" s="72">
        <f>IF('Ψ(r) Binary Features'!G49=1,G$13,IF('Ψ(r) Binary Features'!G49=2,G$14,"—"))</f>
        <v>0.166666666666667</v>
      </c>
      <c r="H27" s="68">
        <f>Dataset!O12</f>
        <v>2</v>
      </c>
    </row>
    <row r="28"/>
    <row r="29">
      <c r="A29" s="58" t="inlineStr">
        <is>
          <t xml:space="preserve">Weight [Ψ(r)] and rank (1 = highest weight; ties → earlier feature)</t>
        </is>
      </c>
      <c r="B29" s="58"/>
      <c r="C29" s="58"/>
      <c r="D29" s="58"/>
      <c r="E29" s="58"/>
      <c r="F29" s="58"/>
      <c r="G29" s="58"/>
      <c r="H29" s="58"/>
    </row>
    <row r="30">
      <c r="A30" s="61" t="inlineStr">
        <is>
          <t xml:space="preserve">Feature</t>
        </is>
      </c>
      <c r="B30" s="60" t="inlineStr">
        <is>
          <t xml:space="preserve">a₁</t>
        </is>
      </c>
      <c r="C30" s="60" t="inlineStr">
        <is>
          <t xml:space="preserve">a₂</t>
        </is>
      </c>
      <c r="D30" s="60" t="inlineStr">
        <is>
          <t xml:space="preserve">a₃</t>
        </is>
      </c>
      <c r="E30" s="60" t="inlineStr">
        <is>
          <t xml:space="preserve">a₄</t>
        </is>
      </c>
      <c r="F30" s="60" t="inlineStr">
        <is>
          <t xml:space="preserve">a₅</t>
        </is>
      </c>
      <c r="G30" s="60" t="inlineStr">
        <is>
          <t xml:space="preserve">a₆</t>
        </is>
      </c>
    </row>
    <row r="31">
      <c r="A31" s="65" t="inlineStr">
        <is>
          <t xml:space="preserve">Weight ω</t>
        </is>
      </c>
      <c r="B31" s="85">
        <f>B12</f>
        <v>0.9</v>
      </c>
      <c r="C31" s="85">
        <f>C12</f>
        <v>0.9</v>
      </c>
      <c r="D31" s="85">
        <f>D12</f>
        <v>0.6</v>
      </c>
      <c r="E31" s="85">
        <f>E12</f>
        <v>0.9</v>
      </c>
      <c r="F31" s="85">
        <f>F12</f>
        <v>0.9</v>
      </c>
      <c r="G31" s="85">
        <f>G12</f>
        <v>1</v>
      </c>
    </row>
    <row r="32">
      <c r="A32" s="65" t="inlineStr">
        <is>
          <t xml:space="preserve">Rank</t>
        </is>
      </c>
      <c r="B32" s="74">
        <f>COUNTIF($B$31:$G$31,"&gt;"&amp;B31)+COUNTIF($B$31:B31,"="&amp;B31)</f>
        <v>2</v>
      </c>
      <c r="C32" s="74">
        <f>COUNTIF($B$31:$G$31,"&gt;"&amp;C31)+COUNTIF($B$31:C31,"="&amp;C31)</f>
        <v>3</v>
      </c>
      <c r="D32" s="74">
        <f>COUNTIF($B$31:$G$31,"&gt;"&amp;D31)+COUNTIF($B$31:D31,"="&amp;D31)</f>
        <v>6</v>
      </c>
      <c r="E32" s="74">
        <f>COUNTIF($B$31:$G$31,"&gt;"&amp;E31)+COUNTIF($B$31:E31,"="&amp;E31)</f>
        <v>4</v>
      </c>
      <c r="F32" s="74">
        <f>COUNTIF($B$31:$G$31,"&gt;"&amp;F31)+COUNTIF($B$31:F31,"="&amp;F31)</f>
        <v>5</v>
      </c>
      <c r="G32" s="74">
        <f>COUNTIF($B$31:$G$31,"&gt;"&amp;G31)+COUNTIF($B$31:G31,"="&amp;G31)</f>
        <v>1</v>
      </c>
    </row>
    <row r="33"/>
    <row r="34">
      <c r="A34" s="99" t="inlineStr">
        <is>
          <t xml:space="preserve">Formula (6): the contribution of gradation j of feature aᵤ is its weight ω times the difference of its relative frequencies in K1 and K2 — positive values point to K1, negative to K2.</t>
        </is>
      </c>
    </row>
    <row r="35">
      <c r="A35" s="99" t="inlineStr">
        <is>
          <t xml:space="preserve">This sheet plays the role of the template sheet "Dataset (Contribution &amp; Weight)": the HAG works on these contribution values and weights.</t>
        </is>
      </c>
    </row>
  </sheetData>
  <mergeCells count="5">
    <mergeCell ref="A1:H1"/>
    <mergeCell ref="A3:H3"/>
    <mergeCell ref="A10:H10"/>
    <mergeCell ref="A16:H16"/>
    <mergeCell ref="A29:H29"/>
  </mergeCells>
  <conditionalFormatting sqref="B32:G32">
    <cfRule type="cellIs" dxfId="0" priority="1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T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8.77734375" customWidth="1"/>
    <col min="2" max="2" width="13.77734375" customWidth="1"/>
    <col min="3" max="3" width="4.77734375" customWidth="1"/>
    <col min="4" max="4" width="13.77734375" customWidth="1"/>
    <col min="5" max="5" width="4.77734375" customWidth="1"/>
    <col min="6" max="6" width="13.77734375" customWidth="1"/>
    <col min="7" max="7" width="9.77734375" customWidth="1"/>
    <col min="8" max="17" width="14.77734375" customWidth="1"/>
    <col min="18" max="20" width="16.77734375" customWidth="1"/>
  </cols>
  <sheetData>
    <row r="1" ht="20" customHeight="1">
      <c r="A1" s="57" t="inlineStr">
        <is>
          <t xml:space="preserve">Step 9.1 · Hierarchical agglomerative grouping — greedy search upon weight  →  latent (additional) feature r₁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/>
    <row r="3">
      <c r="A3" s="58" t="inlineStr">
        <is>
          <t xml:space="preserve">STEP 1–2 · initialisation and the first feature</t>
        </is>
      </c>
      <c r="B3" s="58"/>
      <c r="C3" s="58"/>
      <c r="D3" s="58"/>
      <c r="E3" s="58"/>
      <c r="F3" s="58"/>
      <c r="G3" s="58"/>
      <c r="I3" s="58" t="inlineStr">
        <is>
          <t xml:space="preserve">R(Sₜ) entering this iteration</t>
        </is>
      </c>
      <c r="J3" s="58"/>
      <c r="K3" s="58"/>
      <c r="M3" s="58" t="inlineStr">
        <is>
          <t xml:space="preserve">Definitions  ·  parameters (Parameters sheet)</t>
        </is>
      </c>
      <c r="N3" s="58"/>
      <c r="O3" s="58"/>
      <c r="P3" s="58"/>
      <c r="Q3" s="58"/>
      <c r="R3" s="58"/>
      <c r="S3" s="58"/>
    </row>
    <row r="4">
      <c r="A4" s="82" t="inlineStr">
        <is>
          <t xml:space="preserve">Iteration executed</t>
        </is>
      </c>
      <c r="B4" s="82"/>
      <c r="C4" s="82"/>
      <c r="D4" s="88">
        <f>IF('Parameters'!$B$14&gt;=2,1,0)</f>
        <v>1</v>
      </c>
      <c r="E4" s="88"/>
      <c r="F4" s="88"/>
      <c r="G4" s="88"/>
      <c r="I4" s="60" t="inlineStr">
        <is>
          <t xml:space="preserve">№</t>
        </is>
      </c>
      <c r="J4" s="60" t="inlineStr">
        <is>
          <t xml:space="preserve">R(Sₜ)</t>
        </is>
      </c>
      <c r="K4" s="60" t="inlineStr">
        <is>
          <t xml:space="preserve">Class</t>
        </is>
      </c>
      <c r="M4" s="82" t="inlineStr">
        <is>
          <t xml:space="preserve">R(Sₜ)</t>
        </is>
      </c>
      <c r="N4" s="100" t="inlineStr">
        <is>
          <t xml:space="preserve">η_u(a_tu) of the first feature (STEP 2), then the latent feature of the previous iteration</t>
        </is>
      </c>
      <c r="O4" s="100"/>
      <c r="P4" s="100"/>
      <c r="Q4" s="100"/>
      <c r="R4" s="100"/>
      <c r="S4" s="100"/>
    </row>
    <row r="5">
      <c r="A5" s="82" t="inlineStr">
        <is>
          <t xml:space="preserve">STEP 2 · u = argmax ωⱼ (index)</t>
        </is>
      </c>
      <c r="B5" s="82"/>
      <c r="C5" s="82"/>
      <c r="D5" s="83">
        <f>MATCH(MAX('Ψ(r) Contribution &amp; Weight'!$B$12:$G$12),'Ψ(r) Contribution &amp; Weight'!$B$12:$G$12,0)</f>
        <v>6</v>
      </c>
      <c r="E5" s="83"/>
      <c r="F5" s="83"/>
      <c r="G5" s="83"/>
      <c r="I5" s="64" t="inlineStr">
        <is>
          <t xml:space="preserve">S₁</t>
        </is>
      </c>
      <c r="J5" s="72">
        <f>INDEX('Ψ(r) Contribution &amp; Weight'!$B$18:$G$18,$D$5)</f>
        <v>0.166666666666667</v>
      </c>
      <c r="K5" s="68">
        <f>Dataset!O3</f>
        <v>2</v>
      </c>
      <c r="M5" s="82" t="inlineStr">
        <is>
          <t xml:space="preserve">bₜ</t>
        </is>
      </c>
      <c r="N5" s="100" t="inlineStr">
        <is>
          <t xml:space="preserve">R(Sₜ) + η_u(a_tu) for a candidate u ∈ P  (STEP 3)</t>
        </is>
      </c>
      <c r="O5" s="100"/>
      <c r="P5" s="100"/>
      <c r="Q5" s="100"/>
      <c r="R5" s="100"/>
      <c r="S5" s="100"/>
    </row>
    <row r="6">
      <c r="A6" s="82" t="inlineStr">
        <is>
          <t xml:space="preserve">TUPLAM before</t>
        </is>
      </c>
      <c r="B6" s="82"/>
      <c r="C6" s="82"/>
      <c r="D6" s="83" t="str">
        <f>"{"&amp;"a"&amp;MID("₀₁₂₃₄₅₆₇₈₉",$D$5+1,1)&amp;"}"</f>
        <v>{a₆}</v>
      </c>
      <c r="E6" s="83"/>
      <c r="F6" s="83"/>
      <c r="G6" s="83"/>
      <c r="I6" s="64" t="inlineStr">
        <is>
          <t xml:space="preserve">S₂</t>
        </is>
      </c>
      <c r="J6" s="72">
        <f>INDEX('Ψ(r) Contribution &amp; Weight'!$B$19:$G$19,$D$5)</f>
        <v>0.166666666666667</v>
      </c>
      <c r="K6" s="68">
        <f>Dataset!O4</f>
        <v>1</v>
      </c>
      <c r="M6" s="82" t="inlineStr">
        <is>
          <t xml:space="preserve">majorizer</t>
        </is>
      </c>
      <c r="N6" s="100" t="inlineStr">
        <is>
          <t xml:space="preserve">bₜ ← bₜ + α·σ(−bₜ) if Sₜ ∈ K1,  bₜ ← bₜ − α·σ(−bₜ) if Sₜ ∈ K2,  σ(x) = 1/(1 + e^(−x))</t>
        </is>
      </c>
      <c r="O6" s="100"/>
      <c r="P6" s="100"/>
      <c r="Q6" s="100"/>
      <c r="R6" s="100"/>
      <c r="S6" s="100"/>
    </row>
    <row r="7">
      <c r="A7" s="82" t="inlineStr">
        <is>
          <t xml:space="preserve">|TUPLAM| before</t>
        </is>
      </c>
      <c r="B7" s="82"/>
      <c r="C7" s="82"/>
      <c r="D7" s="83">
        <f>1</f>
        <v>1</v>
      </c>
      <c r="E7" s="83"/>
      <c r="F7" s="83"/>
      <c r="G7" s="83"/>
      <c r="I7" s="64" t="inlineStr">
        <is>
          <t xml:space="preserve">S₃</t>
        </is>
      </c>
      <c r="J7" s="72">
        <f>INDEX('Ψ(r) Contribution &amp; Weight'!$B$20:$G$20,$D$5)</f>
        <v>-0.166666666666667</v>
      </c>
      <c r="K7" s="68">
        <f>Dataset!O5</f>
        <v>2</v>
      </c>
      <c r="M7" s="82" t="inlineStr">
        <is>
          <t xml:space="preserve">M₁, M₂</t>
        </is>
      </c>
      <c r="N7" s="100" t="inlineStr">
        <is>
          <t xml:space="preserve">class centres: running partial means (mode 1, template cells) or final means Σbₜ/|Kᵢ| (mode 2, article)</t>
        </is>
      </c>
      <c r="O7" s="100"/>
      <c r="P7" s="100"/>
      <c r="Q7" s="100"/>
      <c r="R7" s="100"/>
      <c r="S7" s="100"/>
    </row>
    <row r="8">
      <c r="A8" s="82" t="inlineStr">
        <is>
          <t xml:space="preserve">crit before</t>
        </is>
      </c>
      <c r="B8" s="82"/>
      <c r="C8" s="82"/>
      <c r="D8" s="83">
        <f>'Parameters'!$B$22</f>
        <v>10</v>
      </c>
      <c r="E8" s="83"/>
      <c r="F8" s="83"/>
      <c r="G8" s="83"/>
      <c r="I8" s="64" t="inlineStr">
        <is>
          <t xml:space="preserve">S₄</t>
        </is>
      </c>
      <c r="J8" s="72">
        <f>INDEX('Ψ(r) Contribution &amp; Weight'!$B$21:$G$21,$D$5)</f>
        <v>0.166666666666667</v>
      </c>
      <c r="K8" s="68">
        <f>Dataset!O6</f>
        <v>1</v>
      </c>
      <c r="M8" s="82" t="inlineStr">
        <is>
          <t xml:space="preserve">θ</t>
        </is>
      </c>
      <c r="N8" s="100" t="inlineStr">
        <is>
          <t xml:space="preserve">intra-class similarity Σ |bₜ − M(own class)|</t>
        </is>
      </c>
      <c r="O8" s="100"/>
      <c r="P8" s="100"/>
      <c r="Q8" s="100"/>
      <c r="R8" s="100"/>
      <c r="S8" s="100"/>
    </row>
    <row r="9">
      <c r="A9" s="82" t="inlineStr">
        <is>
          <t xml:space="preserve">max ω</t>
        </is>
      </c>
      <c r="B9" s="82"/>
      <c r="C9" s="82"/>
      <c r="D9" s="85">
        <f>MAX('Ψ(r) Contribution &amp; Weight'!$B$12:$G$12)</f>
        <v>1</v>
      </c>
      <c r="E9" s="85"/>
      <c r="F9" s="85"/>
      <c r="G9" s="85"/>
      <c r="I9" s="64" t="inlineStr">
        <is>
          <t xml:space="preserve">S₅</t>
        </is>
      </c>
      <c r="J9" s="72">
        <f>INDEX('Ψ(r) Contribution &amp; Weight'!$B$22:$G$22,$D$5)</f>
        <v>0.166666666666667</v>
      </c>
      <c r="K9" s="68">
        <f>Dataset!O7</f>
        <v>1</v>
      </c>
      <c r="M9" s="82" t="inlineStr">
        <is>
          <t xml:space="preserve">γ</t>
        </is>
      </c>
      <c r="N9" s="100" t="inlineStr">
        <is>
          <t xml:space="preserve">inter-class difference Σ |bₜ − M(other class)|</t>
        </is>
      </c>
      <c r="O9" s="100"/>
      <c r="P9" s="100"/>
      <c r="Q9" s="100"/>
      <c r="R9" s="100"/>
      <c r="S9" s="100"/>
    </row>
    <row r="10">
      <c r="A10" s="82" t="inlineStr">
        <is>
          <t xml:space="preserve">Candidates available now |P|</t>
        </is>
      </c>
      <c r="B10" s="82"/>
      <c r="C10" s="82"/>
      <c r="D10" s="83">
        <f>SUM(B14:G14)</f>
        <v>5</v>
      </c>
      <c r="E10" s="83"/>
      <c r="F10" s="83"/>
      <c r="G10" s="83"/>
      <c r="I10" s="64" t="inlineStr">
        <is>
          <t xml:space="preserve">S₆</t>
        </is>
      </c>
      <c r="J10" s="72">
        <f>INDEX('Ψ(r) Contribution &amp; Weight'!$B$23:$G$23,$D$5)</f>
        <v>0.166666666666667</v>
      </c>
      <c r="K10" s="68">
        <f>Dataset!O8</f>
        <v>1</v>
      </c>
      <c r="M10" s="82" t="inlineStr">
        <is>
          <t xml:space="preserve">q</t>
        </is>
      </c>
      <c r="N10" s="100" t="inlineStr">
        <is>
          <t xml:space="preserve">argmin θ/γ over the available candidates (first one on ties);  crit = min θ/γ</t>
        </is>
      </c>
      <c r="O10" s="100"/>
      <c r="P10" s="100"/>
      <c r="Q10" s="100"/>
      <c r="R10" s="100"/>
      <c r="S10" s="100"/>
    </row>
    <row r="11">
      <c r="I11" s="64" t="inlineStr">
        <is>
          <t xml:space="preserve">S₇</t>
        </is>
      </c>
      <c r="J11" s="72">
        <f>INDEX('Ψ(r) Contribution &amp; Weight'!$B$24:$G$24,$D$5)</f>
        <v>0.166666666666667</v>
      </c>
      <c r="K11" s="68">
        <f>Dataset!O9</f>
        <v>2</v>
      </c>
      <c r="M11" s="82" t="inlineStr">
        <is>
          <t xml:space="preserve">stop</t>
        </is>
      </c>
      <c r="N11" s="100" t="inlineStr">
        <is>
          <t xml:space="preserve">continue while |TUPLAM| &lt; ϰ and crit &gt; δ (and P is not empty)</t>
        </is>
      </c>
      <c r="O11" s="100"/>
      <c r="P11" s="100"/>
      <c r="Q11" s="100"/>
      <c r="R11" s="100"/>
      <c r="S11" s="100"/>
    </row>
    <row r="12">
      <c r="A12" s="61" t="inlineStr">
        <is>
          <t xml:space="preserve">Feature</t>
        </is>
      </c>
      <c r="B12" s="60" t="inlineStr">
        <is>
          <t xml:space="preserve">a₁</t>
        </is>
      </c>
      <c r="C12" s="60" t="inlineStr">
        <is>
          <t xml:space="preserve">a₂</t>
        </is>
      </c>
      <c r="D12" s="60" t="inlineStr">
        <is>
          <t xml:space="preserve">a₃</t>
        </is>
      </c>
      <c r="E12" s="60" t="inlineStr">
        <is>
          <t xml:space="preserve">a₄</t>
        </is>
      </c>
      <c r="F12" s="60" t="inlineStr">
        <is>
          <t xml:space="preserve">a₅</t>
        </is>
      </c>
      <c r="G12" s="60" t="inlineStr">
        <is>
          <t xml:space="preserve">a₆</t>
        </is>
      </c>
      <c r="I12" s="64" t="inlineStr">
        <is>
          <t xml:space="preserve">S₈</t>
        </is>
      </c>
      <c r="J12" s="72">
        <f>INDEX('Ψ(r) Contribution &amp; Weight'!$B$25:$G$25,$D$5)</f>
        <v>0.166666666666667</v>
      </c>
      <c r="K12" s="68">
        <f>Dataset!O10</f>
        <v>2</v>
      </c>
      <c r="M12" s="82" t="inlineStr">
        <is>
          <t xml:space="preserve">α</t>
        </is>
      </c>
      <c r="N12" s="83">
        <f>'Parameters'!$B$19</f>
        <v>0.3</v>
      </c>
      <c r="O12" s="82" t="inlineStr">
        <is>
          <t xml:space="preserve">δ</t>
        </is>
      </c>
      <c r="P12" s="83">
        <f>'Parameters'!$B$20</f>
        <v>0.1</v>
      </c>
      <c r="Q12" s="82" t="inlineStr">
        <is>
          <t xml:space="preserve">ϰ</t>
        </is>
      </c>
      <c r="R12" s="83">
        <f>'Parameters'!$B$21</f>
        <v>5</v>
      </c>
    </row>
    <row r="13">
      <c r="A13" s="65" t="inlineStr">
        <is>
          <t xml:space="preserve">In TUPLAM before</t>
        </is>
      </c>
      <c r="B13" s="74">
        <f>IF(1=$D$5,1,0)</f>
        <v>0</v>
      </c>
      <c r="C13" s="74">
        <f>IF(2=$D$5,1,0)</f>
        <v>0</v>
      </c>
      <c r="D13" s="74">
        <f>IF(3=$D$5,1,0)</f>
        <v>0</v>
      </c>
      <c r="E13" s="74">
        <f>IF(4=$D$5,1,0)</f>
        <v>0</v>
      </c>
      <c r="F13" s="74">
        <f>IF(5=$D$5,1,0)</f>
        <v>0</v>
      </c>
      <c r="G13" s="74">
        <f>IF(6=$D$5,1,0)</f>
        <v>1</v>
      </c>
      <c r="I13" s="64" t="inlineStr">
        <is>
          <t xml:space="preserve">S₉</t>
        </is>
      </c>
      <c r="J13" s="72">
        <f>INDEX('Ψ(r) Contribution &amp; Weight'!$B$26:$G$26,$D$5)</f>
        <v>0.166666666666667</v>
      </c>
      <c r="K13" s="68">
        <f>Dataset!O11</f>
        <v>2</v>
      </c>
      <c r="M13" s="82" t="inlineStr">
        <is>
          <t xml:space="preserve">centres</t>
        </is>
      </c>
      <c r="N13" s="83">
        <f>'Parameters'!$B$24</f>
        <v>1</v>
      </c>
      <c r="O13" s="82" t="inlineStr">
        <is>
          <t xml:space="preserve">passes</t>
        </is>
      </c>
      <c r="P13" s="83">
        <f>'Parameters'!$B$25</f>
        <v>2</v>
      </c>
      <c r="Q13" s="82" t="inlineStr">
        <is>
          <t xml:space="preserve">cr1₀</t>
        </is>
      </c>
      <c r="R13" s="83">
        <f>'Parameters'!$B$22</f>
        <v>10</v>
      </c>
    </row>
    <row r="14">
      <c r="A14" s="65" t="inlineStr">
        <is>
          <t xml:space="preserve">Available in P</t>
        </is>
      </c>
      <c r="B14" s="74">
        <f>IF(AND($D$4=1,B13=0),1,0)</f>
        <v>1</v>
      </c>
      <c r="C14" s="74">
        <f>IF(AND($D$4=1,C13=0),1,0)</f>
        <v>1</v>
      </c>
      <c r="D14" s="74">
        <f>IF(AND($D$4=1,D13=0),1,0)</f>
        <v>1</v>
      </c>
      <c r="E14" s="74">
        <f>IF(AND($D$4=1,E13=0),1,0)</f>
        <v>1</v>
      </c>
      <c r="F14" s="74">
        <f>IF(AND($D$4=1,F13=0),1,0)</f>
        <v>1</v>
      </c>
      <c r="G14" s="74">
        <f>IF(AND($D$4=1,G13=0),1,0)</f>
        <v>0</v>
      </c>
      <c r="I14" s="64" t="inlineStr">
        <is>
          <t xml:space="preserve">S₁₀</t>
        </is>
      </c>
      <c r="J14" s="72">
        <f>INDEX('Ψ(r) Contribution &amp; Weight'!$B$27:$G$27,$D$5)</f>
        <v>0.166666666666667</v>
      </c>
      <c r="K14" s="68">
        <f>Dataset!O12</f>
        <v>2</v>
      </c>
    </row>
    <row r="15"/>
    <row r="16">
      <c r="A16" s="58" t="inlineStr">
        <is>
          <t xml:space="preserve">STEP 3 — try adding each remaining feature:  bₜ = R(Sₜ) + ηᵤ(a_tu),  majorizer,  θ / γ</t>
        </is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</row>
    <row r="17"/>
    <row r="18">
      <c r="A18" s="59" t="str">
        <f>"Candidate a₁  ·  operator ρ  ·  k = "&amp;'Synthetic Features (k-NN)'!$B$4&amp;"   —   bₜ = R(Sₜ) + η₁(a_t₁)"</f>
        <v>Candidate a₁  ·  operator ρ  ·  k = 3   —   bₜ = R(Sₜ) + η₁(a_t₁)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84" t="str">
        <f>IF(B$14=1,"available",IF($D$4=1,"in TUPLAM — skipped","iteration not executed"))</f>
        <v>available</v>
      </c>
      <c r="P18" s="84"/>
      <c r="R18" s="104" t="inlineStr">
        <is>
          <t xml:space="preserve">⚠1  Class centres (orange columns I–L).  With Parameters!B24 = 1 (default = template) M₁ and M₂ in each row are running partial means of the rows above, as in the template cells K32 = I32/COUNTIF($G$32:$G$41,1).  The article uses the final means M = Σbₜ/|K| (B24 = 2).  See sheet “Template Deviations”.</t>
        </is>
      </c>
      <c r="S18" s="104"/>
      <c r="T18" s="104"/>
    </row>
    <row r="19">
      <c r="A19" s="60" t="inlineStr">
        <is>
          <t xml:space="preserve">№</t>
        </is>
      </c>
      <c r="B19" s="60" t="inlineStr">
        <is>
          <t xml:space="preserve">R(Sₜ)</t>
        </is>
      </c>
      <c r="C19" s="60" t="inlineStr">
        <is>
          <t xml:space="preserve">+</t>
        </is>
      </c>
      <c r="D19" s="60" t="inlineStr">
        <is>
          <t xml:space="preserve">ηᵤ(a_tu)</t>
        </is>
      </c>
      <c r="E19" s="60" t="inlineStr">
        <is>
          <t xml:space="preserve">=</t>
        </is>
      </c>
      <c r="F19" s="60" t="inlineStr">
        <is>
          <t xml:space="preserve">bₜ</t>
        </is>
      </c>
      <c r="G19" s="60" t="inlineStr">
        <is>
          <t xml:space="preserve">Class</t>
        </is>
      </c>
      <c r="H19" s="60" t="inlineStr">
        <is>
          <t xml:space="preserve">bₜ (majorized)</t>
        </is>
      </c>
      <c r="I19" s="103" t="inlineStr">
        <is>
          <t xml:space="preserve">⚠1 Σ K1 (running)</t>
        </is>
      </c>
      <c r="J19" s="103" t="inlineStr">
        <is>
          <t xml:space="preserve">⚠1 Σ K2 (running)</t>
        </is>
      </c>
      <c r="K19" s="103" t="inlineStr">
        <is>
          <t xml:space="preserve">⚠1 M₁ used</t>
        </is>
      </c>
      <c r="L19" s="103" t="inlineStr">
        <is>
          <t xml:space="preserve">⚠1 M₂ used</t>
        </is>
      </c>
      <c r="M19" s="60" t="inlineStr">
        <is>
          <t xml:space="preserve">|b − M own|</t>
        </is>
      </c>
      <c r="N19" s="60" t="inlineStr">
        <is>
          <t xml:space="preserve">|b − M other|</t>
        </is>
      </c>
      <c r="R19" s="104"/>
      <c r="S19" s="104"/>
      <c r="T19" s="104"/>
    </row>
    <row r="20">
      <c r="A20" s="64" t="inlineStr">
        <is>
          <t xml:space="preserve">b₁</t>
        </is>
      </c>
      <c r="B20" s="72">
        <f>$J$5</f>
        <v>0.166666666666667</v>
      </c>
      <c r="C20" s="79" t="inlineStr">
        <is>
          <t xml:space="preserve">+</t>
        </is>
      </c>
      <c r="D20" s="72">
        <f>INDEX('Ψ(r) Contribution &amp; Weight'!$B$18:$G$18,1)</f>
        <v>0.15</v>
      </c>
      <c r="E20" s="79" t="inlineStr">
        <is>
          <t xml:space="preserve">=</t>
        </is>
      </c>
      <c r="F20" s="72">
        <f>SUM(B20,D20)</f>
        <v>0.316666666666667</v>
      </c>
      <c r="G20" s="68">
        <f>Dataset!O3</f>
        <v>2</v>
      </c>
      <c r="H20" s="72">
        <f>IF(OR(G20=1,G20=2),F20+IF(G20=1,1,-1)*'Parameters'!$B$19*EXP(-F20)/(1+EXP(-F20)),"—")</f>
        <v>0.190220170417241</v>
      </c>
      <c r="I20" s="102">
        <f>IF(G20=1,H20,0)</f>
        <v>0</v>
      </c>
      <c r="J20" s="102">
        <f>IF(G20=2,H20,0)</f>
        <v>0.190220170417241</v>
      </c>
      <c r="K20" s="102">
        <f>IF('Parameters'!$B$24=1,I20/'Parameters'!$B$6,SUMIF($G$20:$G$29,1,$H$20:$H$29)/'Parameters'!$B$6)</f>
        <v>0</v>
      </c>
      <c r="L20" s="102">
        <f>IF('Parameters'!$B$24=1,J20/'Parameters'!$B$7,SUMIF($G$20:$G$29,2,$H$20:$H$29)/'Parameters'!$B$7)</f>
        <v>0.0317033617362069</v>
      </c>
      <c r="M20" s="72">
        <f>ABS(H20-IF(G20=1,K20,L20))</f>
        <v>0.158516808681034</v>
      </c>
      <c r="N20" s="72">
        <f>ABS(H20-IF(G20=1,L20,K20))</f>
        <v>0.190220170417241</v>
      </c>
      <c r="R20" s="104"/>
      <c r="S20" s="104"/>
      <c r="T20" s="104"/>
    </row>
    <row r="21">
      <c r="A21" s="64" t="inlineStr">
        <is>
          <t xml:space="preserve">b₂</t>
        </is>
      </c>
      <c r="B21" s="72">
        <f>$J$6</f>
        <v>0.166666666666667</v>
      </c>
      <c r="C21" s="79" t="inlineStr">
        <is>
          <t xml:space="preserve">+</t>
        </is>
      </c>
      <c r="D21" s="72">
        <f>INDEX('Ψ(r) Contribution &amp; Weight'!$B$19:$G$19,1)</f>
        <v>0.15</v>
      </c>
      <c r="E21" s="79" t="inlineStr">
        <is>
          <t xml:space="preserve">=</t>
        </is>
      </c>
      <c r="F21" s="72">
        <f>SUM(B21,D21)</f>
        <v>0.316666666666667</v>
      </c>
      <c r="G21" s="68">
        <f>Dataset!O4</f>
        <v>1</v>
      </c>
      <c r="H21" s="72">
        <f>IF(OR(G21=1,G21=2),F21+IF(G21=1,1,-1)*'Parameters'!$B$19*EXP(-F21)/(1+EXP(-F21)),"—")</f>
        <v>0.443113162916092</v>
      </c>
      <c r="I21" s="102">
        <f>I20+IF(G21=1,H21,0)</f>
        <v>0.443113162916092</v>
      </c>
      <c r="J21" s="102">
        <f>J20+IF(G21=2,H21,0)</f>
        <v>0.190220170417241</v>
      </c>
      <c r="K21" s="102">
        <f>IF('Parameters'!$B$24=1,I21/'Parameters'!$B$6,SUMIF($G$20:$G$29,1,$H$20:$H$29)/'Parameters'!$B$6)</f>
        <v>0.110778290729023</v>
      </c>
      <c r="L21" s="102">
        <f>IF('Parameters'!$B$24=1,J21/'Parameters'!$B$7,SUMIF($G$20:$G$29,2,$H$20:$H$29)/'Parameters'!$B$7)</f>
        <v>0.0317033617362069</v>
      </c>
      <c r="M21" s="72">
        <f>ABS(H21-IF(G21=1,K21,L21))</f>
        <v>0.332334872187069</v>
      </c>
      <c r="N21" s="72">
        <f>ABS(H21-IF(G21=1,L21,K21))</f>
        <v>0.411409801179885</v>
      </c>
      <c r="R21" s="104"/>
      <c r="S21" s="104"/>
      <c r="T21" s="104"/>
    </row>
    <row r="22">
      <c r="A22" s="64" t="inlineStr">
        <is>
          <t xml:space="preserve">b₃</t>
        </is>
      </c>
      <c r="B22" s="72">
        <f>$J$7</f>
        <v>-0.166666666666667</v>
      </c>
      <c r="C22" s="79" t="inlineStr">
        <is>
          <t xml:space="preserve">+</t>
        </is>
      </c>
      <c r="D22" s="72">
        <f>INDEX('Ψ(r) Contribution &amp; Weight'!$B$20:$G$20,1)</f>
        <v>-0.15</v>
      </c>
      <c r="E22" s="79" t="inlineStr">
        <is>
          <t xml:space="preserve">=</t>
        </is>
      </c>
      <c r="F22" s="72">
        <f>SUM(B22,D22)</f>
        <v>-0.316666666666667</v>
      </c>
      <c r="G22" s="68">
        <f>Dataset!O5</f>
        <v>2</v>
      </c>
      <c r="H22" s="72">
        <f>IF(OR(G22=1,G22=2),F22+IF(G22=1,1,-1)*'Parameters'!$B$19*EXP(-F22)/(1+EXP(-F22)),"—")</f>
        <v>-0.490220170417241</v>
      </c>
      <c r="I22" s="102">
        <f>I21+IF(G22=1,H22,0)</f>
        <v>0.443113162916092</v>
      </c>
      <c r="J22" s="102">
        <f>J21+IF(G22=2,H22,0)</f>
        <v>-0.3</v>
      </c>
      <c r="K22" s="102">
        <f>IF('Parameters'!$B$24=1,I22/'Parameters'!$B$6,SUMIF($G$20:$G$29,1,$H$20:$H$29)/'Parameters'!$B$6)</f>
        <v>0.110778290729023</v>
      </c>
      <c r="L22" s="102">
        <f>IF('Parameters'!$B$24=1,J22/'Parameters'!$B$7,SUMIF($G$20:$G$29,2,$H$20:$H$29)/'Parameters'!$B$7)</f>
        <v>-0.05</v>
      </c>
      <c r="M22" s="72">
        <f>ABS(H22-IF(G22=1,K22,L22))</f>
        <v>0.440220170417241</v>
      </c>
      <c r="N22" s="72">
        <f>ABS(H22-IF(G22=1,L22,K22))</f>
        <v>0.600998461146264</v>
      </c>
      <c r="R22" s="104"/>
      <c r="S22" s="104"/>
      <c r="T22" s="104"/>
    </row>
    <row r="23">
      <c r="A23" s="64" t="inlineStr">
        <is>
          <t xml:space="preserve">b₄</t>
        </is>
      </c>
      <c r="B23" s="72">
        <f>$J$8</f>
        <v>0.166666666666667</v>
      </c>
      <c r="C23" s="79" t="inlineStr">
        <is>
          <t xml:space="preserve">+</t>
        </is>
      </c>
      <c r="D23" s="72">
        <f>INDEX('Ψ(r) Contribution &amp; Weight'!$B$21:$G$21,1)</f>
        <v>0.15</v>
      </c>
      <c r="E23" s="79" t="inlineStr">
        <is>
          <t xml:space="preserve">=</t>
        </is>
      </c>
      <c r="F23" s="72">
        <f>SUM(B23,D23)</f>
        <v>0.316666666666667</v>
      </c>
      <c r="G23" s="68">
        <f>Dataset!O6</f>
        <v>1</v>
      </c>
      <c r="H23" s="72">
        <f>IF(OR(G23=1,G23=2),F23+IF(G23=1,1,-1)*'Parameters'!$B$19*EXP(-F23)/(1+EXP(-F23)),"—")</f>
        <v>0.443113162916092</v>
      </c>
      <c r="I23" s="102">
        <f>I22+IF(G23=1,H23,0)</f>
        <v>0.886226325832184</v>
      </c>
      <c r="J23" s="102">
        <f>J22+IF(G23=2,H23,0)</f>
        <v>-0.3</v>
      </c>
      <c r="K23" s="102">
        <f>IF('Parameters'!$B$24=1,I23/'Parameters'!$B$6,SUMIF($G$20:$G$29,1,$H$20:$H$29)/'Parameters'!$B$6)</f>
        <v>0.221556581458046</v>
      </c>
      <c r="L23" s="102">
        <f>IF('Parameters'!$B$24=1,J23/'Parameters'!$B$7,SUMIF($G$20:$G$29,2,$H$20:$H$29)/'Parameters'!$B$7)</f>
        <v>-0.05</v>
      </c>
      <c r="M23" s="72">
        <f>ABS(H23-IF(G23=1,K23,L23))</f>
        <v>0.221556581458046</v>
      </c>
      <c r="N23" s="72">
        <f>ABS(H23-IF(G23=1,L23,K23))</f>
        <v>0.493113162916092</v>
      </c>
      <c r="R23" s="104"/>
      <c r="S23" s="104"/>
      <c r="T23" s="104"/>
    </row>
    <row r="24">
      <c r="A24" s="64" t="inlineStr">
        <is>
          <t xml:space="preserve">b₅</t>
        </is>
      </c>
      <c r="B24" s="72">
        <f>$J$9</f>
        <v>0.166666666666667</v>
      </c>
      <c r="C24" s="79" t="inlineStr">
        <is>
          <t xml:space="preserve">+</t>
        </is>
      </c>
      <c r="D24" s="72">
        <f>INDEX('Ψ(r) Contribution &amp; Weight'!$B$22:$G$22,1)</f>
        <v>0.15</v>
      </c>
      <c r="E24" s="79" t="inlineStr">
        <is>
          <t xml:space="preserve">=</t>
        </is>
      </c>
      <c r="F24" s="72">
        <f>SUM(B24,D24)</f>
        <v>0.316666666666667</v>
      </c>
      <c r="G24" s="68">
        <f>Dataset!O7</f>
        <v>1</v>
      </c>
      <c r="H24" s="72">
        <f>IF(OR(G24=1,G24=2),F24+IF(G24=1,1,-1)*'Parameters'!$B$19*EXP(-F24)/(1+EXP(-F24)),"—")</f>
        <v>0.443113162916092</v>
      </c>
      <c r="I24" s="102">
        <f>I23+IF(G24=1,H24,0)</f>
        <v>1.32933948874828</v>
      </c>
      <c r="J24" s="102">
        <f>J23+IF(G24=2,H24,0)</f>
        <v>-0.3</v>
      </c>
      <c r="K24" s="102">
        <f>IF('Parameters'!$B$24=1,I24/'Parameters'!$B$6,SUMIF($G$20:$G$29,1,$H$20:$H$29)/'Parameters'!$B$6)</f>
        <v>0.332334872187069</v>
      </c>
      <c r="L24" s="102">
        <f>IF('Parameters'!$B$24=1,J24/'Parameters'!$B$7,SUMIF($G$20:$G$29,2,$H$20:$H$29)/'Parameters'!$B$7)</f>
        <v>-0.05</v>
      </c>
      <c r="M24" s="72">
        <f>ABS(H24-IF(G24=1,K24,L24))</f>
        <v>0.110778290729023</v>
      </c>
      <c r="N24" s="72">
        <f>ABS(H24-IF(G24=1,L24,K24))</f>
        <v>0.493113162916092</v>
      </c>
      <c r="R24" s="104"/>
      <c r="S24" s="104"/>
      <c r="T24" s="104"/>
    </row>
    <row r="25">
      <c r="A25" s="64" t="inlineStr">
        <is>
          <t xml:space="preserve">b₆</t>
        </is>
      </c>
      <c r="B25" s="72">
        <f>$J$10</f>
        <v>0.166666666666667</v>
      </c>
      <c r="C25" s="79" t="inlineStr">
        <is>
          <t xml:space="preserve">+</t>
        </is>
      </c>
      <c r="D25" s="72">
        <f>INDEX('Ψ(r) Contribution &amp; Weight'!$B$23:$G$23,1)</f>
        <v>0.15</v>
      </c>
      <c r="E25" s="79" t="inlineStr">
        <is>
          <t xml:space="preserve">=</t>
        </is>
      </c>
      <c r="F25" s="72">
        <f>SUM(B25,D25)</f>
        <v>0.316666666666667</v>
      </c>
      <c r="G25" s="68">
        <f>Dataset!O8</f>
        <v>1</v>
      </c>
      <c r="H25" s="72">
        <f>IF(OR(G25=1,G25=2),F25+IF(G25=1,1,-1)*'Parameters'!$B$19*EXP(-F25)/(1+EXP(-F25)),"—")</f>
        <v>0.443113162916092</v>
      </c>
      <c r="I25" s="102">
        <f>I24+IF(G25=1,H25,0)</f>
        <v>1.77245265166437</v>
      </c>
      <c r="J25" s="102">
        <f>J24+IF(G25=2,H25,0)</f>
        <v>-0.3</v>
      </c>
      <c r="K25" s="102">
        <f>IF('Parameters'!$B$24=1,I25/'Parameters'!$B$6,SUMIF($G$20:$G$29,1,$H$20:$H$29)/'Parameters'!$B$6)</f>
        <v>0.443113162916092</v>
      </c>
      <c r="L25" s="102">
        <f>IF('Parameters'!$B$24=1,J25/'Parameters'!$B$7,SUMIF($G$20:$G$29,2,$H$20:$H$29)/'Parameters'!$B$7)</f>
        <v>-0.05</v>
      </c>
      <c r="M25" s="72">
        <f>ABS(H25-IF(G25=1,K25,L25))</f>
        <v>0</v>
      </c>
      <c r="N25" s="72">
        <f>ABS(H25-IF(G25=1,L25,K25))</f>
        <v>0.493113162916092</v>
      </c>
      <c r="R25" s="104"/>
      <c r="S25" s="104"/>
      <c r="T25" s="104"/>
    </row>
    <row r="26">
      <c r="A26" s="64" t="inlineStr">
        <is>
          <t xml:space="preserve">b₇</t>
        </is>
      </c>
      <c r="B26" s="72">
        <f>$J$11</f>
        <v>0.166666666666667</v>
      </c>
      <c r="C26" s="79" t="inlineStr">
        <is>
          <t xml:space="preserve">+</t>
        </is>
      </c>
      <c r="D26" s="72">
        <f>INDEX('Ψ(r) Contribution &amp; Weight'!$B$24:$G$24,1)</f>
        <v>0.15</v>
      </c>
      <c r="E26" s="79" t="inlineStr">
        <is>
          <t xml:space="preserve">=</t>
        </is>
      </c>
      <c r="F26" s="72">
        <f>SUM(B26,D26)</f>
        <v>0.316666666666667</v>
      </c>
      <c r="G26" s="68">
        <f>Dataset!O9</f>
        <v>2</v>
      </c>
      <c r="H26" s="72">
        <f>IF(OR(G26=1,G26=2),F26+IF(G26=1,1,-1)*'Parameters'!$B$19*EXP(-F26)/(1+EXP(-F26)),"—")</f>
        <v>0.190220170417241</v>
      </c>
      <c r="I26" s="102">
        <f>I25+IF(G26=1,H26,0)</f>
        <v>1.77245265166437</v>
      </c>
      <c r="J26" s="102">
        <f>J25+IF(G26=2,H26,0)</f>
        <v>-0.109779829582759</v>
      </c>
      <c r="K26" s="102">
        <f>IF('Parameters'!$B$24=1,I26/'Parameters'!$B$6,SUMIF($G$20:$G$29,1,$H$20:$H$29)/'Parameters'!$B$6)</f>
        <v>0.443113162916092</v>
      </c>
      <c r="L26" s="102">
        <f>IF('Parameters'!$B$24=1,J26/'Parameters'!$B$7,SUMIF($G$20:$G$29,2,$H$20:$H$29)/'Parameters'!$B$7)</f>
        <v>-0.0182966382637932</v>
      </c>
      <c r="M26" s="72">
        <f>ABS(H26-IF(G26=1,K26,L26))</f>
        <v>0.208516808681034</v>
      </c>
      <c r="N26" s="72">
        <f>ABS(H26-IF(G26=1,L26,K26))</f>
        <v>0.252892992498851</v>
      </c>
      <c r="R26" s="104"/>
      <c r="S26" s="104"/>
      <c r="T26" s="104"/>
    </row>
    <row r="27">
      <c r="A27" s="64" t="inlineStr">
        <is>
          <t xml:space="preserve">b₈</t>
        </is>
      </c>
      <c r="B27" s="72">
        <f>$J$12</f>
        <v>0.166666666666667</v>
      </c>
      <c r="C27" s="79" t="inlineStr">
        <is>
          <t xml:space="preserve">+</t>
        </is>
      </c>
      <c r="D27" s="72">
        <f>INDEX('Ψ(r) Contribution &amp; Weight'!$B$25:$G$25,1)</f>
        <v>0.15</v>
      </c>
      <c r="E27" s="79" t="inlineStr">
        <is>
          <t xml:space="preserve">=</t>
        </is>
      </c>
      <c r="F27" s="72">
        <f>SUM(B27,D27)</f>
        <v>0.316666666666667</v>
      </c>
      <c r="G27" s="68">
        <f>Dataset!O10</f>
        <v>2</v>
      </c>
      <c r="H27" s="72">
        <f>IF(OR(G27=1,G27=2),F27+IF(G27=1,1,-1)*'Parameters'!$B$19*EXP(-F27)/(1+EXP(-F27)),"—")</f>
        <v>0.190220170417241</v>
      </c>
      <c r="I27" s="102">
        <f>I26+IF(G27=1,H27,0)</f>
        <v>1.77245265166437</v>
      </c>
      <c r="J27" s="102">
        <f>J26+IF(G27=2,H27,0)</f>
        <v>0.0804403408344821</v>
      </c>
      <c r="K27" s="102">
        <f>IF('Parameters'!$B$24=1,I27/'Parameters'!$B$6,SUMIF($G$20:$G$29,1,$H$20:$H$29)/'Parameters'!$B$6)</f>
        <v>0.443113162916092</v>
      </c>
      <c r="L27" s="102">
        <f>IF('Parameters'!$B$24=1,J27/'Parameters'!$B$7,SUMIF($G$20:$G$29,2,$H$20:$H$29)/'Parameters'!$B$7)</f>
        <v>0.0134067234724137</v>
      </c>
      <c r="M27" s="72">
        <f>ABS(H27-IF(G27=1,K27,L27))</f>
        <v>0.176813446944827</v>
      </c>
      <c r="N27" s="72">
        <f>ABS(H27-IF(G27=1,L27,K27))</f>
        <v>0.252892992498851</v>
      </c>
      <c r="R27" s="104"/>
      <c r="S27" s="104"/>
      <c r="T27" s="104"/>
    </row>
    <row r="28">
      <c r="A28" s="64" t="inlineStr">
        <is>
          <t xml:space="preserve">b₉</t>
        </is>
      </c>
      <c r="B28" s="72">
        <f>$J$13</f>
        <v>0.166666666666667</v>
      </c>
      <c r="C28" s="79" t="inlineStr">
        <is>
          <t xml:space="preserve">+</t>
        </is>
      </c>
      <c r="D28" s="72">
        <f>INDEX('Ψ(r) Contribution &amp; Weight'!$B$26:$G$26,1)</f>
        <v>0.15</v>
      </c>
      <c r="E28" s="79" t="inlineStr">
        <is>
          <t xml:space="preserve">=</t>
        </is>
      </c>
      <c r="F28" s="72">
        <f>SUM(B28,D28)</f>
        <v>0.316666666666667</v>
      </c>
      <c r="G28" s="68">
        <f>Dataset!O11</f>
        <v>2</v>
      </c>
      <c r="H28" s="72">
        <f>IF(OR(G28=1,G28=2),F28+IF(G28=1,1,-1)*'Parameters'!$B$19*EXP(-F28)/(1+EXP(-F28)),"—")</f>
        <v>0.190220170417241</v>
      </c>
      <c r="I28" s="102">
        <f>I27+IF(G28=1,H28,0)</f>
        <v>1.77245265166437</v>
      </c>
      <c r="J28" s="102">
        <f>J27+IF(G28=2,H28,0)</f>
        <v>0.270660511251723</v>
      </c>
      <c r="K28" s="102">
        <f>IF('Parameters'!$B$24=1,I28/'Parameters'!$B$6,SUMIF($G$20:$G$29,1,$H$20:$H$29)/'Parameters'!$B$6)</f>
        <v>0.443113162916092</v>
      </c>
      <c r="L28" s="102">
        <f>IF('Parameters'!$B$24=1,J28/'Parameters'!$B$7,SUMIF($G$20:$G$29,2,$H$20:$H$29)/'Parameters'!$B$7)</f>
        <v>0.0451100852086205</v>
      </c>
      <c r="M28" s="72">
        <f>ABS(H28-IF(G28=1,K28,L28))</f>
        <v>0.145110085208621</v>
      </c>
      <c r="N28" s="72">
        <f>ABS(H28-IF(G28=1,L28,K28))</f>
        <v>0.252892992498851</v>
      </c>
      <c r="R28" s="104"/>
      <c r="S28" s="104"/>
      <c r="T28" s="104"/>
    </row>
    <row r="29">
      <c r="A29" s="64" t="inlineStr">
        <is>
          <t xml:space="preserve">b₁₀</t>
        </is>
      </c>
      <c r="B29" s="72">
        <f>$J$14</f>
        <v>0.166666666666667</v>
      </c>
      <c r="C29" s="79" t="inlineStr">
        <is>
          <t xml:space="preserve">+</t>
        </is>
      </c>
      <c r="D29" s="72">
        <f>INDEX('Ψ(r) Contribution &amp; Weight'!$B$27:$G$27,1)</f>
        <v>0.15</v>
      </c>
      <c r="E29" s="79" t="inlineStr">
        <is>
          <t xml:space="preserve">=</t>
        </is>
      </c>
      <c r="F29" s="72">
        <f>SUM(B29,D29)</f>
        <v>0.316666666666667</v>
      </c>
      <c r="G29" s="68">
        <f>Dataset!O12</f>
        <v>2</v>
      </c>
      <c r="H29" s="72">
        <f>IF(OR(G29=1,G29=2),F29+IF(G29=1,1,-1)*'Parameters'!$B$19*EXP(-F29)/(1+EXP(-F29)),"—")</f>
        <v>0.190220170417241</v>
      </c>
      <c r="I29" s="102">
        <f>I28+IF(G29=1,H29,0)</f>
        <v>1.77245265166437</v>
      </c>
      <c r="J29" s="102">
        <f>J28+IF(G29=2,H29,0)</f>
        <v>0.460880681668964</v>
      </c>
      <c r="K29" s="102">
        <f>IF('Parameters'!$B$24=1,I29/'Parameters'!$B$6,SUMIF($G$20:$G$29,1,$H$20:$H$29)/'Parameters'!$B$6)</f>
        <v>0.443113162916092</v>
      </c>
      <c r="L29" s="102">
        <f>IF('Parameters'!$B$24=1,J29/'Parameters'!$B$7,SUMIF($G$20:$G$29,2,$H$20:$H$29)/'Parameters'!$B$7)</f>
        <v>0.0768134469448274</v>
      </c>
      <c r="M29" s="72">
        <f>ABS(H29-IF(G29=1,K29,L29))</f>
        <v>0.113406723472414</v>
      </c>
      <c r="N29" s="72">
        <f>ABS(H29-IF(G29=1,L29,K29))</f>
        <v>0.252892992498851</v>
      </c>
      <c r="R29" s="104"/>
      <c r="S29" s="104"/>
      <c r="T29" s="104"/>
    </row>
    <row r="30">
      <c r="K30" s="82" t="inlineStr">
        <is>
          <t xml:space="preserve">θ, γ  →</t>
        </is>
      </c>
      <c r="L30" s="82"/>
      <c r="M30" s="85">
        <f>SUM(M20:M29)</f>
        <v>1.90725378777931</v>
      </c>
      <c r="N30" s="85">
        <f>SUM(N20:N29)</f>
        <v>3.69353989148707</v>
      </c>
      <c r="O30" s="82" t="inlineStr">
        <is>
          <t xml:space="preserve">θ / γ</t>
        </is>
      </c>
      <c r="P30" s="92">
        <f>IF(B$14=1,M30/N30,"—")</f>
        <v>0.516375575684231</v>
      </c>
    </row>
    <row r="31"/>
    <row r="32">
      <c r="A32" s="59" t="str">
        <f>"Candidate a₂  ·  operator ρ  ·  k = "&amp;'Synthetic Features (k-NN)'!$C$4&amp;"   —   bₜ = R(Sₜ) + η₂(a_t₂)"</f>
        <v>Candidate a₂  ·  operator ρ  ·  k = 5   —   bₜ = R(Sₜ) + η₂(a_t₂)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84" t="str">
        <f>IF(C$14=1,"available",IF($D$4=1,"in TUPLAM — skipped","iteration not executed"))</f>
        <v>available</v>
      </c>
      <c r="P32" s="84"/>
    </row>
    <row r="33">
      <c r="A33" s="60" t="inlineStr">
        <is>
          <t xml:space="preserve">№</t>
        </is>
      </c>
      <c r="B33" s="60" t="inlineStr">
        <is>
          <t xml:space="preserve">R(Sₜ)</t>
        </is>
      </c>
      <c r="C33" s="60" t="inlineStr">
        <is>
          <t xml:space="preserve">+</t>
        </is>
      </c>
      <c r="D33" s="60" t="inlineStr">
        <is>
          <t xml:space="preserve">ηᵤ(a_tu)</t>
        </is>
      </c>
      <c r="E33" s="60" t="inlineStr">
        <is>
          <t xml:space="preserve">=</t>
        </is>
      </c>
      <c r="F33" s="60" t="inlineStr">
        <is>
          <t xml:space="preserve">bₜ</t>
        </is>
      </c>
      <c r="G33" s="60" t="inlineStr">
        <is>
          <t xml:space="preserve">Class</t>
        </is>
      </c>
      <c r="H33" s="60" t="inlineStr">
        <is>
          <t xml:space="preserve">bₜ (majorized)</t>
        </is>
      </c>
      <c r="I33" s="103" t="inlineStr">
        <is>
          <t xml:space="preserve">⚠1 Σ K1 (running)</t>
        </is>
      </c>
      <c r="J33" s="103" t="inlineStr">
        <is>
          <t xml:space="preserve">⚠1 Σ K2 (running)</t>
        </is>
      </c>
      <c r="K33" s="103" t="inlineStr">
        <is>
          <t xml:space="preserve">⚠1 M₁ used</t>
        </is>
      </c>
      <c r="L33" s="103" t="inlineStr">
        <is>
          <t xml:space="preserve">⚠1 M₂ used</t>
        </is>
      </c>
      <c r="M33" s="60" t="inlineStr">
        <is>
          <t xml:space="preserve">|b − M own|</t>
        </is>
      </c>
      <c r="N33" s="60" t="inlineStr">
        <is>
          <t xml:space="preserve">|b − M other|</t>
        </is>
      </c>
    </row>
    <row r="34">
      <c r="A34" s="64" t="inlineStr">
        <is>
          <t xml:space="preserve">b₁</t>
        </is>
      </c>
      <c r="B34" s="72">
        <f>$J$5</f>
        <v>0.166666666666667</v>
      </c>
      <c r="C34" s="79" t="inlineStr">
        <is>
          <t xml:space="preserve">+</t>
        </is>
      </c>
      <c r="D34" s="72">
        <f>INDEX('Ψ(r) Contribution &amp; Weight'!$B$18:$G$18,2)</f>
        <v>0.15</v>
      </c>
      <c r="E34" s="79" t="inlineStr">
        <is>
          <t xml:space="preserve">=</t>
        </is>
      </c>
      <c r="F34" s="72">
        <f>SUM(B34,D34)</f>
        <v>0.316666666666667</v>
      </c>
      <c r="G34" s="68">
        <f>Dataset!O3</f>
        <v>2</v>
      </c>
      <c r="H34" s="72">
        <f>IF(OR(G34=1,G34=2),F34+IF(G34=1,1,-1)*'Parameters'!$B$19*EXP(-F34)/(1+EXP(-F34)),"—")</f>
        <v>0.190220170417241</v>
      </c>
      <c r="I34" s="102">
        <f>IF(G34=1,H34,0)</f>
        <v>0</v>
      </c>
      <c r="J34" s="102">
        <f>IF(G34=2,H34,0)</f>
        <v>0.190220170417241</v>
      </c>
      <c r="K34" s="102">
        <f>IF('Parameters'!$B$24=1,I34/'Parameters'!$B$6,SUMIF($G$34:$G$43,1,$H$34:$H$43)/'Parameters'!$B$6)</f>
        <v>0</v>
      </c>
      <c r="L34" s="102">
        <f>IF('Parameters'!$B$24=1,J34/'Parameters'!$B$7,SUMIF($G$34:$G$43,2,$H$34:$H$43)/'Parameters'!$B$7)</f>
        <v>0.0317033617362069</v>
      </c>
      <c r="M34" s="72">
        <f>ABS(H34-IF(G34=1,K34,L34))</f>
        <v>0.158516808681034</v>
      </c>
      <c r="N34" s="72">
        <f>ABS(H34-IF(G34=1,L34,K34))</f>
        <v>0.190220170417241</v>
      </c>
    </row>
    <row r="35">
      <c r="A35" s="64" t="inlineStr">
        <is>
          <t xml:space="preserve">b₂</t>
        </is>
      </c>
      <c r="B35" s="72">
        <f>$J$6</f>
        <v>0.166666666666667</v>
      </c>
      <c r="C35" s="79" t="inlineStr">
        <is>
          <t xml:space="preserve">+</t>
        </is>
      </c>
      <c r="D35" s="72">
        <f>INDEX('Ψ(r) Contribution &amp; Weight'!$B$19:$G$19,2)</f>
        <v>0.15</v>
      </c>
      <c r="E35" s="79" t="inlineStr">
        <is>
          <t xml:space="preserve">=</t>
        </is>
      </c>
      <c r="F35" s="72">
        <f>SUM(B35,D35)</f>
        <v>0.316666666666667</v>
      </c>
      <c r="G35" s="68">
        <f>Dataset!O4</f>
        <v>1</v>
      </c>
      <c r="H35" s="72">
        <f>IF(OR(G35=1,G35=2),F35+IF(G35=1,1,-1)*'Parameters'!$B$19*EXP(-F35)/(1+EXP(-F35)),"—")</f>
        <v>0.443113162916092</v>
      </c>
      <c r="I35" s="102">
        <f>I34+IF(G35=1,H35,0)</f>
        <v>0.443113162916092</v>
      </c>
      <c r="J35" s="102">
        <f>J34+IF(G35=2,H35,0)</f>
        <v>0.190220170417241</v>
      </c>
      <c r="K35" s="102">
        <f>IF('Parameters'!$B$24=1,I35/'Parameters'!$B$6,SUMIF($G$34:$G$43,1,$H$34:$H$43)/'Parameters'!$B$6)</f>
        <v>0.110778290729023</v>
      </c>
      <c r="L35" s="102">
        <f>IF('Parameters'!$B$24=1,J35/'Parameters'!$B$7,SUMIF($G$34:$G$43,2,$H$34:$H$43)/'Parameters'!$B$7)</f>
        <v>0.0317033617362069</v>
      </c>
      <c r="M35" s="72">
        <f>ABS(H35-IF(G35=1,K35,L35))</f>
        <v>0.332334872187069</v>
      </c>
      <c r="N35" s="72">
        <f>ABS(H35-IF(G35=1,L35,K35))</f>
        <v>0.411409801179885</v>
      </c>
    </row>
    <row r="36">
      <c r="A36" s="64" t="inlineStr">
        <is>
          <t xml:space="preserve">b₃</t>
        </is>
      </c>
      <c r="B36" s="72">
        <f>$J$7</f>
        <v>-0.166666666666667</v>
      </c>
      <c r="C36" s="79" t="inlineStr">
        <is>
          <t xml:space="preserve">+</t>
        </is>
      </c>
      <c r="D36" s="72">
        <f>INDEX('Ψ(r) Contribution &amp; Weight'!$B$20:$G$20,2)</f>
        <v>-0.15</v>
      </c>
      <c r="E36" s="79" t="inlineStr">
        <is>
          <t xml:space="preserve">=</t>
        </is>
      </c>
      <c r="F36" s="72">
        <f>SUM(B36,D36)</f>
        <v>-0.316666666666667</v>
      </c>
      <c r="G36" s="68">
        <f>Dataset!O5</f>
        <v>2</v>
      </c>
      <c r="H36" s="72">
        <f>IF(OR(G36=1,G36=2),F36+IF(G36=1,1,-1)*'Parameters'!$B$19*EXP(-F36)/(1+EXP(-F36)),"—")</f>
        <v>-0.490220170417241</v>
      </c>
      <c r="I36" s="102">
        <f>I35+IF(G36=1,H36,0)</f>
        <v>0.443113162916092</v>
      </c>
      <c r="J36" s="102">
        <f>J35+IF(G36=2,H36,0)</f>
        <v>-0.3</v>
      </c>
      <c r="K36" s="102">
        <f>IF('Parameters'!$B$24=1,I36/'Parameters'!$B$6,SUMIF($G$34:$G$43,1,$H$34:$H$43)/'Parameters'!$B$6)</f>
        <v>0.110778290729023</v>
      </c>
      <c r="L36" s="102">
        <f>IF('Parameters'!$B$24=1,J36/'Parameters'!$B$7,SUMIF($G$34:$G$43,2,$H$34:$H$43)/'Parameters'!$B$7)</f>
        <v>-0.05</v>
      </c>
      <c r="M36" s="72">
        <f>ABS(H36-IF(G36=1,K36,L36))</f>
        <v>0.440220170417241</v>
      </c>
      <c r="N36" s="72">
        <f>ABS(H36-IF(G36=1,L36,K36))</f>
        <v>0.600998461146264</v>
      </c>
    </row>
    <row r="37">
      <c r="A37" s="64" t="inlineStr">
        <is>
          <t xml:space="preserve">b₄</t>
        </is>
      </c>
      <c r="B37" s="72">
        <f>$J$8</f>
        <v>0.166666666666667</v>
      </c>
      <c r="C37" s="79" t="inlineStr">
        <is>
          <t xml:space="preserve">+</t>
        </is>
      </c>
      <c r="D37" s="72">
        <f>INDEX('Ψ(r) Contribution &amp; Weight'!$B$21:$G$21,2)</f>
        <v>0.15</v>
      </c>
      <c r="E37" s="79" t="inlineStr">
        <is>
          <t xml:space="preserve">=</t>
        </is>
      </c>
      <c r="F37" s="72">
        <f>SUM(B37,D37)</f>
        <v>0.316666666666667</v>
      </c>
      <c r="G37" s="68">
        <f>Dataset!O6</f>
        <v>1</v>
      </c>
      <c r="H37" s="72">
        <f>IF(OR(G37=1,G37=2),F37+IF(G37=1,1,-1)*'Parameters'!$B$19*EXP(-F37)/(1+EXP(-F37)),"—")</f>
        <v>0.443113162916092</v>
      </c>
      <c r="I37" s="102">
        <f>I36+IF(G37=1,H37,0)</f>
        <v>0.886226325832184</v>
      </c>
      <c r="J37" s="102">
        <f>J36+IF(G37=2,H37,0)</f>
        <v>-0.3</v>
      </c>
      <c r="K37" s="102">
        <f>IF('Parameters'!$B$24=1,I37/'Parameters'!$B$6,SUMIF($G$34:$G$43,1,$H$34:$H$43)/'Parameters'!$B$6)</f>
        <v>0.221556581458046</v>
      </c>
      <c r="L37" s="102">
        <f>IF('Parameters'!$B$24=1,J37/'Parameters'!$B$7,SUMIF($G$34:$G$43,2,$H$34:$H$43)/'Parameters'!$B$7)</f>
        <v>-0.05</v>
      </c>
      <c r="M37" s="72">
        <f>ABS(H37-IF(G37=1,K37,L37))</f>
        <v>0.221556581458046</v>
      </c>
      <c r="N37" s="72">
        <f>ABS(H37-IF(G37=1,L37,K37))</f>
        <v>0.493113162916092</v>
      </c>
    </row>
    <row r="38">
      <c r="A38" s="64" t="inlineStr">
        <is>
          <t xml:space="preserve">b₅</t>
        </is>
      </c>
      <c r="B38" s="72">
        <f>$J$9</f>
        <v>0.166666666666667</v>
      </c>
      <c r="C38" s="79" t="inlineStr">
        <is>
          <t xml:space="preserve">+</t>
        </is>
      </c>
      <c r="D38" s="72">
        <f>INDEX('Ψ(r) Contribution &amp; Weight'!$B$22:$G$22,2)</f>
        <v>0.15</v>
      </c>
      <c r="E38" s="79" t="inlineStr">
        <is>
          <t xml:space="preserve">=</t>
        </is>
      </c>
      <c r="F38" s="72">
        <f>SUM(B38,D38)</f>
        <v>0.316666666666667</v>
      </c>
      <c r="G38" s="68">
        <f>Dataset!O7</f>
        <v>1</v>
      </c>
      <c r="H38" s="72">
        <f>IF(OR(G38=1,G38=2),F38+IF(G38=1,1,-1)*'Parameters'!$B$19*EXP(-F38)/(1+EXP(-F38)),"—")</f>
        <v>0.443113162916092</v>
      </c>
      <c r="I38" s="102">
        <f>I37+IF(G38=1,H38,0)</f>
        <v>1.32933948874828</v>
      </c>
      <c r="J38" s="102">
        <f>J37+IF(G38=2,H38,0)</f>
        <v>-0.3</v>
      </c>
      <c r="K38" s="102">
        <f>IF('Parameters'!$B$24=1,I38/'Parameters'!$B$6,SUMIF($G$34:$G$43,1,$H$34:$H$43)/'Parameters'!$B$6)</f>
        <v>0.332334872187069</v>
      </c>
      <c r="L38" s="102">
        <f>IF('Parameters'!$B$24=1,J38/'Parameters'!$B$7,SUMIF($G$34:$G$43,2,$H$34:$H$43)/'Parameters'!$B$7)</f>
        <v>-0.05</v>
      </c>
      <c r="M38" s="72">
        <f>ABS(H38-IF(G38=1,K38,L38))</f>
        <v>0.110778290729023</v>
      </c>
      <c r="N38" s="72">
        <f>ABS(H38-IF(G38=1,L38,K38))</f>
        <v>0.493113162916092</v>
      </c>
    </row>
    <row r="39">
      <c r="A39" s="64" t="inlineStr">
        <is>
          <t xml:space="preserve">b₆</t>
        </is>
      </c>
      <c r="B39" s="72">
        <f>$J$10</f>
        <v>0.166666666666667</v>
      </c>
      <c r="C39" s="79" t="inlineStr">
        <is>
          <t xml:space="preserve">+</t>
        </is>
      </c>
      <c r="D39" s="72">
        <f>INDEX('Ψ(r) Contribution &amp; Weight'!$B$23:$G$23,2)</f>
        <v>0.15</v>
      </c>
      <c r="E39" s="79" t="inlineStr">
        <is>
          <t xml:space="preserve">=</t>
        </is>
      </c>
      <c r="F39" s="72">
        <f>SUM(B39,D39)</f>
        <v>0.316666666666667</v>
      </c>
      <c r="G39" s="68">
        <f>Dataset!O8</f>
        <v>1</v>
      </c>
      <c r="H39" s="72">
        <f>IF(OR(G39=1,G39=2),F39+IF(G39=1,1,-1)*'Parameters'!$B$19*EXP(-F39)/(1+EXP(-F39)),"—")</f>
        <v>0.443113162916092</v>
      </c>
      <c r="I39" s="102">
        <f>I38+IF(G39=1,H39,0)</f>
        <v>1.77245265166437</v>
      </c>
      <c r="J39" s="102">
        <f>J38+IF(G39=2,H39,0)</f>
        <v>-0.3</v>
      </c>
      <c r="K39" s="102">
        <f>IF('Parameters'!$B$24=1,I39/'Parameters'!$B$6,SUMIF($G$34:$G$43,1,$H$34:$H$43)/'Parameters'!$B$6)</f>
        <v>0.443113162916092</v>
      </c>
      <c r="L39" s="102">
        <f>IF('Parameters'!$B$24=1,J39/'Parameters'!$B$7,SUMIF($G$34:$G$43,2,$H$34:$H$43)/'Parameters'!$B$7)</f>
        <v>-0.05</v>
      </c>
      <c r="M39" s="72">
        <f>ABS(H39-IF(G39=1,K39,L39))</f>
        <v>0</v>
      </c>
      <c r="N39" s="72">
        <f>ABS(H39-IF(G39=1,L39,K39))</f>
        <v>0.493113162916092</v>
      </c>
    </row>
    <row r="40">
      <c r="A40" s="64" t="inlineStr">
        <is>
          <t xml:space="preserve">b₇</t>
        </is>
      </c>
      <c r="B40" s="72">
        <f>$J$11</f>
        <v>0.166666666666667</v>
      </c>
      <c r="C40" s="79" t="inlineStr">
        <is>
          <t xml:space="preserve">+</t>
        </is>
      </c>
      <c r="D40" s="72">
        <f>INDEX('Ψ(r) Contribution &amp; Weight'!$B$24:$G$24,2)</f>
        <v>0.15</v>
      </c>
      <c r="E40" s="79" t="inlineStr">
        <is>
          <t xml:space="preserve">=</t>
        </is>
      </c>
      <c r="F40" s="72">
        <f>SUM(B40,D40)</f>
        <v>0.316666666666667</v>
      </c>
      <c r="G40" s="68">
        <f>Dataset!O9</f>
        <v>2</v>
      </c>
      <c r="H40" s="72">
        <f>IF(OR(G40=1,G40=2),F40+IF(G40=1,1,-1)*'Parameters'!$B$19*EXP(-F40)/(1+EXP(-F40)),"—")</f>
        <v>0.190220170417241</v>
      </c>
      <c r="I40" s="102">
        <f>I39+IF(G40=1,H40,0)</f>
        <v>1.77245265166437</v>
      </c>
      <c r="J40" s="102">
        <f>J39+IF(G40=2,H40,0)</f>
        <v>-0.109779829582759</v>
      </c>
      <c r="K40" s="102">
        <f>IF('Parameters'!$B$24=1,I40/'Parameters'!$B$6,SUMIF($G$34:$G$43,1,$H$34:$H$43)/'Parameters'!$B$6)</f>
        <v>0.443113162916092</v>
      </c>
      <c r="L40" s="102">
        <f>IF('Parameters'!$B$24=1,J40/'Parameters'!$B$7,SUMIF($G$34:$G$43,2,$H$34:$H$43)/'Parameters'!$B$7)</f>
        <v>-0.0182966382637932</v>
      </c>
      <c r="M40" s="72">
        <f>ABS(H40-IF(G40=1,K40,L40))</f>
        <v>0.208516808681034</v>
      </c>
      <c r="N40" s="72">
        <f>ABS(H40-IF(G40=1,L40,K40))</f>
        <v>0.252892992498851</v>
      </c>
    </row>
    <row r="41">
      <c r="A41" s="64" t="inlineStr">
        <is>
          <t xml:space="preserve">b₈</t>
        </is>
      </c>
      <c r="B41" s="72">
        <f>$J$12</f>
        <v>0.166666666666667</v>
      </c>
      <c r="C41" s="79" t="inlineStr">
        <is>
          <t xml:space="preserve">+</t>
        </is>
      </c>
      <c r="D41" s="72">
        <f>INDEX('Ψ(r) Contribution &amp; Weight'!$B$25:$G$25,2)</f>
        <v>0.15</v>
      </c>
      <c r="E41" s="79" t="inlineStr">
        <is>
          <t xml:space="preserve">=</t>
        </is>
      </c>
      <c r="F41" s="72">
        <f>SUM(B41,D41)</f>
        <v>0.316666666666667</v>
      </c>
      <c r="G41" s="68">
        <f>Dataset!O10</f>
        <v>2</v>
      </c>
      <c r="H41" s="72">
        <f>IF(OR(G41=1,G41=2),F41+IF(G41=1,1,-1)*'Parameters'!$B$19*EXP(-F41)/(1+EXP(-F41)),"—")</f>
        <v>0.190220170417241</v>
      </c>
      <c r="I41" s="102">
        <f>I40+IF(G41=1,H41,0)</f>
        <v>1.77245265166437</v>
      </c>
      <c r="J41" s="102">
        <f>J40+IF(G41=2,H41,0)</f>
        <v>0.0804403408344821</v>
      </c>
      <c r="K41" s="102">
        <f>IF('Parameters'!$B$24=1,I41/'Parameters'!$B$6,SUMIF($G$34:$G$43,1,$H$34:$H$43)/'Parameters'!$B$6)</f>
        <v>0.443113162916092</v>
      </c>
      <c r="L41" s="102">
        <f>IF('Parameters'!$B$24=1,J41/'Parameters'!$B$7,SUMIF($G$34:$G$43,2,$H$34:$H$43)/'Parameters'!$B$7)</f>
        <v>0.0134067234724137</v>
      </c>
      <c r="M41" s="72">
        <f>ABS(H41-IF(G41=1,K41,L41))</f>
        <v>0.176813446944827</v>
      </c>
      <c r="N41" s="72">
        <f>ABS(H41-IF(G41=1,L41,K41))</f>
        <v>0.252892992498851</v>
      </c>
    </row>
    <row r="42">
      <c r="A42" s="64" t="inlineStr">
        <is>
          <t xml:space="preserve">b₉</t>
        </is>
      </c>
      <c r="B42" s="72">
        <f>$J$13</f>
        <v>0.166666666666667</v>
      </c>
      <c r="C42" s="79" t="inlineStr">
        <is>
          <t xml:space="preserve">+</t>
        </is>
      </c>
      <c r="D42" s="72">
        <f>INDEX('Ψ(r) Contribution &amp; Weight'!$B$26:$G$26,2)</f>
        <v>0.15</v>
      </c>
      <c r="E42" s="79" t="inlineStr">
        <is>
          <t xml:space="preserve">=</t>
        </is>
      </c>
      <c r="F42" s="72">
        <f>SUM(B42,D42)</f>
        <v>0.316666666666667</v>
      </c>
      <c r="G42" s="68">
        <f>Dataset!O11</f>
        <v>2</v>
      </c>
      <c r="H42" s="72">
        <f>IF(OR(G42=1,G42=2),F42+IF(G42=1,1,-1)*'Parameters'!$B$19*EXP(-F42)/(1+EXP(-F42)),"—")</f>
        <v>0.190220170417241</v>
      </c>
      <c r="I42" s="102">
        <f>I41+IF(G42=1,H42,0)</f>
        <v>1.77245265166437</v>
      </c>
      <c r="J42" s="102">
        <f>J41+IF(G42=2,H42,0)</f>
        <v>0.270660511251723</v>
      </c>
      <c r="K42" s="102">
        <f>IF('Parameters'!$B$24=1,I42/'Parameters'!$B$6,SUMIF($G$34:$G$43,1,$H$34:$H$43)/'Parameters'!$B$6)</f>
        <v>0.443113162916092</v>
      </c>
      <c r="L42" s="102">
        <f>IF('Parameters'!$B$24=1,J42/'Parameters'!$B$7,SUMIF($G$34:$G$43,2,$H$34:$H$43)/'Parameters'!$B$7)</f>
        <v>0.0451100852086205</v>
      </c>
      <c r="M42" s="72">
        <f>ABS(H42-IF(G42=1,K42,L42))</f>
        <v>0.145110085208621</v>
      </c>
      <c r="N42" s="72">
        <f>ABS(H42-IF(G42=1,L42,K42))</f>
        <v>0.252892992498851</v>
      </c>
    </row>
    <row r="43">
      <c r="A43" s="64" t="inlineStr">
        <is>
          <t xml:space="preserve">b₁₀</t>
        </is>
      </c>
      <c r="B43" s="72">
        <f>$J$14</f>
        <v>0.166666666666667</v>
      </c>
      <c r="C43" s="79" t="inlineStr">
        <is>
          <t xml:space="preserve">+</t>
        </is>
      </c>
      <c r="D43" s="72">
        <f>INDEX('Ψ(r) Contribution &amp; Weight'!$B$27:$G$27,2)</f>
        <v>0.15</v>
      </c>
      <c r="E43" s="79" t="inlineStr">
        <is>
          <t xml:space="preserve">=</t>
        </is>
      </c>
      <c r="F43" s="72">
        <f>SUM(B43,D43)</f>
        <v>0.316666666666667</v>
      </c>
      <c r="G43" s="68">
        <f>Dataset!O12</f>
        <v>2</v>
      </c>
      <c r="H43" s="72">
        <f>IF(OR(G43=1,G43=2),F43+IF(G43=1,1,-1)*'Parameters'!$B$19*EXP(-F43)/(1+EXP(-F43)),"—")</f>
        <v>0.190220170417241</v>
      </c>
      <c r="I43" s="102">
        <f>I42+IF(G43=1,H43,0)</f>
        <v>1.77245265166437</v>
      </c>
      <c r="J43" s="102">
        <f>J42+IF(G43=2,H43,0)</f>
        <v>0.460880681668964</v>
      </c>
      <c r="K43" s="102">
        <f>IF('Parameters'!$B$24=1,I43/'Parameters'!$B$6,SUMIF($G$34:$G$43,1,$H$34:$H$43)/'Parameters'!$B$6)</f>
        <v>0.443113162916092</v>
      </c>
      <c r="L43" s="102">
        <f>IF('Parameters'!$B$24=1,J43/'Parameters'!$B$7,SUMIF($G$34:$G$43,2,$H$34:$H$43)/'Parameters'!$B$7)</f>
        <v>0.0768134469448274</v>
      </c>
      <c r="M43" s="72">
        <f>ABS(H43-IF(G43=1,K43,L43))</f>
        <v>0.113406723472414</v>
      </c>
      <c r="N43" s="72">
        <f>ABS(H43-IF(G43=1,L43,K43))</f>
        <v>0.252892992498851</v>
      </c>
    </row>
    <row r="44">
      <c r="K44" s="82" t="inlineStr">
        <is>
          <t xml:space="preserve">θ, γ  →</t>
        </is>
      </c>
      <c r="L44" s="82"/>
      <c r="M44" s="85">
        <f>SUM(M34:M43)</f>
        <v>1.90725378777931</v>
      </c>
      <c r="N44" s="85">
        <f>SUM(N34:N43)</f>
        <v>3.69353989148707</v>
      </c>
      <c r="O44" s="82" t="inlineStr">
        <is>
          <t xml:space="preserve">θ / γ</t>
        </is>
      </c>
      <c r="P44" s="92">
        <f>IF(C$14=1,M44/N44,"—")</f>
        <v>0.516375575684231</v>
      </c>
    </row>
    <row r="45"/>
    <row r="46">
      <c r="A46" s="59" t="str">
        <f>"Candidate a₃  ·  operator ρ_I  ·  k = "&amp;'Synthetic Features (k-NN)'!$B$18&amp;"   —   bₜ = R(Sₜ) + η₃(a_t₃)"</f>
        <v>Candidate a₃  ·  operator ρ_I  ·  k = 3   —   bₜ = R(Sₜ) + η₃(a_t₃)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84" t="str">
        <f>IF(D$14=1,"available",IF($D$4=1,"in TUPLAM — skipped","iteration not executed"))</f>
        <v>available</v>
      </c>
      <c r="P46" s="84"/>
    </row>
    <row r="47">
      <c r="A47" s="60" t="inlineStr">
        <is>
          <t xml:space="preserve">№</t>
        </is>
      </c>
      <c r="B47" s="60" t="inlineStr">
        <is>
          <t xml:space="preserve">R(Sₜ)</t>
        </is>
      </c>
      <c r="C47" s="60" t="inlineStr">
        <is>
          <t xml:space="preserve">+</t>
        </is>
      </c>
      <c r="D47" s="60" t="inlineStr">
        <is>
          <t xml:space="preserve">ηᵤ(a_tu)</t>
        </is>
      </c>
      <c r="E47" s="60" t="inlineStr">
        <is>
          <t xml:space="preserve">=</t>
        </is>
      </c>
      <c r="F47" s="60" t="inlineStr">
        <is>
          <t xml:space="preserve">bₜ</t>
        </is>
      </c>
      <c r="G47" s="60" t="inlineStr">
        <is>
          <t xml:space="preserve">Class</t>
        </is>
      </c>
      <c r="H47" s="60" t="inlineStr">
        <is>
          <t xml:space="preserve">bₜ (majorized)</t>
        </is>
      </c>
      <c r="I47" s="103" t="inlineStr">
        <is>
          <t xml:space="preserve">⚠1 Σ K1 (running)</t>
        </is>
      </c>
      <c r="J47" s="103" t="inlineStr">
        <is>
          <t xml:space="preserve">⚠1 Σ K2 (running)</t>
        </is>
      </c>
      <c r="K47" s="103" t="inlineStr">
        <is>
          <t xml:space="preserve">⚠1 M₁ used</t>
        </is>
      </c>
      <c r="L47" s="103" t="inlineStr">
        <is>
          <t xml:space="preserve">⚠1 M₂ used</t>
        </is>
      </c>
      <c r="M47" s="60" t="inlineStr">
        <is>
          <t xml:space="preserve">|b − M own|</t>
        </is>
      </c>
      <c r="N47" s="60" t="inlineStr">
        <is>
          <t xml:space="preserve">|b − M other|</t>
        </is>
      </c>
    </row>
    <row r="48">
      <c r="A48" s="64" t="inlineStr">
        <is>
          <t xml:space="preserve">b₁</t>
        </is>
      </c>
      <c r="B48" s="72">
        <f>$J$5</f>
        <v>0.166666666666667</v>
      </c>
      <c r="C48" s="79" t="inlineStr">
        <is>
          <t xml:space="preserve">+</t>
        </is>
      </c>
      <c r="D48" s="72">
        <f>INDEX('Ψ(r) Contribution &amp; Weight'!$B$18:$G$18,3)</f>
        <v>0.2</v>
      </c>
      <c r="E48" s="79" t="inlineStr">
        <is>
          <t xml:space="preserve">=</t>
        </is>
      </c>
      <c r="F48" s="72">
        <f>SUM(B48,D48)</f>
        <v>0.366666666666667</v>
      </c>
      <c r="G48" s="68">
        <f>Dataset!O3</f>
        <v>2</v>
      </c>
      <c r="H48" s="72">
        <f>IF(OR(G48=1,G48=2),F48+IF(G48=1,1,-1)*'Parameters'!$B$19*EXP(-F48)/(1+EXP(-F48)),"—")</f>
        <v>0.243862651476932</v>
      </c>
      <c r="I48" s="102">
        <f>IF(G48=1,H48,0)</f>
        <v>0</v>
      </c>
      <c r="J48" s="102">
        <f>IF(G48=2,H48,0)</f>
        <v>0.243862651476932</v>
      </c>
      <c r="K48" s="102">
        <f>IF('Parameters'!$B$24=1,I48/'Parameters'!$B$6,SUMIF($G$48:$G$57,1,$H$48:$H$57)/'Parameters'!$B$6)</f>
        <v>0</v>
      </c>
      <c r="L48" s="102">
        <f>IF('Parameters'!$B$24=1,J48/'Parameters'!$B$7,SUMIF($G$48:$G$57,2,$H$48:$H$57)/'Parameters'!$B$7)</f>
        <v>0.0406437752461554</v>
      </c>
      <c r="M48" s="72">
        <f>ABS(H48-IF(G48=1,K48,L48))</f>
        <v>0.203218876230777</v>
      </c>
      <c r="N48" s="72">
        <f>ABS(H48-IF(G48=1,L48,K48))</f>
        <v>0.243862651476932</v>
      </c>
    </row>
    <row r="49">
      <c r="A49" s="64" t="inlineStr">
        <is>
          <t xml:space="preserve">b₂</t>
        </is>
      </c>
      <c r="B49" s="72">
        <f>$J$6</f>
        <v>0.166666666666667</v>
      </c>
      <c r="C49" s="79" t="inlineStr">
        <is>
          <t xml:space="preserve">+</t>
        </is>
      </c>
      <c r="D49" s="72">
        <f>INDEX('Ψ(r) Contribution &amp; Weight'!$B$19:$G$19,3)</f>
        <v>-0.2</v>
      </c>
      <c r="E49" s="79" t="inlineStr">
        <is>
          <t xml:space="preserve">=</t>
        </is>
      </c>
      <c r="F49" s="72">
        <f>SUM(B49,D49)</f>
        <v>-0.0333333333333334</v>
      </c>
      <c r="G49" s="68">
        <f>Dataset!O4</f>
        <v>1</v>
      </c>
      <c r="H49" s="72">
        <f>IF(OR(G49=1,G49=2),F49+IF(G49=1,1,-1)*'Parameters'!$B$19*EXP(-F49)/(1+EXP(-F49)),"—")</f>
        <v>0.119166435210902</v>
      </c>
      <c r="I49" s="102">
        <f>I48+IF(G49=1,H49,0)</f>
        <v>0.119166435210902</v>
      </c>
      <c r="J49" s="102">
        <f>J48+IF(G49=2,H49,0)</f>
        <v>0.243862651476932</v>
      </c>
      <c r="K49" s="102">
        <f>IF('Parameters'!$B$24=1,I49/'Parameters'!$B$6,SUMIF($G$48:$G$57,1,$H$48:$H$57)/'Parameters'!$B$6)</f>
        <v>0.0297916088027256</v>
      </c>
      <c r="L49" s="102">
        <f>IF('Parameters'!$B$24=1,J49/'Parameters'!$B$7,SUMIF($G$48:$G$57,2,$H$48:$H$57)/'Parameters'!$B$7)</f>
        <v>0.0406437752461554</v>
      </c>
      <c r="M49" s="72">
        <f>ABS(H49-IF(G49=1,K49,L49))</f>
        <v>0.0893748264081768</v>
      </c>
      <c r="N49" s="72">
        <f>ABS(H49-IF(G49=1,L49,K49))</f>
        <v>0.078522659964747</v>
      </c>
    </row>
    <row r="50">
      <c r="A50" s="64" t="inlineStr">
        <is>
          <t xml:space="preserve">b₃</t>
        </is>
      </c>
      <c r="B50" s="72">
        <f>$J$7</f>
        <v>-0.166666666666667</v>
      </c>
      <c r="C50" s="79" t="inlineStr">
        <is>
          <t xml:space="preserve">+</t>
        </is>
      </c>
      <c r="D50" s="72">
        <f>INDEX('Ψ(r) Contribution &amp; Weight'!$B$20:$G$20,3)</f>
        <v>-0.2</v>
      </c>
      <c r="E50" s="79" t="inlineStr">
        <is>
          <t xml:space="preserve">=</t>
        </is>
      </c>
      <c r="F50" s="72">
        <f>SUM(B50,D50)</f>
        <v>-0.366666666666667</v>
      </c>
      <c r="G50" s="68">
        <f>Dataset!O5</f>
        <v>2</v>
      </c>
      <c r="H50" s="72">
        <f>IF(OR(G50=1,G50=2),F50+IF(G50=1,1,-1)*'Parameters'!$B$19*EXP(-F50)/(1+EXP(-F50)),"—")</f>
        <v>-0.543862651476933</v>
      </c>
      <c r="I50" s="102">
        <f>I49+IF(G50=1,H50,0)</f>
        <v>0.119166435210902</v>
      </c>
      <c r="J50" s="102">
        <f>J49+IF(G50=2,H50,0)</f>
        <v>-0.3</v>
      </c>
      <c r="K50" s="102">
        <f>IF('Parameters'!$B$24=1,I50/'Parameters'!$B$6,SUMIF($G$48:$G$57,1,$H$48:$H$57)/'Parameters'!$B$6)</f>
        <v>0.0297916088027256</v>
      </c>
      <c r="L50" s="102">
        <f>IF('Parameters'!$B$24=1,J50/'Parameters'!$B$7,SUMIF($G$48:$G$57,2,$H$48:$H$57)/'Parameters'!$B$7)</f>
        <v>-0.05</v>
      </c>
      <c r="M50" s="72">
        <f>ABS(H50-IF(G50=1,K50,L50))</f>
        <v>0.493862651476933</v>
      </c>
      <c r="N50" s="72">
        <f>ABS(H50-IF(G50=1,L50,K50))</f>
        <v>0.573654260279658</v>
      </c>
    </row>
    <row r="51">
      <c r="A51" s="64" t="inlineStr">
        <is>
          <t xml:space="preserve">b₄</t>
        </is>
      </c>
      <c r="B51" s="72">
        <f>$J$8</f>
        <v>0.166666666666667</v>
      </c>
      <c r="C51" s="79" t="inlineStr">
        <is>
          <t xml:space="preserve">+</t>
        </is>
      </c>
      <c r="D51" s="72">
        <f>INDEX('Ψ(r) Contribution &amp; Weight'!$B$21:$G$21,3)</f>
        <v>0.2</v>
      </c>
      <c r="E51" s="79" t="inlineStr">
        <is>
          <t xml:space="preserve">=</t>
        </is>
      </c>
      <c r="F51" s="72">
        <f>SUM(B51,D51)</f>
        <v>0.366666666666667</v>
      </c>
      <c r="G51" s="68">
        <f>Dataset!O6</f>
        <v>1</v>
      </c>
      <c r="H51" s="72">
        <f>IF(OR(G51=1,G51=2),F51+IF(G51=1,1,-1)*'Parameters'!$B$19*EXP(-F51)/(1+EXP(-F51)),"—")</f>
        <v>0.489470681856401</v>
      </c>
      <c r="I51" s="102">
        <f>I50+IF(G51=1,H51,0)</f>
        <v>0.608637117067303</v>
      </c>
      <c r="J51" s="102">
        <f>J50+IF(G51=2,H51,0)</f>
        <v>-0.3</v>
      </c>
      <c r="K51" s="102">
        <f>IF('Parameters'!$B$24=1,I51/'Parameters'!$B$6,SUMIF($G$48:$G$57,1,$H$48:$H$57)/'Parameters'!$B$6)</f>
        <v>0.152159279266826</v>
      </c>
      <c r="L51" s="102">
        <f>IF('Parameters'!$B$24=1,J51/'Parameters'!$B$7,SUMIF($G$48:$G$57,2,$H$48:$H$57)/'Parameters'!$B$7)</f>
        <v>-0.05</v>
      </c>
      <c r="M51" s="72">
        <f>ABS(H51-IF(G51=1,K51,L51))</f>
        <v>0.337311402589575</v>
      </c>
      <c r="N51" s="72">
        <f>ABS(H51-IF(G51=1,L51,K51))</f>
        <v>0.539470681856401</v>
      </c>
    </row>
    <row r="52">
      <c r="A52" s="64" t="inlineStr">
        <is>
          <t xml:space="preserve">b₅</t>
        </is>
      </c>
      <c r="B52" s="72">
        <f>$J$9</f>
        <v>0.166666666666667</v>
      </c>
      <c r="C52" s="79" t="inlineStr">
        <is>
          <t xml:space="preserve">+</t>
        </is>
      </c>
      <c r="D52" s="72">
        <f>INDEX('Ψ(r) Contribution &amp; Weight'!$B$22:$G$22,3)</f>
        <v>0.2</v>
      </c>
      <c r="E52" s="79" t="inlineStr">
        <is>
          <t xml:space="preserve">=</t>
        </is>
      </c>
      <c r="F52" s="72">
        <f>SUM(B52,D52)</f>
        <v>0.366666666666667</v>
      </c>
      <c r="G52" s="68">
        <f>Dataset!O7</f>
        <v>1</v>
      </c>
      <c r="H52" s="72">
        <f>IF(OR(G52=1,G52=2),F52+IF(G52=1,1,-1)*'Parameters'!$B$19*EXP(-F52)/(1+EXP(-F52)),"—")</f>
        <v>0.489470681856401</v>
      </c>
      <c r="I52" s="102">
        <f>I51+IF(G52=1,H52,0)</f>
        <v>1.0981077989237</v>
      </c>
      <c r="J52" s="102">
        <f>J51+IF(G52=2,H52,0)</f>
        <v>-0.3</v>
      </c>
      <c r="K52" s="102">
        <f>IF('Parameters'!$B$24=1,I52/'Parameters'!$B$6,SUMIF($G$48:$G$57,1,$H$48:$H$57)/'Parameters'!$B$6)</f>
        <v>0.274526949730926</v>
      </c>
      <c r="L52" s="102">
        <f>IF('Parameters'!$B$24=1,J52/'Parameters'!$B$7,SUMIF($G$48:$G$57,2,$H$48:$H$57)/'Parameters'!$B$7)</f>
        <v>-0.05</v>
      </c>
      <c r="M52" s="72">
        <f>ABS(H52-IF(G52=1,K52,L52))</f>
        <v>0.214943732125475</v>
      </c>
      <c r="N52" s="72">
        <f>ABS(H52-IF(G52=1,L52,K52))</f>
        <v>0.539470681856401</v>
      </c>
    </row>
    <row r="53">
      <c r="A53" s="64" t="inlineStr">
        <is>
          <t xml:space="preserve">b₆</t>
        </is>
      </c>
      <c r="B53" s="72">
        <f>$J$10</f>
        <v>0.166666666666667</v>
      </c>
      <c r="C53" s="79" t="inlineStr">
        <is>
          <t xml:space="preserve">+</t>
        </is>
      </c>
      <c r="D53" s="72">
        <f>INDEX('Ψ(r) Contribution &amp; Weight'!$B$23:$G$23,3)</f>
        <v>-0.2</v>
      </c>
      <c r="E53" s="79" t="inlineStr">
        <is>
          <t xml:space="preserve">=</t>
        </is>
      </c>
      <c r="F53" s="72">
        <f>SUM(B53,D53)</f>
        <v>-0.0333333333333334</v>
      </c>
      <c r="G53" s="68">
        <f>Dataset!O8</f>
        <v>1</v>
      </c>
      <c r="H53" s="72">
        <f>IF(OR(G53=1,G53=2),F53+IF(G53=1,1,-1)*'Parameters'!$B$19*EXP(-F53)/(1+EXP(-F53)),"—")</f>
        <v>0.119166435210902</v>
      </c>
      <c r="I53" s="102">
        <f>I52+IF(G53=1,H53,0)</f>
        <v>1.21727423413461</v>
      </c>
      <c r="J53" s="102">
        <f>J52+IF(G53=2,H53,0)</f>
        <v>-0.3</v>
      </c>
      <c r="K53" s="102">
        <f>IF('Parameters'!$B$24=1,I53/'Parameters'!$B$6,SUMIF($G$48:$G$57,1,$H$48:$H$57)/'Parameters'!$B$6)</f>
        <v>0.304318558533652</v>
      </c>
      <c r="L53" s="102">
        <f>IF('Parameters'!$B$24=1,J53/'Parameters'!$B$7,SUMIF($G$48:$G$57,2,$H$48:$H$57)/'Parameters'!$B$7)</f>
        <v>-0.05</v>
      </c>
      <c r="M53" s="72">
        <f>ABS(H53-IF(G53=1,K53,L53))</f>
        <v>0.185152123322749</v>
      </c>
      <c r="N53" s="72">
        <f>ABS(H53-IF(G53=1,L53,K53))</f>
        <v>0.169166435210902</v>
      </c>
    </row>
    <row r="54">
      <c r="A54" s="64" t="inlineStr">
        <is>
          <t xml:space="preserve">b₇</t>
        </is>
      </c>
      <c r="B54" s="72">
        <f>$J$11</f>
        <v>0.166666666666667</v>
      </c>
      <c r="C54" s="79" t="inlineStr">
        <is>
          <t xml:space="preserve">+</t>
        </is>
      </c>
      <c r="D54" s="72">
        <f>INDEX('Ψ(r) Contribution &amp; Weight'!$B$24:$G$24,3)</f>
        <v>-0.2</v>
      </c>
      <c r="E54" s="79" t="inlineStr">
        <is>
          <t xml:space="preserve">=</t>
        </is>
      </c>
      <c r="F54" s="72">
        <f>SUM(B54,D54)</f>
        <v>-0.0333333333333334</v>
      </c>
      <c r="G54" s="68">
        <f>Dataset!O9</f>
        <v>2</v>
      </c>
      <c r="H54" s="72">
        <f>IF(OR(G54=1,G54=2),F54+IF(G54=1,1,-1)*'Parameters'!$B$19*EXP(-F54)/(1+EXP(-F54)),"—")</f>
        <v>-0.185833101877569</v>
      </c>
      <c r="I54" s="102">
        <f>I53+IF(G54=1,H54,0)</f>
        <v>1.21727423413461</v>
      </c>
      <c r="J54" s="102">
        <f>J53+IF(G54=2,H54,0)</f>
        <v>-0.485833101877569</v>
      </c>
      <c r="K54" s="102">
        <f>IF('Parameters'!$B$24=1,I54/'Parameters'!$B$6,SUMIF($G$48:$G$57,1,$H$48:$H$57)/'Parameters'!$B$6)</f>
        <v>0.304318558533652</v>
      </c>
      <c r="L54" s="102">
        <f>IF('Parameters'!$B$24=1,J54/'Parameters'!$B$7,SUMIF($G$48:$G$57,2,$H$48:$H$57)/'Parameters'!$B$7)</f>
        <v>-0.0809721836462615</v>
      </c>
      <c r="M54" s="72">
        <f>ABS(H54-IF(G54=1,K54,L54))</f>
        <v>0.104860918231308</v>
      </c>
      <c r="N54" s="72">
        <f>ABS(H54-IF(G54=1,L54,K54))</f>
        <v>0.490151660411221</v>
      </c>
    </row>
    <row r="55">
      <c r="A55" s="64" t="inlineStr">
        <is>
          <t xml:space="preserve">b₈</t>
        </is>
      </c>
      <c r="B55" s="72">
        <f>$J$12</f>
        <v>0.166666666666667</v>
      </c>
      <c r="C55" s="79" t="inlineStr">
        <is>
          <t xml:space="preserve">+</t>
        </is>
      </c>
      <c r="D55" s="72">
        <f>INDEX('Ψ(r) Contribution &amp; Weight'!$B$25:$G$25,3)</f>
        <v>-0.2</v>
      </c>
      <c r="E55" s="79" t="inlineStr">
        <is>
          <t xml:space="preserve">=</t>
        </is>
      </c>
      <c r="F55" s="72">
        <f>SUM(B55,D55)</f>
        <v>-0.0333333333333334</v>
      </c>
      <c r="G55" s="68">
        <f>Dataset!O10</f>
        <v>2</v>
      </c>
      <c r="H55" s="72">
        <f>IF(OR(G55=1,G55=2),F55+IF(G55=1,1,-1)*'Parameters'!$B$19*EXP(-F55)/(1+EXP(-F55)),"—")</f>
        <v>-0.185833101877569</v>
      </c>
      <c r="I55" s="102">
        <f>I54+IF(G55=1,H55,0)</f>
        <v>1.21727423413461</v>
      </c>
      <c r="J55" s="102">
        <f>J54+IF(G55=2,H55,0)</f>
        <v>-0.671666203755138</v>
      </c>
      <c r="K55" s="102">
        <f>IF('Parameters'!$B$24=1,I55/'Parameters'!$B$6,SUMIF($G$48:$G$57,1,$H$48:$H$57)/'Parameters'!$B$6)</f>
        <v>0.304318558533652</v>
      </c>
      <c r="L55" s="102">
        <f>IF('Parameters'!$B$24=1,J55/'Parameters'!$B$7,SUMIF($G$48:$G$57,2,$H$48:$H$57)/'Parameters'!$B$7)</f>
        <v>-0.111944367292523</v>
      </c>
      <c r="M55" s="72">
        <f>ABS(H55-IF(G55=1,K55,L55))</f>
        <v>0.0738887345850461</v>
      </c>
      <c r="N55" s="72">
        <f>ABS(H55-IF(G55=1,L55,K55))</f>
        <v>0.490151660411221</v>
      </c>
    </row>
    <row r="56">
      <c r="A56" s="64" t="inlineStr">
        <is>
          <t xml:space="preserve">b₉</t>
        </is>
      </c>
      <c r="B56" s="72">
        <f>$J$13</f>
        <v>0.166666666666667</v>
      </c>
      <c r="C56" s="79" t="inlineStr">
        <is>
          <t xml:space="preserve">+</t>
        </is>
      </c>
      <c r="D56" s="72">
        <f>INDEX('Ψ(r) Contribution &amp; Weight'!$B$26:$G$26,3)</f>
        <v>-0.2</v>
      </c>
      <c r="E56" s="79" t="inlineStr">
        <is>
          <t xml:space="preserve">=</t>
        </is>
      </c>
      <c r="F56" s="72">
        <f>SUM(B56,D56)</f>
        <v>-0.0333333333333334</v>
      </c>
      <c r="G56" s="68">
        <f>Dataset!O11</f>
        <v>2</v>
      </c>
      <c r="H56" s="72">
        <f>IF(OR(G56=1,G56=2),F56+IF(G56=1,1,-1)*'Parameters'!$B$19*EXP(-F56)/(1+EXP(-F56)),"—")</f>
        <v>-0.185833101877569</v>
      </c>
      <c r="I56" s="102">
        <f>I55+IF(G56=1,H56,0)</f>
        <v>1.21727423413461</v>
      </c>
      <c r="J56" s="102">
        <f>J55+IF(G56=2,H56,0)</f>
        <v>-0.857499305632708</v>
      </c>
      <c r="K56" s="102">
        <f>IF('Parameters'!$B$24=1,I56/'Parameters'!$B$6,SUMIF($G$48:$G$57,1,$H$48:$H$57)/'Parameters'!$B$6)</f>
        <v>0.304318558533652</v>
      </c>
      <c r="L56" s="102">
        <f>IF('Parameters'!$B$24=1,J56/'Parameters'!$B$7,SUMIF($G$48:$G$57,2,$H$48:$H$57)/'Parameters'!$B$7)</f>
        <v>-0.142916550938785</v>
      </c>
      <c r="M56" s="72">
        <f>ABS(H56-IF(G56=1,K56,L56))</f>
        <v>0.0429165509387846</v>
      </c>
      <c r="N56" s="72">
        <f>ABS(H56-IF(G56=1,L56,K56))</f>
        <v>0.490151660411221</v>
      </c>
    </row>
    <row r="57">
      <c r="A57" s="64" t="inlineStr">
        <is>
          <t xml:space="preserve">b₁₀</t>
        </is>
      </c>
      <c r="B57" s="72">
        <f>$J$14</f>
        <v>0.166666666666667</v>
      </c>
      <c r="C57" s="79" t="inlineStr">
        <is>
          <t xml:space="preserve">+</t>
        </is>
      </c>
      <c r="D57" s="72">
        <f>INDEX('Ψ(r) Contribution &amp; Weight'!$B$27:$G$27,3)</f>
        <v>-0.2</v>
      </c>
      <c r="E57" s="79" t="inlineStr">
        <is>
          <t xml:space="preserve">=</t>
        </is>
      </c>
      <c r="F57" s="72">
        <f>SUM(B57,D57)</f>
        <v>-0.0333333333333334</v>
      </c>
      <c r="G57" s="68">
        <f>Dataset!O12</f>
        <v>2</v>
      </c>
      <c r="H57" s="72">
        <f>IF(OR(G57=1,G57=2),F57+IF(G57=1,1,-1)*'Parameters'!$B$19*EXP(-F57)/(1+EXP(-F57)),"—")</f>
        <v>-0.185833101877569</v>
      </c>
      <c r="I57" s="102">
        <f>I56+IF(G57=1,H57,0)</f>
        <v>1.21727423413461</v>
      </c>
      <c r="J57" s="102">
        <f>J56+IF(G57=2,H57,0)</f>
        <v>-1.04333240751028</v>
      </c>
      <c r="K57" s="102">
        <f>IF('Parameters'!$B$24=1,I57/'Parameters'!$B$6,SUMIF($G$48:$G$57,1,$H$48:$H$57)/'Parameters'!$B$6)</f>
        <v>0.304318558533652</v>
      </c>
      <c r="L57" s="102">
        <f>IF('Parameters'!$B$24=1,J57/'Parameters'!$B$7,SUMIF($G$48:$G$57,2,$H$48:$H$57)/'Parameters'!$B$7)</f>
        <v>-0.173888734585046</v>
      </c>
      <c r="M57" s="72">
        <f>ABS(H57-IF(G57=1,K57,L57))</f>
        <v>0.011944367292523</v>
      </c>
      <c r="N57" s="72">
        <f>ABS(H57-IF(G57=1,L57,K57))</f>
        <v>0.490151660411221</v>
      </c>
    </row>
    <row r="58">
      <c r="K58" s="82" t="inlineStr">
        <is>
          <t xml:space="preserve">θ, γ  →</t>
        </is>
      </c>
      <c r="L58" s="82"/>
      <c r="M58" s="85">
        <f>SUM(M48:M57)</f>
        <v>1.75747418320135</v>
      </c>
      <c r="N58" s="85">
        <f>SUM(N48:N57)</f>
        <v>4.10475401228993</v>
      </c>
      <c r="O58" s="82" t="inlineStr">
        <is>
          <t xml:space="preserve">θ / γ</t>
        </is>
      </c>
      <c r="P58" s="92">
        <f>IF(D$14=1,M58/N58,"—")</f>
        <v>0.42815578666574</v>
      </c>
    </row>
    <row r="59"/>
    <row r="60">
      <c r="A60" s="59" t="str">
        <f>"Candidate a₄  ·  operator ρ_I  ·  k = "&amp;'Synthetic Features (k-NN)'!$C$18&amp;"   —   bₜ = R(Sₜ) + η₄(a_t₄)"</f>
        <v>Candidate a₄  ·  operator ρ_I  ·  k = 5   —   bₜ = R(Sₜ) + η₄(a_t₄)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84" t="str">
        <f>IF(E$14=1,"available",IF($D$4=1,"in TUPLAM — skipped","iteration not executed"))</f>
        <v>available</v>
      </c>
      <c r="P60" s="84"/>
    </row>
    <row r="61">
      <c r="A61" s="60" t="inlineStr">
        <is>
          <t xml:space="preserve">№</t>
        </is>
      </c>
      <c r="B61" s="60" t="inlineStr">
        <is>
          <t xml:space="preserve">R(Sₜ)</t>
        </is>
      </c>
      <c r="C61" s="60" t="inlineStr">
        <is>
          <t xml:space="preserve">+</t>
        </is>
      </c>
      <c r="D61" s="60" t="inlineStr">
        <is>
          <t xml:space="preserve">ηᵤ(a_tu)</t>
        </is>
      </c>
      <c r="E61" s="60" t="inlineStr">
        <is>
          <t xml:space="preserve">=</t>
        </is>
      </c>
      <c r="F61" s="60" t="inlineStr">
        <is>
          <t xml:space="preserve">bₜ</t>
        </is>
      </c>
      <c r="G61" s="60" t="inlineStr">
        <is>
          <t xml:space="preserve">Class</t>
        </is>
      </c>
      <c r="H61" s="60" t="inlineStr">
        <is>
          <t xml:space="preserve">bₜ (majorized)</t>
        </is>
      </c>
      <c r="I61" s="103" t="inlineStr">
        <is>
          <t xml:space="preserve">⚠1 Σ K1 (running)</t>
        </is>
      </c>
      <c r="J61" s="103" t="inlineStr">
        <is>
          <t xml:space="preserve">⚠1 Σ K2 (running)</t>
        </is>
      </c>
      <c r="K61" s="103" t="inlineStr">
        <is>
          <t xml:space="preserve">⚠1 M₁ used</t>
        </is>
      </c>
      <c r="L61" s="103" t="inlineStr">
        <is>
          <t xml:space="preserve">⚠1 M₂ used</t>
        </is>
      </c>
      <c r="M61" s="60" t="inlineStr">
        <is>
          <t xml:space="preserve">|b − M own|</t>
        </is>
      </c>
      <c r="N61" s="60" t="inlineStr">
        <is>
          <t xml:space="preserve">|b − M other|</t>
        </is>
      </c>
    </row>
    <row r="62">
      <c r="A62" s="64" t="inlineStr">
        <is>
          <t xml:space="preserve">b₁</t>
        </is>
      </c>
      <c r="B62" s="72">
        <f>$J$5</f>
        <v>0.166666666666667</v>
      </c>
      <c r="C62" s="79" t="inlineStr">
        <is>
          <t xml:space="preserve">+</t>
        </is>
      </c>
      <c r="D62" s="72">
        <f>INDEX('Ψ(r) Contribution &amp; Weight'!$B$18:$G$18,4)</f>
        <v>0.15</v>
      </c>
      <c r="E62" s="79" t="inlineStr">
        <is>
          <t xml:space="preserve">=</t>
        </is>
      </c>
      <c r="F62" s="72">
        <f>SUM(B62,D62)</f>
        <v>0.316666666666667</v>
      </c>
      <c r="G62" s="68">
        <f>Dataset!O3</f>
        <v>2</v>
      </c>
      <c r="H62" s="72">
        <f>IF(OR(G62=1,G62=2),F62+IF(G62=1,1,-1)*'Parameters'!$B$19*EXP(-F62)/(1+EXP(-F62)),"—")</f>
        <v>0.190220170417241</v>
      </c>
      <c r="I62" s="102">
        <f>IF(G62=1,H62,0)</f>
        <v>0</v>
      </c>
      <c r="J62" s="102">
        <f>IF(G62=2,H62,0)</f>
        <v>0.190220170417241</v>
      </c>
      <c r="K62" s="102">
        <f>IF('Parameters'!$B$24=1,I62/'Parameters'!$B$6,SUMIF($G$62:$G$71,1,$H$62:$H$71)/'Parameters'!$B$6)</f>
        <v>0</v>
      </c>
      <c r="L62" s="102">
        <f>IF('Parameters'!$B$24=1,J62/'Parameters'!$B$7,SUMIF($G$62:$G$71,2,$H$62:$H$71)/'Parameters'!$B$7)</f>
        <v>0.0317033617362069</v>
      </c>
      <c r="M62" s="72">
        <f>ABS(H62-IF(G62=1,K62,L62))</f>
        <v>0.158516808681034</v>
      </c>
      <c r="N62" s="72">
        <f>ABS(H62-IF(G62=1,L62,K62))</f>
        <v>0.190220170417241</v>
      </c>
    </row>
    <row r="63">
      <c r="A63" s="64" t="inlineStr">
        <is>
          <t xml:space="preserve">b₂</t>
        </is>
      </c>
      <c r="B63" s="72">
        <f>$J$6</f>
        <v>0.166666666666667</v>
      </c>
      <c r="C63" s="79" t="inlineStr">
        <is>
          <t xml:space="preserve">+</t>
        </is>
      </c>
      <c r="D63" s="72">
        <f>INDEX('Ψ(r) Contribution &amp; Weight'!$B$19:$G$19,4)</f>
        <v>0.15</v>
      </c>
      <c r="E63" s="79" t="inlineStr">
        <is>
          <t xml:space="preserve">=</t>
        </is>
      </c>
      <c r="F63" s="72">
        <f>SUM(B63,D63)</f>
        <v>0.316666666666667</v>
      </c>
      <c r="G63" s="68">
        <f>Dataset!O4</f>
        <v>1</v>
      </c>
      <c r="H63" s="72">
        <f>IF(OR(G63=1,G63=2),F63+IF(G63=1,1,-1)*'Parameters'!$B$19*EXP(-F63)/(1+EXP(-F63)),"—")</f>
        <v>0.443113162916092</v>
      </c>
      <c r="I63" s="102">
        <f>I62+IF(G63=1,H63,0)</f>
        <v>0.443113162916092</v>
      </c>
      <c r="J63" s="102">
        <f>J62+IF(G63=2,H63,0)</f>
        <v>0.190220170417241</v>
      </c>
      <c r="K63" s="102">
        <f>IF('Parameters'!$B$24=1,I63/'Parameters'!$B$6,SUMIF($G$62:$G$71,1,$H$62:$H$71)/'Parameters'!$B$6)</f>
        <v>0.110778290729023</v>
      </c>
      <c r="L63" s="102">
        <f>IF('Parameters'!$B$24=1,J63/'Parameters'!$B$7,SUMIF($G$62:$G$71,2,$H$62:$H$71)/'Parameters'!$B$7)</f>
        <v>0.0317033617362069</v>
      </c>
      <c r="M63" s="72">
        <f>ABS(H63-IF(G63=1,K63,L63))</f>
        <v>0.332334872187069</v>
      </c>
      <c r="N63" s="72">
        <f>ABS(H63-IF(G63=1,L63,K63))</f>
        <v>0.411409801179885</v>
      </c>
    </row>
    <row r="64">
      <c r="A64" s="64" t="inlineStr">
        <is>
          <t xml:space="preserve">b₃</t>
        </is>
      </c>
      <c r="B64" s="72">
        <f>$J$7</f>
        <v>-0.166666666666667</v>
      </c>
      <c r="C64" s="79" t="inlineStr">
        <is>
          <t xml:space="preserve">+</t>
        </is>
      </c>
      <c r="D64" s="72">
        <f>INDEX('Ψ(r) Contribution &amp; Weight'!$B$20:$G$20,4)</f>
        <v>-0.15</v>
      </c>
      <c r="E64" s="79" t="inlineStr">
        <is>
          <t xml:space="preserve">=</t>
        </is>
      </c>
      <c r="F64" s="72">
        <f>SUM(B64,D64)</f>
        <v>-0.316666666666667</v>
      </c>
      <c r="G64" s="68">
        <f>Dataset!O5</f>
        <v>2</v>
      </c>
      <c r="H64" s="72">
        <f>IF(OR(G64=1,G64=2),F64+IF(G64=1,1,-1)*'Parameters'!$B$19*EXP(-F64)/(1+EXP(-F64)),"—")</f>
        <v>-0.490220170417241</v>
      </c>
      <c r="I64" s="102">
        <f>I63+IF(G64=1,H64,0)</f>
        <v>0.443113162916092</v>
      </c>
      <c r="J64" s="102">
        <f>J63+IF(G64=2,H64,0)</f>
        <v>-0.3</v>
      </c>
      <c r="K64" s="102">
        <f>IF('Parameters'!$B$24=1,I64/'Parameters'!$B$6,SUMIF($G$62:$G$71,1,$H$62:$H$71)/'Parameters'!$B$6)</f>
        <v>0.110778290729023</v>
      </c>
      <c r="L64" s="102">
        <f>IF('Parameters'!$B$24=1,J64/'Parameters'!$B$7,SUMIF($G$62:$G$71,2,$H$62:$H$71)/'Parameters'!$B$7)</f>
        <v>-0.05</v>
      </c>
      <c r="M64" s="72">
        <f>ABS(H64-IF(G64=1,K64,L64))</f>
        <v>0.440220170417241</v>
      </c>
      <c r="N64" s="72">
        <f>ABS(H64-IF(G64=1,L64,K64))</f>
        <v>0.600998461146264</v>
      </c>
    </row>
    <row r="65">
      <c r="A65" s="64" t="inlineStr">
        <is>
          <t xml:space="preserve">b₄</t>
        </is>
      </c>
      <c r="B65" s="72">
        <f>$J$8</f>
        <v>0.166666666666667</v>
      </c>
      <c r="C65" s="79" t="inlineStr">
        <is>
          <t xml:space="preserve">+</t>
        </is>
      </c>
      <c r="D65" s="72">
        <f>INDEX('Ψ(r) Contribution &amp; Weight'!$B$21:$G$21,4)</f>
        <v>0.15</v>
      </c>
      <c r="E65" s="79" t="inlineStr">
        <is>
          <t xml:space="preserve">=</t>
        </is>
      </c>
      <c r="F65" s="72">
        <f>SUM(B65,D65)</f>
        <v>0.316666666666667</v>
      </c>
      <c r="G65" s="68">
        <f>Dataset!O6</f>
        <v>1</v>
      </c>
      <c r="H65" s="72">
        <f>IF(OR(G65=1,G65=2),F65+IF(G65=1,1,-1)*'Parameters'!$B$19*EXP(-F65)/(1+EXP(-F65)),"—")</f>
        <v>0.443113162916092</v>
      </c>
      <c r="I65" s="102">
        <f>I64+IF(G65=1,H65,0)</f>
        <v>0.886226325832184</v>
      </c>
      <c r="J65" s="102">
        <f>J64+IF(G65=2,H65,0)</f>
        <v>-0.3</v>
      </c>
      <c r="K65" s="102">
        <f>IF('Parameters'!$B$24=1,I65/'Parameters'!$B$6,SUMIF($G$62:$G$71,1,$H$62:$H$71)/'Parameters'!$B$6)</f>
        <v>0.221556581458046</v>
      </c>
      <c r="L65" s="102">
        <f>IF('Parameters'!$B$24=1,J65/'Parameters'!$B$7,SUMIF($G$62:$G$71,2,$H$62:$H$71)/'Parameters'!$B$7)</f>
        <v>-0.05</v>
      </c>
      <c r="M65" s="72">
        <f>ABS(H65-IF(G65=1,K65,L65))</f>
        <v>0.221556581458046</v>
      </c>
      <c r="N65" s="72">
        <f>ABS(H65-IF(G65=1,L65,K65))</f>
        <v>0.493113162916092</v>
      </c>
    </row>
    <row r="66">
      <c r="A66" s="64" t="inlineStr">
        <is>
          <t xml:space="preserve">b₅</t>
        </is>
      </c>
      <c r="B66" s="72">
        <f>$J$9</f>
        <v>0.166666666666667</v>
      </c>
      <c r="C66" s="79" t="inlineStr">
        <is>
          <t xml:space="preserve">+</t>
        </is>
      </c>
      <c r="D66" s="72">
        <f>INDEX('Ψ(r) Contribution &amp; Weight'!$B$22:$G$22,4)</f>
        <v>0.15</v>
      </c>
      <c r="E66" s="79" t="inlineStr">
        <is>
          <t xml:space="preserve">=</t>
        </is>
      </c>
      <c r="F66" s="72">
        <f>SUM(B66,D66)</f>
        <v>0.316666666666667</v>
      </c>
      <c r="G66" s="68">
        <f>Dataset!O7</f>
        <v>1</v>
      </c>
      <c r="H66" s="72">
        <f>IF(OR(G66=1,G66=2),F66+IF(G66=1,1,-1)*'Parameters'!$B$19*EXP(-F66)/(1+EXP(-F66)),"—")</f>
        <v>0.443113162916092</v>
      </c>
      <c r="I66" s="102">
        <f>I65+IF(G66=1,H66,0)</f>
        <v>1.32933948874828</v>
      </c>
      <c r="J66" s="102">
        <f>J65+IF(G66=2,H66,0)</f>
        <v>-0.3</v>
      </c>
      <c r="K66" s="102">
        <f>IF('Parameters'!$B$24=1,I66/'Parameters'!$B$6,SUMIF($G$62:$G$71,1,$H$62:$H$71)/'Parameters'!$B$6)</f>
        <v>0.332334872187069</v>
      </c>
      <c r="L66" s="102">
        <f>IF('Parameters'!$B$24=1,J66/'Parameters'!$B$7,SUMIF($G$62:$G$71,2,$H$62:$H$71)/'Parameters'!$B$7)</f>
        <v>-0.05</v>
      </c>
      <c r="M66" s="72">
        <f>ABS(H66-IF(G66=1,K66,L66))</f>
        <v>0.110778290729023</v>
      </c>
      <c r="N66" s="72">
        <f>ABS(H66-IF(G66=1,L66,K66))</f>
        <v>0.493113162916092</v>
      </c>
    </row>
    <row r="67">
      <c r="A67" s="64" t="inlineStr">
        <is>
          <t xml:space="preserve">b₆</t>
        </is>
      </c>
      <c r="B67" s="72">
        <f>$J$10</f>
        <v>0.166666666666667</v>
      </c>
      <c r="C67" s="79" t="inlineStr">
        <is>
          <t xml:space="preserve">+</t>
        </is>
      </c>
      <c r="D67" s="72">
        <f>INDEX('Ψ(r) Contribution &amp; Weight'!$B$23:$G$23,4)</f>
        <v>0.15</v>
      </c>
      <c r="E67" s="79" t="inlineStr">
        <is>
          <t xml:space="preserve">=</t>
        </is>
      </c>
      <c r="F67" s="72">
        <f>SUM(B67,D67)</f>
        <v>0.316666666666667</v>
      </c>
      <c r="G67" s="68">
        <f>Dataset!O8</f>
        <v>1</v>
      </c>
      <c r="H67" s="72">
        <f>IF(OR(G67=1,G67=2),F67+IF(G67=1,1,-1)*'Parameters'!$B$19*EXP(-F67)/(1+EXP(-F67)),"—")</f>
        <v>0.443113162916092</v>
      </c>
      <c r="I67" s="102">
        <f>I66+IF(G67=1,H67,0)</f>
        <v>1.77245265166437</v>
      </c>
      <c r="J67" s="102">
        <f>J66+IF(G67=2,H67,0)</f>
        <v>-0.3</v>
      </c>
      <c r="K67" s="102">
        <f>IF('Parameters'!$B$24=1,I67/'Parameters'!$B$6,SUMIF($G$62:$G$71,1,$H$62:$H$71)/'Parameters'!$B$6)</f>
        <v>0.443113162916092</v>
      </c>
      <c r="L67" s="102">
        <f>IF('Parameters'!$B$24=1,J67/'Parameters'!$B$7,SUMIF($G$62:$G$71,2,$H$62:$H$71)/'Parameters'!$B$7)</f>
        <v>-0.05</v>
      </c>
      <c r="M67" s="72">
        <f>ABS(H67-IF(G67=1,K67,L67))</f>
        <v>0</v>
      </c>
      <c r="N67" s="72">
        <f>ABS(H67-IF(G67=1,L67,K67))</f>
        <v>0.493113162916092</v>
      </c>
    </row>
    <row r="68">
      <c r="A68" s="64" t="inlineStr">
        <is>
          <t xml:space="preserve">b₇</t>
        </is>
      </c>
      <c r="B68" s="72">
        <f>$J$11</f>
        <v>0.166666666666667</v>
      </c>
      <c r="C68" s="79" t="inlineStr">
        <is>
          <t xml:space="preserve">+</t>
        </is>
      </c>
      <c r="D68" s="72">
        <f>INDEX('Ψ(r) Contribution &amp; Weight'!$B$24:$G$24,4)</f>
        <v>0.15</v>
      </c>
      <c r="E68" s="79" t="inlineStr">
        <is>
          <t xml:space="preserve">=</t>
        </is>
      </c>
      <c r="F68" s="72">
        <f>SUM(B68,D68)</f>
        <v>0.316666666666667</v>
      </c>
      <c r="G68" s="68">
        <f>Dataset!O9</f>
        <v>2</v>
      </c>
      <c r="H68" s="72">
        <f>IF(OR(G68=1,G68=2),F68+IF(G68=1,1,-1)*'Parameters'!$B$19*EXP(-F68)/(1+EXP(-F68)),"—")</f>
        <v>0.190220170417241</v>
      </c>
      <c r="I68" s="102">
        <f>I67+IF(G68=1,H68,0)</f>
        <v>1.77245265166437</v>
      </c>
      <c r="J68" s="102">
        <f>J67+IF(G68=2,H68,0)</f>
        <v>-0.109779829582759</v>
      </c>
      <c r="K68" s="102">
        <f>IF('Parameters'!$B$24=1,I68/'Parameters'!$B$6,SUMIF($G$62:$G$71,1,$H$62:$H$71)/'Parameters'!$B$6)</f>
        <v>0.443113162916092</v>
      </c>
      <c r="L68" s="102">
        <f>IF('Parameters'!$B$24=1,J68/'Parameters'!$B$7,SUMIF($G$62:$G$71,2,$H$62:$H$71)/'Parameters'!$B$7)</f>
        <v>-0.0182966382637932</v>
      </c>
      <c r="M68" s="72">
        <f>ABS(H68-IF(G68=1,K68,L68))</f>
        <v>0.208516808681034</v>
      </c>
      <c r="N68" s="72">
        <f>ABS(H68-IF(G68=1,L68,K68))</f>
        <v>0.252892992498851</v>
      </c>
    </row>
    <row r="69">
      <c r="A69" s="64" t="inlineStr">
        <is>
          <t xml:space="preserve">b₈</t>
        </is>
      </c>
      <c r="B69" s="72">
        <f>$J$12</f>
        <v>0.166666666666667</v>
      </c>
      <c r="C69" s="79" t="inlineStr">
        <is>
          <t xml:space="preserve">+</t>
        </is>
      </c>
      <c r="D69" s="72">
        <f>INDEX('Ψ(r) Contribution &amp; Weight'!$B$25:$G$25,4)</f>
        <v>0.15</v>
      </c>
      <c r="E69" s="79" t="inlineStr">
        <is>
          <t xml:space="preserve">=</t>
        </is>
      </c>
      <c r="F69" s="72">
        <f>SUM(B69,D69)</f>
        <v>0.316666666666667</v>
      </c>
      <c r="G69" s="68">
        <f>Dataset!O10</f>
        <v>2</v>
      </c>
      <c r="H69" s="72">
        <f>IF(OR(G69=1,G69=2),F69+IF(G69=1,1,-1)*'Parameters'!$B$19*EXP(-F69)/(1+EXP(-F69)),"—")</f>
        <v>0.190220170417241</v>
      </c>
      <c r="I69" s="102">
        <f>I68+IF(G69=1,H69,0)</f>
        <v>1.77245265166437</v>
      </c>
      <c r="J69" s="102">
        <f>J68+IF(G69=2,H69,0)</f>
        <v>0.0804403408344821</v>
      </c>
      <c r="K69" s="102">
        <f>IF('Parameters'!$B$24=1,I69/'Parameters'!$B$6,SUMIF($G$62:$G$71,1,$H$62:$H$71)/'Parameters'!$B$6)</f>
        <v>0.443113162916092</v>
      </c>
      <c r="L69" s="102">
        <f>IF('Parameters'!$B$24=1,J69/'Parameters'!$B$7,SUMIF($G$62:$G$71,2,$H$62:$H$71)/'Parameters'!$B$7)</f>
        <v>0.0134067234724137</v>
      </c>
      <c r="M69" s="72">
        <f>ABS(H69-IF(G69=1,K69,L69))</f>
        <v>0.176813446944827</v>
      </c>
      <c r="N69" s="72">
        <f>ABS(H69-IF(G69=1,L69,K69))</f>
        <v>0.252892992498851</v>
      </c>
    </row>
    <row r="70">
      <c r="A70" s="64" t="inlineStr">
        <is>
          <t xml:space="preserve">b₉</t>
        </is>
      </c>
      <c r="B70" s="72">
        <f>$J$13</f>
        <v>0.166666666666667</v>
      </c>
      <c r="C70" s="79" t="inlineStr">
        <is>
          <t xml:space="preserve">+</t>
        </is>
      </c>
      <c r="D70" s="72">
        <f>INDEX('Ψ(r) Contribution &amp; Weight'!$B$26:$G$26,4)</f>
        <v>0.15</v>
      </c>
      <c r="E70" s="79" t="inlineStr">
        <is>
          <t xml:space="preserve">=</t>
        </is>
      </c>
      <c r="F70" s="72">
        <f>SUM(B70,D70)</f>
        <v>0.316666666666667</v>
      </c>
      <c r="G70" s="68">
        <f>Dataset!O11</f>
        <v>2</v>
      </c>
      <c r="H70" s="72">
        <f>IF(OR(G70=1,G70=2),F70+IF(G70=1,1,-1)*'Parameters'!$B$19*EXP(-F70)/(1+EXP(-F70)),"—")</f>
        <v>0.190220170417241</v>
      </c>
      <c r="I70" s="102">
        <f>I69+IF(G70=1,H70,0)</f>
        <v>1.77245265166437</v>
      </c>
      <c r="J70" s="102">
        <f>J69+IF(G70=2,H70,0)</f>
        <v>0.270660511251723</v>
      </c>
      <c r="K70" s="102">
        <f>IF('Parameters'!$B$24=1,I70/'Parameters'!$B$6,SUMIF($G$62:$G$71,1,$H$62:$H$71)/'Parameters'!$B$6)</f>
        <v>0.443113162916092</v>
      </c>
      <c r="L70" s="102">
        <f>IF('Parameters'!$B$24=1,J70/'Parameters'!$B$7,SUMIF($G$62:$G$71,2,$H$62:$H$71)/'Parameters'!$B$7)</f>
        <v>0.0451100852086205</v>
      </c>
      <c r="M70" s="72">
        <f>ABS(H70-IF(G70=1,K70,L70))</f>
        <v>0.145110085208621</v>
      </c>
      <c r="N70" s="72">
        <f>ABS(H70-IF(G70=1,L70,K70))</f>
        <v>0.252892992498851</v>
      </c>
    </row>
    <row r="71">
      <c r="A71" s="64" t="inlineStr">
        <is>
          <t xml:space="preserve">b₁₀</t>
        </is>
      </c>
      <c r="B71" s="72">
        <f>$J$14</f>
        <v>0.166666666666667</v>
      </c>
      <c r="C71" s="79" t="inlineStr">
        <is>
          <t xml:space="preserve">+</t>
        </is>
      </c>
      <c r="D71" s="72">
        <f>INDEX('Ψ(r) Contribution &amp; Weight'!$B$27:$G$27,4)</f>
        <v>0.15</v>
      </c>
      <c r="E71" s="79" t="inlineStr">
        <is>
          <t xml:space="preserve">=</t>
        </is>
      </c>
      <c r="F71" s="72">
        <f>SUM(B71,D71)</f>
        <v>0.316666666666667</v>
      </c>
      <c r="G71" s="68">
        <f>Dataset!O12</f>
        <v>2</v>
      </c>
      <c r="H71" s="72">
        <f>IF(OR(G71=1,G71=2),F71+IF(G71=1,1,-1)*'Parameters'!$B$19*EXP(-F71)/(1+EXP(-F71)),"—")</f>
        <v>0.190220170417241</v>
      </c>
      <c r="I71" s="102">
        <f>I70+IF(G71=1,H71,0)</f>
        <v>1.77245265166437</v>
      </c>
      <c r="J71" s="102">
        <f>J70+IF(G71=2,H71,0)</f>
        <v>0.460880681668964</v>
      </c>
      <c r="K71" s="102">
        <f>IF('Parameters'!$B$24=1,I71/'Parameters'!$B$6,SUMIF($G$62:$G$71,1,$H$62:$H$71)/'Parameters'!$B$6)</f>
        <v>0.443113162916092</v>
      </c>
      <c r="L71" s="102">
        <f>IF('Parameters'!$B$24=1,J71/'Parameters'!$B$7,SUMIF($G$62:$G$71,2,$H$62:$H$71)/'Parameters'!$B$7)</f>
        <v>0.0768134469448274</v>
      </c>
      <c r="M71" s="72">
        <f>ABS(H71-IF(G71=1,K71,L71))</f>
        <v>0.113406723472414</v>
      </c>
      <c r="N71" s="72">
        <f>ABS(H71-IF(G71=1,L71,K71))</f>
        <v>0.252892992498851</v>
      </c>
    </row>
    <row r="72">
      <c r="K72" s="82" t="inlineStr">
        <is>
          <t xml:space="preserve">θ, γ  →</t>
        </is>
      </c>
      <c r="L72" s="82"/>
      <c r="M72" s="85">
        <f>SUM(M62:M71)</f>
        <v>1.90725378777931</v>
      </c>
      <c r="N72" s="85">
        <f>SUM(N62:N71)</f>
        <v>3.69353989148707</v>
      </c>
      <c r="O72" s="82" t="inlineStr">
        <is>
          <t xml:space="preserve">θ / γ</t>
        </is>
      </c>
      <c r="P72" s="92">
        <f>IF(E$14=1,M72/N72,"—")</f>
        <v>0.516375575684231</v>
      </c>
    </row>
    <row r="73"/>
    <row r="74">
      <c r="A74" s="59" t="str">
        <f>"Candidate a₅  ·  operator ρ_J  ·  k = "&amp;'Synthetic Features (k-NN)'!$B$32&amp;"   —   bₜ = R(Sₜ) + η₅(a_t₅)"</f>
        <v>Candidate a₅  ·  operator ρ_J  ·  k = 3   —   bₜ = R(Sₜ) + η₅(a_t₅)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84" t="str">
        <f>IF(F$14=1,"available",IF($D$4=1,"in TUPLAM — skipped","iteration not executed"))</f>
        <v>available</v>
      </c>
      <c r="P74" s="84"/>
    </row>
    <row r="75">
      <c r="A75" s="60" t="inlineStr">
        <is>
          <t xml:space="preserve">№</t>
        </is>
      </c>
      <c r="B75" s="60" t="inlineStr">
        <is>
          <t xml:space="preserve">R(Sₜ)</t>
        </is>
      </c>
      <c r="C75" s="60" t="inlineStr">
        <is>
          <t xml:space="preserve">+</t>
        </is>
      </c>
      <c r="D75" s="60" t="inlineStr">
        <is>
          <t xml:space="preserve">ηᵤ(a_tu)</t>
        </is>
      </c>
      <c r="E75" s="60" t="inlineStr">
        <is>
          <t xml:space="preserve">=</t>
        </is>
      </c>
      <c r="F75" s="60" t="inlineStr">
        <is>
          <t xml:space="preserve">bₜ</t>
        </is>
      </c>
      <c r="G75" s="60" t="inlineStr">
        <is>
          <t xml:space="preserve">Class</t>
        </is>
      </c>
      <c r="H75" s="60" t="inlineStr">
        <is>
          <t xml:space="preserve">bₜ (majorized)</t>
        </is>
      </c>
      <c r="I75" s="103" t="inlineStr">
        <is>
          <t xml:space="preserve">⚠1 Σ K1 (running)</t>
        </is>
      </c>
      <c r="J75" s="103" t="inlineStr">
        <is>
          <t xml:space="preserve">⚠1 Σ K2 (running)</t>
        </is>
      </c>
      <c r="K75" s="103" t="inlineStr">
        <is>
          <t xml:space="preserve">⚠1 M₁ used</t>
        </is>
      </c>
      <c r="L75" s="103" t="inlineStr">
        <is>
          <t xml:space="preserve">⚠1 M₂ used</t>
        </is>
      </c>
      <c r="M75" s="60" t="inlineStr">
        <is>
          <t xml:space="preserve">|b − M own|</t>
        </is>
      </c>
      <c r="N75" s="60" t="inlineStr">
        <is>
          <t xml:space="preserve">|b − M other|</t>
        </is>
      </c>
    </row>
    <row r="76">
      <c r="A76" s="64" t="inlineStr">
        <is>
          <t xml:space="preserve">b₁</t>
        </is>
      </c>
      <c r="B76" s="72">
        <f>$J$5</f>
        <v>0.166666666666667</v>
      </c>
      <c r="C76" s="79" t="inlineStr">
        <is>
          <t xml:space="preserve">+</t>
        </is>
      </c>
      <c r="D76" s="72">
        <f>INDEX('Ψ(r) Contribution &amp; Weight'!$B$18:$G$18,5)</f>
        <v>0.15</v>
      </c>
      <c r="E76" s="79" t="inlineStr">
        <is>
          <t xml:space="preserve">=</t>
        </is>
      </c>
      <c r="F76" s="72">
        <f>SUM(B76,D76)</f>
        <v>0.316666666666667</v>
      </c>
      <c r="G76" s="68">
        <f>Dataset!O3</f>
        <v>2</v>
      </c>
      <c r="H76" s="72">
        <f>IF(OR(G76=1,G76=2),F76+IF(G76=1,1,-1)*'Parameters'!$B$19*EXP(-F76)/(1+EXP(-F76)),"—")</f>
        <v>0.190220170417241</v>
      </c>
      <c r="I76" s="102">
        <f>IF(G76=1,H76,0)</f>
        <v>0</v>
      </c>
      <c r="J76" s="102">
        <f>IF(G76=2,H76,0)</f>
        <v>0.190220170417241</v>
      </c>
      <c r="K76" s="102">
        <f>IF('Parameters'!$B$24=1,I76/'Parameters'!$B$6,SUMIF($G$76:$G$85,1,$H$76:$H$85)/'Parameters'!$B$6)</f>
        <v>0</v>
      </c>
      <c r="L76" s="102">
        <f>IF('Parameters'!$B$24=1,J76/'Parameters'!$B$7,SUMIF($G$76:$G$85,2,$H$76:$H$85)/'Parameters'!$B$7)</f>
        <v>0.0317033617362069</v>
      </c>
      <c r="M76" s="72">
        <f>ABS(H76-IF(G76=1,K76,L76))</f>
        <v>0.158516808681034</v>
      </c>
      <c r="N76" s="72">
        <f>ABS(H76-IF(G76=1,L76,K76))</f>
        <v>0.190220170417241</v>
      </c>
    </row>
    <row r="77">
      <c r="A77" s="64" t="inlineStr">
        <is>
          <t xml:space="preserve">b₂</t>
        </is>
      </c>
      <c r="B77" s="72">
        <f>$J$6</f>
        <v>0.166666666666667</v>
      </c>
      <c r="C77" s="79" t="inlineStr">
        <is>
          <t xml:space="preserve">+</t>
        </is>
      </c>
      <c r="D77" s="72">
        <f>INDEX('Ψ(r) Contribution &amp; Weight'!$B$19:$G$19,5)</f>
        <v>0.15</v>
      </c>
      <c r="E77" s="79" t="inlineStr">
        <is>
          <t xml:space="preserve">=</t>
        </is>
      </c>
      <c r="F77" s="72">
        <f>SUM(B77,D77)</f>
        <v>0.316666666666667</v>
      </c>
      <c r="G77" s="68">
        <f>Dataset!O4</f>
        <v>1</v>
      </c>
      <c r="H77" s="72">
        <f>IF(OR(G77=1,G77=2),F77+IF(G77=1,1,-1)*'Parameters'!$B$19*EXP(-F77)/(1+EXP(-F77)),"—")</f>
        <v>0.443113162916092</v>
      </c>
      <c r="I77" s="102">
        <f>I76+IF(G77=1,H77,0)</f>
        <v>0.443113162916092</v>
      </c>
      <c r="J77" s="102">
        <f>J76+IF(G77=2,H77,0)</f>
        <v>0.190220170417241</v>
      </c>
      <c r="K77" s="102">
        <f>IF('Parameters'!$B$24=1,I77/'Parameters'!$B$6,SUMIF($G$76:$G$85,1,$H$76:$H$85)/'Parameters'!$B$6)</f>
        <v>0.110778290729023</v>
      </c>
      <c r="L77" s="102">
        <f>IF('Parameters'!$B$24=1,J77/'Parameters'!$B$7,SUMIF($G$76:$G$85,2,$H$76:$H$85)/'Parameters'!$B$7)</f>
        <v>0.0317033617362069</v>
      </c>
      <c r="M77" s="72">
        <f>ABS(H77-IF(G77=1,K77,L77))</f>
        <v>0.332334872187069</v>
      </c>
      <c r="N77" s="72">
        <f>ABS(H77-IF(G77=1,L77,K77))</f>
        <v>0.411409801179885</v>
      </c>
    </row>
    <row r="78">
      <c r="A78" s="64" t="inlineStr">
        <is>
          <t xml:space="preserve">b₃</t>
        </is>
      </c>
      <c r="B78" s="72">
        <f>$J$7</f>
        <v>-0.166666666666667</v>
      </c>
      <c r="C78" s="79" t="inlineStr">
        <is>
          <t xml:space="preserve">+</t>
        </is>
      </c>
      <c r="D78" s="72">
        <f>INDEX('Ψ(r) Contribution &amp; Weight'!$B$20:$G$20,5)</f>
        <v>-0.15</v>
      </c>
      <c r="E78" s="79" t="inlineStr">
        <is>
          <t xml:space="preserve">=</t>
        </is>
      </c>
      <c r="F78" s="72">
        <f>SUM(B78,D78)</f>
        <v>-0.316666666666667</v>
      </c>
      <c r="G78" s="68">
        <f>Dataset!O5</f>
        <v>2</v>
      </c>
      <c r="H78" s="72">
        <f>IF(OR(G78=1,G78=2),F78+IF(G78=1,1,-1)*'Parameters'!$B$19*EXP(-F78)/(1+EXP(-F78)),"—")</f>
        <v>-0.490220170417241</v>
      </c>
      <c r="I78" s="102">
        <f>I77+IF(G78=1,H78,0)</f>
        <v>0.443113162916092</v>
      </c>
      <c r="J78" s="102">
        <f>J77+IF(G78=2,H78,0)</f>
        <v>-0.3</v>
      </c>
      <c r="K78" s="102">
        <f>IF('Parameters'!$B$24=1,I78/'Parameters'!$B$6,SUMIF($G$76:$G$85,1,$H$76:$H$85)/'Parameters'!$B$6)</f>
        <v>0.110778290729023</v>
      </c>
      <c r="L78" s="102">
        <f>IF('Parameters'!$B$24=1,J78/'Parameters'!$B$7,SUMIF($G$76:$G$85,2,$H$76:$H$85)/'Parameters'!$B$7)</f>
        <v>-0.05</v>
      </c>
      <c r="M78" s="72">
        <f>ABS(H78-IF(G78=1,K78,L78))</f>
        <v>0.440220170417241</v>
      </c>
      <c r="N78" s="72">
        <f>ABS(H78-IF(G78=1,L78,K78))</f>
        <v>0.600998461146264</v>
      </c>
    </row>
    <row r="79">
      <c r="A79" s="64" t="inlineStr">
        <is>
          <t xml:space="preserve">b₄</t>
        </is>
      </c>
      <c r="B79" s="72">
        <f>$J$8</f>
        <v>0.166666666666667</v>
      </c>
      <c r="C79" s="79" t="inlineStr">
        <is>
          <t xml:space="preserve">+</t>
        </is>
      </c>
      <c r="D79" s="72">
        <f>INDEX('Ψ(r) Contribution &amp; Weight'!$B$21:$G$21,5)</f>
        <v>0.15</v>
      </c>
      <c r="E79" s="79" t="inlineStr">
        <is>
          <t xml:space="preserve">=</t>
        </is>
      </c>
      <c r="F79" s="72">
        <f>SUM(B79,D79)</f>
        <v>0.316666666666667</v>
      </c>
      <c r="G79" s="68">
        <f>Dataset!O6</f>
        <v>1</v>
      </c>
      <c r="H79" s="72">
        <f>IF(OR(G79=1,G79=2),F79+IF(G79=1,1,-1)*'Parameters'!$B$19*EXP(-F79)/(1+EXP(-F79)),"—")</f>
        <v>0.443113162916092</v>
      </c>
      <c r="I79" s="102">
        <f>I78+IF(G79=1,H79,0)</f>
        <v>0.886226325832184</v>
      </c>
      <c r="J79" s="102">
        <f>J78+IF(G79=2,H79,0)</f>
        <v>-0.3</v>
      </c>
      <c r="K79" s="102">
        <f>IF('Parameters'!$B$24=1,I79/'Parameters'!$B$6,SUMIF($G$76:$G$85,1,$H$76:$H$85)/'Parameters'!$B$6)</f>
        <v>0.221556581458046</v>
      </c>
      <c r="L79" s="102">
        <f>IF('Parameters'!$B$24=1,J79/'Parameters'!$B$7,SUMIF($G$76:$G$85,2,$H$76:$H$85)/'Parameters'!$B$7)</f>
        <v>-0.05</v>
      </c>
      <c r="M79" s="72">
        <f>ABS(H79-IF(G79=1,K79,L79))</f>
        <v>0.221556581458046</v>
      </c>
      <c r="N79" s="72">
        <f>ABS(H79-IF(G79=1,L79,K79))</f>
        <v>0.493113162916092</v>
      </c>
    </row>
    <row r="80">
      <c r="A80" s="64" t="inlineStr">
        <is>
          <t xml:space="preserve">b₅</t>
        </is>
      </c>
      <c r="B80" s="72">
        <f>$J$9</f>
        <v>0.166666666666667</v>
      </c>
      <c r="C80" s="79" t="inlineStr">
        <is>
          <t xml:space="preserve">+</t>
        </is>
      </c>
      <c r="D80" s="72">
        <f>INDEX('Ψ(r) Contribution &amp; Weight'!$B$22:$G$22,5)</f>
        <v>0.15</v>
      </c>
      <c r="E80" s="79" t="inlineStr">
        <is>
          <t xml:space="preserve">=</t>
        </is>
      </c>
      <c r="F80" s="72">
        <f>SUM(B80,D80)</f>
        <v>0.316666666666667</v>
      </c>
      <c r="G80" s="68">
        <f>Dataset!O7</f>
        <v>1</v>
      </c>
      <c r="H80" s="72">
        <f>IF(OR(G80=1,G80=2),F80+IF(G80=1,1,-1)*'Parameters'!$B$19*EXP(-F80)/(1+EXP(-F80)),"—")</f>
        <v>0.443113162916092</v>
      </c>
      <c r="I80" s="102">
        <f>I79+IF(G80=1,H80,0)</f>
        <v>1.32933948874828</v>
      </c>
      <c r="J80" s="102">
        <f>J79+IF(G80=2,H80,0)</f>
        <v>-0.3</v>
      </c>
      <c r="K80" s="102">
        <f>IF('Parameters'!$B$24=1,I80/'Parameters'!$B$6,SUMIF($G$76:$G$85,1,$H$76:$H$85)/'Parameters'!$B$6)</f>
        <v>0.332334872187069</v>
      </c>
      <c r="L80" s="102">
        <f>IF('Parameters'!$B$24=1,J80/'Parameters'!$B$7,SUMIF($G$76:$G$85,2,$H$76:$H$85)/'Parameters'!$B$7)</f>
        <v>-0.05</v>
      </c>
      <c r="M80" s="72">
        <f>ABS(H80-IF(G80=1,K80,L80))</f>
        <v>0.110778290729023</v>
      </c>
      <c r="N80" s="72">
        <f>ABS(H80-IF(G80=1,L80,K80))</f>
        <v>0.493113162916092</v>
      </c>
    </row>
    <row r="81">
      <c r="A81" s="64" t="inlineStr">
        <is>
          <t xml:space="preserve">b₆</t>
        </is>
      </c>
      <c r="B81" s="72">
        <f>$J$10</f>
        <v>0.166666666666667</v>
      </c>
      <c r="C81" s="79" t="inlineStr">
        <is>
          <t xml:space="preserve">+</t>
        </is>
      </c>
      <c r="D81" s="72">
        <f>INDEX('Ψ(r) Contribution &amp; Weight'!$B$23:$G$23,5)</f>
        <v>0.15</v>
      </c>
      <c r="E81" s="79" t="inlineStr">
        <is>
          <t xml:space="preserve">=</t>
        </is>
      </c>
      <c r="F81" s="72">
        <f>SUM(B81,D81)</f>
        <v>0.316666666666667</v>
      </c>
      <c r="G81" s="68">
        <f>Dataset!O8</f>
        <v>1</v>
      </c>
      <c r="H81" s="72">
        <f>IF(OR(G81=1,G81=2),F81+IF(G81=1,1,-1)*'Parameters'!$B$19*EXP(-F81)/(1+EXP(-F81)),"—")</f>
        <v>0.443113162916092</v>
      </c>
      <c r="I81" s="102">
        <f>I80+IF(G81=1,H81,0)</f>
        <v>1.77245265166437</v>
      </c>
      <c r="J81" s="102">
        <f>J80+IF(G81=2,H81,0)</f>
        <v>-0.3</v>
      </c>
      <c r="K81" s="102">
        <f>IF('Parameters'!$B$24=1,I81/'Parameters'!$B$6,SUMIF($G$76:$G$85,1,$H$76:$H$85)/'Parameters'!$B$6)</f>
        <v>0.443113162916092</v>
      </c>
      <c r="L81" s="102">
        <f>IF('Parameters'!$B$24=1,J81/'Parameters'!$B$7,SUMIF($G$76:$G$85,2,$H$76:$H$85)/'Parameters'!$B$7)</f>
        <v>-0.05</v>
      </c>
      <c r="M81" s="72">
        <f>ABS(H81-IF(G81=1,K81,L81))</f>
        <v>0</v>
      </c>
      <c r="N81" s="72">
        <f>ABS(H81-IF(G81=1,L81,K81))</f>
        <v>0.493113162916092</v>
      </c>
    </row>
    <row r="82">
      <c r="A82" s="64" t="inlineStr">
        <is>
          <t xml:space="preserve">b₇</t>
        </is>
      </c>
      <c r="B82" s="72">
        <f>$J$11</f>
        <v>0.166666666666667</v>
      </c>
      <c r="C82" s="79" t="inlineStr">
        <is>
          <t xml:space="preserve">+</t>
        </is>
      </c>
      <c r="D82" s="72">
        <f>INDEX('Ψ(r) Contribution &amp; Weight'!$B$24:$G$24,5)</f>
        <v>0.15</v>
      </c>
      <c r="E82" s="79" t="inlineStr">
        <is>
          <t xml:space="preserve">=</t>
        </is>
      </c>
      <c r="F82" s="72">
        <f>SUM(B82,D82)</f>
        <v>0.316666666666667</v>
      </c>
      <c r="G82" s="68">
        <f>Dataset!O9</f>
        <v>2</v>
      </c>
      <c r="H82" s="72">
        <f>IF(OR(G82=1,G82=2),F82+IF(G82=1,1,-1)*'Parameters'!$B$19*EXP(-F82)/(1+EXP(-F82)),"—")</f>
        <v>0.190220170417241</v>
      </c>
      <c r="I82" s="102">
        <f>I81+IF(G82=1,H82,0)</f>
        <v>1.77245265166437</v>
      </c>
      <c r="J82" s="102">
        <f>J81+IF(G82=2,H82,0)</f>
        <v>-0.109779829582759</v>
      </c>
      <c r="K82" s="102">
        <f>IF('Parameters'!$B$24=1,I82/'Parameters'!$B$6,SUMIF($G$76:$G$85,1,$H$76:$H$85)/'Parameters'!$B$6)</f>
        <v>0.443113162916092</v>
      </c>
      <c r="L82" s="102">
        <f>IF('Parameters'!$B$24=1,J82/'Parameters'!$B$7,SUMIF($G$76:$G$85,2,$H$76:$H$85)/'Parameters'!$B$7)</f>
        <v>-0.0182966382637932</v>
      </c>
      <c r="M82" s="72">
        <f>ABS(H82-IF(G82=1,K82,L82))</f>
        <v>0.208516808681034</v>
      </c>
      <c r="N82" s="72">
        <f>ABS(H82-IF(G82=1,L82,K82))</f>
        <v>0.252892992498851</v>
      </c>
    </row>
    <row r="83">
      <c r="A83" s="64" t="inlineStr">
        <is>
          <t xml:space="preserve">b₈</t>
        </is>
      </c>
      <c r="B83" s="72">
        <f>$J$12</f>
        <v>0.166666666666667</v>
      </c>
      <c r="C83" s="79" t="inlineStr">
        <is>
          <t xml:space="preserve">+</t>
        </is>
      </c>
      <c r="D83" s="72">
        <f>INDEX('Ψ(r) Contribution &amp; Weight'!$B$25:$G$25,5)</f>
        <v>0.15</v>
      </c>
      <c r="E83" s="79" t="inlineStr">
        <is>
          <t xml:space="preserve">=</t>
        </is>
      </c>
      <c r="F83" s="72">
        <f>SUM(B83,D83)</f>
        <v>0.316666666666667</v>
      </c>
      <c r="G83" s="68">
        <f>Dataset!O10</f>
        <v>2</v>
      </c>
      <c r="H83" s="72">
        <f>IF(OR(G83=1,G83=2),F83+IF(G83=1,1,-1)*'Parameters'!$B$19*EXP(-F83)/(1+EXP(-F83)),"—")</f>
        <v>0.190220170417241</v>
      </c>
      <c r="I83" s="102">
        <f>I82+IF(G83=1,H83,0)</f>
        <v>1.77245265166437</v>
      </c>
      <c r="J83" s="102">
        <f>J82+IF(G83=2,H83,0)</f>
        <v>0.0804403408344821</v>
      </c>
      <c r="K83" s="102">
        <f>IF('Parameters'!$B$24=1,I83/'Parameters'!$B$6,SUMIF($G$76:$G$85,1,$H$76:$H$85)/'Parameters'!$B$6)</f>
        <v>0.443113162916092</v>
      </c>
      <c r="L83" s="102">
        <f>IF('Parameters'!$B$24=1,J83/'Parameters'!$B$7,SUMIF($G$76:$G$85,2,$H$76:$H$85)/'Parameters'!$B$7)</f>
        <v>0.0134067234724137</v>
      </c>
      <c r="M83" s="72">
        <f>ABS(H83-IF(G83=1,K83,L83))</f>
        <v>0.176813446944827</v>
      </c>
      <c r="N83" s="72">
        <f>ABS(H83-IF(G83=1,L83,K83))</f>
        <v>0.252892992498851</v>
      </c>
    </row>
    <row r="84">
      <c r="A84" s="64" t="inlineStr">
        <is>
          <t xml:space="preserve">b₉</t>
        </is>
      </c>
      <c r="B84" s="72">
        <f>$J$13</f>
        <v>0.166666666666667</v>
      </c>
      <c r="C84" s="79" t="inlineStr">
        <is>
          <t xml:space="preserve">+</t>
        </is>
      </c>
      <c r="D84" s="72">
        <f>INDEX('Ψ(r) Contribution &amp; Weight'!$B$26:$G$26,5)</f>
        <v>0.15</v>
      </c>
      <c r="E84" s="79" t="inlineStr">
        <is>
          <t xml:space="preserve">=</t>
        </is>
      </c>
      <c r="F84" s="72">
        <f>SUM(B84,D84)</f>
        <v>0.316666666666667</v>
      </c>
      <c r="G84" s="68">
        <f>Dataset!O11</f>
        <v>2</v>
      </c>
      <c r="H84" s="72">
        <f>IF(OR(G84=1,G84=2),F84+IF(G84=1,1,-1)*'Parameters'!$B$19*EXP(-F84)/(1+EXP(-F84)),"—")</f>
        <v>0.190220170417241</v>
      </c>
      <c r="I84" s="102">
        <f>I83+IF(G84=1,H84,0)</f>
        <v>1.77245265166437</v>
      </c>
      <c r="J84" s="102">
        <f>J83+IF(G84=2,H84,0)</f>
        <v>0.270660511251723</v>
      </c>
      <c r="K84" s="102">
        <f>IF('Parameters'!$B$24=1,I84/'Parameters'!$B$6,SUMIF($G$76:$G$85,1,$H$76:$H$85)/'Parameters'!$B$6)</f>
        <v>0.443113162916092</v>
      </c>
      <c r="L84" s="102">
        <f>IF('Parameters'!$B$24=1,J84/'Parameters'!$B$7,SUMIF($G$76:$G$85,2,$H$76:$H$85)/'Parameters'!$B$7)</f>
        <v>0.0451100852086205</v>
      </c>
      <c r="M84" s="72">
        <f>ABS(H84-IF(G84=1,K84,L84))</f>
        <v>0.145110085208621</v>
      </c>
      <c r="N84" s="72">
        <f>ABS(H84-IF(G84=1,L84,K84))</f>
        <v>0.252892992498851</v>
      </c>
    </row>
    <row r="85">
      <c r="A85" s="64" t="inlineStr">
        <is>
          <t xml:space="preserve">b₁₀</t>
        </is>
      </c>
      <c r="B85" s="72">
        <f>$J$14</f>
        <v>0.166666666666667</v>
      </c>
      <c r="C85" s="79" t="inlineStr">
        <is>
          <t xml:space="preserve">+</t>
        </is>
      </c>
      <c r="D85" s="72">
        <f>INDEX('Ψ(r) Contribution &amp; Weight'!$B$27:$G$27,5)</f>
        <v>0.15</v>
      </c>
      <c r="E85" s="79" t="inlineStr">
        <is>
          <t xml:space="preserve">=</t>
        </is>
      </c>
      <c r="F85" s="72">
        <f>SUM(B85,D85)</f>
        <v>0.316666666666667</v>
      </c>
      <c r="G85" s="68">
        <f>Dataset!O12</f>
        <v>2</v>
      </c>
      <c r="H85" s="72">
        <f>IF(OR(G85=1,G85=2),F85+IF(G85=1,1,-1)*'Parameters'!$B$19*EXP(-F85)/(1+EXP(-F85)),"—")</f>
        <v>0.190220170417241</v>
      </c>
      <c r="I85" s="102">
        <f>I84+IF(G85=1,H85,0)</f>
        <v>1.77245265166437</v>
      </c>
      <c r="J85" s="102">
        <f>J84+IF(G85=2,H85,0)</f>
        <v>0.460880681668964</v>
      </c>
      <c r="K85" s="102">
        <f>IF('Parameters'!$B$24=1,I85/'Parameters'!$B$6,SUMIF($G$76:$G$85,1,$H$76:$H$85)/'Parameters'!$B$6)</f>
        <v>0.443113162916092</v>
      </c>
      <c r="L85" s="102">
        <f>IF('Parameters'!$B$24=1,J85/'Parameters'!$B$7,SUMIF($G$76:$G$85,2,$H$76:$H$85)/'Parameters'!$B$7)</f>
        <v>0.0768134469448274</v>
      </c>
      <c r="M85" s="72">
        <f>ABS(H85-IF(G85=1,K85,L85))</f>
        <v>0.113406723472414</v>
      </c>
      <c r="N85" s="72">
        <f>ABS(H85-IF(G85=1,L85,K85))</f>
        <v>0.252892992498851</v>
      </c>
    </row>
    <row r="86">
      <c r="K86" s="82" t="inlineStr">
        <is>
          <t xml:space="preserve">θ, γ  →</t>
        </is>
      </c>
      <c r="L86" s="82"/>
      <c r="M86" s="85">
        <f>SUM(M76:M85)</f>
        <v>1.90725378777931</v>
      </c>
      <c r="N86" s="85">
        <f>SUM(N76:N85)</f>
        <v>3.69353989148707</v>
      </c>
      <c r="O86" s="82" t="inlineStr">
        <is>
          <t xml:space="preserve">θ / γ</t>
        </is>
      </c>
      <c r="P86" s="92">
        <f>IF(F$14=1,M86/N86,"—")</f>
        <v>0.516375575684231</v>
      </c>
    </row>
    <row r="87"/>
    <row r="88">
      <c r="A88" s="59" t="str">
        <f>"Candidate a₆  ·  operator ρ_J  ·  k = "&amp;'Synthetic Features (k-NN)'!$C$32&amp;"   —   bₜ = R(Sₜ) + η₆(a_t₆)"</f>
        <v>Candidate a₆  ·  operator ρ_J  ·  k = 5   —   bₜ = R(Sₜ) + η₆(a_t₆)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84" t="str">
        <f>IF(G$14=1,"available",IF($D$4=1,"in TUPLAM — skipped","iteration not executed"))</f>
        <v>in TUPLAM — skipped</v>
      </c>
      <c r="P88" s="84"/>
    </row>
    <row r="89">
      <c r="A89" s="60" t="inlineStr">
        <is>
          <t xml:space="preserve">№</t>
        </is>
      </c>
      <c r="B89" s="60" t="inlineStr">
        <is>
          <t xml:space="preserve">R(Sₜ)</t>
        </is>
      </c>
      <c r="C89" s="60" t="inlineStr">
        <is>
          <t xml:space="preserve">+</t>
        </is>
      </c>
      <c r="D89" s="60" t="inlineStr">
        <is>
          <t xml:space="preserve">ηᵤ(a_tu)</t>
        </is>
      </c>
      <c r="E89" s="60" t="inlineStr">
        <is>
          <t xml:space="preserve">=</t>
        </is>
      </c>
      <c r="F89" s="60" t="inlineStr">
        <is>
          <t xml:space="preserve">bₜ</t>
        </is>
      </c>
      <c r="G89" s="60" t="inlineStr">
        <is>
          <t xml:space="preserve">Class</t>
        </is>
      </c>
      <c r="H89" s="60" t="inlineStr">
        <is>
          <t xml:space="preserve">bₜ (majorized)</t>
        </is>
      </c>
      <c r="I89" s="103" t="inlineStr">
        <is>
          <t xml:space="preserve">⚠1 Σ K1 (running)</t>
        </is>
      </c>
      <c r="J89" s="103" t="inlineStr">
        <is>
          <t xml:space="preserve">⚠1 Σ K2 (running)</t>
        </is>
      </c>
      <c r="K89" s="103" t="inlineStr">
        <is>
          <t xml:space="preserve">⚠1 M₁ used</t>
        </is>
      </c>
      <c r="L89" s="103" t="inlineStr">
        <is>
          <t xml:space="preserve">⚠1 M₂ used</t>
        </is>
      </c>
      <c r="M89" s="60" t="inlineStr">
        <is>
          <t xml:space="preserve">|b − M own|</t>
        </is>
      </c>
      <c r="N89" s="60" t="inlineStr">
        <is>
          <t xml:space="preserve">|b − M other|</t>
        </is>
      </c>
    </row>
    <row r="90">
      <c r="A90" s="64" t="inlineStr">
        <is>
          <t xml:space="preserve">b₁</t>
        </is>
      </c>
      <c r="B90" s="72">
        <f>$J$5</f>
        <v>0.166666666666667</v>
      </c>
      <c r="C90" s="79" t="inlineStr">
        <is>
          <t xml:space="preserve">+</t>
        </is>
      </c>
      <c r="D90" s="72">
        <f>INDEX('Ψ(r) Contribution &amp; Weight'!$B$18:$G$18,6)</f>
        <v>0.166666666666667</v>
      </c>
      <c r="E90" s="79" t="inlineStr">
        <is>
          <t xml:space="preserve">=</t>
        </is>
      </c>
      <c r="F90" s="72">
        <f>SUM(B90,D90)</f>
        <v>0.333333333333333</v>
      </c>
      <c r="G90" s="68">
        <f>Dataset!O3</f>
        <v>2</v>
      </c>
      <c r="H90" s="72">
        <f>IF(OR(G90=1,G90=2),F90+IF(G90=1,1,-1)*'Parameters'!$B$19*EXP(-F90)/(1+EXP(-F90)),"—")</f>
        <v>0.208104395272028</v>
      </c>
      <c r="I90" s="102">
        <f>IF(G90=1,H90,0)</f>
        <v>0</v>
      </c>
      <c r="J90" s="102">
        <f>IF(G90=2,H90,0)</f>
        <v>0.208104395272028</v>
      </c>
      <c r="K90" s="102">
        <f>IF('Parameters'!$B$24=1,I90/'Parameters'!$B$6,SUMIF($G$90:$G$99,1,$H$90:$H$99)/'Parameters'!$B$6)</f>
        <v>0</v>
      </c>
      <c r="L90" s="102">
        <f>IF('Parameters'!$B$24=1,J90/'Parameters'!$B$7,SUMIF($G$90:$G$99,2,$H$90:$H$99)/'Parameters'!$B$7)</f>
        <v>0.0346840658786713</v>
      </c>
      <c r="M90" s="72">
        <f>ABS(H90-IF(G90=1,K90,L90))</f>
        <v>0.173420329393356</v>
      </c>
      <c r="N90" s="72">
        <f>ABS(H90-IF(G90=1,L90,K90))</f>
        <v>0.208104395272028</v>
      </c>
    </row>
    <row r="91">
      <c r="A91" s="64" t="inlineStr">
        <is>
          <t xml:space="preserve">b₂</t>
        </is>
      </c>
      <c r="B91" s="72">
        <f>$J$6</f>
        <v>0.166666666666667</v>
      </c>
      <c r="C91" s="79" t="inlineStr">
        <is>
          <t xml:space="preserve">+</t>
        </is>
      </c>
      <c r="D91" s="72">
        <f>INDEX('Ψ(r) Contribution &amp; Weight'!$B$19:$G$19,6)</f>
        <v>0.166666666666667</v>
      </c>
      <c r="E91" s="79" t="inlineStr">
        <is>
          <t xml:space="preserve">=</t>
        </is>
      </c>
      <c r="F91" s="72">
        <f>SUM(B91,D91)</f>
        <v>0.333333333333333</v>
      </c>
      <c r="G91" s="68">
        <f>Dataset!O4</f>
        <v>1</v>
      </c>
      <c r="H91" s="72">
        <f>IF(OR(G91=1,G91=2),F91+IF(G91=1,1,-1)*'Parameters'!$B$19*EXP(-F91)/(1+EXP(-F91)),"—")</f>
        <v>0.458562271394639</v>
      </c>
      <c r="I91" s="102">
        <f>I90+IF(G91=1,H91,0)</f>
        <v>0.458562271394639</v>
      </c>
      <c r="J91" s="102">
        <f>J90+IF(G91=2,H91,0)</f>
        <v>0.208104395272028</v>
      </c>
      <c r="K91" s="102">
        <f>IF('Parameters'!$B$24=1,I91/'Parameters'!$B$6,SUMIF($G$90:$G$99,1,$H$90:$H$99)/'Parameters'!$B$6)</f>
        <v>0.11464056784866</v>
      </c>
      <c r="L91" s="102">
        <f>IF('Parameters'!$B$24=1,J91/'Parameters'!$B$7,SUMIF($G$90:$G$99,2,$H$90:$H$99)/'Parameters'!$B$7)</f>
        <v>0.0346840658786713</v>
      </c>
      <c r="M91" s="72">
        <f>ABS(H91-IF(G91=1,K91,L91))</f>
        <v>0.343921703545979</v>
      </c>
      <c r="N91" s="72">
        <f>ABS(H91-IF(G91=1,L91,K91))</f>
        <v>0.423878205515968</v>
      </c>
    </row>
    <row r="92">
      <c r="A92" s="64" t="inlineStr">
        <is>
          <t xml:space="preserve">b₃</t>
        </is>
      </c>
      <c r="B92" s="72">
        <f>$J$7</f>
        <v>-0.166666666666667</v>
      </c>
      <c r="C92" s="79" t="inlineStr">
        <is>
          <t xml:space="preserve">+</t>
        </is>
      </c>
      <c r="D92" s="72">
        <f>INDEX('Ψ(r) Contribution &amp; Weight'!$B$20:$G$20,6)</f>
        <v>-0.166666666666667</v>
      </c>
      <c r="E92" s="79" t="inlineStr">
        <is>
          <t xml:space="preserve">=</t>
        </is>
      </c>
      <c r="F92" s="72">
        <f>SUM(B92,D92)</f>
        <v>-0.333333333333333</v>
      </c>
      <c r="G92" s="68">
        <f>Dataset!O5</f>
        <v>2</v>
      </c>
      <c r="H92" s="72">
        <f>IF(OR(G92=1,G92=2),F92+IF(G92=1,1,-1)*'Parameters'!$B$19*EXP(-F92)/(1+EXP(-F92)),"—")</f>
        <v>-0.508104395272028</v>
      </c>
      <c r="I92" s="102">
        <f>I91+IF(G92=1,H92,0)</f>
        <v>0.458562271394639</v>
      </c>
      <c r="J92" s="102">
        <f>J91+IF(G92=2,H92,0)</f>
        <v>-0.3</v>
      </c>
      <c r="K92" s="102">
        <f>IF('Parameters'!$B$24=1,I92/'Parameters'!$B$6,SUMIF($G$90:$G$99,1,$H$90:$H$99)/'Parameters'!$B$6)</f>
        <v>0.11464056784866</v>
      </c>
      <c r="L92" s="102">
        <f>IF('Parameters'!$B$24=1,J92/'Parameters'!$B$7,SUMIF($G$90:$G$99,2,$H$90:$H$99)/'Parameters'!$B$7)</f>
        <v>-0.05</v>
      </c>
      <c r="M92" s="72">
        <f>ABS(H92-IF(G92=1,K92,L92))</f>
        <v>0.458104395272028</v>
      </c>
      <c r="N92" s="72">
        <f>ABS(H92-IF(G92=1,L92,K92))</f>
        <v>0.622744963120687</v>
      </c>
    </row>
    <row r="93">
      <c r="A93" s="64" t="inlineStr">
        <is>
          <t xml:space="preserve">b₄</t>
        </is>
      </c>
      <c r="B93" s="72">
        <f>$J$8</f>
        <v>0.166666666666667</v>
      </c>
      <c r="C93" s="79" t="inlineStr">
        <is>
          <t xml:space="preserve">+</t>
        </is>
      </c>
      <c r="D93" s="72">
        <f>INDEX('Ψ(r) Contribution &amp; Weight'!$B$21:$G$21,6)</f>
        <v>0.166666666666667</v>
      </c>
      <c r="E93" s="79" t="inlineStr">
        <is>
          <t xml:space="preserve">=</t>
        </is>
      </c>
      <c r="F93" s="72">
        <f>SUM(B93,D93)</f>
        <v>0.333333333333333</v>
      </c>
      <c r="G93" s="68">
        <f>Dataset!O6</f>
        <v>1</v>
      </c>
      <c r="H93" s="72">
        <f>IF(OR(G93=1,G93=2),F93+IF(G93=1,1,-1)*'Parameters'!$B$19*EXP(-F93)/(1+EXP(-F93)),"—")</f>
        <v>0.458562271394639</v>
      </c>
      <c r="I93" s="102">
        <f>I92+IF(G93=1,H93,0)</f>
        <v>0.917124542789278</v>
      </c>
      <c r="J93" s="102">
        <f>J92+IF(G93=2,H93,0)</f>
        <v>-0.3</v>
      </c>
      <c r="K93" s="102">
        <f>IF('Parameters'!$B$24=1,I93/'Parameters'!$B$6,SUMIF($G$90:$G$99,1,$H$90:$H$99)/'Parameters'!$B$6)</f>
        <v>0.229281135697319</v>
      </c>
      <c r="L93" s="102">
        <f>IF('Parameters'!$B$24=1,J93/'Parameters'!$B$7,SUMIF($G$90:$G$99,2,$H$90:$H$99)/'Parameters'!$B$7)</f>
        <v>-0.05</v>
      </c>
      <c r="M93" s="72">
        <f>ABS(H93-IF(G93=1,K93,L93))</f>
        <v>0.229281135697319</v>
      </c>
      <c r="N93" s="72">
        <f>ABS(H93-IF(G93=1,L93,K93))</f>
        <v>0.508562271394639</v>
      </c>
    </row>
    <row r="94">
      <c r="A94" s="64" t="inlineStr">
        <is>
          <t xml:space="preserve">b₅</t>
        </is>
      </c>
      <c r="B94" s="72">
        <f>$J$9</f>
        <v>0.166666666666667</v>
      </c>
      <c r="C94" s="79" t="inlineStr">
        <is>
          <t xml:space="preserve">+</t>
        </is>
      </c>
      <c r="D94" s="72">
        <f>INDEX('Ψ(r) Contribution &amp; Weight'!$B$22:$G$22,6)</f>
        <v>0.166666666666667</v>
      </c>
      <c r="E94" s="79" t="inlineStr">
        <is>
          <t xml:space="preserve">=</t>
        </is>
      </c>
      <c r="F94" s="72">
        <f>SUM(B94,D94)</f>
        <v>0.333333333333333</v>
      </c>
      <c r="G94" s="68">
        <f>Dataset!O7</f>
        <v>1</v>
      </c>
      <c r="H94" s="72">
        <f>IF(OR(G94=1,G94=2),F94+IF(G94=1,1,-1)*'Parameters'!$B$19*EXP(-F94)/(1+EXP(-F94)),"—")</f>
        <v>0.458562271394639</v>
      </c>
      <c r="I94" s="102">
        <f>I93+IF(G94=1,H94,0)</f>
        <v>1.37568681418392</v>
      </c>
      <c r="J94" s="102">
        <f>J93+IF(G94=2,H94,0)</f>
        <v>-0.3</v>
      </c>
      <c r="K94" s="102">
        <f>IF('Parameters'!$B$24=1,I94/'Parameters'!$B$6,SUMIF($G$90:$G$99,1,$H$90:$H$99)/'Parameters'!$B$6)</f>
        <v>0.343921703545979</v>
      </c>
      <c r="L94" s="102">
        <f>IF('Parameters'!$B$24=1,J94/'Parameters'!$B$7,SUMIF($G$90:$G$99,2,$H$90:$H$99)/'Parameters'!$B$7)</f>
        <v>-0.05</v>
      </c>
      <c r="M94" s="72">
        <f>ABS(H94-IF(G94=1,K94,L94))</f>
        <v>0.11464056784866</v>
      </c>
      <c r="N94" s="72">
        <f>ABS(H94-IF(G94=1,L94,K94))</f>
        <v>0.508562271394639</v>
      </c>
    </row>
    <row r="95">
      <c r="A95" s="64" t="inlineStr">
        <is>
          <t xml:space="preserve">b₆</t>
        </is>
      </c>
      <c r="B95" s="72">
        <f>$J$10</f>
        <v>0.166666666666667</v>
      </c>
      <c r="C95" s="79" t="inlineStr">
        <is>
          <t xml:space="preserve">+</t>
        </is>
      </c>
      <c r="D95" s="72">
        <f>INDEX('Ψ(r) Contribution &amp; Weight'!$B$23:$G$23,6)</f>
        <v>0.166666666666667</v>
      </c>
      <c r="E95" s="79" t="inlineStr">
        <is>
          <t xml:space="preserve">=</t>
        </is>
      </c>
      <c r="F95" s="72">
        <f>SUM(B95,D95)</f>
        <v>0.333333333333333</v>
      </c>
      <c r="G95" s="68">
        <f>Dataset!O8</f>
        <v>1</v>
      </c>
      <c r="H95" s="72">
        <f>IF(OR(G95=1,G95=2),F95+IF(G95=1,1,-1)*'Parameters'!$B$19*EXP(-F95)/(1+EXP(-F95)),"—")</f>
        <v>0.458562271394639</v>
      </c>
      <c r="I95" s="102">
        <f>I94+IF(G95=1,H95,0)</f>
        <v>1.83424908557856</v>
      </c>
      <c r="J95" s="102">
        <f>J94+IF(G95=2,H95,0)</f>
        <v>-0.3</v>
      </c>
      <c r="K95" s="102">
        <f>IF('Parameters'!$B$24=1,I95/'Parameters'!$B$6,SUMIF($G$90:$G$99,1,$H$90:$H$99)/'Parameters'!$B$6)</f>
        <v>0.458562271394639</v>
      </c>
      <c r="L95" s="102">
        <f>IF('Parameters'!$B$24=1,J95/'Parameters'!$B$7,SUMIF($G$90:$G$99,2,$H$90:$H$99)/'Parameters'!$B$7)</f>
        <v>-0.05</v>
      </c>
      <c r="M95" s="72">
        <f>ABS(H95-IF(G95=1,K95,L95))</f>
        <v>0</v>
      </c>
      <c r="N95" s="72">
        <f>ABS(H95-IF(G95=1,L95,K95))</f>
        <v>0.508562271394639</v>
      </c>
    </row>
    <row r="96">
      <c r="A96" s="64" t="inlineStr">
        <is>
          <t xml:space="preserve">b₇</t>
        </is>
      </c>
      <c r="B96" s="72">
        <f>$J$11</f>
        <v>0.166666666666667</v>
      </c>
      <c r="C96" s="79" t="inlineStr">
        <is>
          <t xml:space="preserve">+</t>
        </is>
      </c>
      <c r="D96" s="72">
        <f>INDEX('Ψ(r) Contribution &amp; Weight'!$B$24:$G$24,6)</f>
        <v>0.166666666666667</v>
      </c>
      <c r="E96" s="79" t="inlineStr">
        <is>
          <t xml:space="preserve">=</t>
        </is>
      </c>
      <c r="F96" s="72">
        <f>SUM(B96,D96)</f>
        <v>0.333333333333333</v>
      </c>
      <c r="G96" s="68">
        <f>Dataset!O9</f>
        <v>2</v>
      </c>
      <c r="H96" s="72">
        <f>IF(OR(G96=1,G96=2),F96+IF(G96=1,1,-1)*'Parameters'!$B$19*EXP(-F96)/(1+EXP(-F96)),"—")</f>
        <v>0.208104395272028</v>
      </c>
      <c r="I96" s="102">
        <f>I95+IF(G96=1,H96,0)</f>
        <v>1.83424908557856</v>
      </c>
      <c r="J96" s="102">
        <f>J95+IF(G96=2,H96,0)</f>
        <v>-0.0918956047279724</v>
      </c>
      <c r="K96" s="102">
        <f>IF('Parameters'!$B$24=1,I96/'Parameters'!$B$6,SUMIF($G$90:$G$99,1,$H$90:$H$99)/'Parameters'!$B$6)</f>
        <v>0.458562271394639</v>
      </c>
      <c r="L96" s="102">
        <f>IF('Parameters'!$B$24=1,J96/'Parameters'!$B$7,SUMIF($G$90:$G$99,2,$H$90:$H$99)/'Parameters'!$B$7)</f>
        <v>-0.0153159341213287</v>
      </c>
      <c r="M96" s="72">
        <f>ABS(H96-IF(G96=1,K96,L96))</f>
        <v>0.223420329393356</v>
      </c>
      <c r="N96" s="72">
        <f>ABS(H96-IF(G96=1,L96,K96))</f>
        <v>0.250457876122611</v>
      </c>
    </row>
    <row r="97">
      <c r="A97" s="64" t="inlineStr">
        <is>
          <t xml:space="preserve">b₈</t>
        </is>
      </c>
      <c r="B97" s="72">
        <f>$J$12</f>
        <v>0.166666666666667</v>
      </c>
      <c r="C97" s="79" t="inlineStr">
        <is>
          <t xml:space="preserve">+</t>
        </is>
      </c>
      <c r="D97" s="72">
        <f>INDEX('Ψ(r) Contribution &amp; Weight'!$B$25:$G$25,6)</f>
        <v>0.166666666666667</v>
      </c>
      <c r="E97" s="79" t="inlineStr">
        <is>
          <t xml:space="preserve">=</t>
        </is>
      </c>
      <c r="F97" s="72">
        <f>SUM(B97,D97)</f>
        <v>0.333333333333333</v>
      </c>
      <c r="G97" s="68">
        <f>Dataset!O10</f>
        <v>2</v>
      </c>
      <c r="H97" s="72">
        <f>IF(OR(G97=1,G97=2),F97+IF(G97=1,1,-1)*'Parameters'!$B$19*EXP(-F97)/(1+EXP(-F97)),"—")</f>
        <v>0.208104395272028</v>
      </c>
      <c r="I97" s="102">
        <f>I96+IF(G97=1,H97,0)</f>
        <v>1.83424908557856</v>
      </c>
      <c r="J97" s="102">
        <f>J96+IF(G97=2,H97,0)</f>
        <v>0.116208790544055</v>
      </c>
      <c r="K97" s="102">
        <f>IF('Parameters'!$B$24=1,I97/'Parameters'!$B$6,SUMIF($G$90:$G$99,1,$H$90:$H$99)/'Parameters'!$B$6)</f>
        <v>0.458562271394639</v>
      </c>
      <c r="L97" s="102">
        <f>IF('Parameters'!$B$24=1,J97/'Parameters'!$B$7,SUMIF($G$90:$G$99,2,$H$90:$H$99)/'Parameters'!$B$7)</f>
        <v>0.0193681317573425</v>
      </c>
      <c r="M97" s="72">
        <f>ABS(H97-IF(G97=1,K97,L97))</f>
        <v>0.188736263514685</v>
      </c>
      <c r="N97" s="72">
        <f>ABS(H97-IF(G97=1,L97,K97))</f>
        <v>0.250457876122611</v>
      </c>
    </row>
    <row r="98">
      <c r="A98" s="64" t="inlineStr">
        <is>
          <t xml:space="preserve">b₉</t>
        </is>
      </c>
      <c r="B98" s="72">
        <f>$J$13</f>
        <v>0.166666666666667</v>
      </c>
      <c r="C98" s="79" t="inlineStr">
        <is>
          <t xml:space="preserve">+</t>
        </is>
      </c>
      <c r="D98" s="72">
        <f>INDEX('Ψ(r) Contribution &amp; Weight'!$B$26:$G$26,6)</f>
        <v>0.166666666666667</v>
      </c>
      <c r="E98" s="79" t="inlineStr">
        <is>
          <t xml:space="preserve">=</t>
        </is>
      </c>
      <c r="F98" s="72">
        <f>SUM(B98,D98)</f>
        <v>0.333333333333333</v>
      </c>
      <c r="G98" s="68">
        <f>Dataset!O11</f>
        <v>2</v>
      </c>
      <c r="H98" s="72">
        <f>IF(OR(G98=1,G98=2),F98+IF(G98=1,1,-1)*'Parameters'!$B$19*EXP(-F98)/(1+EXP(-F98)),"—")</f>
        <v>0.208104395272028</v>
      </c>
      <c r="I98" s="102">
        <f>I97+IF(G98=1,H98,0)</f>
        <v>1.83424908557856</v>
      </c>
      <c r="J98" s="102">
        <f>J97+IF(G98=2,H98,0)</f>
        <v>0.324313185816083</v>
      </c>
      <c r="K98" s="102">
        <f>IF('Parameters'!$B$24=1,I98/'Parameters'!$B$6,SUMIF($G$90:$G$99,1,$H$90:$H$99)/'Parameters'!$B$6)</f>
        <v>0.458562271394639</v>
      </c>
      <c r="L98" s="102">
        <f>IF('Parameters'!$B$24=1,J98/'Parameters'!$B$7,SUMIF($G$90:$G$99,2,$H$90:$H$99)/'Parameters'!$B$7)</f>
        <v>0.0540521976360138</v>
      </c>
      <c r="M98" s="72">
        <f>ABS(H98-IF(G98=1,K98,L98))</f>
        <v>0.154052197636014</v>
      </c>
      <c r="N98" s="72">
        <f>ABS(H98-IF(G98=1,L98,K98))</f>
        <v>0.250457876122611</v>
      </c>
    </row>
    <row r="99">
      <c r="A99" s="64" t="inlineStr">
        <is>
          <t xml:space="preserve">b₁₀</t>
        </is>
      </c>
      <c r="B99" s="72">
        <f>$J$14</f>
        <v>0.166666666666667</v>
      </c>
      <c r="C99" s="79" t="inlineStr">
        <is>
          <t xml:space="preserve">+</t>
        </is>
      </c>
      <c r="D99" s="72">
        <f>INDEX('Ψ(r) Contribution &amp; Weight'!$B$27:$G$27,6)</f>
        <v>0.166666666666667</v>
      </c>
      <c r="E99" s="79" t="inlineStr">
        <is>
          <t xml:space="preserve">=</t>
        </is>
      </c>
      <c r="F99" s="72">
        <f>SUM(B99,D99)</f>
        <v>0.333333333333333</v>
      </c>
      <c r="G99" s="68">
        <f>Dataset!O12</f>
        <v>2</v>
      </c>
      <c r="H99" s="72">
        <f>IF(OR(G99=1,G99=2),F99+IF(G99=1,1,-1)*'Parameters'!$B$19*EXP(-F99)/(1+EXP(-F99)),"—")</f>
        <v>0.208104395272028</v>
      </c>
      <c r="I99" s="102">
        <f>I98+IF(G99=1,H99,0)</f>
        <v>1.83424908557856</v>
      </c>
      <c r="J99" s="102">
        <f>J98+IF(G99=2,H99,0)</f>
        <v>0.532417581088111</v>
      </c>
      <c r="K99" s="102">
        <f>IF('Parameters'!$B$24=1,I99/'Parameters'!$B$6,SUMIF($G$90:$G$99,1,$H$90:$H$99)/'Parameters'!$B$6)</f>
        <v>0.458562271394639</v>
      </c>
      <c r="L99" s="102">
        <f>IF('Parameters'!$B$24=1,J99/'Parameters'!$B$7,SUMIF($G$90:$G$99,2,$H$90:$H$99)/'Parameters'!$B$7)</f>
        <v>0.0887362635146851</v>
      </c>
      <c r="M99" s="72">
        <f>ABS(H99-IF(G99=1,K99,L99))</f>
        <v>0.119368131757343</v>
      </c>
      <c r="N99" s="72">
        <f>ABS(H99-IF(G99=1,L99,K99))</f>
        <v>0.250457876122611</v>
      </c>
    </row>
    <row r="100">
      <c r="K100" s="82" t="inlineStr">
        <is>
          <t xml:space="preserve">θ, γ  →</t>
        </is>
      </c>
      <c r="L100" s="82"/>
      <c r="M100" s="85">
        <f>SUM(M90:M99)</f>
        <v>2.00494505405874</v>
      </c>
      <c r="N100" s="85">
        <f>SUM(N90:N99)</f>
        <v>3.78224588258304</v>
      </c>
      <c r="O100" s="82" t="inlineStr">
        <is>
          <t xml:space="preserve">θ / γ</t>
        </is>
      </c>
      <c r="P100" s="92" t="str">
        <f>IF(G$14=1,M100/N100,"—")</f>
        <v>—</v>
      </c>
    </row>
    <row r="101"/>
    <row r="102">
      <c r="H102" s="58" t="inlineStr">
        <is>
          <t xml:space="preserve">STEP 3 · summary  —  cr1 = min θ/γ,  q = argmin θ/γ</t>
        </is>
      </c>
      <c r="I102" s="58"/>
      <c r="J102" s="58"/>
      <c r="K102" s="58"/>
      <c r="L102" s="58"/>
    </row>
    <row r="103">
      <c r="H103" s="60" t="inlineStr">
        <is>
          <t xml:space="preserve">Feature</t>
        </is>
      </c>
      <c r="I103" s="60" t="inlineStr">
        <is>
          <t xml:space="preserve">Available</t>
        </is>
      </c>
      <c r="J103" s="60" t="inlineStr">
        <is>
          <t xml:space="preserve">θ</t>
        </is>
      </c>
      <c r="K103" s="60" t="inlineStr">
        <is>
          <t xml:space="preserve">γ</t>
        </is>
      </c>
      <c r="L103" s="60" t="inlineStr">
        <is>
          <t xml:space="preserve">θ / γ</t>
        </is>
      </c>
    </row>
    <row r="104">
      <c r="H104" s="64" t="inlineStr">
        <is>
          <t xml:space="preserve">a₁</t>
        </is>
      </c>
      <c r="I104" s="89">
        <f>B$14</f>
        <v>1</v>
      </c>
      <c r="J104" s="72">
        <f>IF(I104=1,M30,"—")</f>
        <v>1.90725378777931</v>
      </c>
      <c r="K104" s="72">
        <f>IF(I104=1,N30,"—")</f>
        <v>3.69353989148707</v>
      </c>
      <c r="L104" s="92">
        <f>P30</f>
        <v>0.516375575684231</v>
      </c>
    </row>
    <row r="105">
      <c r="H105" s="64" t="inlineStr">
        <is>
          <t xml:space="preserve">a₂</t>
        </is>
      </c>
      <c r="I105" s="89">
        <f>C$14</f>
        <v>1</v>
      </c>
      <c r="J105" s="72">
        <f>IF(I105=1,M44,"—")</f>
        <v>1.90725378777931</v>
      </c>
      <c r="K105" s="72">
        <f>IF(I105=1,N44,"—")</f>
        <v>3.69353989148707</v>
      </c>
      <c r="L105" s="92">
        <f>P44</f>
        <v>0.516375575684231</v>
      </c>
    </row>
    <row r="106">
      <c r="H106" s="64" t="inlineStr">
        <is>
          <t xml:space="preserve">a₃</t>
        </is>
      </c>
      <c r="I106" s="89">
        <f>D$14</f>
        <v>1</v>
      </c>
      <c r="J106" s="72">
        <f>IF(I106=1,M58,"—")</f>
        <v>1.75747418320135</v>
      </c>
      <c r="K106" s="72">
        <f>IF(I106=1,N58,"—")</f>
        <v>4.10475401228993</v>
      </c>
      <c r="L106" s="92">
        <f>P58</f>
        <v>0.42815578666574</v>
      </c>
    </row>
    <row r="107">
      <c r="H107" s="64" t="inlineStr">
        <is>
          <t xml:space="preserve">a₄</t>
        </is>
      </c>
      <c r="I107" s="89">
        <f>E$14</f>
        <v>1</v>
      </c>
      <c r="J107" s="72">
        <f>IF(I107=1,M72,"—")</f>
        <v>1.90725378777931</v>
      </c>
      <c r="K107" s="72">
        <f>IF(I107=1,N72,"—")</f>
        <v>3.69353989148707</v>
      </c>
      <c r="L107" s="92">
        <f>P72</f>
        <v>0.516375575684231</v>
      </c>
    </row>
    <row r="108">
      <c r="H108" s="64" t="inlineStr">
        <is>
          <t xml:space="preserve">a₅</t>
        </is>
      </c>
      <c r="I108" s="89">
        <f>F$14</f>
        <v>1</v>
      </c>
      <c r="J108" s="72">
        <f>IF(I108=1,M86,"—")</f>
        <v>1.90725378777931</v>
      </c>
      <c r="K108" s="72">
        <f>IF(I108=1,N86,"—")</f>
        <v>3.69353989148707</v>
      </c>
      <c r="L108" s="92">
        <f>P86</f>
        <v>0.516375575684231</v>
      </c>
    </row>
    <row r="109">
      <c r="H109" s="64" t="inlineStr">
        <is>
          <t xml:space="preserve">a₆</t>
        </is>
      </c>
      <c r="I109" s="89">
        <f>G$14</f>
        <v>0</v>
      </c>
      <c r="J109" s="72" t="str">
        <f>IF(I109=1,M100,"—")</f>
        <v>—</v>
      </c>
      <c r="K109" s="72" t="str">
        <f>IF(I109=1,N100,"—")</f>
        <v>—</v>
      </c>
      <c r="L109" s="92" t="str">
        <f>P100</f>
        <v>—</v>
      </c>
    </row>
    <row r="110"/>
    <row r="111">
      <c r="H111" s="82" t="inlineStr">
        <is>
          <t xml:space="preserve">cr1 = min θ/γ</t>
        </is>
      </c>
      <c r="I111" s="82"/>
      <c r="J111" s="85">
        <f>IF(COUNT($L$104:$L$109)=0,"—",IF(MIN($L$104:$L$109)&lt;'Parameters'!$B$22,MIN($L$104:$L$109),'Parameters'!$B$22))</f>
        <v>0.42815578666574</v>
      </c>
    </row>
    <row r="112">
      <c r="H112" s="82" t="inlineStr">
        <is>
          <t xml:space="preserve">q = argmin θ/γ</t>
        </is>
      </c>
      <c r="I112" s="82"/>
      <c r="J112" s="83">
        <f>IF(ISNUMBER(J111),IF(J111&lt;'Parameters'!$B$22,MATCH(J111,$L$104:$L$109,0),"—"),"—")</f>
        <v>3</v>
      </c>
      <c r="K112" s="83" t="str">
        <f>IF(ISNUMBER(J112),"a"&amp;MID("₀₁₂₃₄₅₆₇₈₉",J112+1,1),"—")</f>
        <v>a₃</v>
      </c>
    </row>
    <row r="113"/>
    <row r="114"/>
    <row r="115">
      <c r="A115" s="58" t="inlineStr">
        <is>
          <t xml:space="preserve">STEP 4 — R(Sₜ) ← R(Sₜ) + η_q(a_tq), majorizer  ⇒  latent (additional) feature r₁</t>
        </is>
      </c>
      <c r="B115" s="58"/>
      <c r="C115" s="58"/>
      <c r="D115" s="58"/>
      <c r="E115" s="58"/>
      <c r="F115" s="58"/>
      <c r="G115" s="58"/>
      <c r="H115" s="58"/>
      <c r="I115" s="58"/>
      <c r="K115" s="58" t="inlineStr">
        <is>
          <t xml:space="preserve">STEP 4 · update and stopping rule</t>
        </is>
      </c>
      <c r="L115" s="58"/>
      <c r="M115" s="58"/>
      <c r="N115" s="58"/>
      <c r="O115" s="58"/>
      <c r="P115" s="58"/>
    </row>
    <row r="116">
      <c r="A116" s="60" t="inlineStr">
        <is>
          <t xml:space="preserve">№</t>
        </is>
      </c>
      <c r="B116" s="60" t="inlineStr">
        <is>
          <t xml:space="preserve">R(Sₜ)</t>
        </is>
      </c>
      <c r="C116" s="60" t="inlineStr">
        <is>
          <t xml:space="preserve">+</t>
        </is>
      </c>
      <c r="D116" s="60" t="inlineStr">
        <is>
          <t xml:space="preserve">η_q(a_tq)</t>
        </is>
      </c>
      <c r="E116" s="60" t="inlineStr">
        <is>
          <t xml:space="preserve">=</t>
        </is>
      </c>
      <c r="F116" s="60" t="inlineStr">
        <is>
          <t xml:space="preserve">bₜ = R + η_q</t>
        </is>
      </c>
      <c r="G116" s="60" t="inlineStr">
        <is>
          <t xml:space="preserve">Class</t>
        </is>
      </c>
      <c r="H116" s="111" t="inlineStr">
        <is>
          <t xml:space="preserve">⚠2 bₜ majorized once</t>
        </is>
      </c>
      <c r="I116" s="111" t="inlineStr">
        <is>
          <t xml:space="preserve">⚠2 r₁ = R(Sₜ) new</t>
        </is>
      </c>
      <c r="K116" s="82" t="inlineStr">
        <is>
          <t xml:space="preserve">crit = cr1</t>
        </is>
      </c>
      <c r="L116" s="82"/>
      <c r="M116" s="85">
        <f>IF(AND($D$4=1,ISNUMBER($J$112)),$J$111,$D$8)</f>
        <v>0.42815578666574</v>
      </c>
      <c r="N116" s="85"/>
      <c r="O116" s="85"/>
      <c r="P116" s="85"/>
      <c r="R116" s="112" t="inlineStr">
        <is>
          <t xml:space="preserve">⚠2  STEP 4 (pink columns H–I).  With Parameters!B25 = 2 (default = template) r is the majorizer applied to column H, which is already majorized — twice in total, as in the template cells I222 = H222 ± α·σ(−H222).  The article applies it once to R + η_q (column F) (B25 = 1).  See sheet “Template Deviations”.</t>
        </is>
      </c>
      <c r="S116" s="112"/>
      <c r="T116" s="112"/>
    </row>
    <row r="117">
      <c r="A117" s="64" t="inlineStr">
        <is>
          <t xml:space="preserve">b₁</t>
        </is>
      </c>
      <c r="B117" s="72">
        <f>$J$5</f>
        <v>0.166666666666667</v>
      </c>
      <c r="C117" s="79" t="inlineStr">
        <is>
          <t xml:space="preserve">+</t>
        </is>
      </c>
      <c r="D117" s="72">
        <f>IF(ISNUMBER($J$112),INDEX('Ψ(r) Contribution &amp; Weight'!$B$18:$G$18,$J$112),0)</f>
        <v>0.2</v>
      </c>
      <c r="E117" s="79" t="inlineStr">
        <is>
          <t xml:space="preserve">=</t>
        </is>
      </c>
      <c r="F117" s="72">
        <f>SUM(B117,D117)</f>
        <v>0.366666666666667</v>
      </c>
      <c r="G117" s="68">
        <f>Dataset!O3</f>
        <v>2</v>
      </c>
      <c r="H117" s="109">
        <f>IF(ISNUMBER($J$112),CHOOSE($J$112,H20,H34,H48,H62,H76,H90),"—")</f>
        <v>0.243862651476932</v>
      </c>
      <c r="I117" s="110">
        <f>IF(AND($D$4=1,ISNUMBER($J$112)),IF('Parameters'!$B$25=2,H117+IF(G117=1,1,-1)*'Parameters'!$B$19*EXP(-H117)/(1+EXP(-H117)),F117+IF(G117=1,1,-1)*'Parameters'!$B$19*EXP(-F117)/(1+EXP(-F117))),"—")</f>
        <v>0.112062246971304</v>
      </c>
      <c r="K117" s="82" t="inlineStr">
        <is>
          <t xml:space="preserve">Feature added q</t>
        </is>
      </c>
      <c r="L117" s="82"/>
      <c r="M117" s="83">
        <f>IF(AND($D$4=1,ISNUMBER($J$112)),$J$112,"—")</f>
        <v>3</v>
      </c>
      <c r="N117" s="83"/>
      <c r="O117" s="83"/>
      <c r="P117" s="83"/>
      <c r="R117" s="112"/>
      <c r="S117" s="112"/>
      <c r="T117" s="112"/>
    </row>
    <row r="118">
      <c r="A118" s="64" t="inlineStr">
        <is>
          <t xml:space="preserve">b₂</t>
        </is>
      </c>
      <c r="B118" s="72">
        <f>$J$6</f>
        <v>0.166666666666667</v>
      </c>
      <c r="C118" s="79" t="inlineStr">
        <is>
          <t xml:space="preserve">+</t>
        </is>
      </c>
      <c r="D118" s="72">
        <f>IF(ISNUMBER($J$112),INDEX('Ψ(r) Contribution &amp; Weight'!$B$19:$G$19,$J$112),0)</f>
        <v>-0.2</v>
      </c>
      <c r="E118" s="79" t="inlineStr">
        <is>
          <t xml:space="preserve">=</t>
        </is>
      </c>
      <c r="F118" s="72">
        <f>SUM(B118,D118)</f>
        <v>-0.0333333333333334</v>
      </c>
      <c r="G118" s="68">
        <f>Dataset!O4</f>
        <v>1</v>
      </c>
      <c r="H118" s="109">
        <f>IF(ISNUMBER($J$112),CHOOSE($J$112,H21,H35,H49,H63,H77,H91),"—")</f>
        <v>0.119166435210902</v>
      </c>
      <c r="I118" s="110">
        <f>IF(AND($D$4=1,ISNUMBER($J$112)),IF('Parameters'!$B$25=2,H118+IF(G118=1,1,-1)*'Parameters'!$B$19*EXP(-H118)/(1+EXP(-H118)),F118+IF(G118=1,1,-1)*'Parameters'!$B$19*EXP(-F118)/(1+EXP(-F118))),"—")</f>
        <v>0.260239514069589</v>
      </c>
      <c r="K118" s="82" t="inlineStr">
        <is>
          <t xml:space="preserve">|TUPLAM| after</t>
        </is>
      </c>
      <c r="L118" s="82"/>
      <c r="M118" s="83">
        <f>$D$7+IF(AND($D$4=1,ISNUMBER($J$112)),1,0)</f>
        <v>2</v>
      </c>
      <c r="N118" s="83"/>
      <c r="O118" s="83"/>
      <c r="P118" s="83"/>
      <c r="R118" s="112"/>
      <c r="S118" s="112"/>
      <c r="T118" s="112"/>
    </row>
    <row r="119">
      <c r="A119" s="64" t="inlineStr">
        <is>
          <t xml:space="preserve">b₃</t>
        </is>
      </c>
      <c r="B119" s="72">
        <f>$J$7</f>
        <v>-0.166666666666667</v>
      </c>
      <c r="C119" s="79" t="inlineStr">
        <is>
          <t xml:space="preserve">+</t>
        </is>
      </c>
      <c r="D119" s="72">
        <f>IF(ISNUMBER($J$112),INDEX('Ψ(r) Contribution &amp; Weight'!$B$20:$G$20,$J$112),0)</f>
        <v>-0.2</v>
      </c>
      <c r="E119" s="79" t="inlineStr">
        <is>
          <t xml:space="preserve">=</t>
        </is>
      </c>
      <c r="F119" s="72">
        <f>SUM(B119,D119)</f>
        <v>-0.366666666666667</v>
      </c>
      <c r="G119" s="68">
        <f>Dataset!O5</f>
        <v>2</v>
      </c>
      <c r="H119" s="109">
        <f>IF(ISNUMBER($J$112),CHOOSE($J$112,H22,H36,H50,H64,H78,H92),"—")</f>
        <v>-0.543862651476933</v>
      </c>
      <c r="I119" s="110">
        <f>IF(AND($D$4=1,ISNUMBER($J$112)),IF('Parameters'!$B$25=2,H119+IF(G119=1,1,-1)*'Parameters'!$B$19*EXP(-H119)/(1+EXP(-H119)),F119+IF(G119=1,1,-1)*'Parameters'!$B$19*EXP(-F119)/(1+EXP(-F119))),"—")</f>
        <v>-0.733675804638555</v>
      </c>
      <c r="K119" s="82" t="inlineStr">
        <is>
          <t xml:space="preserve">TUPLAM after</t>
        </is>
      </c>
      <c r="L119" s="82"/>
      <c r="M119" s="84" t="str">
        <f>IF(AND($D$4=1,ISNUMBER($J$112)),LEFT($D$6,LEN($D$6)-1)&amp;", "&amp;"a"&amp;MID("₀₁₂₃₄₅₆₇₈₉",$J$112+1,1)&amp;"}",$D$6)</f>
        <v>{a₆, a₃}</v>
      </c>
      <c r="N119" s="84"/>
      <c r="O119" s="84"/>
      <c r="P119" s="84"/>
      <c r="R119" s="112"/>
      <c r="S119" s="112"/>
      <c r="T119" s="112"/>
    </row>
    <row r="120">
      <c r="A120" s="64" t="inlineStr">
        <is>
          <t xml:space="preserve">b₄</t>
        </is>
      </c>
      <c r="B120" s="72">
        <f>$J$8</f>
        <v>0.166666666666667</v>
      </c>
      <c r="C120" s="79" t="inlineStr">
        <is>
          <t xml:space="preserve">+</t>
        </is>
      </c>
      <c r="D120" s="72">
        <f>IF(ISNUMBER($J$112),INDEX('Ψ(r) Contribution &amp; Weight'!$B$21:$G$21,$J$112),0)</f>
        <v>0.2</v>
      </c>
      <c r="E120" s="79" t="inlineStr">
        <is>
          <t xml:space="preserve">=</t>
        </is>
      </c>
      <c r="F120" s="72">
        <f>SUM(B120,D120)</f>
        <v>0.366666666666667</v>
      </c>
      <c r="G120" s="68">
        <f>Dataset!O6</f>
        <v>1</v>
      </c>
      <c r="H120" s="109">
        <f>IF(ISNUMBER($J$112),CHOOSE($J$112,H23,H37,H51,H65,H79,H93),"—")</f>
        <v>0.489470681856401</v>
      </c>
      <c r="I120" s="110">
        <f>IF(AND($D$4=1,ISNUMBER($J$112)),IF('Parameters'!$B$25=2,H120+IF(G120=1,1,-1)*'Parameters'!$B$19*EXP(-H120)/(1+EXP(-H120)),F120+IF(G120=1,1,-1)*'Parameters'!$B$19*EXP(-F120)/(1+EXP(-F120))),"—")</f>
        <v>0.603476162679314</v>
      </c>
      <c r="K120" s="82" t="inlineStr">
        <is>
          <t xml:space="preserve">|P| after</t>
        </is>
      </c>
      <c r="L120" s="82"/>
      <c r="M120" s="83">
        <f>$D$10-IF(AND($D$4=1,ISNUMBER($J$112)),1,0)</f>
        <v>4</v>
      </c>
      <c r="N120" s="83"/>
      <c r="O120" s="83"/>
      <c r="P120" s="83"/>
      <c r="R120" s="112"/>
      <c r="S120" s="112"/>
      <c r="T120" s="112"/>
    </row>
    <row r="121">
      <c r="A121" s="64" t="inlineStr">
        <is>
          <t xml:space="preserve">b₅</t>
        </is>
      </c>
      <c r="B121" s="72">
        <f>$J$9</f>
        <v>0.166666666666667</v>
      </c>
      <c r="C121" s="79" t="inlineStr">
        <is>
          <t xml:space="preserve">+</t>
        </is>
      </c>
      <c r="D121" s="72">
        <f>IF(ISNUMBER($J$112),INDEX('Ψ(r) Contribution &amp; Weight'!$B$22:$G$22,$J$112),0)</f>
        <v>0.2</v>
      </c>
      <c r="E121" s="79" t="inlineStr">
        <is>
          <t xml:space="preserve">=</t>
        </is>
      </c>
      <c r="F121" s="72">
        <f>SUM(B121,D121)</f>
        <v>0.366666666666667</v>
      </c>
      <c r="G121" s="68">
        <f>Dataset!O7</f>
        <v>1</v>
      </c>
      <c r="H121" s="109">
        <f>IF(ISNUMBER($J$112),CHOOSE($J$112,H24,H38,H52,H66,H80,H94),"—")</f>
        <v>0.489470681856401</v>
      </c>
      <c r="I121" s="110">
        <f>IF(AND($D$4=1,ISNUMBER($J$112)),IF('Parameters'!$B$25=2,H121+IF(G121=1,1,-1)*'Parameters'!$B$19*EXP(-H121)/(1+EXP(-H121)),F121+IF(G121=1,1,-1)*'Parameters'!$B$19*EXP(-F121)/(1+EXP(-F121))),"—")</f>
        <v>0.603476162679314</v>
      </c>
      <c r="K121" s="82" t="inlineStr">
        <is>
          <t xml:space="preserve">δ</t>
        </is>
      </c>
      <c r="L121" s="82"/>
      <c r="M121" s="83">
        <f>'Parameters'!$B$20</f>
        <v>0.1</v>
      </c>
      <c r="N121" s="83"/>
      <c r="O121" s="83"/>
      <c r="P121" s="83"/>
      <c r="R121" s="112"/>
      <c r="S121" s="112"/>
      <c r="T121" s="112"/>
    </row>
    <row r="122">
      <c r="A122" s="64" t="inlineStr">
        <is>
          <t xml:space="preserve">b₆</t>
        </is>
      </c>
      <c r="B122" s="72">
        <f>$J$10</f>
        <v>0.166666666666667</v>
      </c>
      <c r="C122" s="79" t="inlineStr">
        <is>
          <t xml:space="preserve">+</t>
        </is>
      </c>
      <c r="D122" s="72">
        <f>IF(ISNUMBER($J$112),INDEX('Ψ(r) Contribution &amp; Weight'!$B$23:$G$23,$J$112),0)</f>
        <v>-0.2</v>
      </c>
      <c r="E122" s="79" t="inlineStr">
        <is>
          <t xml:space="preserve">=</t>
        </is>
      </c>
      <c r="F122" s="72">
        <f>SUM(B122,D122)</f>
        <v>-0.0333333333333334</v>
      </c>
      <c r="G122" s="68">
        <f>Dataset!O8</f>
        <v>1</v>
      </c>
      <c r="H122" s="109">
        <f>IF(ISNUMBER($J$112),CHOOSE($J$112,H25,H39,H53,H67,H81,H95),"—")</f>
        <v>0.119166435210902</v>
      </c>
      <c r="I122" s="110">
        <f>IF(AND($D$4=1,ISNUMBER($J$112)),IF('Parameters'!$B$25=2,H122+IF(G122=1,1,-1)*'Parameters'!$B$19*EXP(-H122)/(1+EXP(-H122)),F122+IF(G122=1,1,-1)*'Parameters'!$B$19*EXP(-F122)/(1+EXP(-F122))),"—")</f>
        <v>0.260239514069589</v>
      </c>
      <c r="K122" s="82" t="inlineStr">
        <is>
          <t xml:space="preserve">ϰ</t>
        </is>
      </c>
      <c r="L122" s="82"/>
      <c r="M122" s="83">
        <f>'Parameters'!$B$21</f>
        <v>5</v>
      </c>
      <c r="N122" s="83"/>
      <c r="O122" s="83"/>
      <c r="P122" s="83"/>
      <c r="R122" s="112"/>
      <c r="S122" s="112"/>
      <c r="T122" s="112"/>
    </row>
    <row r="123">
      <c r="A123" s="64" t="inlineStr">
        <is>
          <t xml:space="preserve">b₇</t>
        </is>
      </c>
      <c r="B123" s="72">
        <f>$J$11</f>
        <v>0.166666666666667</v>
      </c>
      <c r="C123" s="79" t="inlineStr">
        <is>
          <t xml:space="preserve">+</t>
        </is>
      </c>
      <c r="D123" s="72">
        <f>IF(ISNUMBER($J$112),INDEX('Ψ(r) Contribution &amp; Weight'!$B$24:$G$24,$J$112),0)</f>
        <v>-0.2</v>
      </c>
      <c r="E123" s="79" t="inlineStr">
        <is>
          <t xml:space="preserve">=</t>
        </is>
      </c>
      <c r="F123" s="72">
        <f>SUM(B123,D123)</f>
        <v>-0.0333333333333334</v>
      </c>
      <c r="G123" s="68">
        <f>Dataset!O9</f>
        <v>2</v>
      </c>
      <c r="H123" s="109">
        <f>IF(ISNUMBER($J$112),CHOOSE($J$112,H26,H40,H54,H68,H82,H96),"—")</f>
        <v>-0.185833101877569</v>
      </c>
      <c r="I123" s="110">
        <f>IF(AND($D$4=1,ISNUMBER($J$112)),IF('Parameters'!$B$25=2,H123+IF(G123=1,1,-1)*'Parameters'!$B$19*EXP(-H123)/(1+EXP(-H123)),F123+IF(G123=1,1,-1)*'Parameters'!$B$19*EXP(-F123)/(1+EXP(-F123))),"—")</f>
        <v>-0.34973061286611</v>
      </c>
      <c r="K123" s="82" t="inlineStr">
        <is>
          <t xml:space="preserve">if (|TUPLAM| &lt; ϰ) &amp; (crit &gt; δ)</t>
        </is>
      </c>
      <c r="L123" s="82"/>
      <c r="M123" s="88">
        <f>IF(AND(AND($D$4=1,ISNUMBER($J$112)),$M$118&lt;'Parameters'!$B$21,$M$116&gt;'Parameters'!$B$20,$M$120&gt;0),1,0)</f>
        <v>1</v>
      </c>
      <c r="N123" s="88"/>
      <c r="O123" s="88"/>
      <c r="P123" s="88"/>
      <c r="R123" s="112"/>
      <c r="S123" s="112"/>
      <c r="T123" s="112"/>
    </row>
    <row r="124">
      <c r="A124" s="64" t="inlineStr">
        <is>
          <t xml:space="preserve">b₈</t>
        </is>
      </c>
      <c r="B124" s="72">
        <f>$J$12</f>
        <v>0.166666666666667</v>
      </c>
      <c r="C124" s="79" t="inlineStr">
        <is>
          <t xml:space="preserve">+</t>
        </is>
      </c>
      <c r="D124" s="72">
        <f>IF(ISNUMBER($J$112),INDEX('Ψ(r) Contribution &amp; Weight'!$B$25:$G$25,$J$112),0)</f>
        <v>-0.2</v>
      </c>
      <c r="E124" s="79" t="inlineStr">
        <is>
          <t xml:space="preserve">=</t>
        </is>
      </c>
      <c r="F124" s="72">
        <f>SUM(B124,D124)</f>
        <v>-0.0333333333333334</v>
      </c>
      <c r="G124" s="68">
        <f>Dataset!O10</f>
        <v>2</v>
      </c>
      <c r="H124" s="109">
        <f>IF(ISNUMBER($J$112),CHOOSE($J$112,H27,H41,H55,H69,H83,H97),"—")</f>
        <v>-0.185833101877569</v>
      </c>
      <c r="I124" s="110">
        <f>IF(AND($D$4=1,ISNUMBER($J$112)),IF('Parameters'!$B$25=2,H124+IF(G124=1,1,-1)*'Parameters'!$B$19*EXP(-H124)/(1+EXP(-H124)),F124+IF(G124=1,1,-1)*'Parameters'!$B$19*EXP(-F124)/(1+EXP(-F124))),"—")</f>
        <v>-0.34973061286611</v>
      </c>
      <c r="K124" s="96" t="str">
        <f>IF($D$4=0,"Iteration not executed",IF($M$123=1,"Go back to Step 3","Output TUPLAM and stop"))</f>
        <v>Go back to Step 3</v>
      </c>
      <c r="L124" s="96"/>
      <c r="M124" s="96"/>
      <c r="N124" s="96"/>
      <c r="O124" s="96"/>
      <c r="P124" s="96"/>
      <c r="R124" s="112"/>
      <c r="S124" s="112"/>
      <c r="T124" s="112"/>
    </row>
    <row r="125">
      <c r="A125" s="64" t="inlineStr">
        <is>
          <t xml:space="preserve">b₉</t>
        </is>
      </c>
      <c r="B125" s="72">
        <f>$J$13</f>
        <v>0.166666666666667</v>
      </c>
      <c r="C125" s="79" t="inlineStr">
        <is>
          <t xml:space="preserve">+</t>
        </is>
      </c>
      <c r="D125" s="72">
        <f>IF(ISNUMBER($J$112),INDEX('Ψ(r) Contribution &amp; Weight'!$B$26:$G$26,$J$112),0)</f>
        <v>-0.2</v>
      </c>
      <c r="E125" s="79" t="inlineStr">
        <is>
          <t xml:space="preserve">=</t>
        </is>
      </c>
      <c r="F125" s="72">
        <f>SUM(B125,D125)</f>
        <v>-0.0333333333333334</v>
      </c>
      <c r="G125" s="68">
        <f>Dataset!O11</f>
        <v>2</v>
      </c>
      <c r="H125" s="109">
        <f>IF(ISNUMBER($J$112),CHOOSE($J$112,H28,H42,H56,H70,H84,H98),"—")</f>
        <v>-0.185833101877569</v>
      </c>
      <c r="I125" s="110">
        <f>IF(AND($D$4=1,ISNUMBER($J$112)),IF('Parameters'!$B$25=2,H125+IF(G125=1,1,-1)*'Parameters'!$B$19*EXP(-H125)/(1+EXP(-H125)),F125+IF(G125=1,1,-1)*'Parameters'!$B$19*EXP(-F125)/(1+EXP(-F125))),"—")</f>
        <v>-0.34973061286611</v>
      </c>
      <c r="R125" s="112"/>
      <c r="S125" s="112"/>
      <c r="T125" s="112"/>
    </row>
    <row r="126">
      <c r="A126" s="64" t="inlineStr">
        <is>
          <t xml:space="preserve">b₁₀</t>
        </is>
      </c>
      <c r="B126" s="72">
        <f>$J$14</f>
        <v>0.166666666666667</v>
      </c>
      <c r="C126" s="79" t="inlineStr">
        <is>
          <t xml:space="preserve">+</t>
        </is>
      </c>
      <c r="D126" s="72">
        <f>IF(ISNUMBER($J$112),INDEX('Ψ(r) Contribution &amp; Weight'!$B$27:$G$27,$J$112),0)</f>
        <v>-0.2</v>
      </c>
      <c r="E126" s="79" t="inlineStr">
        <is>
          <t xml:space="preserve">=</t>
        </is>
      </c>
      <c r="F126" s="72">
        <f>SUM(B126,D126)</f>
        <v>-0.0333333333333334</v>
      </c>
      <c r="G126" s="68">
        <f>Dataset!O12</f>
        <v>2</v>
      </c>
      <c r="H126" s="109">
        <f>IF(ISNUMBER($J$112),CHOOSE($J$112,H29,H43,H57,H71,H85,H99),"—")</f>
        <v>-0.185833101877569</v>
      </c>
      <c r="I126" s="110">
        <f>IF(AND($D$4=1,ISNUMBER($J$112)),IF('Parameters'!$B$25=2,H126+IF(G126=1,1,-1)*'Parameters'!$B$19*EXP(-H126)/(1+EXP(-H126)),F126+IF(G126=1,1,-1)*'Parameters'!$B$19*EXP(-F126)/(1+EXP(-F126))),"—")</f>
        <v>-0.34973061286611</v>
      </c>
      <c r="K126" s="61" t="inlineStr">
        <is>
          <t xml:space="preserve">Feature</t>
        </is>
      </c>
      <c r="L126" s="60" t="inlineStr">
        <is>
          <t xml:space="preserve">a₁</t>
        </is>
      </c>
      <c r="M126" s="60" t="inlineStr">
        <is>
          <t xml:space="preserve">a₂</t>
        </is>
      </c>
      <c r="N126" s="60" t="inlineStr">
        <is>
          <t xml:space="preserve">a₃</t>
        </is>
      </c>
      <c r="O126" s="60" t="inlineStr">
        <is>
          <t xml:space="preserve">a₄</t>
        </is>
      </c>
      <c r="P126" s="60" t="inlineStr">
        <is>
          <t xml:space="preserve">a₅</t>
        </is>
      </c>
      <c r="Q126" s="60" t="inlineStr">
        <is>
          <t xml:space="preserve">a₆</t>
        </is>
      </c>
      <c r="R126" s="112"/>
      <c r="S126" s="112"/>
      <c r="T126" s="112"/>
    </row>
    <row r="127">
      <c r="K127" s="65" t="inlineStr">
        <is>
          <t xml:space="preserve">In TUPLAM</t>
        </is>
      </c>
      <c r="L127" s="74">
        <f>IF(OR(B$13=1,AND(AND($D$4=1,ISNUMBER($J$112)),$J$112=1)),1,0)</f>
        <v>0</v>
      </c>
      <c r="M127" s="74">
        <f>IF(OR(C$13=1,AND(AND($D$4=1,ISNUMBER($J$112)),$J$112=2)),1,0)</f>
        <v>0</v>
      </c>
      <c r="N127" s="74">
        <f>IF(OR(D$13=1,AND(AND($D$4=1,ISNUMBER($J$112)),$J$112=3)),1,0)</f>
        <v>1</v>
      </c>
      <c r="O127" s="74">
        <f>IF(OR(E$13=1,AND(AND($D$4=1,ISNUMBER($J$112)),$J$112=4)),1,0)</f>
        <v>0</v>
      </c>
      <c r="P127" s="74">
        <f>IF(OR(F$13=1,AND(AND($D$4=1,ISNUMBER($J$112)),$J$112=5)),1,0)</f>
        <v>0</v>
      </c>
      <c r="Q127" s="74">
        <f>IF(OR(G$13=1,AND(AND($D$4=1,ISNUMBER($J$112)),$J$112=6)),1,0)</f>
        <v>1</v>
      </c>
    </row>
    <row r="128">
      <c r="A128" s="99" t="inlineStr">
        <is>
          <t xml:space="preserve">Each candidate block recomputes bₜ with the candidate feature; the one with the smallest θ/γ is added to TUPLAM and its values become the latent feature r₁.</t>
        </is>
      </c>
    </row>
    <row r="129">
      <c r="A129" s="99" t="inlineStr">
        <is>
          <t xml:space="preserve">Parameters α, δ, ϰ, cr1 and the two calculation switches (class centres, STEP 4 passes) are read from the Parameters sheet; the defaults reproduce the template exactly.</t>
        </is>
      </c>
    </row>
  </sheetData>
  <mergeCells count="69">
    <mergeCell ref="A1:T1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I3:K3"/>
    <mergeCell ref="M3:S3"/>
    <mergeCell ref="N4:S4"/>
    <mergeCell ref="N5:S5"/>
    <mergeCell ref="N6:S6"/>
    <mergeCell ref="N7:S7"/>
    <mergeCell ref="N8:S8"/>
    <mergeCell ref="N9:S9"/>
    <mergeCell ref="N10:S10"/>
    <mergeCell ref="N11:S11"/>
    <mergeCell ref="A16:P16"/>
    <mergeCell ref="A18:N18"/>
    <mergeCell ref="O18:P18"/>
    <mergeCell ref="K30:L30"/>
    <mergeCell ref="A32:N32"/>
    <mergeCell ref="O32:P32"/>
    <mergeCell ref="K44:L44"/>
    <mergeCell ref="A46:N46"/>
    <mergeCell ref="O46:P46"/>
    <mergeCell ref="K58:L58"/>
    <mergeCell ref="A60:N60"/>
    <mergeCell ref="O60:P60"/>
    <mergeCell ref="K72:L72"/>
    <mergeCell ref="A74:N74"/>
    <mergeCell ref="O74:P74"/>
    <mergeCell ref="K86:L86"/>
    <mergeCell ref="A88:N88"/>
    <mergeCell ref="O88:P88"/>
    <mergeCell ref="K100:L100"/>
    <mergeCell ref="R18:T29"/>
    <mergeCell ref="H102:L102"/>
    <mergeCell ref="H111:I111"/>
    <mergeCell ref="H112:I112"/>
    <mergeCell ref="A115:I115"/>
    <mergeCell ref="R116:T126"/>
    <mergeCell ref="K115:P115"/>
    <mergeCell ref="K116:L116"/>
    <mergeCell ref="M116:P116"/>
    <mergeCell ref="K117:L117"/>
    <mergeCell ref="M117:P117"/>
    <mergeCell ref="K118:L118"/>
    <mergeCell ref="M118:P118"/>
    <mergeCell ref="K119:L119"/>
    <mergeCell ref="M119:P119"/>
    <mergeCell ref="K120:L120"/>
    <mergeCell ref="M120:P120"/>
    <mergeCell ref="K121:L121"/>
    <mergeCell ref="M121:P121"/>
    <mergeCell ref="K122:L122"/>
    <mergeCell ref="M122:P122"/>
    <mergeCell ref="K123:L123"/>
    <mergeCell ref="M123:P123"/>
    <mergeCell ref="K124:P124"/>
  </mergeCells>
  <conditionalFormatting sqref="B13:G13">
    <cfRule type="cellIs" dxfId="0" priority="1" operator="equal">
      <formula>1</formula>
    </cfRule>
  </conditionalFormatting>
  <conditionalFormatting sqref="H104:L109">
    <cfRule type="expression" dxfId="0" priority="2">
      <formula>ROW()-103=$J$112</formula>
    </cfRule>
  </conditionalFormatting>
  <conditionalFormatting sqref="L127:Q127">
    <cfRule type="cellIs" dxfId="0" priority="3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T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8.77734375" customWidth="1"/>
    <col min="2" max="2" width="13.77734375" customWidth="1"/>
    <col min="3" max="3" width="4.77734375" customWidth="1"/>
    <col min="4" max="4" width="13.77734375" customWidth="1"/>
    <col min="5" max="5" width="4.77734375" customWidth="1"/>
    <col min="6" max="6" width="13.77734375" customWidth="1"/>
    <col min="7" max="7" width="9.77734375" customWidth="1"/>
    <col min="8" max="17" width="14.77734375" customWidth="1"/>
    <col min="18" max="20" width="16.77734375" customWidth="1"/>
  </cols>
  <sheetData>
    <row r="1" ht="20" customHeight="1">
      <c r="A1" s="57" t="inlineStr">
        <is>
          <t xml:space="preserve">Step 9.2 · Hierarchical agglomerative grouping — greedy search upon weight  →  latent (additional) feature r₂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/>
    <row r="3">
      <c r="A3" s="58" t="inlineStr">
        <is>
          <t xml:space="preserve">State before iteration 2</t>
        </is>
      </c>
      <c r="B3" s="58"/>
      <c r="C3" s="58"/>
      <c r="D3" s="58"/>
      <c r="E3" s="58"/>
      <c r="F3" s="58"/>
      <c r="G3" s="58"/>
      <c r="I3" s="58" t="inlineStr">
        <is>
          <t xml:space="preserve">R(Sₜ) entering this iteration</t>
        </is>
      </c>
      <c r="J3" s="58"/>
      <c r="K3" s="58"/>
      <c r="M3" s="58" t="inlineStr">
        <is>
          <t xml:space="preserve">Definitions  ·  parameters (Parameters sheet)</t>
        </is>
      </c>
      <c r="N3" s="58"/>
      <c r="O3" s="58"/>
      <c r="P3" s="58"/>
      <c r="Q3" s="58"/>
      <c r="R3" s="58"/>
      <c r="S3" s="58"/>
    </row>
    <row r="4">
      <c r="A4" s="82" t="inlineStr">
        <is>
          <t xml:space="preserve">Iteration executed</t>
        </is>
      </c>
      <c r="B4" s="82"/>
      <c r="C4" s="82"/>
      <c r="D4" s="88">
        <f>'Greedy upon Weight (1-Latent)'!$M$123</f>
        <v>1</v>
      </c>
      <c r="E4" s="88"/>
      <c r="F4" s="88"/>
      <c r="G4" s="88"/>
      <c r="I4" s="60" t="inlineStr">
        <is>
          <t xml:space="preserve">№</t>
        </is>
      </c>
      <c r="J4" s="60" t="inlineStr">
        <is>
          <t xml:space="preserve">R(Sₜ)</t>
        </is>
      </c>
      <c r="K4" s="60" t="inlineStr">
        <is>
          <t xml:space="preserve">Class</t>
        </is>
      </c>
      <c r="M4" s="82" t="inlineStr">
        <is>
          <t xml:space="preserve">R(Sₜ)</t>
        </is>
      </c>
      <c r="N4" s="100" t="inlineStr">
        <is>
          <t xml:space="preserve">η_u(a_tu) of the first feature (STEP 2), then the latent feature of the previous iteration</t>
        </is>
      </c>
      <c r="O4" s="100"/>
      <c r="P4" s="100"/>
      <c r="Q4" s="100"/>
      <c r="R4" s="100"/>
      <c r="S4" s="100"/>
    </row>
    <row r="5">
      <c r="A5" s="82" t="inlineStr">
        <is>
          <t xml:space="preserve">Feature added in the previous iteration</t>
        </is>
      </c>
      <c r="B5" s="82"/>
      <c r="C5" s="82"/>
      <c r="D5" s="83">
        <f>'Greedy upon Weight (1-Latent)'!$M$117</f>
        <v>3</v>
      </c>
      <c r="E5" s="83"/>
      <c r="F5" s="83"/>
      <c r="G5" s="83"/>
      <c r="I5" s="64" t="inlineStr">
        <is>
          <t xml:space="preserve">S₁</t>
        </is>
      </c>
      <c r="J5" s="72">
        <f>IF($D$4=1,'Greedy upon Weight (1-Latent)'!$I$117,0)</f>
        <v>0.112062246971304</v>
      </c>
      <c r="K5" s="68">
        <f>Dataset!O3</f>
        <v>2</v>
      </c>
      <c r="M5" s="82" t="inlineStr">
        <is>
          <t xml:space="preserve">bₜ</t>
        </is>
      </c>
      <c r="N5" s="100" t="inlineStr">
        <is>
          <t xml:space="preserve">R(Sₜ) + η_u(a_tu) for a candidate u ∈ P  (STEP 3)</t>
        </is>
      </c>
      <c r="O5" s="100"/>
      <c r="P5" s="100"/>
      <c r="Q5" s="100"/>
      <c r="R5" s="100"/>
      <c r="S5" s="100"/>
    </row>
    <row r="6">
      <c r="A6" s="82" t="inlineStr">
        <is>
          <t xml:space="preserve">TUPLAM before</t>
        </is>
      </c>
      <c r="B6" s="82"/>
      <c r="C6" s="82"/>
      <c r="D6" s="83" t="str">
        <f>'Greedy upon Weight (1-Latent)'!$M$119</f>
        <v>{a₆, a₃}</v>
      </c>
      <c r="E6" s="83"/>
      <c r="F6" s="83"/>
      <c r="G6" s="83"/>
      <c r="I6" s="64" t="inlineStr">
        <is>
          <t xml:space="preserve">S₂</t>
        </is>
      </c>
      <c r="J6" s="72">
        <f>IF($D$4=1,'Greedy upon Weight (1-Latent)'!$I$118,0)</f>
        <v>0.260239514069589</v>
      </c>
      <c r="K6" s="68">
        <f>Dataset!O4</f>
        <v>1</v>
      </c>
      <c r="M6" s="82" t="inlineStr">
        <is>
          <t xml:space="preserve">majorizer</t>
        </is>
      </c>
      <c r="N6" s="100" t="inlineStr">
        <is>
          <t xml:space="preserve">bₜ ← bₜ + α·σ(−bₜ) if Sₜ ∈ K1,  bₜ ← bₜ − α·σ(−bₜ) if Sₜ ∈ K2,  σ(x) = 1/(1 + e^(−x))</t>
        </is>
      </c>
      <c r="O6" s="100"/>
      <c r="P6" s="100"/>
      <c r="Q6" s="100"/>
      <c r="R6" s="100"/>
      <c r="S6" s="100"/>
    </row>
    <row r="7">
      <c r="A7" s="82" t="inlineStr">
        <is>
          <t xml:space="preserve">|TUPLAM| before</t>
        </is>
      </c>
      <c r="B7" s="82"/>
      <c r="C7" s="82"/>
      <c r="D7" s="83">
        <f>'Greedy upon Weight (1-Latent)'!$M$118</f>
        <v>2</v>
      </c>
      <c r="E7" s="83"/>
      <c r="F7" s="83"/>
      <c r="G7" s="83"/>
      <c r="I7" s="64" t="inlineStr">
        <is>
          <t xml:space="preserve">S₃</t>
        </is>
      </c>
      <c r="J7" s="72">
        <f>IF($D$4=1,'Greedy upon Weight (1-Latent)'!$I$119,0)</f>
        <v>-0.733675804638555</v>
      </c>
      <c r="K7" s="68">
        <f>Dataset!O5</f>
        <v>2</v>
      </c>
      <c r="M7" s="82" t="inlineStr">
        <is>
          <t xml:space="preserve">M₁, M₂</t>
        </is>
      </c>
      <c r="N7" s="100" t="inlineStr">
        <is>
          <t xml:space="preserve">class centres: running partial means (mode 1, template cells) or final means Σbₜ/|Kᵢ| (mode 2, article)</t>
        </is>
      </c>
      <c r="O7" s="100"/>
      <c r="P7" s="100"/>
      <c r="Q7" s="100"/>
      <c r="R7" s="100"/>
      <c r="S7" s="100"/>
    </row>
    <row r="8">
      <c r="A8" s="82" t="inlineStr">
        <is>
          <t xml:space="preserve">crit before</t>
        </is>
      </c>
      <c r="B8" s="82"/>
      <c r="C8" s="82"/>
      <c r="D8" s="85">
        <f>'Greedy upon Weight (1-Latent)'!$M$116</f>
        <v>0.42815578666574</v>
      </c>
      <c r="E8" s="85"/>
      <c r="F8" s="85"/>
      <c r="G8" s="85"/>
      <c r="I8" s="64" t="inlineStr">
        <is>
          <t xml:space="preserve">S₄</t>
        </is>
      </c>
      <c r="J8" s="72">
        <f>IF($D$4=1,'Greedy upon Weight (1-Latent)'!$I$120,0)</f>
        <v>0.603476162679314</v>
      </c>
      <c r="K8" s="68">
        <f>Dataset!O6</f>
        <v>1</v>
      </c>
      <c r="M8" s="82" t="inlineStr">
        <is>
          <t xml:space="preserve">θ</t>
        </is>
      </c>
      <c r="N8" s="100" t="inlineStr">
        <is>
          <t xml:space="preserve">intra-class similarity Σ |bₜ − M(own class)|</t>
        </is>
      </c>
      <c r="O8" s="100"/>
      <c r="P8" s="100"/>
      <c r="Q8" s="100"/>
      <c r="R8" s="100"/>
      <c r="S8" s="100"/>
    </row>
    <row r="9">
      <c r="A9" s="82" t="inlineStr">
        <is>
          <t xml:space="preserve">Candidates |P| before</t>
        </is>
      </c>
      <c r="B9" s="82"/>
      <c r="C9" s="82"/>
      <c r="D9" s="83">
        <f>'Greedy upon Weight (1-Latent)'!$M$120</f>
        <v>4</v>
      </c>
      <c r="E9" s="83"/>
      <c r="F9" s="83"/>
      <c r="G9" s="83"/>
      <c r="I9" s="64" t="inlineStr">
        <is>
          <t xml:space="preserve">S₅</t>
        </is>
      </c>
      <c r="J9" s="72">
        <f>IF($D$4=1,'Greedy upon Weight (1-Latent)'!$I$121,0)</f>
        <v>0.603476162679314</v>
      </c>
      <c r="K9" s="68">
        <f>Dataset!O7</f>
        <v>1</v>
      </c>
      <c r="M9" s="82" t="inlineStr">
        <is>
          <t xml:space="preserve">γ</t>
        </is>
      </c>
      <c r="N9" s="100" t="inlineStr">
        <is>
          <t xml:space="preserve">inter-class difference Σ |bₜ − M(other class)|</t>
        </is>
      </c>
      <c r="O9" s="100"/>
      <c r="P9" s="100"/>
      <c r="Q9" s="100"/>
      <c r="R9" s="100"/>
      <c r="S9" s="100"/>
    </row>
    <row r="10">
      <c r="A10" s="82" t="inlineStr">
        <is>
          <t xml:space="preserve">Candidates available now |P|</t>
        </is>
      </c>
      <c r="B10" s="82"/>
      <c r="C10" s="82"/>
      <c r="D10" s="83">
        <f>SUM(B14:G14)</f>
        <v>4</v>
      </c>
      <c r="E10" s="83"/>
      <c r="F10" s="83"/>
      <c r="G10" s="83"/>
      <c r="I10" s="64" t="inlineStr">
        <is>
          <t xml:space="preserve">S₆</t>
        </is>
      </c>
      <c r="J10" s="72">
        <f>IF($D$4=1,'Greedy upon Weight (1-Latent)'!$I$122,0)</f>
        <v>0.260239514069589</v>
      </c>
      <c r="K10" s="68">
        <f>Dataset!O8</f>
        <v>1</v>
      </c>
      <c r="M10" s="82" t="inlineStr">
        <is>
          <t xml:space="preserve">q</t>
        </is>
      </c>
      <c r="N10" s="100" t="inlineStr">
        <is>
          <t xml:space="preserve">argmin θ/γ over the available candidates (first one on ties);  crit = min θ/γ</t>
        </is>
      </c>
      <c r="O10" s="100"/>
      <c r="P10" s="100"/>
      <c r="Q10" s="100"/>
      <c r="R10" s="100"/>
      <c r="S10" s="100"/>
    </row>
    <row r="11">
      <c r="I11" s="64" t="inlineStr">
        <is>
          <t xml:space="preserve">S₇</t>
        </is>
      </c>
      <c r="J11" s="72">
        <f>IF($D$4=1,'Greedy upon Weight (1-Latent)'!$I$123,0)</f>
        <v>-0.34973061286611</v>
      </c>
      <c r="K11" s="68">
        <f>Dataset!O9</f>
        <v>2</v>
      </c>
      <c r="M11" s="82" t="inlineStr">
        <is>
          <t xml:space="preserve">stop</t>
        </is>
      </c>
      <c r="N11" s="100" t="inlineStr">
        <is>
          <t xml:space="preserve">continue while |TUPLAM| &lt; ϰ and crit &gt; δ (and P is not empty)</t>
        </is>
      </c>
      <c r="O11" s="100"/>
      <c r="P11" s="100"/>
      <c r="Q11" s="100"/>
      <c r="R11" s="100"/>
      <c r="S11" s="100"/>
    </row>
    <row r="12">
      <c r="A12" s="61" t="inlineStr">
        <is>
          <t xml:space="preserve">Feature</t>
        </is>
      </c>
      <c r="B12" s="60" t="inlineStr">
        <is>
          <t xml:space="preserve">a₁</t>
        </is>
      </c>
      <c r="C12" s="60" t="inlineStr">
        <is>
          <t xml:space="preserve">a₂</t>
        </is>
      </c>
      <c r="D12" s="60" t="inlineStr">
        <is>
          <t xml:space="preserve">a₃</t>
        </is>
      </c>
      <c r="E12" s="60" t="inlineStr">
        <is>
          <t xml:space="preserve">a₄</t>
        </is>
      </c>
      <c r="F12" s="60" t="inlineStr">
        <is>
          <t xml:space="preserve">a₅</t>
        </is>
      </c>
      <c r="G12" s="60" t="inlineStr">
        <is>
          <t xml:space="preserve">a₆</t>
        </is>
      </c>
      <c r="I12" s="64" t="inlineStr">
        <is>
          <t xml:space="preserve">S₈</t>
        </is>
      </c>
      <c r="J12" s="72">
        <f>IF($D$4=1,'Greedy upon Weight (1-Latent)'!$I$124,0)</f>
        <v>-0.34973061286611</v>
      </c>
      <c r="K12" s="68">
        <f>Dataset!O10</f>
        <v>2</v>
      </c>
      <c r="M12" s="82" t="inlineStr">
        <is>
          <t xml:space="preserve">α</t>
        </is>
      </c>
      <c r="N12" s="83">
        <f>'Parameters'!$B$19</f>
        <v>0.3</v>
      </c>
      <c r="O12" s="82" t="inlineStr">
        <is>
          <t xml:space="preserve">δ</t>
        </is>
      </c>
      <c r="P12" s="83">
        <f>'Parameters'!$B$20</f>
        <v>0.1</v>
      </c>
      <c r="Q12" s="82" t="inlineStr">
        <is>
          <t xml:space="preserve">ϰ</t>
        </is>
      </c>
      <c r="R12" s="83">
        <f>'Parameters'!$B$21</f>
        <v>5</v>
      </c>
    </row>
    <row r="13">
      <c r="A13" s="65" t="inlineStr">
        <is>
          <t xml:space="preserve">In TUPLAM before</t>
        </is>
      </c>
      <c r="B13" s="74">
        <f>'Greedy upon Weight (1-Latent)'!L127</f>
        <v>0</v>
      </c>
      <c r="C13" s="74">
        <f>'Greedy upon Weight (1-Latent)'!M127</f>
        <v>0</v>
      </c>
      <c r="D13" s="74">
        <f>'Greedy upon Weight (1-Latent)'!N127</f>
        <v>1</v>
      </c>
      <c r="E13" s="74">
        <f>'Greedy upon Weight (1-Latent)'!O127</f>
        <v>0</v>
      </c>
      <c r="F13" s="74">
        <f>'Greedy upon Weight (1-Latent)'!P127</f>
        <v>0</v>
      </c>
      <c r="G13" s="74">
        <f>'Greedy upon Weight (1-Latent)'!Q127</f>
        <v>1</v>
      </c>
      <c r="I13" s="64" t="inlineStr">
        <is>
          <t xml:space="preserve">S₉</t>
        </is>
      </c>
      <c r="J13" s="72">
        <f>IF($D$4=1,'Greedy upon Weight (1-Latent)'!$I$125,0)</f>
        <v>-0.34973061286611</v>
      </c>
      <c r="K13" s="68">
        <f>Dataset!O11</f>
        <v>2</v>
      </c>
      <c r="M13" s="82" t="inlineStr">
        <is>
          <t xml:space="preserve">centres</t>
        </is>
      </c>
      <c r="N13" s="83">
        <f>'Parameters'!$B$24</f>
        <v>1</v>
      </c>
      <c r="O13" s="82" t="inlineStr">
        <is>
          <t xml:space="preserve">passes</t>
        </is>
      </c>
      <c r="P13" s="83">
        <f>'Parameters'!$B$25</f>
        <v>2</v>
      </c>
      <c r="Q13" s="82" t="inlineStr">
        <is>
          <t xml:space="preserve">cr1₀</t>
        </is>
      </c>
      <c r="R13" s="83">
        <f>'Parameters'!$B$22</f>
        <v>10</v>
      </c>
    </row>
    <row r="14">
      <c r="A14" s="65" t="inlineStr">
        <is>
          <t xml:space="preserve">Available in P</t>
        </is>
      </c>
      <c r="B14" s="74">
        <f>IF(AND($D$4=1,B13=0),1,0)</f>
        <v>1</v>
      </c>
      <c r="C14" s="74">
        <f>IF(AND($D$4=1,C13=0),1,0)</f>
        <v>1</v>
      </c>
      <c r="D14" s="74">
        <f>IF(AND($D$4=1,D13=0),1,0)</f>
        <v>0</v>
      </c>
      <c r="E14" s="74">
        <f>IF(AND($D$4=1,E13=0),1,0)</f>
        <v>1</v>
      </c>
      <c r="F14" s="74">
        <f>IF(AND($D$4=1,F13=0),1,0)</f>
        <v>1</v>
      </c>
      <c r="G14" s="74">
        <f>IF(AND($D$4=1,G13=0),1,0)</f>
        <v>0</v>
      </c>
      <c r="I14" s="64" t="inlineStr">
        <is>
          <t xml:space="preserve">S₁₀</t>
        </is>
      </c>
      <c r="J14" s="72">
        <f>IF($D$4=1,'Greedy upon Weight (1-Latent)'!$I$126,0)</f>
        <v>-0.34973061286611</v>
      </c>
      <c r="K14" s="68">
        <f>Dataset!O12</f>
        <v>2</v>
      </c>
    </row>
    <row r="15"/>
    <row r="16">
      <c r="A16" s="58" t="inlineStr">
        <is>
          <t xml:space="preserve">STEP 3 — try adding each remaining feature:  bₜ = R(Sₜ) + ηᵤ(a_tu),  majorizer,  θ / γ</t>
        </is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</row>
    <row r="17"/>
    <row r="18">
      <c r="A18" s="59" t="str">
        <f>"Candidate a₁  ·  operator ρ  ·  k = "&amp;'Synthetic Features (k-NN)'!$B$4&amp;"   —   bₜ = R(Sₜ) + η₁(a_t₁)"</f>
        <v>Candidate a₁  ·  operator ρ  ·  k = 3   —   bₜ = R(Sₜ) + η₁(a_t₁)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84" t="str">
        <f>IF(B$14=1,"available",IF($D$4=1,"in TUPLAM — skipped","iteration not executed"))</f>
        <v>available</v>
      </c>
      <c r="P18" s="84"/>
      <c r="R18" s="104" t="inlineStr">
        <is>
          <t xml:space="preserve">⚠1  Class centres (orange columns I–L).  With Parameters!B24 = 1 (default = template) M₁ and M₂ in each row are running partial means of the rows above, as in the template cells K32 = I32/COUNTIF($G$32:$G$41,1).  The article uses the final means M = Σbₜ/|K| (B24 = 2).  See sheet “Template Deviations”.</t>
        </is>
      </c>
      <c r="S18" s="104"/>
      <c r="T18" s="104"/>
    </row>
    <row r="19">
      <c r="A19" s="60" t="inlineStr">
        <is>
          <t xml:space="preserve">№</t>
        </is>
      </c>
      <c r="B19" s="60" t="inlineStr">
        <is>
          <t xml:space="preserve">R(Sₜ)</t>
        </is>
      </c>
      <c r="C19" s="60" t="inlineStr">
        <is>
          <t xml:space="preserve">+</t>
        </is>
      </c>
      <c r="D19" s="60" t="inlineStr">
        <is>
          <t xml:space="preserve">ηᵤ(a_tu)</t>
        </is>
      </c>
      <c r="E19" s="60" t="inlineStr">
        <is>
          <t xml:space="preserve">=</t>
        </is>
      </c>
      <c r="F19" s="60" t="inlineStr">
        <is>
          <t xml:space="preserve">bₜ</t>
        </is>
      </c>
      <c r="G19" s="60" t="inlineStr">
        <is>
          <t xml:space="preserve">Class</t>
        </is>
      </c>
      <c r="H19" s="60" t="inlineStr">
        <is>
          <t xml:space="preserve">bₜ (majorized)</t>
        </is>
      </c>
      <c r="I19" s="103" t="inlineStr">
        <is>
          <t xml:space="preserve">⚠1 Σ K1 (running)</t>
        </is>
      </c>
      <c r="J19" s="103" t="inlineStr">
        <is>
          <t xml:space="preserve">⚠1 Σ K2 (running)</t>
        </is>
      </c>
      <c r="K19" s="103" t="inlineStr">
        <is>
          <t xml:space="preserve">⚠1 M₁ used</t>
        </is>
      </c>
      <c r="L19" s="103" t="inlineStr">
        <is>
          <t xml:space="preserve">⚠1 M₂ used</t>
        </is>
      </c>
      <c r="M19" s="60" t="inlineStr">
        <is>
          <t xml:space="preserve">|b − M own|</t>
        </is>
      </c>
      <c r="N19" s="60" t="inlineStr">
        <is>
          <t xml:space="preserve">|b − M other|</t>
        </is>
      </c>
      <c r="R19" s="104"/>
      <c r="S19" s="104"/>
      <c r="T19" s="104"/>
    </row>
    <row r="20">
      <c r="A20" s="64" t="inlineStr">
        <is>
          <t xml:space="preserve">b₁</t>
        </is>
      </c>
      <c r="B20" s="72">
        <f>$J$5</f>
        <v>0.112062246971304</v>
      </c>
      <c r="C20" s="79" t="inlineStr">
        <is>
          <t xml:space="preserve">+</t>
        </is>
      </c>
      <c r="D20" s="72">
        <f>INDEX('Ψ(r) Contribution &amp; Weight'!$B$18:$G$18,1)</f>
        <v>0.15</v>
      </c>
      <c r="E20" s="79" t="inlineStr">
        <is>
          <t xml:space="preserve">=</t>
        </is>
      </c>
      <c r="F20" s="72">
        <f>SUM(B20,D20)</f>
        <v>0.262062246971304</v>
      </c>
      <c r="G20" s="68">
        <f>Dataset!O3</f>
        <v>2</v>
      </c>
      <c r="H20" s="72">
        <f>IF(OR(G20=1,G20=2),F20+IF(G20=1,1,-1)*'Parameters'!$B$19*EXP(-F20)/(1+EXP(-F20)),"—")</f>
        <v>0.131605197984028</v>
      </c>
      <c r="I20" s="102">
        <f>IF(G20=1,H20,0)</f>
        <v>0</v>
      </c>
      <c r="J20" s="102">
        <f>IF(G20=2,H20,0)</f>
        <v>0.131605197984028</v>
      </c>
      <c r="K20" s="102">
        <f>IF('Parameters'!$B$24=1,I20/'Parameters'!$B$6,SUMIF($G$20:$G$29,1,$H$20:$H$29)/'Parameters'!$B$6)</f>
        <v>0</v>
      </c>
      <c r="L20" s="102">
        <f>IF('Parameters'!$B$24=1,J20/'Parameters'!$B$7,SUMIF($G$20:$G$29,2,$H$20:$H$29)/'Parameters'!$B$7)</f>
        <v>0.0219341996640047</v>
      </c>
      <c r="M20" s="72">
        <f>ABS(H20-IF(G20=1,K20,L20))</f>
        <v>0.109670998320024</v>
      </c>
      <c r="N20" s="72">
        <f>ABS(H20-IF(G20=1,L20,K20))</f>
        <v>0.131605197984028</v>
      </c>
      <c r="R20" s="104"/>
      <c r="S20" s="104"/>
      <c r="T20" s="104"/>
    </row>
    <row r="21">
      <c r="A21" s="64" t="inlineStr">
        <is>
          <t xml:space="preserve">b₂</t>
        </is>
      </c>
      <c r="B21" s="72">
        <f>$J$6</f>
        <v>0.260239514069589</v>
      </c>
      <c r="C21" s="79" t="inlineStr">
        <is>
          <t xml:space="preserve">+</t>
        </is>
      </c>
      <c r="D21" s="72">
        <f>INDEX('Ψ(r) Contribution &amp; Weight'!$B$19:$G$19,1)</f>
        <v>0.15</v>
      </c>
      <c r="E21" s="79" t="inlineStr">
        <is>
          <t xml:space="preserve">=</t>
        </is>
      </c>
      <c r="F21" s="72">
        <f>SUM(B21,D21)</f>
        <v>0.410239514069589</v>
      </c>
      <c r="G21" s="68">
        <f>Dataset!O4</f>
        <v>1</v>
      </c>
      <c r="H21" s="72">
        <f>IF(OR(G21=1,G21=2),F21+IF(G21=1,1,-1)*'Parameters'!$B$19*EXP(-F21)/(1+EXP(-F21)),"—")</f>
        <v>0.52989592153807</v>
      </c>
      <c r="I21" s="102">
        <f>I20+IF(G21=1,H21,0)</f>
        <v>0.52989592153807</v>
      </c>
      <c r="J21" s="102">
        <f>J20+IF(G21=2,H21,0)</f>
        <v>0.131605197984028</v>
      </c>
      <c r="K21" s="102">
        <f>IF('Parameters'!$B$24=1,I21/'Parameters'!$B$6,SUMIF($G$20:$G$29,1,$H$20:$H$29)/'Parameters'!$B$6)</f>
        <v>0.132473980384518</v>
      </c>
      <c r="L21" s="102">
        <f>IF('Parameters'!$B$24=1,J21/'Parameters'!$B$7,SUMIF($G$20:$G$29,2,$H$20:$H$29)/'Parameters'!$B$7)</f>
        <v>0.0219341996640047</v>
      </c>
      <c r="M21" s="72">
        <f>ABS(H21-IF(G21=1,K21,L21))</f>
        <v>0.397421941153553</v>
      </c>
      <c r="N21" s="72">
        <f>ABS(H21-IF(G21=1,L21,K21))</f>
        <v>0.507961721874066</v>
      </c>
      <c r="R21" s="104"/>
      <c r="S21" s="104"/>
      <c r="T21" s="104"/>
    </row>
    <row r="22">
      <c r="A22" s="64" t="inlineStr">
        <is>
          <t xml:space="preserve">b₃</t>
        </is>
      </c>
      <c r="B22" s="72">
        <f>$J$7</f>
        <v>-0.733675804638555</v>
      </c>
      <c r="C22" s="79" t="inlineStr">
        <is>
          <t xml:space="preserve">+</t>
        </is>
      </c>
      <c r="D22" s="72">
        <f>INDEX('Ψ(r) Contribution &amp; Weight'!$B$20:$G$20,1)</f>
        <v>-0.15</v>
      </c>
      <c r="E22" s="79" t="inlineStr">
        <is>
          <t xml:space="preserve">=</t>
        </is>
      </c>
      <c r="F22" s="72">
        <f>SUM(B22,D22)</f>
        <v>-0.883675804638555</v>
      </c>
      <c r="G22" s="68">
        <f>Dataset!O5</f>
        <v>2</v>
      </c>
      <c r="H22" s="72">
        <f>IF(OR(G22=1,G22=2),F22+IF(G22=1,1,-1)*'Parameters'!$B$19*EXP(-F22)/(1+EXP(-F22)),"—")</f>
        <v>-1.09595081222524</v>
      </c>
      <c r="I22" s="102">
        <f>I21+IF(G22=1,H22,0)</f>
        <v>0.52989592153807</v>
      </c>
      <c r="J22" s="102">
        <f>J21+IF(G22=2,H22,0)</f>
        <v>-0.964345614241207</v>
      </c>
      <c r="K22" s="102">
        <f>IF('Parameters'!$B$24=1,I22/'Parameters'!$B$6,SUMIF($G$20:$G$29,1,$H$20:$H$29)/'Parameters'!$B$6)</f>
        <v>0.132473980384518</v>
      </c>
      <c r="L22" s="102">
        <f>IF('Parameters'!$B$24=1,J22/'Parameters'!$B$7,SUMIF($G$20:$G$29,2,$H$20:$H$29)/'Parameters'!$B$7)</f>
        <v>-0.160724269040201</v>
      </c>
      <c r="M22" s="72">
        <f>ABS(H22-IF(G22=1,K22,L22))</f>
        <v>0.935226543185034</v>
      </c>
      <c r="N22" s="72">
        <f>ABS(H22-IF(G22=1,L22,K22))</f>
        <v>1.22842479260975</v>
      </c>
      <c r="R22" s="104"/>
      <c r="S22" s="104"/>
      <c r="T22" s="104"/>
    </row>
    <row r="23">
      <c r="A23" s="64" t="inlineStr">
        <is>
          <t xml:space="preserve">b₄</t>
        </is>
      </c>
      <c r="B23" s="72">
        <f>$J$8</f>
        <v>0.603476162679314</v>
      </c>
      <c r="C23" s="79" t="inlineStr">
        <is>
          <t xml:space="preserve">+</t>
        </is>
      </c>
      <c r="D23" s="72">
        <f>INDEX('Ψ(r) Contribution &amp; Weight'!$B$21:$G$21,1)</f>
        <v>0.15</v>
      </c>
      <c r="E23" s="79" t="inlineStr">
        <is>
          <t xml:space="preserve">=</t>
        </is>
      </c>
      <c r="F23" s="72">
        <f>SUM(B23,D23)</f>
        <v>0.753476162679314</v>
      </c>
      <c r="G23" s="68">
        <f>Dataset!O6</f>
        <v>1</v>
      </c>
      <c r="H23" s="72">
        <f>IF(OR(G23=1,G23=2),F23+IF(G23=1,1,-1)*'Parameters'!$B$19*EXP(-F23)/(1+EXP(-F23)),"—")</f>
        <v>0.849495463065671</v>
      </c>
      <c r="I23" s="102">
        <f>I22+IF(G23=1,H23,0)</f>
        <v>1.37939138460374</v>
      </c>
      <c r="J23" s="102">
        <f>J22+IF(G23=2,H23,0)</f>
        <v>-0.964345614241207</v>
      </c>
      <c r="K23" s="102">
        <f>IF('Parameters'!$B$24=1,I23/'Parameters'!$B$6,SUMIF($G$20:$G$29,1,$H$20:$H$29)/'Parameters'!$B$6)</f>
        <v>0.344847846150935</v>
      </c>
      <c r="L23" s="102">
        <f>IF('Parameters'!$B$24=1,J23/'Parameters'!$B$7,SUMIF($G$20:$G$29,2,$H$20:$H$29)/'Parameters'!$B$7)</f>
        <v>-0.160724269040201</v>
      </c>
      <c r="M23" s="72">
        <f>ABS(H23-IF(G23=1,K23,L23))</f>
        <v>0.504647616914736</v>
      </c>
      <c r="N23" s="72">
        <f>ABS(H23-IF(G23=1,L23,K23))</f>
        <v>1.01021973210587</v>
      </c>
      <c r="R23" s="104"/>
      <c r="S23" s="104"/>
      <c r="T23" s="104"/>
    </row>
    <row r="24">
      <c r="A24" s="64" t="inlineStr">
        <is>
          <t xml:space="preserve">b₅</t>
        </is>
      </c>
      <c r="B24" s="72">
        <f>$J$9</f>
        <v>0.603476162679314</v>
      </c>
      <c r="C24" s="79" t="inlineStr">
        <is>
          <t xml:space="preserve">+</t>
        </is>
      </c>
      <c r="D24" s="72">
        <f>INDEX('Ψ(r) Contribution &amp; Weight'!$B$22:$G$22,1)</f>
        <v>0.15</v>
      </c>
      <c r="E24" s="79" t="inlineStr">
        <is>
          <t xml:space="preserve">=</t>
        </is>
      </c>
      <c r="F24" s="72">
        <f>SUM(B24,D24)</f>
        <v>0.753476162679314</v>
      </c>
      <c r="G24" s="68">
        <f>Dataset!O7</f>
        <v>1</v>
      </c>
      <c r="H24" s="72">
        <f>IF(OR(G24=1,G24=2),F24+IF(G24=1,1,-1)*'Parameters'!$B$19*EXP(-F24)/(1+EXP(-F24)),"—")</f>
        <v>0.849495463065671</v>
      </c>
      <c r="I24" s="102">
        <f>I23+IF(G24=1,H24,0)</f>
        <v>2.22888684766941</v>
      </c>
      <c r="J24" s="102">
        <f>J23+IF(G24=2,H24,0)</f>
        <v>-0.964345614241207</v>
      </c>
      <c r="K24" s="102">
        <f>IF('Parameters'!$B$24=1,I24/'Parameters'!$B$6,SUMIF($G$20:$G$29,1,$H$20:$H$29)/'Parameters'!$B$6)</f>
        <v>0.557221711917353</v>
      </c>
      <c r="L24" s="102">
        <f>IF('Parameters'!$B$24=1,J24/'Parameters'!$B$7,SUMIF($G$20:$G$29,2,$H$20:$H$29)/'Parameters'!$B$7)</f>
        <v>-0.160724269040201</v>
      </c>
      <c r="M24" s="72">
        <f>ABS(H24-IF(G24=1,K24,L24))</f>
        <v>0.292273751148318</v>
      </c>
      <c r="N24" s="72">
        <f>ABS(H24-IF(G24=1,L24,K24))</f>
        <v>1.01021973210587</v>
      </c>
      <c r="R24" s="104"/>
      <c r="S24" s="104"/>
      <c r="T24" s="104"/>
    </row>
    <row r="25">
      <c r="A25" s="64" t="inlineStr">
        <is>
          <t xml:space="preserve">b₆</t>
        </is>
      </c>
      <c r="B25" s="72">
        <f>$J$10</f>
        <v>0.260239514069589</v>
      </c>
      <c r="C25" s="79" t="inlineStr">
        <is>
          <t xml:space="preserve">+</t>
        </is>
      </c>
      <c r="D25" s="72">
        <f>INDEX('Ψ(r) Contribution &amp; Weight'!$B$23:$G$23,1)</f>
        <v>0.15</v>
      </c>
      <c r="E25" s="79" t="inlineStr">
        <is>
          <t xml:space="preserve">=</t>
        </is>
      </c>
      <c r="F25" s="72">
        <f>SUM(B25,D25)</f>
        <v>0.410239514069589</v>
      </c>
      <c r="G25" s="68">
        <f>Dataset!O8</f>
        <v>1</v>
      </c>
      <c r="H25" s="72">
        <f>IF(OR(G25=1,G25=2),F25+IF(G25=1,1,-1)*'Parameters'!$B$19*EXP(-F25)/(1+EXP(-F25)),"—")</f>
        <v>0.52989592153807</v>
      </c>
      <c r="I25" s="102">
        <f>I24+IF(G25=1,H25,0)</f>
        <v>2.75878276920748</v>
      </c>
      <c r="J25" s="102">
        <f>J24+IF(G25=2,H25,0)</f>
        <v>-0.964345614241207</v>
      </c>
      <c r="K25" s="102">
        <f>IF('Parameters'!$B$24=1,I25/'Parameters'!$B$6,SUMIF($G$20:$G$29,1,$H$20:$H$29)/'Parameters'!$B$6)</f>
        <v>0.689695692301871</v>
      </c>
      <c r="L25" s="102">
        <f>IF('Parameters'!$B$24=1,J25/'Parameters'!$B$7,SUMIF($G$20:$G$29,2,$H$20:$H$29)/'Parameters'!$B$7)</f>
        <v>-0.160724269040201</v>
      </c>
      <c r="M25" s="72">
        <f>ABS(H25-IF(G25=1,K25,L25))</f>
        <v>0.1597997707638</v>
      </c>
      <c r="N25" s="72">
        <f>ABS(H25-IF(G25=1,L25,K25))</f>
        <v>0.690620190578272</v>
      </c>
      <c r="R25" s="104"/>
      <c r="S25" s="104"/>
      <c r="T25" s="104"/>
    </row>
    <row r="26">
      <c r="A26" s="64" t="inlineStr">
        <is>
          <t xml:space="preserve">b₇</t>
        </is>
      </c>
      <c r="B26" s="72">
        <f>$J$11</f>
        <v>-0.34973061286611</v>
      </c>
      <c r="C26" s="79" t="inlineStr">
        <is>
          <t xml:space="preserve">+</t>
        </is>
      </c>
      <c r="D26" s="72">
        <f>INDEX('Ψ(r) Contribution &amp; Weight'!$B$24:$G$24,1)</f>
        <v>0.15</v>
      </c>
      <c r="E26" s="79" t="inlineStr">
        <is>
          <t xml:space="preserve">=</t>
        </is>
      </c>
      <c r="F26" s="72">
        <f>SUM(B26,D26)</f>
        <v>-0.19973061286611</v>
      </c>
      <c r="G26" s="68">
        <f>Dataset!O9</f>
        <v>2</v>
      </c>
      <c r="H26" s="72">
        <f>IF(OR(G26=1,G26=2),F26+IF(G26=1,1,-1)*'Parameters'!$B$19*EXP(-F26)/(1+EXP(-F26)),"—")</f>
        <v>-0.364660808457399</v>
      </c>
      <c r="I26" s="102">
        <f>I25+IF(G26=1,H26,0)</f>
        <v>2.75878276920748</v>
      </c>
      <c r="J26" s="102">
        <f>J25+IF(G26=2,H26,0)</f>
        <v>-1.32900642269861</v>
      </c>
      <c r="K26" s="102">
        <f>IF('Parameters'!$B$24=1,I26/'Parameters'!$B$6,SUMIF($G$20:$G$29,1,$H$20:$H$29)/'Parameters'!$B$6)</f>
        <v>0.689695692301871</v>
      </c>
      <c r="L26" s="102">
        <f>IF('Parameters'!$B$24=1,J26/'Parameters'!$B$7,SUMIF($G$20:$G$29,2,$H$20:$H$29)/'Parameters'!$B$7)</f>
        <v>-0.221501070449768</v>
      </c>
      <c r="M26" s="72">
        <f>ABS(H26-IF(G26=1,K26,L26))</f>
        <v>0.143159738007631</v>
      </c>
      <c r="N26" s="72">
        <f>ABS(H26-IF(G26=1,L26,K26))</f>
        <v>1.05435650075927</v>
      </c>
      <c r="R26" s="104"/>
      <c r="S26" s="104"/>
      <c r="T26" s="104"/>
    </row>
    <row r="27">
      <c r="A27" s="64" t="inlineStr">
        <is>
          <t xml:space="preserve">b₈</t>
        </is>
      </c>
      <c r="B27" s="72">
        <f>$J$12</f>
        <v>-0.34973061286611</v>
      </c>
      <c r="C27" s="79" t="inlineStr">
        <is>
          <t xml:space="preserve">+</t>
        </is>
      </c>
      <c r="D27" s="72">
        <f>INDEX('Ψ(r) Contribution &amp; Weight'!$B$25:$G$25,1)</f>
        <v>0.15</v>
      </c>
      <c r="E27" s="79" t="inlineStr">
        <is>
          <t xml:space="preserve">=</t>
        </is>
      </c>
      <c r="F27" s="72">
        <f>SUM(B27,D27)</f>
        <v>-0.19973061286611</v>
      </c>
      <c r="G27" s="68">
        <f>Dataset!O10</f>
        <v>2</v>
      </c>
      <c r="H27" s="72">
        <f>IF(OR(G27=1,G27=2),F27+IF(G27=1,1,-1)*'Parameters'!$B$19*EXP(-F27)/(1+EXP(-F27)),"—")</f>
        <v>-0.364660808457399</v>
      </c>
      <c r="I27" s="102">
        <f>I26+IF(G27=1,H27,0)</f>
        <v>2.75878276920748</v>
      </c>
      <c r="J27" s="102">
        <f>J26+IF(G27=2,H27,0)</f>
        <v>-1.693667231156</v>
      </c>
      <c r="K27" s="102">
        <f>IF('Parameters'!$B$24=1,I27/'Parameters'!$B$6,SUMIF($G$20:$G$29,1,$H$20:$H$29)/'Parameters'!$B$6)</f>
        <v>0.689695692301871</v>
      </c>
      <c r="L27" s="102">
        <f>IF('Parameters'!$B$24=1,J27/'Parameters'!$B$7,SUMIF($G$20:$G$29,2,$H$20:$H$29)/'Parameters'!$B$7)</f>
        <v>-0.282277871859334</v>
      </c>
      <c r="M27" s="72">
        <f>ABS(H27-IF(G27=1,K27,L27))</f>
        <v>0.0823829365980648</v>
      </c>
      <c r="N27" s="72">
        <f>ABS(H27-IF(G27=1,L27,K27))</f>
        <v>1.05435650075927</v>
      </c>
      <c r="R27" s="104"/>
      <c r="S27" s="104"/>
      <c r="T27" s="104"/>
    </row>
    <row r="28">
      <c r="A28" s="64" t="inlineStr">
        <is>
          <t xml:space="preserve">b₉</t>
        </is>
      </c>
      <c r="B28" s="72">
        <f>$J$13</f>
        <v>-0.34973061286611</v>
      </c>
      <c r="C28" s="79" t="inlineStr">
        <is>
          <t xml:space="preserve">+</t>
        </is>
      </c>
      <c r="D28" s="72">
        <f>INDEX('Ψ(r) Contribution &amp; Weight'!$B$26:$G$26,1)</f>
        <v>0.15</v>
      </c>
      <c r="E28" s="79" t="inlineStr">
        <is>
          <t xml:space="preserve">=</t>
        </is>
      </c>
      <c r="F28" s="72">
        <f>SUM(B28,D28)</f>
        <v>-0.19973061286611</v>
      </c>
      <c r="G28" s="68">
        <f>Dataset!O11</f>
        <v>2</v>
      </c>
      <c r="H28" s="72">
        <f>IF(OR(G28=1,G28=2),F28+IF(G28=1,1,-1)*'Parameters'!$B$19*EXP(-F28)/(1+EXP(-F28)),"—")</f>
        <v>-0.364660808457399</v>
      </c>
      <c r="I28" s="102">
        <f>I27+IF(G28=1,H28,0)</f>
        <v>2.75878276920748</v>
      </c>
      <c r="J28" s="102">
        <f>J27+IF(G28=2,H28,0)</f>
        <v>-2.0583280396134</v>
      </c>
      <c r="K28" s="102">
        <f>IF('Parameters'!$B$24=1,I28/'Parameters'!$B$6,SUMIF($G$20:$G$29,1,$H$20:$H$29)/'Parameters'!$B$6)</f>
        <v>0.689695692301871</v>
      </c>
      <c r="L28" s="102">
        <f>IF('Parameters'!$B$24=1,J28/'Parameters'!$B$7,SUMIF($G$20:$G$29,2,$H$20:$H$29)/'Parameters'!$B$7)</f>
        <v>-0.343054673268901</v>
      </c>
      <c r="M28" s="72">
        <f>ABS(H28-IF(G28=1,K28,L28))</f>
        <v>0.0216061351884983</v>
      </c>
      <c r="N28" s="72">
        <f>ABS(H28-IF(G28=1,L28,K28))</f>
        <v>1.05435650075927</v>
      </c>
      <c r="R28" s="104"/>
      <c r="S28" s="104"/>
      <c r="T28" s="104"/>
    </row>
    <row r="29">
      <c r="A29" s="64" t="inlineStr">
        <is>
          <t xml:space="preserve">b₁₀</t>
        </is>
      </c>
      <c r="B29" s="72">
        <f>$J$14</f>
        <v>-0.34973061286611</v>
      </c>
      <c r="C29" s="79" t="inlineStr">
        <is>
          <t xml:space="preserve">+</t>
        </is>
      </c>
      <c r="D29" s="72">
        <f>INDEX('Ψ(r) Contribution &amp; Weight'!$B$27:$G$27,1)</f>
        <v>0.15</v>
      </c>
      <c r="E29" s="79" t="inlineStr">
        <is>
          <t xml:space="preserve">=</t>
        </is>
      </c>
      <c r="F29" s="72">
        <f>SUM(B29,D29)</f>
        <v>-0.19973061286611</v>
      </c>
      <c r="G29" s="68">
        <f>Dataset!O12</f>
        <v>2</v>
      </c>
      <c r="H29" s="72">
        <f>IF(OR(G29=1,G29=2),F29+IF(G29=1,1,-1)*'Parameters'!$B$19*EXP(-F29)/(1+EXP(-F29)),"—")</f>
        <v>-0.364660808457399</v>
      </c>
      <c r="I29" s="102">
        <f>I28+IF(G29=1,H29,0)</f>
        <v>2.75878276920748</v>
      </c>
      <c r="J29" s="102">
        <f>J28+IF(G29=2,H29,0)</f>
        <v>-2.4229888480708</v>
      </c>
      <c r="K29" s="102">
        <f>IF('Parameters'!$B$24=1,I29/'Parameters'!$B$6,SUMIF($G$20:$G$29,1,$H$20:$H$29)/'Parameters'!$B$6)</f>
        <v>0.689695692301871</v>
      </c>
      <c r="L29" s="102">
        <f>IF('Parameters'!$B$24=1,J29/'Parameters'!$B$7,SUMIF($G$20:$G$29,2,$H$20:$H$29)/'Parameters'!$B$7)</f>
        <v>-0.403831474678467</v>
      </c>
      <c r="M29" s="72">
        <f>ABS(H29-IF(G29=1,K29,L29))</f>
        <v>0.0391706662210682</v>
      </c>
      <c r="N29" s="72">
        <f>ABS(H29-IF(G29=1,L29,K29))</f>
        <v>1.05435650075927</v>
      </c>
      <c r="R29" s="104"/>
      <c r="S29" s="104"/>
      <c r="T29" s="104"/>
    </row>
    <row r="30">
      <c r="K30" s="82" t="inlineStr">
        <is>
          <t xml:space="preserve">θ, γ  →</t>
        </is>
      </c>
      <c r="L30" s="82"/>
      <c r="M30" s="85">
        <f>SUM(M20:M29)</f>
        <v>2.68536009750073</v>
      </c>
      <c r="N30" s="85">
        <f>SUM(N20:N29)</f>
        <v>8.79647737029494</v>
      </c>
      <c r="O30" s="82" t="inlineStr">
        <is>
          <t xml:space="preserve">θ / γ</t>
        </is>
      </c>
      <c r="P30" s="92">
        <f>IF(B$14=1,M30/N30,"—")</f>
        <v>0.305276758463449</v>
      </c>
    </row>
    <row r="31"/>
    <row r="32">
      <c r="A32" s="59" t="str">
        <f>"Candidate a₂  ·  operator ρ  ·  k = "&amp;'Synthetic Features (k-NN)'!$C$4&amp;"   —   bₜ = R(Sₜ) + η₂(a_t₂)"</f>
        <v>Candidate a₂  ·  operator ρ  ·  k = 5   —   bₜ = R(Sₜ) + η₂(a_t₂)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84" t="str">
        <f>IF(C$14=1,"available",IF($D$4=1,"in TUPLAM — skipped","iteration not executed"))</f>
        <v>available</v>
      </c>
      <c r="P32" s="84"/>
    </row>
    <row r="33">
      <c r="A33" s="60" t="inlineStr">
        <is>
          <t xml:space="preserve">№</t>
        </is>
      </c>
      <c r="B33" s="60" t="inlineStr">
        <is>
          <t xml:space="preserve">R(Sₜ)</t>
        </is>
      </c>
      <c r="C33" s="60" t="inlineStr">
        <is>
          <t xml:space="preserve">+</t>
        </is>
      </c>
      <c r="D33" s="60" t="inlineStr">
        <is>
          <t xml:space="preserve">ηᵤ(a_tu)</t>
        </is>
      </c>
      <c r="E33" s="60" t="inlineStr">
        <is>
          <t xml:space="preserve">=</t>
        </is>
      </c>
      <c r="F33" s="60" t="inlineStr">
        <is>
          <t xml:space="preserve">bₜ</t>
        </is>
      </c>
      <c r="G33" s="60" t="inlineStr">
        <is>
          <t xml:space="preserve">Class</t>
        </is>
      </c>
      <c r="H33" s="60" t="inlineStr">
        <is>
          <t xml:space="preserve">bₜ (majorized)</t>
        </is>
      </c>
      <c r="I33" s="103" t="inlineStr">
        <is>
          <t xml:space="preserve">⚠1 Σ K1 (running)</t>
        </is>
      </c>
      <c r="J33" s="103" t="inlineStr">
        <is>
          <t xml:space="preserve">⚠1 Σ K2 (running)</t>
        </is>
      </c>
      <c r="K33" s="103" t="inlineStr">
        <is>
          <t xml:space="preserve">⚠1 M₁ used</t>
        </is>
      </c>
      <c r="L33" s="103" t="inlineStr">
        <is>
          <t xml:space="preserve">⚠1 M₂ used</t>
        </is>
      </c>
      <c r="M33" s="60" t="inlineStr">
        <is>
          <t xml:space="preserve">|b − M own|</t>
        </is>
      </c>
      <c r="N33" s="60" t="inlineStr">
        <is>
          <t xml:space="preserve">|b − M other|</t>
        </is>
      </c>
    </row>
    <row r="34">
      <c r="A34" s="64" t="inlineStr">
        <is>
          <t xml:space="preserve">b₁</t>
        </is>
      </c>
      <c r="B34" s="72">
        <f>$J$5</f>
        <v>0.112062246971304</v>
      </c>
      <c r="C34" s="79" t="inlineStr">
        <is>
          <t xml:space="preserve">+</t>
        </is>
      </c>
      <c r="D34" s="72">
        <f>INDEX('Ψ(r) Contribution &amp; Weight'!$B$18:$G$18,2)</f>
        <v>0.15</v>
      </c>
      <c r="E34" s="79" t="inlineStr">
        <is>
          <t xml:space="preserve">=</t>
        </is>
      </c>
      <c r="F34" s="72">
        <f>SUM(B34,D34)</f>
        <v>0.262062246971304</v>
      </c>
      <c r="G34" s="68">
        <f>Dataset!O3</f>
        <v>2</v>
      </c>
      <c r="H34" s="72">
        <f>IF(OR(G34=1,G34=2),F34+IF(G34=1,1,-1)*'Parameters'!$B$19*EXP(-F34)/(1+EXP(-F34)),"—")</f>
        <v>0.131605197984028</v>
      </c>
      <c r="I34" s="102">
        <f>IF(G34=1,H34,0)</f>
        <v>0</v>
      </c>
      <c r="J34" s="102">
        <f>IF(G34=2,H34,0)</f>
        <v>0.131605197984028</v>
      </c>
      <c r="K34" s="102">
        <f>IF('Parameters'!$B$24=1,I34/'Parameters'!$B$6,SUMIF($G$34:$G$43,1,$H$34:$H$43)/'Parameters'!$B$6)</f>
        <v>0</v>
      </c>
      <c r="L34" s="102">
        <f>IF('Parameters'!$B$24=1,J34/'Parameters'!$B$7,SUMIF($G$34:$G$43,2,$H$34:$H$43)/'Parameters'!$B$7)</f>
        <v>0.0219341996640047</v>
      </c>
      <c r="M34" s="72">
        <f>ABS(H34-IF(G34=1,K34,L34))</f>
        <v>0.109670998320024</v>
      </c>
      <c r="N34" s="72">
        <f>ABS(H34-IF(G34=1,L34,K34))</f>
        <v>0.131605197984028</v>
      </c>
    </row>
    <row r="35">
      <c r="A35" s="64" t="inlineStr">
        <is>
          <t xml:space="preserve">b₂</t>
        </is>
      </c>
      <c r="B35" s="72">
        <f>$J$6</f>
        <v>0.260239514069589</v>
      </c>
      <c r="C35" s="79" t="inlineStr">
        <is>
          <t xml:space="preserve">+</t>
        </is>
      </c>
      <c r="D35" s="72">
        <f>INDEX('Ψ(r) Contribution &amp; Weight'!$B$19:$G$19,2)</f>
        <v>0.15</v>
      </c>
      <c r="E35" s="79" t="inlineStr">
        <is>
          <t xml:space="preserve">=</t>
        </is>
      </c>
      <c r="F35" s="72">
        <f>SUM(B35,D35)</f>
        <v>0.410239514069589</v>
      </c>
      <c r="G35" s="68">
        <f>Dataset!O4</f>
        <v>1</v>
      </c>
      <c r="H35" s="72">
        <f>IF(OR(G35=1,G35=2),F35+IF(G35=1,1,-1)*'Parameters'!$B$19*EXP(-F35)/(1+EXP(-F35)),"—")</f>
        <v>0.52989592153807</v>
      </c>
      <c r="I35" s="102">
        <f>I34+IF(G35=1,H35,0)</f>
        <v>0.52989592153807</v>
      </c>
      <c r="J35" s="102">
        <f>J34+IF(G35=2,H35,0)</f>
        <v>0.131605197984028</v>
      </c>
      <c r="K35" s="102">
        <f>IF('Parameters'!$B$24=1,I35/'Parameters'!$B$6,SUMIF($G$34:$G$43,1,$H$34:$H$43)/'Parameters'!$B$6)</f>
        <v>0.132473980384518</v>
      </c>
      <c r="L35" s="102">
        <f>IF('Parameters'!$B$24=1,J35/'Parameters'!$B$7,SUMIF($G$34:$G$43,2,$H$34:$H$43)/'Parameters'!$B$7)</f>
        <v>0.0219341996640047</v>
      </c>
      <c r="M35" s="72">
        <f>ABS(H35-IF(G35=1,K35,L35))</f>
        <v>0.397421941153553</v>
      </c>
      <c r="N35" s="72">
        <f>ABS(H35-IF(G35=1,L35,K35))</f>
        <v>0.507961721874066</v>
      </c>
    </row>
    <row r="36">
      <c r="A36" s="64" t="inlineStr">
        <is>
          <t xml:space="preserve">b₃</t>
        </is>
      </c>
      <c r="B36" s="72">
        <f>$J$7</f>
        <v>-0.733675804638555</v>
      </c>
      <c r="C36" s="79" t="inlineStr">
        <is>
          <t xml:space="preserve">+</t>
        </is>
      </c>
      <c r="D36" s="72">
        <f>INDEX('Ψ(r) Contribution &amp; Weight'!$B$20:$G$20,2)</f>
        <v>-0.15</v>
      </c>
      <c r="E36" s="79" t="inlineStr">
        <is>
          <t xml:space="preserve">=</t>
        </is>
      </c>
      <c r="F36" s="72">
        <f>SUM(B36,D36)</f>
        <v>-0.883675804638555</v>
      </c>
      <c r="G36" s="68">
        <f>Dataset!O5</f>
        <v>2</v>
      </c>
      <c r="H36" s="72">
        <f>IF(OR(G36=1,G36=2),F36+IF(G36=1,1,-1)*'Parameters'!$B$19*EXP(-F36)/(1+EXP(-F36)),"—")</f>
        <v>-1.09595081222524</v>
      </c>
      <c r="I36" s="102">
        <f>I35+IF(G36=1,H36,0)</f>
        <v>0.52989592153807</v>
      </c>
      <c r="J36" s="102">
        <f>J35+IF(G36=2,H36,0)</f>
        <v>-0.964345614241207</v>
      </c>
      <c r="K36" s="102">
        <f>IF('Parameters'!$B$24=1,I36/'Parameters'!$B$6,SUMIF($G$34:$G$43,1,$H$34:$H$43)/'Parameters'!$B$6)</f>
        <v>0.132473980384518</v>
      </c>
      <c r="L36" s="102">
        <f>IF('Parameters'!$B$24=1,J36/'Parameters'!$B$7,SUMIF($G$34:$G$43,2,$H$34:$H$43)/'Parameters'!$B$7)</f>
        <v>-0.160724269040201</v>
      </c>
      <c r="M36" s="72">
        <f>ABS(H36-IF(G36=1,K36,L36))</f>
        <v>0.935226543185034</v>
      </c>
      <c r="N36" s="72">
        <f>ABS(H36-IF(G36=1,L36,K36))</f>
        <v>1.22842479260975</v>
      </c>
    </row>
    <row r="37">
      <c r="A37" s="64" t="inlineStr">
        <is>
          <t xml:space="preserve">b₄</t>
        </is>
      </c>
      <c r="B37" s="72">
        <f>$J$8</f>
        <v>0.603476162679314</v>
      </c>
      <c r="C37" s="79" t="inlineStr">
        <is>
          <t xml:space="preserve">+</t>
        </is>
      </c>
      <c r="D37" s="72">
        <f>INDEX('Ψ(r) Contribution &amp; Weight'!$B$21:$G$21,2)</f>
        <v>0.15</v>
      </c>
      <c r="E37" s="79" t="inlineStr">
        <is>
          <t xml:space="preserve">=</t>
        </is>
      </c>
      <c r="F37" s="72">
        <f>SUM(B37,D37)</f>
        <v>0.753476162679314</v>
      </c>
      <c r="G37" s="68">
        <f>Dataset!O6</f>
        <v>1</v>
      </c>
      <c r="H37" s="72">
        <f>IF(OR(G37=1,G37=2),F37+IF(G37=1,1,-1)*'Parameters'!$B$19*EXP(-F37)/(1+EXP(-F37)),"—")</f>
        <v>0.849495463065671</v>
      </c>
      <c r="I37" s="102">
        <f>I36+IF(G37=1,H37,0)</f>
        <v>1.37939138460374</v>
      </c>
      <c r="J37" s="102">
        <f>J36+IF(G37=2,H37,0)</f>
        <v>-0.964345614241207</v>
      </c>
      <c r="K37" s="102">
        <f>IF('Parameters'!$B$24=1,I37/'Parameters'!$B$6,SUMIF($G$34:$G$43,1,$H$34:$H$43)/'Parameters'!$B$6)</f>
        <v>0.344847846150935</v>
      </c>
      <c r="L37" s="102">
        <f>IF('Parameters'!$B$24=1,J37/'Parameters'!$B$7,SUMIF($G$34:$G$43,2,$H$34:$H$43)/'Parameters'!$B$7)</f>
        <v>-0.160724269040201</v>
      </c>
      <c r="M37" s="72">
        <f>ABS(H37-IF(G37=1,K37,L37))</f>
        <v>0.504647616914736</v>
      </c>
      <c r="N37" s="72">
        <f>ABS(H37-IF(G37=1,L37,K37))</f>
        <v>1.01021973210587</v>
      </c>
    </row>
    <row r="38">
      <c r="A38" s="64" t="inlineStr">
        <is>
          <t xml:space="preserve">b₅</t>
        </is>
      </c>
      <c r="B38" s="72">
        <f>$J$9</f>
        <v>0.603476162679314</v>
      </c>
      <c r="C38" s="79" t="inlineStr">
        <is>
          <t xml:space="preserve">+</t>
        </is>
      </c>
      <c r="D38" s="72">
        <f>INDEX('Ψ(r) Contribution &amp; Weight'!$B$22:$G$22,2)</f>
        <v>0.15</v>
      </c>
      <c r="E38" s="79" t="inlineStr">
        <is>
          <t xml:space="preserve">=</t>
        </is>
      </c>
      <c r="F38" s="72">
        <f>SUM(B38,D38)</f>
        <v>0.753476162679314</v>
      </c>
      <c r="G38" s="68">
        <f>Dataset!O7</f>
        <v>1</v>
      </c>
      <c r="H38" s="72">
        <f>IF(OR(G38=1,G38=2),F38+IF(G38=1,1,-1)*'Parameters'!$B$19*EXP(-F38)/(1+EXP(-F38)),"—")</f>
        <v>0.849495463065671</v>
      </c>
      <c r="I38" s="102">
        <f>I37+IF(G38=1,H38,0)</f>
        <v>2.22888684766941</v>
      </c>
      <c r="J38" s="102">
        <f>J37+IF(G38=2,H38,0)</f>
        <v>-0.964345614241207</v>
      </c>
      <c r="K38" s="102">
        <f>IF('Parameters'!$B$24=1,I38/'Parameters'!$B$6,SUMIF($G$34:$G$43,1,$H$34:$H$43)/'Parameters'!$B$6)</f>
        <v>0.557221711917353</v>
      </c>
      <c r="L38" s="102">
        <f>IF('Parameters'!$B$24=1,J38/'Parameters'!$B$7,SUMIF($G$34:$G$43,2,$H$34:$H$43)/'Parameters'!$B$7)</f>
        <v>-0.160724269040201</v>
      </c>
      <c r="M38" s="72">
        <f>ABS(H38-IF(G38=1,K38,L38))</f>
        <v>0.292273751148318</v>
      </c>
      <c r="N38" s="72">
        <f>ABS(H38-IF(G38=1,L38,K38))</f>
        <v>1.01021973210587</v>
      </c>
    </row>
    <row r="39">
      <c r="A39" s="64" t="inlineStr">
        <is>
          <t xml:space="preserve">b₆</t>
        </is>
      </c>
      <c r="B39" s="72">
        <f>$J$10</f>
        <v>0.260239514069589</v>
      </c>
      <c r="C39" s="79" t="inlineStr">
        <is>
          <t xml:space="preserve">+</t>
        </is>
      </c>
      <c r="D39" s="72">
        <f>INDEX('Ψ(r) Contribution &amp; Weight'!$B$23:$G$23,2)</f>
        <v>0.15</v>
      </c>
      <c r="E39" s="79" t="inlineStr">
        <is>
          <t xml:space="preserve">=</t>
        </is>
      </c>
      <c r="F39" s="72">
        <f>SUM(B39,D39)</f>
        <v>0.410239514069589</v>
      </c>
      <c r="G39" s="68">
        <f>Dataset!O8</f>
        <v>1</v>
      </c>
      <c r="H39" s="72">
        <f>IF(OR(G39=1,G39=2),F39+IF(G39=1,1,-1)*'Parameters'!$B$19*EXP(-F39)/(1+EXP(-F39)),"—")</f>
        <v>0.52989592153807</v>
      </c>
      <c r="I39" s="102">
        <f>I38+IF(G39=1,H39,0)</f>
        <v>2.75878276920748</v>
      </c>
      <c r="J39" s="102">
        <f>J38+IF(G39=2,H39,0)</f>
        <v>-0.964345614241207</v>
      </c>
      <c r="K39" s="102">
        <f>IF('Parameters'!$B$24=1,I39/'Parameters'!$B$6,SUMIF($G$34:$G$43,1,$H$34:$H$43)/'Parameters'!$B$6)</f>
        <v>0.689695692301871</v>
      </c>
      <c r="L39" s="102">
        <f>IF('Parameters'!$B$24=1,J39/'Parameters'!$B$7,SUMIF($G$34:$G$43,2,$H$34:$H$43)/'Parameters'!$B$7)</f>
        <v>-0.160724269040201</v>
      </c>
      <c r="M39" s="72">
        <f>ABS(H39-IF(G39=1,K39,L39))</f>
        <v>0.1597997707638</v>
      </c>
      <c r="N39" s="72">
        <f>ABS(H39-IF(G39=1,L39,K39))</f>
        <v>0.690620190578272</v>
      </c>
    </row>
    <row r="40">
      <c r="A40" s="64" t="inlineStr">
        <is>
          <t xml:space="preserve">b₇</t>
        </is>
      </c>
      <c r="B40" s="72">
        <f>$J$11</f>
        <v>-0.34973061286611</v>
      </c>
      <c r="C40" s="79" t="inlineStr">
        <is>
          <t xml:space="preserve">+</t>
        </is>
      </c>
      <c r="D40" s="72">
        <f>INDEX('Ψ(r) Contribution &amp; Weight'!$B$24:$G$24,2)</f>
        <v>0.15</v>
      </c>
      <c r="E40" s="79" t="inlineStr">
        <is>
          <t xml:space="preserve">=</t>
        </is>
      </c>
      <c r="F40" s="72">
        <f>SUM(B40,D40)</f>
        <v>-0.19973061286611</v>
      </c>
      <c r="G40" s="68">
        <f>Dataset!O9</f>
        <v>2</v>
      </c>
      <c r="H40" s="72">
        <f>IF(OR(G40=1,G40=2),F40+IF(G40=1,1,-1)*'Parameters'!$B$19*EXP(-F40)/(1+EXP(-F40)),"—")</f>
        <v>-0.364660808457399</v>
      </c>
      <c r="I40" s="102">
        <f>I39+IF(G40=1,H40,0)</f>
        <v>2.75878276920748</v>
      </c>
      <c r="J40" s="102">
        <f>J39+IF(G40=2,H40,0)</f>
        <v>-1.32900642269861</v>
      </c>
      <c r="K40" s="102">
        <f>IF('Parameters'!$B$24=1,I40/'Parameters'!$B$6,SUMIF($G$34:$G$43,1,$H$34:$H$43)/'Parameters'!$B$6)</f>
        <v>0.689695692301871</v>
      </c>
      <c r="L40" s="102">
        <f>IF('Parameters'!$B$24=1,J40/'Parameters'!$B$7,SUMIF($G$34:$G$43,2,$H$34:$H$43)/'Parameters'!$B$7)</f>
        <v>-0.221501070449768</v>
      </c>
      <c r="M40" s="72">
        <f>ABS(H40-IF(G40=1,K40,L40))</f>
        <v>0.143159738007631</v>
      </c>
      <c r="N40" s="72">
        <f>ABS(H40-IF(G40=1,L40,K40))</f>
        <v>1.05435650075927</v>
      </c>
    </row>
    <row r="41">
      <c r="A41" s="64" t="inlineStr">
        <is>
          <t xml:space="preserve">b₈</t>
        </is>
      </c>
      <c r="B41" s="72">
        <f>$J$12</f>
        <v>-0.34973061286611</v>
      </c>
      <c r="C41" s="79" t="inlineStr">
        <is>
          <t xml:space="preserve">+</t>
        </is>
      </c>
      <c r="D41" s="72">
        <f>INDEX('Ψ(r) Contribution &amp; Weight'!$B$25:$G$25,2)</f>
        <v>0.15</v>
      </c>
      <c r="E41" s="79" t="inlineStr">
        <is>
          <t xml:space="preserve">=</t>
        </is>
      </c>
      <c r="F41" s="72">
        <f>SUM(B41,D41)</f>
        <v>-0.19973061286611</v>
      </c>
      <c r="G41" s="68">
        <f>Dataset!O10</f>
        <v>2</v>
      </c>
      <c r="H41" s="72">
        <f>IF(OR(G41=1,G41=2),F41+IF(G41=1,1,-1)*'Parameters'!$B$19*EXP(-F41)/(1+EXP(-F41)),"—")</f>
        <v>-0.364660808457399</v>
      </c>
      <c r="I41" s="102">
        <f>I40+IF(G41=1,H41,0)</f>
        <v>2.75878276920748</v>
      </c>
      <c r="J41" s="102">
        <f>J40+IF(G41=2,H41,0)</f>
        <v>-1.693667231156</v>
      </c>
      <c r="K41" s="102">
        <f>IF('Parameters'!$B$24=1,I41/'Parameters'!$B$6,SUMIF($G$34:$G$43,1,$H$34:$H$43)/'Parameters'!$B$6)</f>
        <v>0.689695692301871</v>
      </c>
      <c r="L41" s="102">
        <f>IF('Parameters'!$B$24=1,J41/'Parameters'!$B$7,SUMIF($G$34:$G$43,2,$H$34:$H$43)/'Parameters'!$B$7)</f>
        <v>-0.282277871859334</v>
      </c>
      <c r="M41" s="72">
        <f>ABS(H41-IF(G41=1,K41,L41))</f>
        <v>0.0823829365980648</v>
      </c>
      <c r="N41" s="72">
        <f>ABS(H41-IF(G41=1,L41,K41))</f>
        <v>1.05435650075927</v>
      </c>
    </row>
    <row r="42">
      <c r="A42" s="64" t="inlineStr">
        <is>
          <t xml:space="preserve">b₉</t>
        </is>
      </c>
      <c r="B42" s="72">
        <f>$J$13</f>
        <v>-0.34973061286611</v>
      </c>
      <c r="C42" s="79" t="inlineStr">
        <is>
          <t xml:space="preserve">+</t>
        </is>
      </c>
      <c r="D42" s="72">
        <f>INDEX('Ψ(r) Contribution &amp; Weight'!$B$26:$G$26,2)</f>
        <v>0.15</v>
      </c>
      <c r="E42" s="79" t="inlineStr">
        <is>
          <t xml:space="preserve">=</t>
        </is>
      </c>
      <c r="F42" s="72">
        <f>SUM(B42,D42)</f>
        <v>-0.19973061286611</v>
      </c>
      <c r="G42" s="68">
        <f>Dataset!O11</f>
        <v>2</v>
      </c>
      <c r="H42" s="72">
        <f>IF(OR(G42=1,G42=2),F42+IF(G42=1,1,-1)*'Parameters'!$B$19*EXP(-F42)/(1+EXP(-F42)),"—")</f>
        <v>-0.364660808457399</v>
      </c>
      <c r="I42" s="102">
        <f>I41+IF(G42=1,H42,0)</f>
        <v>2.75878276920748</v>
      </c>
      <c r="J42" s="102">
        <f>J41+IF(G42=2,H42,0)</f>
        <v>-2.0583280396134</v>
      </c>
      <c r="K42" s="102">
        <f>IF('Parameters'!$B$24=1,I42/'Parameters'!$B$6,SUMIF($G$34:$G$43,1,$H$34:$H$43)/'Parameters'!$B$6)</f>
        <v>0.689695692301871</v>
      </c>
      <c r="L42" s="102">
        <f>IF('Parameters'!$B$24=1,J42/'Parameters'!$B$7,SUMIF($G$34:$G$43,2,$H$34:$H$43)/'Parameters'!$B$7)</f>
        <v>-0.343054673268901</v>
      </c>
      <c r="M42" s="72">
        <f>ABS(H42-IF(G42=1,K42,L42))</f>
        <v>0.0216061351884983</v>
      </c>
      <c r="N42" s="72">
        <f>ABS(H42-IF(G42=1,L42,K42))</f>
        <v>1.05435650075927</v>
      </c>
    </row>
    <row r="43">
      <c r="A43" s="64" t="inlineStr">
        <is>
          <t xml:space="preserve">b₁₀</t>
        </is>
      </c>
      <c r="B43" s="72">
        <f>$J$14</f>
        <v>-0.34973061286611</v>
      </c>
      <c r="C43" s="79" t="inlineStr">
        <is>
          <t xml:space="preserve">+</t>
        </is>
      </c>
      <c r="D43" s="72">
        <f>INDEX('Ψ(r) Contribution &amp; Weight'!$B$27:$G$27,2)</f>
        <v>0.15</v>
      </c>
      <c r="E43" s="79" t="inlineStr">
        <is>
          <t xml:space="preserve">=</t>
        </is>
      </c>
      <c r="F43" s="72">
        <f>SUM(B43,D43)</f>
        <v>-0.19973061286611</v>
      </c>
      <c r="G43" s="68">
        <f>Dataset!O12</f>
        <v>2</v>
      </c>
      <c r="H43" s="72">
        <f>IF(OR(G43=1,G43=2),F43+IF(G43=1,1,-1)*'Parameters'!$B$19*EXP(-F43)/(1+EXP(-F43)),"—")</f>
        <v>-0.364660808457399</v>
      </c>
      <c r="I43" s="102">
        <f>I42+IF(G43=1,H43,0)</f>
        <v>2.75878276920748</v>
      </c>
      <c r="J43" s="102">
        <f>J42+IF(G43=2,H43,0)</f>
        <v>-2.4229888480708</v>
      </c>
      <c r="K43" s="102">
        <f>IF('Parameters'!$B$24=1,I43/'Parameters'!$B$6,SUMIF($G$34:$G$43,1,$H$34:$H$43)/'Parameters'!$B$6)</f>
        <v>0.689695692301871</v>
      </c>
      <c r="L43" s="102">
        <f>IF('Parameters'!$B$24=1,J43/'Parameters'!$B$7,SUMIF($G$34:$G$43,2,$H$34:$H$43)/'Parameters'!$B$7)</f>
        <v>-0.403831474678467</v>
      </c>
      <c r="M43" s="72">
        <f>ABS(H43-IF(G43=1,K43,L43))</f>
        <v>0.0391706662210682</v>
      </c>
      <c r="N43" s="72">
        <f>ABS(H43-IF(G43=1,L43,K43))</f>
        <v>1.05435650075927</v>
      </c>
    </row>
    <row r="44">
      <c r="K44" s="82" t="inlineStr">
        <is>
          <t xml:space="preserve">θ, γ  →</t>
        </is>
      </c>
      <c r="L44" s="82"/>
      <c r="M44" s="85">
        <f>SUM(M34:M43)</f>
        <v>2.68536009750073</v>
      </c>
      <c r="N44" s="85">
        <f>SUM(N34:N43)</f>
        <v>8.79647737029494</v>
      </c>
      <c r="O44" s="82" t="inlineStr">
        <is>
          <t xml:space="preserve">θ / γ</t>
        </is>
      </c>
      <c r="P44" s="92">
        <f>IF(C$14=1,M44/N44,"—")</f>
        <v>0.305276758463449</v>
      </c>
    </row>
    <row r="45"/>
    <row r="46">
      <c r="A46" s="59" t="str">
        <f>"Candidate a₃  ·  operator ρ_I  ·  k = "&amp;'Synthetic Features (k-NN)'!$B$18&amp;"   —   bₜ = R(Sₜ) + η₃(a_t₃)"</f>
        <v>Candidate a₃  ·  operator ρ_I  ·  k = 3   —   bₜ = R(Sₜ) + η₃(a_t₃)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84" t="str">
        <f>IF(D$14=1,"available",IF($D$4=1,"in TUPLAM — skipped","iteration not executed"))</f>
        <v>in TUPLAM — skipped</v>
      </c>
      <c r="P46" s="84"/>
    </row>
    <row r="47">
      <c r="A47" s="60" t="inlineStr">
        <is>
          <t xml:space="preserve">№</t>
        </is>
      </c>
      <c r="B47" s="60" t="inlineStr">
        <is>
          <t xml:space="preserve">R(Sₜ)</t>
        </is>
      </c>
      <c r="C47" s="60" t="inlineStr">
        <is>
          <t xml:space="preserve">+</t>
        </is>
      </c>
      <c r="D47" s="60" t="inlineStr">
        <is>
          <t xml:space="preserve">ηᵤ(a_tu)</t>
        </is>
      </c>
      <c r="E47" s="60" t="inlineStr">
        <is>
          <t xml:space="preserve">=</t>
        </is>
      </c>
      <c r="F47" s="60" t="inlineStr">
        <is>
          <t xml:space="preserve">bₜ</t>
        </is>
      </c>
      <c r="G47" s="60" t="inlineStr">
        <is>
          <t xml:space="preserve">Class</t>
        </is>
      </c>
      <c r="H47" s="60" t="inlineStr">
        <is>
          <t xml:space="preserve">bₜ (majorized)</t>
        </is>
      </c>
      <c r="I47" s="103" t="inlineStr">
        <is>
          <t xml:space="preserve">⚠1 Σ K1 (running)</t>
        </is>
      </c>
      <c r="J47" s="103" t="inlineStr">
        <is>
          <t xml:space="preserve">⚠1 Σ K2 (running)</t>
        </is>
      </c>
      <c r="K47" s="103" t="inlineStr">
        <is>
          <t xml:space="preserve">⚠1 M₁ used</t>
        </is>
      </c>
      <c r="L47" s="103" t="inlineStr">
        <is>
          <t xml:space="preserve">⚠1 M₂ used</t>
        </is>
      </c>
      <c r="M47" s="60" t="inlineStr">
        <is>
          <t xml:space="preserve">|b − M own|</t>
        </is>
      </c>
      <c r="N47" s="60" t="inlineStr">
        <is>
          <t xml:space="preserve">|b − M other|</t>
        </is>
      </c>
    </row>
    <row r="48">
      <c r="A48" s="64" t="inlineStr">
        <is>
          <t xml:space="preserve">b₁</t>
        </is>
      </c>
      <c r="B48" s="72">
        <f>$J$5</f>
        <v>0.112062246971304</v>
      </c>
      <c r="C48" s="79" t="inlineStr">
        <is>
          <t xml:space="preserve">+</t>
        </is>
      </c>
      <c r="D48" s="72">
        <f>INDEX('Ψ(r) Contribution &amp; Weight'!$B$18:$G$18,3)</f>
        <v>0.2</v>
      </c>
      <c r="E48" s="79" t="inlineStr">
        <is>
          <t xml:space="preserve">=</t>
        </is>
      </c>
      <c r="F48" s="72">
        <f>SUM(B48,D48)</f>
        <v>0.312062246971304</v>
      </c>
      <c r="G48" s="68">
        <f>Dataset!O3</f>
        <v>2</v>
      </c>
      <c r="H48" s="72">
        <f>IF(OR(G48=1,G48=2),F48+IF(G48=1,1,-1)*'Parameters'!$B$19*EXP(-F48)/(1+EXP(-F48)),"—")</f>
        <v>0.185278812645253</v>
      </c>
      <c r="I48" s="102">
        <f>IF(G48=1,H48,0)</f>
        <v>0</v>
      </c>
      <c r="J48" s="102">
        <f>IF(G48=2,H48,0)</f>
        <v>0.185278812645253</v>
      </c>
      <c r="K48" s="102">
        <f>IF('Parameters'!$B$24=1,I48/'Parameters'!$B$6,SUMIF($G$48:$G$57,1,$H$48:$H$57)/'Parameters'!$B$6)</f>
        <v>0</v>
      </c>
      <c r="L48" s="102">
        <f>IF('Parameters'!$B$24=1,J48/'Parameters'!$B$7,SUMIF($G$48:$G$57,2,$H$48:$H$57)/'Parameters'!$B$7)</f>
        <v>0.0308798021075421</v>
      </c>
      <c r="M48" s="72">
        <f>ABS(H48-IF(G48=1,K48,L48))</f>
        <v>0.154399010537711</v>
      </c>
      <c r="N48" s="72">
        <f>ABS(H48-IF(G48=1,L48,K48))</f>
        <v>0.185278812645253</v>
      </c>
    </row>
    <row r="49">
      <c r="A49" s="64" t="inlineStr">
        <is>
          <t xml:space="preserve">b₂</t>
        </is>
      </c>
      <c r="B49" s="72">
        <f>$J$6</f>
        <v>0.260239514069589</v>
      </c>
      <c r="C49" s="79" t="inlineStr">
        <is>
          <t xml:space="preserve">+</t>
        </is>
      </c>
      <c r="D49" s="72">
        <f>INDEX('Ψ(r) Contribution &amp; Weight'!$B$19:$G$19,3)</f>
        <v>-0.2</v>
      </c>
      <c r="E49" s="79" t="inlineStr">
        <is>
          <t xml:space="preserve">=</t>
        </is>
      </c>
      <c r="F49" s="72">
        <f>SUM(B49,D49)</f>
        <v>0.0602395140695889</v>
      </c>
      <c r="G49" s="68">
        <f>Dataset!O4</f>
        <v>1</v>
      </c>
      <c r="H49" s="72">
        <f>IF(OR(G49=1,G49=2),F49+IF(G49=1,1,-1)*'Parameters'!$B$19*EXP(-F49)/(1+EXP(-F49)),"—")</f>
        <v>0.205722916250597</v>
      </c>
      <c r="I49" s="102">
        <f>I48+IF(G49=1,H49,0)</f>
        <v>0.205722916250597</v>
      </c>
      <c r="J49" s="102">
        <f>J48+IF(G49=2,H49,0)</f>
        <v>0.185278812645253</v>
      </c>
      <c r="K49" s="102">
        <f>IF('Parameters'!$B$24=1,I49/'Parameters'!$B$6,SUMIF($G$48:$G$57,1,$H$48:$H$57)/'Parameters'!$B$6)</f>
        <v>0.0514307290626493</v>
      </c>
      <c r="L49" s="102">
        <f>IF('Parameters'!$B$24=1,J49/'Parameters'!$B$7,SUMIF($G$48:$G$57,2,$H$48:$H$57)/'Parameters'!$B$7)</f>
        <v>0.0308798021075421</v>
      </c>
      <c r="M49" s="72">
        <f>ABS(H49-IF(G49=1,K49,L49))</f>
        <v>0.154292187187948</v>
      </c>
      <c r="N49" s="72">
        <f>ABS(H49-IF(G49=1,L49,K49))</f>
        <v>0.174843114143055</v>
      </c>
    </row>
    <row r="50">
      <c r="A50" s="64" t="inlineStr">
        <is>
          <t xml:space="preserve">b₃</t>
        </is>
      </c>
      <c r="B50" s="72">
        <f>$J$7</f>
        <v>-0.733675804638555</v>
      </c>
      <c r="C50" s="79" t="inlineStr">
        <is>
          <t xml:space="preserve">+</t>
        </is>
      </c>
      <c r="D50" s="72">
        <f>INDEX('Ψ(r) Contribution &amp; Weight'!$B$20:$G$20,3)</f>
        <v>-0.2</v>
      </c>
      <c r="E50" s="79" t="inlineStr">
        <is>
          <t xml:space="preserve">=</t>
        </is>
      </c>
      <c r="F50" s="72">
        <f>SUM(B50,D50)</f>
        <v>-0.933675804638555</v>
      </c>
      <c r="G50" s="68">
        <f>Dataset!O5</f>
        <v>2</v>
      </c>
      <c r="H50" s="72">
        <f>IF(OR(G50=1,G50=2),F50+IF(G50=1,1,-1)*'Parameters'!$B$19*EXP(-F50)/(1+EXP(-F50)),"—")</f>
        <v>-1.14902193398473</v>
      </c>
      <c r="I50" s="102">
        <f>I49+IF(G50=1,H50,0)</f>
        <v>0.205722916250597</v>
      </c>
      <c r="J50" s="102">
        <f>J49+IF(G50=2,H50,0)</f>
        <v>-0.963743121339474</v>
      </c>
      <c r="K50" s="102">
        <f>IF('Parameters'!$B$24=1,I50/'Parameters'!$B$6,SUMIF($G$48:$G$57,1,$H$48:$H$57)/'Parameters'!$B$6)</f>
        <v>0.0514307290626493</v>
      </c>
      <c r="L50" s="102">
        <f>IF('Parameters'!$B$24=1,J50/'Parameters'!$B$7,SUMIF($G$48:$G$57,2,$H$48:$H$57)/'Parameters'!$B$7)</f>
        <v>-0.160623853556579</v>
      </c>
      <c r="M50" s="72">
        <f>ABS(H50-IF(G50=1,K50,L50))</f>
        <v>0.988398080428148</v>
      </c>
      <c r="N50" s="72">
        <f>ABS(H50-IF(G50=1,L50,K50))</f>
        <v>1.20045266304738</v>
      </c>
    </row>
    <row r="51">
      <c r="A51" s="64" t="inlineStr">
        <is>
          <t xml:space="preserve">b₄</t>
        </is>
      </c>
      <c r="B51" s="72">
        <f>$J$8</f>
        <v>0.603476162679314</v>
      </c>
      <c r="C51" s="79" t="inlineStr">
        <is>
          <t xml:space="preserve">+</t>
        </is>
      </c>
      <c r="D51" s="72">
        <f>INDEX('Ψ(r) Contribution &amp; Weight'!$B$21:$G$21,3)</f>
        <v>0.2</v>
      </c>
      <c r="E51" s="79" t="inlineStr">
        <is>
          <t xml:space="preserve">=</t>
        </is>
      </c>
      <c r="F51" s="72">
        <f>SUM(B51,D51)</f>
        <v>0.803476162679314</v>
      </c>
      <c r="G51" s="68">
        <f>Dataset!O6</f>
        <v>1</v>
      </c>
      <c r="H51" s="72">
        <f>IF(OR(G51=1,G51=2),F51+IF(G51=1,1,-1)*'Parameters'!$B$19*EXP(-F51)/(1+EXP(-F51)),"—")</f>
        <v>0.89626089031208</v>
      </c>
      <c r="I51" s="102">
        <f>I50+IF(G51=1,H51,0)</f>
        <v>1.10198380656268</v>
      </c>
      <c r="J51" s="102">
        <f>J50+IF(G51=2,H51,0)</f>
        <v>-0.963743121339474</v>
      </c>
      <c r="K51" s="102">
        <f>IF('Parameters'!$B$24=1,I51/'Parameters'!$B$6,SUMIF($G$48:$G$57,1,$H$48:$H$57)/'Parameters'!$B$6)</f>
        <v>0.275495951640669</v>
      </c>
      <c r="L51" s="102">
        <f>IF('Parameters'!$B$24=1,J51/'Parameters'!$B$7,SUMIF($G$48:$G$57,2,$H$48:$H$57)/'Parameters'!$B$7)</f>
        <v>-0.160623853556579</v>
      </c>
      <c r="M51" s="72">
        <f>ABS(H51-IF(G51=1,K51,L51))</f>
        <v>0.620764938671411</v>
      </c>
      <c r="N51" s="72">
        <f>ABS(H51-IF(G51=1,L51,K51))</f>
        <v>1.05688474386866</v>
      </c>
    </row>
    <row r="52">
      <c r="A52" s="64" t="inlineStr">
        <is>
          <t xml:space="preserve">b₅</t>
        </is>
      </c>
      <c r="B52" s="72">
        <f>$J$9</f>
        <v>0.603476162679314</v>
      </c>
      <c r="C52" s="79" t="inlineStr">
        <is>
          <t xml:space="preserve">+</t>
        </is>
      </c>
      <c r="D52" s="72">
        <f>INDEX('Ψ(r) Contribution &amp; Weight'!$B$22:$G$22,3)</f>
        <v>0.2</v>
      </c>
      <c r="E52" s="79" t="inlineStr">
        <is>
          <t xml:space="preserve">=</t>
        </is>
      </c>
      <c r="F52" s="72">
        <f>SUM(B52,D52)</f>
        <v>0.803476162679314</v>
      </c>
      <c r="G52" s="68">
        <f>Dataset!O7</f>
        <v>1</v>
      </c>
      <c r="H52" s="72">
        <f>IF(OR(G52=1,G52=2),F52+IF(G52=1,1,-1)*'Parameters'!$B$19*EXP(-F52)/(1+EXP(-F52)),"—")</f>
        <v>0.89626089031208</v>
      </c>
      <c r="I52" s="102">
        <f>I51+IF(G52=1,H52,0)</f>
        <v>1.99824469687476</v>
      </c>
      <c r="J52" s="102">
        <f>J51+IF(G52=2,H52,0)</f>
        <v>-0.963743121339474</v>
      </c>
      <c r="K52" s="102">
        <f>IF('Parameters'!$B$24=1,I52/'Parameters'!$B$6,SUMIF($G$48:$G$57,1,$H$48:$H$57)/'Parameters'!$B$6)</f>
        <v>0.499561174218689</v>
      </c>
      <c r="L52" s="102">
        <f>IF('Parameters'!$B$24=1,J52/'Parameters'!$B$7,SUMIF($G$48:$G$57,2,$H$48:$H$57)/'Parameters'!$B$7)</f>
        <v>-0.160623853556579</v>
      </c>
      <c r="M52" s="72">
        <f>ABS(H52-IF(G52=1,K52,L52))</f>
        <v>0.396699716093391</v>
      </c>
      <c r="N52" s="72">
        <f>ABS(H52-IF(G52=1,L52,K52))</f>
        <v>1.05688474386866</v>
      </c>
    </row>
    <row r="53">
      <c r="A53" s="64" t="inlineStr">
        <is>
          <t xml:space="preserve">b₆</t>
        </is>
      </c>
      <c r="B53" s="72">
        <f>$J$10</f>
        <v>0.260239514069589</v>
      </c>
      <c r="C53" s="79" t="inlineStr">
        <is>
          <t xml:space="preserve">+</t>
        </is>
      </c>
      <c r="D53" s="72">
        <f>INDEX('Ψ(r) Contribution &amp; Weight'!$B$23:$G$23,3)</f>
        <v>-0.2</v>
      </c>
      <c r="E53" s="79" t="inlineStr">
        <is>
          <t xml:space="preserve">=</t>
        </is>
      </c>
      <c r="F53" s="72">
        <f>SUM(B53,D53)</f>
        <v>0.0602395140695889</v>
      </c>
      <c r="G53" s="68">
        <f>Dataset!O8</f>
        <v>1</v>
      </c>
      <c r="H53" s="72">
        <f>IF(OR(G53=1,G53=2),F53+IF(G53=1,1,-1)*'Parameters'!$B$19*EXP(-F53)/(1+EXP(-F53)),"—")</f>
        <v>0.205722916250597</v>
      </c>
      <c r="I53" s="102">
        <f>I52+IF(G53=1,H53,0)</f>
        <v>2.20396761312535</v>
      </c>
      <c r="J53" s="102">
        <f>J52+IF(G53=2,H53,0)</f>
        <v>-0.963743121339474</v>
      </c>
      <c r="K53" s="102">
        <f>IF('Parameters'!$B$24=1,I53/'Parameters'!$B$6,SUMIF($G$48:$G$57,1,$H$48:$H$57)/'Parameters'!$B$6)</f>
        <v>0.550991903281338</v>
      </c>
      <c r="L53" s="102">
        <f>IF('Parameters'!$B$24=1,J53/'Parameters'!$B$7,SUMIF($G$48:$G$57,2,$H$48:$H$57)/'Parameters'!$B$7)</f>
        <v>-0.160623853556579</v>
      </c>
      <c r="M53" s="72">
        <f>ABS(H53-IF(G53=1,K53,L53))</f>
        <v>0.345268987030741</v>
      </c>
      <c r="N53" s="72">
        <f>ABS(H53-IF(G53=1,L53,K53))</f>
        <v>0.366346769807176</v>
      </c>
    </row>
    <row r="54">
      <c r="A54" s="64" t="inlineStr">
        <is>
          <t xml:space="preserve">b₇</t>
        </is>
      </c>
      <c r="B54" s="72">
        <f>$J$11</f>
        <v>-0.34973061286611</v>
      </c>
      <c r="C54" s="79" t="inlineStr">
        <is>
          <t xml:space="preserve">+</t>
        </is>
      </c>
      <c r="D54" s="72">
        <f>INDEX('Ψ(r) Contribution &amp; Weight'!$B$24:$G$24,3)</f>
        <v>-0.2</v>
      </c>
      <c r="E54" s="79" t="inlineStr">
        <is>
          <t xml:space="preserve">=</t>
        </is>
      </c>
      <c r="F54" s="72">
        <f>SUM(B54,D54)</f>
        <v>-0.54973061286611</v>
      </c>
      <c r="G54" s="68">
        <f>Dataset!O9</f>
        <v>2</v>
      </c>
      <c r="H54" s="72">
        <f>IF(OR(G54=1,G54=2),F54+IF(G54=1,1,-1)*'Parameters'!$B$19*EXP(-F54)/(1+EXP(-F54)),"—")</f>
        <v>-0.739952539529706</v>
      </c>
      <c r="I54" s="102">
        <f>I53+IF(G54=1,H54,0)</f>
        <v>2.20396761312535</v>
      </c>
      <c r="J54" s="102">
        <f>J53+IF(G54=2,H54,0)</f>
        <v>-1.70369566086918</v>
      </c>
      <c r="K54" s="102">
        <f>IF('Parameters'!$B$24=1,I54/'Parameters'!$B$6,SUMIF($G$48:$G$57,1,$H$48:$H$57)/'Parameters'!$B$6)</f>
        <v>0.550991903281338</v>
      </c>
      <c r="L54" s="102">
        <f>IF('Parameters'!$B$24=1,J54/'Parameters'!$B$7,SUMIF($G$48:$G$57,2,$H$48:$H$57)/'Parameters'!$B$7)</f>
        <v>-0.28394927681153</v>
      </c>
      <c r="M54" s="72">
        <f>ABS(H54-IF(G54=1,K54,L54))</f>
        <v>0.456003262718176</v>
      </c>
      <c r="N54" s="72">
        <f>ABS(H54-IF(G54=1,L54,K54))</f>
        <v>1.29094444281104</v>
      </c>
    </row>
    <row r="55">
      <c r="A55" s="64" t="inlineStr">
        <is>
          <t xml:space="preserve">b₈</t>
        </is>
      </c>
      <c r="B55" s="72">
        <f>$J$12</f>
        <v>-0.34973061286611</v>
      </c>
      <c r="C55" s="79" t="inlineStr">
        <is>
          <t xml:space="preserve">+</t>
        </is>
      </c>
      <c r="D55" s="72">
        <f>INDEX('Ψ(r) Contribution &amp; Weight'!$B$25:$G$25,3)</f>
        <v>-0.2</v>
      </c>
      <c r="E55" s="79" t="inlineStr">
        <is>
          <t xml:space="preserve">=</t>
        </is>
      </c>
      <c r="F55" s="72">
        <f>SUM(B55,D55)</f>
        <v>-0.54973061286611</v>
      </c>
      <c r="G55" s="68">
        <f>Dataset!O10</f>
        <v>2</v>
      </c>
      <c r="H55" s="72">
        <f>IF(OR(G55=1,G55=2),F55+IF(G55=1,1,-1)*'Parameters'!$B$19*EXP(-F55)/(1+EXP(-F55)),"—")</f>
        <v>-0.739952539529706</v>
      </c>
      <c r="I55" s="102">
        <f>I54+IF(G55=1,H55,0)</f>
        <v>2.20396761312535</v>
      </c>
      <c r="J55" s="102">
        <f>J54+IF(G55=2,H55,0)</f>
        <v>-2.44364820039889</v>
      </c>
      <c r="K55" s="102">
        <f>IF('Parameters'!$B$24=1,I55/'Parameters'!$B$6,SUMIF($G$48:$G$57,1,$H$48:$H$57)/'Parameters'!$B$6)</f>
        <v>0.550991903281338</v>
      </c>
      <c r="L55" s="102">
        <f>IF('Parameters'!$B$24=1,J55/'Parameters'!$B$7,SUMIF($G$48:$G$57,2,$H$48:$H$57)/'Parameters'!$B$7)</f>
        <v>-0.407274700066481</v>
      </c>
      <c r="M55" s="72">
        <f>ABS(H55-IF(G55=1,K55,L55))</f>
        <v>0.332677839463225</v>
      </c>
      <c r="N55" s="72">
        <f>ABS(H55-IF(G55=1,L55,K55))</f>
        <v>1.29094444281104</v>
      </c>
    </row>
    <row r="56">
      <c r="A56" s="64" t="inlineStr">
        <is>
          <t xml:space="preserve">b₉</t>
        </is>
      </c>
      <c r="B56" s="72">
        <f>$J$13</f>
        <v>-0.34973061286611</v>
      </c>
      <c r="C56" s="79" t="inlineStr">
        <is>
          <t xml:space="preserve">+</t>
        </is>
      </c>
      <c r="D56" s="72">
        <f>INDEX('Ψ(r) Contribution &amp; Weight'!$B$26:$G$26,3)</f>
        <v>-0.2</v>
      </c>
      <c r="E56" s="79" t="inlineStr">
        <is>
          <t xml:space="preserve">=</t>
        </is>
      </c>
      <c r="F56" s="72">
        <f>SUM(B56,D56)</f>
        <v>-0.54973061286611</v>
      </c>
      <c r="G56" s="68">
        <f>Dataset!O11</f>
        <v>2</v>
      </c>
      <c r="H56" s="72">
        <f>IF(OR(G56=1,G56=2),F56+IF(G56=1,1,-1)*'Parameters'!$B$19*EXP(-F56)/(1+EXP(-F56)),"—")</f>
        <v>-0.739952539529706</v>
      </c>
      <c r="I56" s="102">
        <f>I55+IF(G56=1,H56,0)</f>
        <v>2.20396761312535</v>
      </c>
      <c r="J56" s="102">
        <f>J55+IF(G56=2,H56,0)</f>
        <v>-3.18360073992859</v>
      </c>
      <c r="K56" s="102">
        <f>IF('Parameters'!$B$24=1,I56/'Parameters'!$B$6,SUMIF($G$48:$G$57,1,$H$48:$H$57)/'Parameters'!$B$6)</f>
        <v>0.550991903281338</v>
      </c>
      <c r="L56" s="102">
        <f>IF('Parameters'!$B$24=1,J56/'Parameters'!$B$7,SUMIF($G$48:$G$57,2,$H$48:$H$57)/'Parameters'!$B$7)</f>
        <v>-0.530600123321432</v>
      </c>
      <c r="M56" s="72">
        <f>ABS(H56-IF(G56=1,K56,L56))</f>
        <v>0.209352416208274</v>
      </c>
      <c r="N56" s="72">
        <f>ABS(H56-IF(G56=1,L56,K56))</f>
        <v>1.29094444281104</v>
      </c>
    </row>
    <row r="57">
      <c r="A57" s="64" t="inlineStr">
        <is>
          <t xml:space="preserve">b₁₀</t>
        </is>
      </c>
      <c r="B57" s="72">
        <f>$J$14</f>
        <v>-0.34973061286611</v>
      </c>
      <c r="C57" s="79" t="inlineStr">
        <is>
          <t xml:space="preserve">+</t>
        </is>
      </c>
      <c r="D57" s="72">
        <f>INDEX('Ψ(r) Contribution &amp; Weight'!$B$27:$G$27,3)</f>
        <v>-0.2</v>
      </c>
      <c r="E57" s="79" t="inlineStr">
        <is>
          <t xml:space="preserve">=</t>
        </is>
      </c>
      <c r="F57" s="72">
        <f>SUM(B57,D57)</f>
        <v>-0.54973061286611</v>
      </c>
      <c r="G57" s="68">
        <f>Dataset!O12</f>
        <v>2</v>
      </c>
      <c r="H57" s="72">
        <f>IF(OR(G57=1,G57=2),F57+IF(G57=1,1,-1)*'Parameters'!$B$19*EXP(-F57)/(1+EXP(-F57)),"—")</f>
        <v>-0.739952539529706</v>
      </c>
      <c r="I57" s="102">
        <f>I56+IF(G57=1,H57,0)</f>
        <v>2.20396761312535</v>
      </c>
      <c r="J57" s="102">
        <f>J56+IF(G57=2,H57,0)</f>
        <v>-3.9235532794583</v>
      </c>
      <c r="K57" s="102">
        <f>IF('Parameters'!$B$24=1,I57/'Parameters'!$B$6,SUMIF($G$48:$G$57,1,$H$48:$H$57)/'Parameters'!$B$6)</f>
        <v>0.550991903281338</v>
      </c>
      <c r="L57" s="102">
        <f>IF('Parameters'!$B$24=1,J57/'Parameters'!$B$7,SUMIF($G$48:$G$57,2,$H$48:$H$57)/'Parameters'!$B$7)</f>
        <v>-0.653925546576383</v>
      </c>
      <c r="M57" s="72">
        <f>ABS(H57-IF(G57=1,K57,L57))</f>
        <v>0.0860269929533227</v>
      </c>
      <c r="N57" s="72">
        <f>ABS(H57-IF(G57=1,L57,K57))</f>
        <v>1.29094444281104</v>
      </c>
    </row>
    <row r="58">
      <c r="K58" s="82" t="inlineStr">
        <is>
          <t xml:space="preserve">θ, γ  →</t>
        </is>
      </c>
      <c r="L58" s="82"/>
      <c r="M58" s="85">
        <f>SUM(M48:M57)</f>
        <v>3.74388343129235</v>
      </c>
      <c r="N58" s="85">
        <f>SUM(N48:N57)</f>
        <v>9.20446861862435</v>
      </c>
      <c r="O58" s="82" t="inlineStr">
        <is>
          <t xml:space="preserve">θ / γ</t>
        </is>
      </c>
      <c r="P58" s="92" t="str">
        <f>IF(D$14=1,M58/N58,"—")</f>
        <v>—</v>
      </c>
    </row>
    <row r="59"/>
    <row r="60">
      <c r="A60" s="59" t="str">
        <f>"Candidate a₄  ·  operator ρ_I  ·  k = "&amp;'Synthetic Features (k-NN)'!$C$18&amp;"   —   bₜ = R(Sₜ) + η₄(a_t₄)"</f>
        <v>Candidate a₄  ·  operator ρ_I  ·  k = 5   —   bₜ = R(Sₜ) + η₄(a_t₄)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84" t="str">
        <f>IF(E$14=1,"available",IF($D$4=1,"in TUPLAM — skipped","iteration not executed"))</f>
        <v>available</v>
      </c>
      <c r="P60" s="84"/>
    </row>
    <row r="61">
      <c r="A61" s="60" t="inlineStr">
        <is>
          <t xml:space="preserve">№</t>
        </is>
      </c>
      <c r="B61" s="60" t="inlineStr">
        <is>
          <t xml:space="preserve">R(Sₜ)</t>
        </is>
      </c>
      <c r="C61" s="60" t="inlineStr">
        <is>
          <t xml:space="preserve">+</t>
        </is>
      </c>
      <c r="D61" s="60" t="inlineStr">
        <is>
          <t xml:space="preserve">ηᵤ(a_tu)</t>
        </is>
      </c>
      <c r="E61" s="60" t="inlineStr">
        <is>
          <t xml:space="preserve">=</t>
        </is>
      </c>
      <c r="F61" s="60" t="inlineStr">
        <is>
          <t xml:space="preserve">bₜ</t>
        </is>
      </c>
      <c r="G61" s="60" t="inlineStr">
        <is>
          <t xml:space="preserve">Class</t>
        </is>
      </c>
      <c r="H61" s="60" t="inlineStr">
        <is>
          <t xml:space="preserve">bₜ (majorized)</t>
        </is>
      </c>
      <c r="I61" s="103" t="inlineStr">
        <is>
          <t xml:space="preserve">⚠1 Σ K1 (running)</t>
        </is>
      </c>
      <c r="J61" s="103" t="inlineStr">
        <is>
          <t xml:space="preserve">⚠1 Σ K2 (running)</t>
        </is>
      </c>
      <c r="K61" s="103" t="inlineStr">
        <is>
          <t xml:space="preserve">⚠1 M₁ used</t>
        </is>
      </c>
      <c r="L61" s="103" t="inlineStr">
        <is>
          <t xml:space="preserve">⚠1 M₂ used</t>
        </is>
      </c>
      <c r="M61" s="60" t="inlineStr">
        <is>
          <t xml:space="preserve">|b − M own|</t>
        </is>
      </c>
      <c r="N61" s="60" t="inlineStr">
        <is>
          <t xml:space="preserve">|b − M other|</t>
        </is>
      </c>
    </row>
    <row r="62">
      <c r="A62" s="64" t="inlineStr">
        <is>
          <t xml:space="preserve">b₁</t>
        </is>
      </c>
      <c r="B62" s="72">
        <f>$J$5</f>
        <v>0.112062246971304</v>
      </c>
      <c r="C62" s="79" t="inlineStr">
        <is>
          <t xml:space="preserve">+</t>
        </is>
      </c>
      <c r="D62" s="72">
        <f>INDEX('Ψ(r) Contribution &amp; Weight'!$B$18:$G$18,4)</f>
        <v>0.15</v>
      </c>
      <c r="E62" s="79" t="inlineStr">
        <is>
          <t xml:space="preserve">=</t>
        </is>
      </c>
      <c r="F62" s="72">
        <f>SUM(B62,D62)</f>
        <v>0.262062246971304</v>
      </c>
      <c r="G62" s="68">
        <f>Dataset!O3</f>
        <v>2</v>
      </c>
      <c r="H62" s="72">
        <f>IF(OR(G62=1,G62=2),F62+IF(G62=1,1,-1)*'Parameters'!$B$19*EXP(-F62)/(1+EXP(-F62)),"—")</f>
        <v>0.131605197984028</v>
      </c>
      <c r="I62" s="102">
        <f>IF(G62=1,H62,0)</f>
        <v>0</v>
      </c>
      <c r="J62" s="102">
        <f>IF(G62=2,H62,0)</f>
        <v>0.131605197984028</v>
      </c>
      <c r="K62" s="102">
        <f>IF('Parameters'!$B$24=1,I62/'Parameters'!$B$6,SUMIF($G$62:$G$71,1,$H$62:$H$71)/'Parameters'!$B$6)</f>
        <v>0</v>
      </c>
      <c r="L62" s="102">
        <f>IF('Parameters'!$B$24=1,J62/'Parameters'!$B$7,SUMIF($G$62:$G$71,2,$H$62:$H$71)/'Parameters'!$B$7)</f>
        <v>0.0219341996640047</v>
      </c>
      <c r="M62" s="72">
        <f>ABS(H62-IF(G62=1,K62,L62))</f>
        <v>0.109670998320024</v>
      </c>
      <c r="N62" s="72">
        <f>ABS(H62-IF(G62=1,L62,K62))</f>
        <v>0.131605197984028</v>
      </c>
    </row>
    <row r="63">
      <c r="A63" s="64" t="inlineStr">
        <is>
          <t xml:space="preserve">b₂</t>
        </is>
      </c>
      <c r="B63" s="72">
        <f>$J$6</f>
        <v>0.260239514069589</v>
      </c>
      <c r="C63" s="79" t="inlineStr">
        <is>
          <t xml:space="preserve">+</t>
        </is>
      </c>
      <c r="D63" s="72">
        <f>INDEX('Ψ(r) Contribution &amp; Weight'!$B$19:$G$19,4)</f>
        <v>0.15</v>
      </c>
      <c r="E63" s="79" t="inlineStr">
        <is>
          <t xml:space="preserve">=</t>
        </is>
      </c>
      <c r="F63" s="72">
        <f>SUM(B63,D63)</f>
        <v>0.410239514069589</v>
      </c>
      <c r="G63" s="68">
        <f>Dataset!O4</f>
        <v>1</v>
      </c>
      <c r="H63" s="72">
        <f>IF(OR(G63=1,G63=2),F63+IF(G63=1,1,-1)*'Parameters'!$B$19*EXP(-F63)/(1+EXP(-F63)),"—")</f>
        <v>0.52989592153807</v>
      </c>
      <c r="I63" s="102">
        <f>I62+IF(G63=1,H63,0)</f>
        <v>0.52989592153807</v>
      </c>
      <c r="J63" s="102">
        <f>J62+IF(G63=2,H63,0)</f>
        <v>0.131605197984028</v>
      </c>
      <c r="K63" s="102">
        <f>IF('Parameters'!$B$24=1,I63/'Parameters'!$B$6,SUMIF($G$62:$G$71,1,$H$62:$H$71)/'Parameters'!$B$6)</f>
        <v>0.132473980384518</v>
      </c>
      <c r="L63" s="102">
        <f>IF('Parameters'!$B$24=1,J63/'Parameters'!$B$7,SUMIF($G$62:$G$71,2,$H$62:$H$71)/'Parameters'!$B$7)</f>
        <v>0.0219341996640047</v>
      </c>
      <c r="M63" s="72">
        <f>ABS(H63-IF(G63=1,K63,L63))</f>
        <v>0.397421941153553</v>
      </c>
      <c r="N63" s="72">
        <f>ABS(H63-IF(G63=1,L63,K63))</f>
        <v>0.507961721874066</v>
      </c>
    </row>
    <row r="64">
      <c r="A64" s="64" t="inlineStr">
        <is>
          <t xml:space="preserve">b₃</t>
        </is>
      </c>
      <c r="B64" s="72">
        <f>$J$7</f>
        <v>-0.733675804638555</v>
      </c>
      <c r="C64" s="79" t="inlineStr">
        <is>
          <t xml:space="preserve">+</t>
        </is>
      </c>
      <c r="D64" s="72">
        <f>INDEX('Ψ(r) Contribution &amp; Weight'!$B$20:$G$20,4)</f>
        <v>-0.15</v>
      </c>
      <c r="E64" s="79" t="inlineStr">
        <is>
          <t xml:space="preserve">=</t>
        </is>
      </c>
      <c r="F64" s="72">
        <f>SUM(B64,D64)</f>
        <v>-0.883675804638555</v>
      </c>
      <c r="G64" s="68">
        <f>Dataset!O5</f>
        <v>2</v>
      </c>
      <c r="H64" s="72">
        <f>IF(OR(G64=1,G64=2),F64+IF(G64=1,1,-1)*'Parameters'!$B$19*EXP(-F64)/(1+EXP(-F64)),"—")</f>
        <v>-1.09595081222524</v>
      </c>
      <c r="I64" s="102">
        <f>I63+IF(G64=1,H64,0)</f>
        <v>0.52989592153807</v>
      </c>
      <c r="J64" s="102">
        <f>J63+IF(G64=2,H64,0)</f>
        <v>-0.964345614241207</v>
      </c>
      <c r="K64" s="102">
        <f>IF('Parameters'!$B$24=1,I64/'Parameters'!$B$6,SUMIF($G$62:$G$71,1,$H$62:$H$71)/'Parameters'!$B$6)</f>
        <v>0.132473980384518</v>
      </c>
      <c r="L64" s="102">
        <f>IF('Parameters'!$B$24=1,J64/'Parameters'!$B$7,SUMIF($G$62:$G$71,2,$H$62:$H$71)/'Parameters'!$B$7)</f>
        <v>-0.160724269040201</v>
      </c>
      <c r="M64" s="72">
        <f>ABS(H64-IF(G64=1,K64,L64))</f>
        <v>0.935226543185034</v>
      </c>
      <c r="N64" s="72">
        <f>ABS(H64-IF(G64=1,L64,K64))</f>
        <v>1.22842479260975</v>
      </c>
    </row>
    <row r="65">
      <c r="A65" s="64" t="inlineStr">
        <is>
          <t xml:space="preserve">b₄</t>
        </is>
      </c>
      <c r="B65" s="72">
        <f>$J$8</f>
        <v>0.603476162679314</v>
      </c>
      <c r="C65" s="79" t="inlineStr">
        <is>
          <t xml:space="preserve">+</t>
        </is>
      </c>
      <c r="D65" s="72">
        <f>INDEX('Ψ(r) Contribution &amp; Weight'!$B$21:$G$21,4)</f>
        <v>0.15</v>
      </c>
      <c r="E65" s="79" t="inlineStr">
        <is>
          <t xml:space="preserve">=</t>
        </is>
      </c>
      <c r="F65" s="72">
        <f>SUM(B65,D65)</f>
        <v>0.753476162679314</v>
      </c>
      <c r="G65" s="68">
        <f>Dataset!O6</f>
        <v>1</v>
      </c>
      <c r="H65" s="72">
        <f>IF(OR(G65=1,G65=2),F65+IF(G65=1,1,-1)*'Parameters'!$B$19*EXP(-F65)/(1+EXP(-F65)),"—")</f>
        <v>0.849495463065671</v>
      </c>
      <c r="I65" s="102">
        <f>I64+IF(G65=1,H65,0)</f>
        <v>1.37939138460374</v>
      </c>
      <c r="J65" s="102">
        <f>J64+IF(G65=2,H65,0)</f>
        <v>-0.964345614241207</v>
      </c>
      <c r="K65" s="102">
        <f>IF('Parameters'!$B$24=1,I65/'Parameters'!$B$6,SUMIF($G$62:$G$71,1,$H$62:$H$71)/'Parameters'!$B$6)</f>
        <v>0.344847846150935</v>
      </c>
      <c r="L65" s="102">
        <f>IF('Parameters'!$B$24=1,J65/'Parameters'!$B$7,SUMIF($G$62:$G$71,2,$H$62:$H$71)/'Parameters'!$B$7)</f>
        <v>-0.160724269040201</v>
      </c>
      <c r="M65" s="72">
        <f>ABS(H65-IF(G65=1,K65,L65))</f>
        <v>0.504647616914736</v>
      </c>
      <c r="N65" s="72">
        <f>ABS(H65-IF(G65=1,L65,K65))</f>
        <v>1.01021973210587</v>
      </c>
    </row>
    <row r="66">
      <c r="A66" s="64" t="inlineStr">
        <is>
          <t xml:space="preserve">b₅</t>
        </is>
      </c>
      <c r="B66" s="72">
        <f>$J$9</f>
        <v>0.603476162679314</v>
      </c>
      <c r="C66" s="79" t="inlineStr">
        <is>
          <t xml:space="preserve">+</t>
        </is>
      </c>
      <c r="D66" s="72">
        <f>INDEX('Ψ(r) Contribution &amp; Weight'!$B$22:$G$22,4)</f>
        <v>0.15</v>
      </c>
      <c r="E66" s="79" t="inlineStr">
        <is>
          <t xml:space="preserve">=</t>
        </is>
      </c>
      <c r="F66" s="72">
        <f>SUM(B66,D66)</f>
        <v>0.753476162679314</v>
      </c>
      <c r="G66" s="68">
        <f>Dataset!O7</f>
        <v>1</v>
      </c>
      <c r="H66" s="72">
        <f>IF(OR(G66=1,G66=2),F66+IF(G66=1,1,-1)*'Parameters'!$B$19*EXP(-F66)/(1+EXP(-F66)),"—")</f>
        <v>0.849495463065671</v>
      </c>
      <c r="I66" s="102">
        <f>I65+IF(G66=1,H66,0)</f>
        <v>2.22888684766941</v>
      </c>
      <c r="J66" s="102">
        <f>J65+IF(G66=2,H66,0)</f>
        <v>-0.964345614241207</v>
      </c>
      <c r="K66" s="102">
        <f>IF('Parameters'!$B$24=1,I66/'Parameters'!$B$6,SUMIF($G$62:$G$71,1,$H$62:$H$71)/'Parameters'!$B$6)</f>
        <v>0.557221711917353</v>
      </c>
      <c r="L66" s="102">
        <f>IF('Parameters'!$B$24=1,J66/'Parameters'!$B$7,SUMIF($G$62:$G$71,2,$H$62:$H$71)/'Parameters'!$B$7)</f>
        <v>-0.160724269040201</v>
      </c>
      <c r="M66" s="72">
        <f>ABS(H66-IF(G66=1,K66,L66))</f>
        <v>0.292273751148318</v>
      </c>
      <c r="N66" s="72">
        <f>ABS(H66-IF(G66=1,L66,K66))</f>
        <v>1.01021973210587</v>
      </c>
    </row>
    <row r="67">
      <c r="A67" s="64" t="inlineStr">
        <is>
          <t xml:space="preserve">b₆</t>
        </is>
      </c>
      <c r="B67" s="72">
        <f>$J$10</f>
        <v>0.260239514069589</v>
      </c>
      <c r="C67" s="79" t="inlineStr">
        <is>
          <t xml:space="preserve">+</t>
        </is>
      </c>
      <c r="D67" s="72">
        <f>INDEX('Ψ(r) Contribution &amp; Weight'!$B$23:$G$23,4)</f>
        <v>0.15</v>
      </c>
      <c r="E67" s="79" t="inlineStr">
        <is>
          <t xml:space="preserve">=</t>
        </is>
      </c>
      <c r="F67" s="72">
        <f>SUM(B67,D67)</f>
        <v>0.410239514069589</v>
      </c>
      <c r="G67" s="68">
        <f>Dataset!O8</f>
        <v>1</v>
      </c>
      <c r="H67" s="72">
        <f>IF(OR(G67=1,G67=2),F67+IF(G67=1,1,-1)*'Parameters'!$B$19*EXP(-F67)/(1+EXP(-F67)),"—")</f>
        <v>0.52989592153807</v>
      </c>
      <c r="I67" s="102">
        <f>I66+IF(G67=1,H67,0)</f>
        <v>2.75878276920748</v>
      </c>
      <c r="J67" s="102">
        <f>J66+IF(G67=2,H67,0)</f>
        <v>-0.964345614241207</v>
      </c>
      <c r="K67" s="102">
        <f>IF('Parameters'!$B$24=1,I67/'Parameters'!$B$6,SUMIF($G$62:$G$71,1,$H$62:$H$71)/'Parameters'!$B$6)</f>
        <v>0.689695692301871</v>
      </c>
      <c r="L67" s="102">
        <f>IF('Parameters'!$B$24=1,J67/'Parameters'!$B$7,SUMIF($G$62:$G$71,2,$H$62:$H$71)/'Parameters'!$B$7)</f>
        <v>-0.160724269040201</v>
      </c>
      <c r="M67" s="72">
        <f>ABS(H67-IF(G67=1,K67,L67))</f>
        <v>0.1597997707638</v>
      </c>
      <c r="N67" s="72">
        <f>ABS(H67-IF(G67=1,L67,K67))</f>
        <v>0.690620190578272</v>
      </c>
    </row>
    <row r="68">
      <c r="A68" s="64" t="inlineStr">
        <is>
          <t xml:space="preserve">b₇</t>
        </is>
      </c>
      <c r="B68" s="72">
        <f>$J$11</f>
        <v>-0.34973061286611</v>
      </c>
      <c r="C68" s="79" t="inlineStr">
        <is>
          <t xml:space="preserve">+</t>
        </is>
      </c>
      <c r="D68" s="72">
        <f>INDEX('Ψ(r) Contribution &amp; Weight'!$B$24:$G$24,4)</f>
        <v>0.15</v>
      </c>
      <c r="E68" s="79" t="inlineStr">
        <is>
          <t xml:space="preserve">=</t>
        </is>
      </c>
      <c r="F68" s="72">
        <f>SUM(B68,D68)</f>
        <v>-0.19973061286611</v>
      </c>
      <c r="G68" s="68">
        <f>Dataset!O9</f>
        <v>2</v>
      </c>
      <c r="H68" s="72">
        <f>IF(OR(G68=1,G68=2),F68+IF(G68=1,1,-1)*'Parameters'!$B$19*EXP(-F68)/(1+EXP(-F68)),"—")</f>
        <v>-0.364660808457399</v>
      </c>
      <c r="I68" s="102">
        <f>I67+IF(G68=1,H68,0)</f>
        <v>2.75878276920748</v>
      </c>
      <c r="J68" s="102">
        <f>J67+IF(G68=2,H68,0)</f>
        <v>-1.32900642269861</v>
      </c>
      <c r="K68" s="102">
        <f>IF('Parameters'!$B$24=1,I68/'Parameters'!$B$6,SUMIF($G$62:$G$71,1,$H$62:$H$71)/'Parameters'!$B$6)</f>
        <v>0.689695692301871</v>
      </c>
      <c r="L68" s="102">
        <f>IF('Parameters'!$B$24=1,J68/'Parameters'!$B$7,SUMIF($G$62:$G$71,2,$H$62:$H$71)/'Parameters'!$B$7)</f>
        <v>-0.221501070449768</v>
      </c>
      <c r="M68" s="72">
        <f>ABS(H68-IF(G68=1,K68,L68))</f>
        <v>0.143159738007631</v>
      </c>
      <c r="N68" s="72">
        <f>ABS(H68-IF(G68=1,L68,K68))</f>
        <v>1.05435650075927</v>
      </c>
    </row>
    <row r="69">
      <c r="A69" s="64" t="inlineStr">
        <is>
          <t xml:space="preserve">b₈</t>
        </is>
      </c>
      <c r="B69" s="72">
        <f>$J$12</f>
        <v>-0.34973061286611</v>
      </c>
      <c r="C69" s="79" t="inlineStr">
        <is>
          <t xml:space="preserve">+</t>
        </is>
      </c>
      <c r="D69" s="72">
        <f>INDEX('Ψ(r) Contribution &amp; Weight'!$B$25:$G$25,4)</f>
        <v>0.15</v>
      </c>
      <c r="E69" s="79" t="inlineStr">
        <is>
          <t xml:space="preserve">=</t>
        </is>
      </c>
      <c r="F69" s="72">
        <f>SUM(B69,D69)</f>
        <v>-0.19973061286611</v>
      </c>
      <c r="G69" s="68">
        <f>Dataset!O10</f>
        <v>2</v>
      </c>
      <c r="H69" s="72">
        <f>IF(OR(G69=1,G69=2),F69+IF(G69=1,1,-1)*'Parameters'!$B$19*EXP(-F69)/(1+EXP(-F69)),"—")</f>
        <v>-0.364660808457399</v>
      </c>
      <c r="I69" s="102">
        <f>I68+IF(G69=1,H69,0)</f>
        <v>2.75878276920748</v>
      </c>
      <c r="J69" s="102">
        <f>J68+IF(G69=2,H69,0)</f>
        <v>-1.693667231156</v>
      </c>
      <c r="K69" s="102">
        <f>IF('Parameters'!$B$24=1,I69/'Parameters'!$B$6,SUMIF($G$62:$G$71,1,$H$62:$H$71)/'Parameters'!$B$6)</f>
        <v>0.689695692301871</v>
      </c>
      <c r="L69" s="102">
        <f>IF('Parameters'!$B$24=1,J69/'Parameters'!$B$7,SUMIF($G$62:$G$71,2,$H$62:$H$71)/'Parameters'!$B$7)</f>
        <v>-0.282277871859334</v>
      </c>
      <c r="M69" s="72">
        <f>ABS(H69-IF(G69=1,K69,L69))</f>
        <v>0.0823829365980648</v>
      </c>
      <c r="N69" s="72">
        <f>ABS(H69-IF(G69=1,L69,K69))</f>
        <v>1.05435650075927</v>
      </c>
    </row>
    <row r="70">
      <c r="A70" s="64" t="inlineStr">
        <is>
          <t xml:space="preserve">b₉</t>
        </is>
      </c>
      <c r="B70" s="72">
        <f>$J$13</f>
        <v>-0.34973061286611</v>
      </c>
      <c r="C70" s="79" t="inlineStr">
        <is>
          <t xml:space="preserve">+</t>
        </is>
      </c>
      <c r="D70" s="72">
        <f>INDEX('Ψ(r) Contribution &amp; Weight'!$B$26:$G$26,4)</f>
        <v>0.15</v>
      </c>
      <c r="E70" s="79" t="inlineStr">
        <is>
          <t xml:space="preserve">=</t>
        </is>
      </c>
      <c r="F70" s="72">
        <f>SUM(B70,D70)</f>
        <v>-0.19973061286611</v>
      </c>
      <c r="G70" s="68">
        <f>Dataset!O11</f>
        <v>2</v>
      </c>
      <c r="H70" s="72">
        <f>IF(OR(G70=1,G70=2),F70+IF(G70=1,1,-1)*'Parameters'!$B$19*EXP(-F70)/(1+EXP(-F70)),"—")</f>
        <v>-0.364660808457399</v>
      </c>
      <c r="I70" s="102">
        <f>I69+IF(G70=1,H70,0)</f>
        <v>2.75878276920748</v>
      </c>
      <c r="J70" s="102">
        <f>J69+IF(G70=2,H70,0)</f>
        <v>-2.0583280396134</v>
      </c>
      <c r="K70" s="102">
        <f>IF('Parameters'!$B$24=1,I70/'Parameters'!$B$6,SUMIF($G$62:$G$71,1,$H$62:$H$71)/'Parameters'!$B$6)</f>
        <v>0.689695692301871</v>
      </c>
      <c r="L70" s="102">
        <f>IF('Parameters'!$B$24=1,J70/'Parameters'!$B$7,SUMIF($G$62:$G$71,2,$H$62:$H$71)/'Parameters'!$B$7)</f>
        <v>-0.343054673268901</v>
      </c>
      <c r="M70" s="72">
        <f>ABS(H70-IF(G70=1,K70,L70))</f>
        <v>0.0216061351884983</v>
      </c>
      <c r="N70" s="72">
        <f>ABS(H70-IF(G70=1,L70,K70))</f>
        <v>1.05435650075927</v>
      </c>
    </row>
    <row r="71">
      <c r="A71" s="64" t="inlineStr">
        <is>
          <t xml:space="preserve">b₁₀</t>
        </is>
      </c>
      <c r="B71" s="72">
        <f>$J$14</f>
        <v>-0.34973061286611</v>
      </c>
      <c r="C71" s="79" t="inlineStr">
        <is>
          <t xml:space="preserve">+</t>
        </is>
      </c>
      <c r="D71" s="72">
        <f>INDEX('Ψ(r) Contribution &amp; Weight'!$B$27:$G$27,4)</f>
        <v>0.15</v>
      </c>
      <c r="E71" s="79" t="inlineStr">
        <is>
          <t xml:space="preserve">=</t>
        </is>
      </c>
      <c r="F71" s="72">
        <f>SUM(B71,D71)</f>
        <v>-0.19973061286611</v>
      </c>
      <c r="G71" s="68">
        <f>Dataset!O12</f>
        <v>2</v>
      </c>
      <c r="H71" s="72">
        <f>IF(OR(G71=1,G71=2),F71+IF(G71=1,1,-1)*'Parameters'!$B$19*EXP(-F71)/(1+EXP(-F71)),"—")</f>
        <v>-0.364660808457399</v>
      </c>
      <c r="I71" s="102">
        <f>I70+IF(G71=1,H71,0)</f>
        <v>2.75878276920748</v>
      </c>
      <c r="J71" s="102">
        <f>J70+IF(G71=2,H71,0)</f>
        <v>-2.4229888480708</v>
      </c>
      <c r="K71" s="102">
        <f>IF('Parameters'!$B$24=1,I71/'Parameters'!$B$6,SUMIF($G$62:$G$71,1,$H$62:$H$71)/'Parameters'!$B$6)</f>
        <v>0.689695692301871</v>
      </c>
      <c r="L71" s="102">
        <f>IF('Parameters'!$B$24=1,J71/'Parameters'!$B$7,SUMIF($G$62:$G$71,2,$H$62:$H$71)/'Parameters'!$B$7)</f>
        <v>-0.403831474678467</v>
      </c>
      <c r="M71" s="72">
        <f>ABS(H71-IF(G71=1,K71,L71))</f>
        <v>0.0391706662210682</v>
      </c>
      <c r="N71" s="72">
        <f>ABS(H71-IF(G71=1,L71,K71))</f>
        <v>1.05435650075927</v>
      </c>
    </row>
    <row r="72">
      <c r="K72" s="82" t="inlineStr">
        <is>
          <t xml:space="preserve">θ, γ  →</t>
        </is>
      </c>
      <c r="L72" s="82"/>
      <c r="M72" s="85">
        <f>SUM(M62:M71)</f>
        <v>2.68536009750073</v>
      </c>
      <c r="N72" s="85">
        <f>SUM(N62:N71)</f>
        <v>8.79647737029494</v>
      </c>
      <c r="O72" s="82" t="inlineStr">
        <is>
          <t xml:space="preserve">θ / γ</t>
        </is>
      </c>
      <c r="P72" s="92">
        <f>IF(E$14=1,M72/N72,"—")</f>
        <v>0.305276758463449</v>
      </c>
    </row>
    <row r="73"/>
    <row r="74">
      <c r="A74" s="59" t="str">
        <f>"Candidate a₅  ·  operator ρ_J  ·  k = "&amp;'Synthetic Features (k-NN)'!$B$32&amp;"   —   bₜ = R(Sₜ) + η₅(a_t₅)"</f>
        <v>Candidate a₅  ·  operator ρ_J  ·  k = 3   —   bₜ = R(Sₜ) + η₅(a_t₅)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84" t="str">
        <f>IF(F$14=1,"available",IF($D$4=1,"in TUPLAM — skipped","iteration not executed"))</f>
        <v>available</v>
      </c>
      <c r="P74" s="84"/>
    </row>
    <row r="75">
      <c r="A75" s="60" t="inlineStr">
        <is>
          <t xml:space="preserve">№</t>
        </is>
      </c>
      <c r="B75" s="60" t="inlineStr">
        <is>
          <t xml:space="preserve">R(Sₜ)</t>
        </is>
      </c>
      <c r="C75" s="60" t="inlineStr">
        <is>
          <t xml:space="preserve">+</t>
        </is>
      </c>
      <c r="D75" s="60" t="inlineStr">
        <is>
          <t xml:space="preserve">ηᵤ(a_tu)</t>
        </is>
      </c>
      <c r="E75" s="60" t="inlineStr">
        <is>
          <t xml:space="preserve">=</t>
        </is>
      </c>
      <c r="F75" s="60" t="inlineStr">
        <is>
          <t xml:space="preserve">bₜ</t>
        </is>
      </c>
      <c r="G75" s="60" t="inlineStr">
        <is>
          <t xml:space="preserve">Class</t>
        </is>
      </c>
      <c r="H75" s="60" t="inlineStr">
        <is>
          <t xml:space="preserve">bₜ (majorized)</t>
        </is>
      </c>
      <c r="I75" s="103" t="inlineStr">
        <is>
          <t xml:space="preserve">⚠1 Σ K1 (running)</t>
        </is>
      </c>
      <c r="J75" s="103" t="inlineStr">
        <is>
          <t xml:space="preserve">⚠1 Σ K2 (running)</t>
        </is>
      </c>
      <c r="K75" s="103" t="inlineStr">
        <is>
          <t xml:space="preserve">⚠1 M₁ used</t>
        </is>
      </c>
      <c r="L75" s="103" t="inlineStr">
        <is>
          <t xml:space="preserve">⚠1 M₂ used</t>
        </is>
      </c>
      <c r="M75" s="60" t="inlineStr">
        <is>
          <t xml:space="preserve">|b − M own|</t>
        </is>
      </c>
      <c r="N75" s="60" t="inlineStr">
        <is>
          <t xml:space="preserve">|b − M other|</t>
        </is>
      </c>
    </row>
    <row r="76">
      <c r="A76" s="64" t="inlineStr">
        <is>
          <t xml:space="preserve">b₁</t>
        </is>
      </c>
      <c r="B76" s="72">
        <f>$J$5</f>
        <v>0.112062246971304</v>
      </c>
      <c r="C76" s="79" t="inlineStr">
        <is>
          <t xml:space="preserve">+</t>
        </is>
      </c>
      <c r="D76" s="72">
        <f>INDEX('Ψ(r) Contribution &amp; Weight'!$B$18:$G$18,5)</f>
        <v>0.15</v>
      </c>
      <c r="E76" s="79" t="inlineStr">
        <is>
          <t xml:space="preserve">=</t>
        </is>
      </c>
      <c r="F76" s="72">
        <f>SUM(B76,D76)</f>
        <v>0.262062246971304</v>
      </c>
      <c r="G76" s="68">
        <f>Dataset!O3</f>
        <v>2</v>
      </c>
      <c r="H76" s="72">
        <f>IF(OR(G76=1,G76=2),F76+IF(G76=1,1,-1)*'Parameters'!$B$19*EXP(-F76)/(1+EXP(-F76)),"—")</f>
        <v>0.131605197984028</v>
      </c>
      <c r="I76" s="102">
        <f>IF(G76=1,H76,0)</f>
        <v>0</v>
      </c>
      <c r="J76" s="102">
        <f>IF(G76=2,H76,0)</f>
        <v>0.131605197984028</v>
      </c>
      <c r="K76" s="102">
        <f>IF('Parameters'!$B$24=1,I76/'Parameters'!$B$6,SUMIF($G$76:$G$85,1,$H$76:$H$85)/'Parameters'!$B$6)</f>
        <v>0</v>
      </c>
      <c r="L76" s="102">
        <f>IF('Parameters'!$B$24=1,J76/'Parameters'!$B$7,SUMIF($G$76:$G$85,2,$H$76:$H$85)/'Parameters'!$B$7)</f>
        <v>0.0219341996640047</v>
      </c>
      <c r="M76" s="72">
        <f>ABS(H76-IF(G76=1,K76,L76))</f>
        <v>0.109670998320024</v>
      </c>
      <c r="N76" s="72">
        <f>ABS(H76-IF(G76=1,L76,K76))</f>
        <v>0.131605197984028</v>
      </c>
    </row>
    <row r="77">
      <c r="A77" s="64" t="inlineStr">
        <is>
          <t xml:space="preserve">b₂</t>
        </is>
      </c>
      <c r="B77" s="72">
        <f>$J$6</f>
        <v>0.260239514069589</v>
      </c>
      <c r="C77" s="79" t="inlineStr">
        <is>
          <t xml:space="preserve">+</t>
        </is>
      </c>
      <c r="D77" s="72">
        <f>INDEX('Ψ(r) Contribution &amp; Weight'!$B$19:$G$19,5)</f>
        <v>0.15</v>
      </c>
      <c r="E77" s="79" t="inlineStr">
        <is>
          <t xml:space="preserve">=</t>
        </is>
      </c>
      <c r="F77" s="72">
        <f>SUM(B77,D77)</f>
        <v>0.410239514069589</v>
      </c>
      <c r="G77" s="68">
        <f>Dataset!O4</f>
        <v>1</v>
      </c>
      <c r="H77" s="72">
        <f>IF(OR(G77=1,G77=2),F77+IF(G77=1,1,-1)*'Parameters'!$B$19*EXP(-F77)/(1+EXP(-F77)),"—")</f>
        <v>0.52989592153807</v>
      </c>
      <c r="I77" s="102">
        <f>I76+IF(G77=1,H77,0)</f>
        <v>0.52989592153807</v>
      </c>
      <c r="J77" s="102">
        <f>J76+IF(G77=2,H77,0)</f>
        <v>0.131605197984028</v>
      </c>
      <c r="K77" s="102">
        <f>IF('Parameters'!$B$24=1,I77/'Parameters'!$B$6,SUMIF($G$76:$G$85,1,$H$76:$H$85)/'Parameters'!$B$6)</f>
        <v>0.132473980384518</v>
      </c>
      <c r="L77" s="102">
        <f>IF('Parameters'!$B$24=1,J77/'Parameters'!$B$7,SUMIF($G$76:$G$85,2,$H$76:$H$85)/'Parameters'!$B$7)</f>
        <v>0.0219341996640047</v>
      </c>
      <c r="M77" s="72">
        <f>ABS(H77-IF(G77=1,K77,L77))</f>
        <v>0.397421941153553</v>
      </c>
      <c r="N77" s="72">
        <f>ABS(H77-IF(G77=1,L77,K77))</f>
        <v>0.507961721874066</v>
      </c>
    </row>
    <row r="78">
      <c r="A78" s="64" t="inlineStr">
        <is>
          <t xml:space="preserve">b₃</t>
        </is>
      </c>
      <c r="B78" s="72">
        <f>$J$7</f>
        <v>-0.733675804638555</v>
      </c>
      <c r="C78" s="79" t="inlineStr">
        <is>
          <t xml:space="preserve">+</t>
        </is>
      </c>
      <c r="D78" s="72">
        <f>INDEX('Ψ(r) Contribution &amp; Weight'!$B$20:$G$20,5)</f>
        <v>-0.15</v>
      </c>
      <c r="E78" s="79" t="inlineStr">
        <is>
          <t xml:space="preserve">=</t>
        </is>
      </c>
      <c r="F78" s="72">
        <f>SUM(B78,D78)</f>
        <v>-0.883675804638555</v>
      </c>
      <c r="G78" s="68">
        <f>Dataset!O5</f>
        <v>2</v>
      </c>
      <c r="H78" s="72">
        <f>IF(OR(G78=1,G78=2),F78+IF(G78=1,1,-1)*'Parameters'!$B$19*EXP(-F78)/(1+EXP(-F78)),"—")</f>
        <v>-1.09595081222524</v>
      </c>
      <c r="I78" s="102">
        <f>I77+IF(G78=1,H78,0)</f>
        <v>0.52989592153807</v>
      </c>
      <c r="J78" s="102">
        <f>J77+IF(G78=2,H78,0)</f>
        <v>-0.964345614241207</v>
      </c>
      <c r="K78" s="102">
        <f>IF('Parameters'!$B$24=1,I78/'Parameters'!$B$6,SUMIF($G$76:$G$85,1,$H$76:$H$85)/'Parameters'!$B$6)</f>
        <v>0.132473980384518</v>
      </c>
      <c r="L78" s="102">
        <f>IF('Parameters'!$B$24=1,J78/'Parameters'!$B$7,SUMIF($G$76:$G$85,2,$H$76:$H$85)/'Parameters'!$B$7)</f>
        <v>-0.160724269040201</v>
      </c>
      <c r="M78" s="72">
        <f>ABS(H78-IF(G78=1,K78,L78))</f>
        <v>0.935226543185034</v>
      </c>
      <c r="N78" s="72">
        <f>ABS(H78-IF(G78=1,L78,K78))</f>
        <v>1.22842479260975</v>
      </c>
    </row>
    <row r="79">
      <c r="A79" s="64" t="inlineStr">
        <is>
          <t xml:space="preserve">b₄</t>
        </is>
      </c>
      <c r="B79" s="72">
        <f>$J$8</f>
        <v>0.603476162679314</v>
      </c>
      <c r="C79" s="79" t="inlineStr">
        <is>
          <t xml:space="preserve">+</t>
        </is>
      </c>
      <c r="D79" s="72">
        <f>INDEX('Ψ(r) Contribution &amp; Weight'!$B$21:$G$21,5)</f>
        <v>0.15</v>
      </c>
      <c r="E79" s="79" t="inlineStr">
        <is>
          <t xml:space="preserve">=</t>
        </is>
      </c>
      <c r="F79" s="72">
        <f>SUM(B79,D79)</f>
        <v>0.753476162679314</v>
      </c>
      <c r="G79" s="68">
        <f>Dataset!O6</f>
        <v>1</v>
      </c>
      <c r="H79" s="72">
        <f>IF(OR(G79=1,G79=2),F79+IF(G79=1,1,-1)*'Parameters'!$B$19*EXP(-F79)/(1+EXP(-F79)),"—")</f>
        <v>0.849495463065671</v>
      </c>
      <c r="I79" s="102">
        <f>I78+IF(G79=1,H79,0)</f>
        <v>1.37939138460374</v>
      </c>
      <c r="J79" s="102">
        <f>J78+IF(G79=2,H79,0)</f>
        <v>-0.964345614241207</v>
      </c>
      <c r="K79" s="102">
        <f>IF('Parameters'!$B$24=1,I79/'Parameters'!$B$6,SUMIF($G$76:$G$85,1,$H$76:$H$85)/'Parameters'!$B$6)</f>
        <v>0.344847846150935</v>
      </c>
      <c r="L79" s="102">
        <f>IF('Parameters'!$B$24=1,J79/'Parameters'!$B$7,SUMIF($G$76:$G$85,2,$H$76:$H$85)/'Parameters'!$B$7)</f>
        <v>-0.160724269040201</v>
      </c>
      <c r="M79" s="72">
        <f>ABS(H79-IF(G79=1,K79,L79))</f>
        <v>0.504647616914736</v>
      </c>
      <c r="N79" s="72">
        <f>ABS(H79-IF(G79=1,L79,K79))</f>
        <v>1.01021973210587</v>
      </c>
    </row>
    <row r="80">
      <c r="A80" s="64" t="inlineStr">
        <is>
          <t xml:space="preserve">b₅</t>
        </is>
      </c>
      <c r="B80" s="72">
        <f>$J$9</f>
        <v>0.603476162679314</v>
      </c>
      <c r="C80" s="79" t="inlineStr">
        <is>
          <t xml:space="preserve">+</t>
        </is>
      </c>
      <c r="D80" s="72">
        <f>INDEX('Ψ(r) Contribution &amp; Weight'!$B$22:$G$22,5)</f>
        <v>0.15</v>
      </c>
      <c r="E80" s="79" t="inlineStr">
        <is>
          <t xml:space="preserve">=</t>
        </is>
      </c>
      <c r="F80" s="72">
        <f>SUM(B80,D80)</f>
        <v>0.753476162679314</v>
      </c>
      <c r="G80" s="68">
        <f>Dataset!O7</f>
        <v>1</v>
      </c>
      <c r="H80" s="72">
        <f>IF(OR(G80=1,G80=2),F80+IF(G80=1,1,-1)*'Parameters'!$B$19*EXP(-F80)/(1+EXP(-F80)),"—")</f>
        <v>0.849495463065671</v>
      </c>
      <c r="I80" s="102">
        <f>I79+IF(G80=1,H80,0)</f>
        <v>2.22888684766941</v>
      </c>
      <c r="J80" s="102">
        <f>J79+IF(G80=2,H80,0)</f>
        <v>-0.964345614241207</v>
      </c>
      <c r="K80" s="102">
        <f>IF('Parameters'!$B$24=1,I80/'Parameters'!$B$6,SUMIF($G$76:$G$85,1,$H$76:$H$85)/'Parameters'!$B$6)</f>
        <v>0.557221711917353</v>
      </c>
      <c r="L80" s="102">
        <f>IF('Parameters'!$B$24=1,J80/'Parameters'!$B$7,SUMIF($G$76:$G$85,2,$H$76:$H$85)/'Parameters'!$B$7)</f>
        <v>-0.160724269040201</v>
      </c>
      <c r="M80" s="72">
        <f>ABS(H80-IF(G80=1,K80,L80))</f>
        <v>0.292273751148318</v>
      </c>
      <c r="N80" s="72">
        <f>ABS(H80-IF(G80=1,L80,K80))</f>
        <v>1.01021973210587</v>
      </c>
    </row>
    <row r="81">
      <c r="A81" s="64" t="inlineStr">
        <is>
          <t xml:space="preserve">b₆</t>
        </is>
      </c>
      <c r="B81" s="72">
        <f>$J$10</f>
        <v>0.260239514069589</v>
      </c>
      <c r="C81" s="79" t="inlineStr">
        <is>
          <t xml:space="preserve">+</t>
        </is>
      </c>
      <c r="D81" s="72">
        <f>INDEX('Ψ(r) Contribution &amp; Weight'!$B$23:$G$23,5)</f>
        <v>0.15</v>
      </c>
      <c r="E81" s="79" t="inlineStr">
        <is>
          <t xml:space="preserve">=</t>
        </is>
      </c>
      <c r="F81" s="72">
        <f>SUM(B81,D81)</f>
        <v>0.410239514069589</v>
      </c>
      <c r="G81" s="68">
        <f>Dataset!O8</f>
        <v>1</v>
      </c>
      <c r="H81" s="72">
        <f>IF(OR(G81=1,G81=2),F81+IF(G81=1,1,-1)*'Parameters'!$B$19*EXP(-F81)/(1+EXP(-F81)),"—")</f>
        <v>0.52989592153807</v>
      </c>
      <c r="I81" s="102">
        <f>I80+IF(G81=1,H81,0)</f>
        <v>2.75878276920748</v>
      </c>
      <c r="J81" s="102">
        <f>J80+IF(G81=2,H81,0)</f>
        <v>-0.964345614241207</v>
      </c>
      <c r="K81" s="102">
        <f>IF('Parameters'!$B$24=1,I81/'Parameters'!$B$6,SUMIF($G$76:$G$85,1,$H$76:$H$85)/'Parameters'!$B$6)</f>
        <v>0.689695692301871</v>
      </c>
      <c r="L81" s="102">
        <f>IF('Parameters'!$B$24=1,J81/'Parameters'!$B$7,SUMIF($G$76:$G$85,2,$H$76:$H$85)/'Parameters'!$B$7)</f>
        <v>-0.160724269040201</v>
      </c>
      <c r="M81" s="72">
        <f>ABS(H81-IF(G81=1,K81,L81))</f>
        <v>0.1597997707638</v>
      </c>
      <c r="N81" s="72">
        <f>ABS(H81-IF(G81=1,L81,K81))</f>
        <v>0.690620190578272</v>
      </c>
    </row>
    <row r="82">
      <c r="A82" s="64" t="inlineStr">
        <is>
          <t xml:space="preserve">b₇</t>
        </is>
      </c>
      <c r="B82" s="72">
        <f>$J$11</f>
        <v>-0.34973061286611</v>
      </c>
      <c r="C82" s="79" t="inlineStr">
        <is>
          <t xml:space="preserve">+</t>
        </is>
      </c>
      <c r="D82" s="72">
        <f>INDEX('Ψ(r) Contribution &amp; Weight'!$B$24:$G$24,5)</f>
        <v>0.15</v>
      </c>
      <c r="E82" s="79" t="inlineStr">
        <is>
          <t xml:space="preserve">=</t>
        </is>
      </c>
      <c r="F82" s="72">
        <f>SUM(B82,D82)</f>
        <v>-0.19973061286611</v>
      </c>
      <c r="G82" s="68">
        <f>Dataset!O9</f>
        <v>2</v>
      </c>
      <c r="H82" s="72">
        <f>IF(OR(G82=1,G82=2),F82+IF(G82=1,1,-1)*'Parameters'!$B$19*EXP(-F82)/(1+EXP(-F82)),"—")</f>
        <v>-0.364660808457399</v>
      </c>
      <c r="I82" s="102">
        <f>I81+IF(G82=1,H82,0)</f>
        <v>2.75878276920748</v>
      </c>
      <c r="J82" s="102">
        <f>J81+IF(G82=2,H82,0)</f>
        <v>-1.32900642269861</v>
      </c>
      <c r="K82" s="102">
        <f>IF('Parameters'!$B$24=1,I82/'Parameters'!$B$6,SUMIF($G$76:$G$85,1,$H$76:$H$85)/'Parameters'!$B$6)</f>
        <v>0.689695692301871</v>
      </c>
      <c r="L82" s="102">
        <f>IF('Parameters'!$B$24=1,J82/'Parameters'!$B$7,SUMIF($G$76:$G$85,2,$H$76:$H$85)/'Parameters'!$B$7)</f>
        <v>-0.221501070449768</v>
      </c>
      <c r="M82" s="72">
        <f>ABS(H82-IF(G82=1,K82,L82))</f>
        <v>0.143159738007631</v>
      </c>
      <c r="N82" s="72">
        <f>ABS(H82-IF(G82=1,L82,K82))</f>
        <v>1.05435650075927</v>
      </c>
    </row>
    <row r="83">
      <c r="A83" s="64" t="inlineStr">
        <is>
          <t xml:space="preserve">b₈</t>
        </is>
      </c>
      <c r="B83" s="72">
        <f>$J$12</f>
        <v>-0.34973061286611</v>
      </c>
      <c r="C83" s="79" t="inlineStr">
        <is>
          <t xml:space="preserve">+</t>
        </is>
      </c>
      <c r="D83" s="72">
        <f>INDEX('Ψ(r) Contribution &amp; Weight'!$B$25:$G$25,5)</f>
        <v>0.15</v>
      </c>
      <c r="E83" s="79" t="inlineStr">
        <is>
          <t xml:space="preserve">=</t>
        </is>
      </c>
      <c r="F83" s="72">
        <f>SUM(B83,D83)</f>
        <v>-0.19973061286611</v>
      </c>
      <c r="G83" s="68">
        <f>Dataset!O10</f>
        <v>2</v>
      </c>
      <c r="H83" s="72">
        <f>IF(OR(G83=1,G83=2),F83+IF(G83=1,1,-1)*'Parameters'!$B$19*EXP(-F83)/(1+EXP(-F83)),"—")</f>
        <v>-0.364660808457399</v>
      </c>
      <c r="I83" s="102">
        <f>I82+IF(G83=1,H83,0)</f>
        <v>2.75878276920748</v>
      </c>
      <c r="J83" s="102">
        <f>J82+IF(G83=2,H83,0)</f>
        <v>-1.693667231156</v>
      </c>
      <c r="K83" s="102">
        <f>IF('Parameters'!$B$24=1,I83/'Parameters'!$B$6,SUMIF($G$76:$G$85,1,$H$76:$H$85)/'Parameters'!$B$6)</f>
        <v>0.689695692301871</v>
      </c>
      <c r="L83" s="102">
        <f>IF('Parameters'!$B$24=1,J83/'Parameters'!$B$7,SUMIF($G$76:$G$85,2,$H$76:$H$85)/'Parameters'!$B$7)</f>
        <v>-0.282277871859334</v>
      </c>
      <c r="M83" s="72">
        <f>ABS(H83-IF(G83=1,K83,L83))</f>
        <v>0.0823829365980648</v>
      </c>
      <c r="N83" s="72">
        <f>ABS(H83-IF(G83=1,L83,K83))</f>
        <v>1.05435650075927</v>
      </c>
    </row>
    <row r="84">
      <c r="A84" s="64" t="inlineStr">
        <is>
          <t xml:space="preserve">b₉</t>
        </is>
      </c>
      <c r="B84" s="72">
        <f>$J$13</f>
        <v>-0.34973061286611</v>
      </c>
      <c r="C84" s="79" t="inlineStr">
        <is>
          <t xml:space="preserve">+</t>
        </is>
      </c>
      <c r="D84" s="72">
        <f>INDEX('Ψ(r) Contribution &amp; Weight'!$B$26:$G$26,5)</f>
        <v>0.15</v>
      </c>
      <c r="E84" s="79" t="inlineStr">
        <is>
          <t xml:space="preserve">=</t>
        </is>
      </c>
      <c r="F84" s="72">
        <f>SUM(B84,D84)</f>
        <v>-0.19973061286611</v>
      </c>
      <c r="G84" s="68">
        <f>Dataset!O11</f>
        <v>2</v>
      </c>
      <c r="H84" s="72">
        <f>IF(OR(G84=1,G84=2),F84+IF(G84=1,1,-1)*'Parameters'!$B$19*EXP(-F84)/(1+EXP(-F84)),"—")</f>
        <v>-0.364660808457399</v>
      </c>
      <c r="I84" s="102">
        <f>I83+IF(G84=1,H84,0)</f>
        <v>2.75878276920748</v>
      </c>
      <c r="J84" s="102">
        <f>J83+IF(G84=2,H84,0)</f>
        <v>-2.0583280396134</v>
      </c>
      <c r="K84" s="102">
        <f>IF('Parameters'!$B$24=1,I84/'Parameters'!$B$6,SUMIF($G$76:$G$85,1,$H$76:$H$85)/'Parameters'!$B$6)</f>
        <v>0.689695692301871</v>
      </c>
      <c r="L84" s="102">
        <f>IF('Parameters'!$B$24=1,J84/'Parameters'!$B$7,SUMIF($G$76:$G$85,2,$H$76:$H$85)/'Parameters'!$B$7)</f>
        <v>-0.343054673268901</v>
      </c>
      <c r="M84" s="72">
        <f>ABS(H84-IF(G84=1,K84,L84))</f>
        <v>0.0216061351884983</v>
      </c>
      <c r="N84" s="72">
        <f>ABS(H84-IF(G84=1,L84,K84))</f>
        <v>1.05435650075927</v>
      </c>
    </row>
    <row r="85">
      <c r="A85" s="64" t="inlineStr">
        <is>
          <t xml:space="preserve">b₁₀</t>
        </is>
      </c>
      <c r="B85" s="72">
        <f>$J$14</f>
        <v>-0.34973061286611</v>
      </c>
      <c r="C85" s="79" t="inlineStr">
        <is>
          <t xml:space="preserve">+</t>
        </is>
      </c>
      <c r="D85" s="72">
        <f>INDEX('Ψ(r) Contribution &amp; Weight'!$B$27:$G$27,5)</f>
        <v>0.15</v>
      </c>
      <c r="E85" s="79" t="inlineStr">
        <is>
          <t xml:space="preserve">=</t>
        </is>
      </c>
      <c r="F85" s="72">
        <f>SUM(B85,D85)</f>
        <v>-0.19973061286611</v>
      </c>
      <c r="G85" s="68">
        <f>Dataset!O12</f>
        <v>2</v>
      </c>
      <c r="H85" s="72">
        <f>IF(OR(G85=1,G85=2),F85+IF(G85=1,1,-1)*'Parameters'!$B$19*EXP(-F85)/(1+EXP(-F85)),"—")</f>
        <v>-0.364660808457399</v>
      </c>
      <c r="I85" s="102">
        <f>I84+IF(G85=1,H85,0)</f>
        <v>2.75878276920748</v>
      </c>
      <c r="J85" s="102">
        <f>J84+IF(G85=2,H85,0)</f>
        <v>-2.4229888480708</v>
      </c>
      <c r="K85" s="102">
        <f>IF('Parameters'!$B$24=1,I85/'Parameters'!$B$6,SUMIF($G$76:$G$85,1,$H$76:$H$85)/'Parameters'!$B$6)</f>
        <v>0.689695692301871</v>
      </c>
      <c r="L85" s="102">
        <f>IF('Parameters'!$B$24=1,J85/'Parameters'!$B$7,SUMIF($G$76:$G$85,2,$H$76:$H$85)/'Parameters'!$B$7)</f>
        <v>-0.403831474678467</v>
      </c>
      <c r="M85" s="72">
        <f>ABS(H85-IF(G85=1,K85,L85))</f>
        <v>0.0391706662210682</v>
      </c>
      <c r="N85" s="72">
        <f>ABS(H85-IF(G85=1,L85,K85))</f>
        <v>1.05435650075927</v>
      </c>
    </row>
    <row r="86">
      <c r="K86" s="82" t="inlineStr">
        <is>
          <t xml:space="preserve">θ, γ  →</t>
        </is>
      </c>
      <c r="L86" s="82"/>
      <c r="M86" s="85">
        <f>SUM(M76:M85)</f>
        <v>2.68536009750073</v>
      </c>
      <c r="N86" s="85">
        <f>SUM(N76:N85)</f>
        <v>8.79647737029494</v>
      </c>
      <c r="O86" s="82" t="inlineStr">
        <is>
          <t xml:space="preserve">θ / γ</t>
        </is>
      </c>
      <c r="P86" s="92">
        <f>IF(F$14=1,M86/N86,"—")</f>
        <v>0.305276758463449</v>
      </c>
    </row>
    <row r="87"/>
    <row r="88">
      <c r="A88" s="59" t="str">
        <f>"Candidate a₆  ·  operator ρ_J  ·  k = "&amp;'Synthetic Features (k-NN)'!$C$32&amp;"   —   bₜ = R(Sₜ) + η₆(a_t₆)"</f>
        <v>Candidate a₆  ·  operator ρ_J  ·  k = 5   —   bₜ = R(Sₜ) + η₆(a_t₆)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84" t="str">
        <f>IF(G$14=1,"available",IF($D$4=1,"in TUPLAM — skipped","iteration not executed"))</f>
        <v>in TUPLAM — skipped</v>
      </c>
      <c r="P88" s="84"/>
    </row>
    <row r="89">
      <c r="A89" s="60" t="inlineStr">
        <is>
          <t xml:space="preserve">№</t>
        </is>
      </c>
      <c r="B89" s="60" t="inlineStr">
        <is>
          <t xml:space="preserve">R(Sₜ)</t>
        </is>
      </c>
      <c r="C89" s="60" t="inlineStr">
        <is>
          <t xml:space="preserve">+</t>
        </is>
      </c>
      <c r="D89" s="60" t="inlineStr">
        <is>
          <t xml:space="preserve">ηᵤ(a_tu)</t>
        </is>
      </c>
      <c r="E89" s="60" t="inlineStr">
        <is>
          <t xml:space="preserve">=</t>
        </is>
      </c>
      <c r="F89" s="60" t="inlineStr">
        <is>
          <t xml:space="preserve">bₜ</t>
        </is>
      </c>
      <c r="G89" s="60" t="inlineStr">
        <is>
          <t xml:space="preserve">Class</t>
        </is>
      </c>
      <c r="H89" s="60" t="inlineStr">
        <is>
          <t xml:space="preserve">bₜ (majorized)</t>
        </is>
      </c>
      <c r="I89" s="103" t="inlineStr">
        <is>
          <t xml:space="preserve">⚠1 Σ K1 (running)</t>
        </is>
      </c>
      <c r="J89" s="103" t="inlineStr">
        <is>
          <t xml:space="preserve">⚠1 Σ K2 (running)</t>
        </is>
      </c>
      <c r="K89" s="103" t="inlineStr">
        <is>
          <t xml:space="preserve">⚠1 M₁ used</t>
        </is>
      </c>
      <c r="L89" s="103" t="inlineStr">
        <is>
          <t xml:space="preserve">⚠1 M₂ used</t>
        </is>
      </c>
      <c r="M89" s="60" t="inlineStr">
        <is>
          <t xml:space="preserve">|b − M own|</t>
        </is>
      </c>
      <c r="N89" s="60" t="inlineStr">
        <is>
          <t xml:space="preserve">|b − M other|</t>
        </is>
      </c>
    </row>
    <row r="90">
      <c r="A90" s="64" t="inlineStr">
        <is>
          <t xml:space="preserve">b₁</t>
        </is>
      </c>
      <c r="B90" s="72">
        <f>$J$5</f>
        <v>0.112062246971304</v>
      </c>
      <c r="C90" s="79" t="inlineStr">
        <is>
          <t xml:space="preserve">+</t>
        </is>
      </c>
      <c r="D90" s="72">
        <f>INDEX('Ψ(r) Contribution &amp; Weight'!$B$18:$G$18,6)</f>
        <v>0.166666666666667</v>
      </c>
      <c r="E90" s="79" t="inlineStr">
        <is>
          <t xml:space="preserve">=</t>
        </is>
      </c>
      <c r="F90" s="72">
        <f>SUM(B90,D90)</f>
        <v>0.27872891363797</v>
      </c>
      <c r="G90" s="68">
        <f>Dataset!O3</f>
        <v>2</v>
      </c>
      <c r="H90" s="72">
        <f>IF(OR(G90=1,G90=2),F90+IF(G90=1,1,-1)*'Parameters'!$B$19*EXP(-F90)/(1+EXP(-F90)),"—")</f>
        <v>0.149499285440605</v>
      </c>
      <c r="I90" s="102">
        <f>IF(G90=1,H90,0)</f>
        <v>0</v>
      </c>
      <c r="J90" s="102">
        <f>IF(G90=2,H90,0)</f>
        <v>0.149499285440605</v>
      </c>
      <c r="K90" s="102">
        <f>IF('Parameters'!$B$24=1,I90/'Parameters'!$B$6,SUMIF($G$90:$G$99,1,$H$90:$H$99)/'Parameters'!$B$6)</f>
        <v>0</v>
      </c>
      <c r="L90" s="102">
        <f>IF('Parameters'!$B$24=1,J90/'Parameters'!$B$7,SUMIF($G$90:$G$99,2,$H$90:$H$99)/'Parameters'!$B$7)</f>
        <v>0.0249165475734342</v>
      </c>
      <c r="M90" s="72">
        <f>ABS(H90-IF(G90=1,K90,L90))</f>
        <v>0.124582737867171</v>
      </c>
      <c r="N90" s="72">
        <f>ABS(H90-IF(G90=1,L90,K90))</f>
        <v>0.149499285440605</v>
      </c>
    </row>
    <row r="91">
      <c r="A91" s="64" t="inlineStr">
        <is>
          <t xml:space="preserve">b₂</t>
        </is>
      </c>
      <c r="B91" s="72">
        <f>$J$6</f>
        <v>0.260239514069589</v>
      </c>
      <c r="C91" s="79" t="inlineStr">
        <is>
          <t xml:space="preserve">+</t>
        </is>
      </c>
      <c r="D91" s="72">
        <f>INDEX('Ψ(r) Contribution &amp; Weight'!$B$19:$G$19,6)</f>
        <v>0.166666666666667</v>
      </c>
      <c r="E91" s="79" t="inlineStr">
        <is>
          <t xml:space="preserve">=</t>
        </is>
      </c>
      <c r="F91" s="72">
        <f>SUM(B91,D91)</f>
        <v>0.426906180736256</v>
      </c>
      <c r="G91" s="68">
        <f>Dataset!O4</f>
        <v>1</v>
      </c>
      <c r="H91" s="72">
        <f>IF(OR(G91=1,G91=2),F91+IF(G91=1,1,-1)*'Parameters'!$B$19*EXP(-F91)/(1+EXP(-F91)),"—")</f>
        <v>0.545365785292138</v>
      </c>
      <c r="I91" s="102">
        <f>I90+IF(G91=1,H91,0)</f>
        <v>0.545365785292138</v>
      </c>
      <c r="J91" s="102">
        <f>J90+IF(G91=2,H91,0)</f>
        <v>0.149499285440605</v>
      </c>
      <c r="K91" s="102">
        <f>IF('Parameters'!$B$24=1,I91/'Parameters'!$B$6,SUMIF($G$90:$G$99,1,$H$90:$H$99)/'Parameters'!$B$6)</f>
        <v>0.136341446323034</v>
      </c>
      <c r="L91" s="102">
        <f>IF('Parameters'!$B$24=1,J91/'Parameters'!$B$7,SUMIF($G$90:$G$99,2,$H$90:$H$99)/'Parameters'!$B$7)</f>
        <v>0.0249165475734342</v>
      </c>
      <c r="M91" s="72">
        <f>ABS(H91-IF(G91=1,K91,L91))</f>
        <v>0.409024338969103</v>
      </c>
      <c r="N91" s="72">
        <f>ABS(H91-IF(G91=1,L91,K91))</f>
        <v>0.520449237718703</v>
      </c>
    </row>
    <row r="92">
      <c r="A92" s="64" t="inlineStr">
        <is>
          <t xml:space="preserve">b₃</t>
        </is>
      </c>
      <c r="B92" s="72">
        <f>$J$7</f>
        <v>-0.733675804638555</v>
      </c>
      <c r="C92" s="79" t="inlineStr">
        <is>
          <t xml:space="preserve">+</t>
        </is>
      </c>
      <c r="D92" s="72">
        <f>INDEX('Ψ(r) Contribution &amp; Weight'!$B$20:$G$20,6)</f>
        <v>-0.166666666666667</v>
      </c>
      <c r="E92" s="79" t="inlineStr">
        <is>
          <t xml:space="preserve">=</t>
        </is>
      </c>
      <c r="F92" s="72">
        <f>SUM(B92,D92)</f>
        <v>-0.900342471305221</v>
      </c>
      <c r="G92" s="68">
        <f>Dataset!O5</f>
        <v>2</v>
      </c>
      <c r="H92" s="72">
        <f>IF(OR(G92=1,G92=2),F92+IF(G92=1,1,-1)*'Parameters'!$B$19*EXP(-F92)/(1+EXP(-F92)),"—")</f>
        <v>-1.11364843395485</v>
      </c>
      <c r="I92" s="102">
        <f>I91+IF(G92=1,H92,0)</f>
        <v>0.545365785292138</v>
      </c>
      <c r="J92" s="102">
        <f>J91+IF(G92=2,H92,0)</f>
        <v>-0.964149148514246</v>
      </c>
      <c r="K92" s="102">
        <f>IF('Parameters'!$B$24=1,I92/'Parameters'!$B$6,SUMIF($G$90:$G$99,1,$H$90:$H$99)/'Parameters'!$B$6)</f>
        <v>0.136341446323034</v>
      </c>
      <c r="L92" s="102">
        <f>IF('Parameters'!$B$24=1,J92/'Parameters'!$B$7,SUMIF($G$90:$G$99,2,$H$90:$H$99)/'Parameters'!$B$7)</f>
        <v>-0.160691524752374</v>
      </c>
      <c r="M92" s="72">
        <f>ABS(H92-IF(G92=1,K92,L92))</f>
        <v>0.952956909202477</v>
      </c>
      <c r="N92" s="72">
        <f>ABS(H92-IF(G92=1,L92,K92))</f>
        <v>1.24998988027789</v>
      </c>
    </row>
    <row r="93">
      <c r="A93" s="64" t="inlineStr">
        <is>
          <t xml:space="preserve">b₄</t>
        </is>
      </c>
      <c r="B93" s="72">
        <f>$J$8</f>
        <v>0.603476162679314</v>
      </c>
      <c r="C93" s="79" t="inlineStr">
        <is>
          <t xml:space="preserve">+</t>
        </is>
      </c>
      <c r="D93" s="72">
        <f>INDEX('Ψ(r) Contribution &amp; Weight'!$B$21:$G$21,6)</f>
        <v>0.166666666666667</v>
      </c>
      <c r="E93" s="79" t="inlineStr">
        <is>
          <t xml:space="preserve">=</t>
        </is>
      </c>
      <c r="F93" s="72">
        <f>SUM(B93,D93)</f>
        <v>0.770142829345981</v>
      </c>
      <c r="G93" s="68">
        <f>Dataset!O6</f>
        <v>1</v>
      </c>
      <c r="H93" s="72">
        <f>IF(OR(G93=1,G93=2),F93+IF(G93=1,1,-1)*'Parameters'!$B$19*EXP(-F93)/(1+EXP(-F93)),"—")</f>
        <v>0.865077292411326</v>
      </c>
      <c r="I93" s="102">
        <f>I92+IF(G93=1,H93,0)</f>
        <v>1.41044307770346</v>
      </c>
      <c r="J93" s="102">
        <f>J92+IF(G93=2,H93,0)</f>
        <v>-0.964149148514246</v>
      </c>
      <c r="K93" s="102">
        <f>IF('Parameters'!$B$24=1,I93/'Parameters'!$B$6,SUMIF($G$90:$G$99,1,$H$90:$H$99)/'Parameters'!$B$6)</f>
        <v>0.352610769425866</v>
      </c>
      <c r="L93" s="102">
        <f>IF('Parameters'!$B$24=1,J93/'Parameters'!$B$7,SUMIF($G$90:$G$99,2,$H$90:$H$99)/'Parameters'!$B$7)</f>
        <v>-0.160691524752374</v>
      </c>
      <c r="M93" s="72">
        <f>ABS(H93-IF(G93=1,K93,L93))</f>
        <v>0.51246652298546</v>
      </c>
      <c r="N93" s="72">
        <f>ABS(H93-IF(G93=1,L93,K93))</f>
        <v>1.0257688171637</v>
      </c>
    </row>
    <row r="94">
      <c r="A94" s="64" t="inlineStr">
        <is>
          <t xml:space="preserve">b₅</t>
        </is>
      </c>
      <c r="B94" s="72">
        <f>$J$9</f>
        <v>0.603476162679314</v>
      </c>
      <c r="C94" s="79" t="inlineStr">
        <is>
          <t xml:space="preserve">+</t>
        </is>
      </c>
      <c r="D94" s="72">
        <f>INDEX('Ψ(r) Contribution &amp; Weight'!$B$22:$G$22,6)</f>
        <v>0.166666666666667</v>
      </c>
      <c r="E94" s="79" t="inlineStr">
        <is>
          <t xml:space="preserve">=</t>
        </is>
      </c>
      <c r="F94" s="72">
        <f>SUM(B94,D94)</f>
        <v>0.770142829345981</v>
      </c>
      <c r="G94" s="68">
        <f>Dataset!O7</f>
        <v>1</v>
      </c>
      <c r="H94" s="72">
        <f>IF(OR(G94=1,G94=2),F94+IF(G94=1,1,-1)*'Parameters'!$B$19*EXP(-F94)/(1+EXP(-F94)),"—")</f>
        <v>0.865077292411326</v>
      </c>
      <c r="I94" s="102">
        <f>I93+IF(G94=1,H94,0)</f>
        <v>2.27552037011479</v>
      </c>
      <c r="J94" s="102">
        <f>J93+IF(G94=2,H94,0)</f>
        <v>-0.964149148514246</v>
      </c>
      <c r="K94" s="102">
        <f>IF('Parameters'!$B$24=1,I94/'Parameters'!$B$6,SUMIF($G$90:$G$99,1,$H$90:$H$99)/'Parameters'!$B$6)</f>
        <v>0.568880092528697</v>
      </c>
      <c r="L94" s="102">
        <f>IF('Parameters'!$B$24=1,J94/'Parameters'!$B$7,SUMIF($G$90:$G$99,2,$H$90:$H$99)/'Parameters'!$B$7)</f>
        <v>-0.160691524752374</v>
      </c>
      <c r="M94" s="72">
        <f>ABS(H94-IF(G94=1,K94,L94))</f>
        <v>0.296197199882629</v>
      </c>
      <c r="N94" s="72">
        <f>ABS(H94-IF(G94=1,L94,K94))</f>
        <v>1.0257688171637</v>
      </c>
    </row>
    <row r="95">
      <c r="A95" s="64" t="inlineStr">
        <is>
          <t xml:space="preserve">b₆</t>
        </is>
      </c>
      <c r="B95" s="72">
        <f>$J$10</f>
        <v>0.260239514069589</v>
      </c>
      <c r="C95" s="79" t="inlineStr">
        <is>
          <t xml:space="preserve">+</t>
        </is>
      </c>
      <c r="D95" s="72">
        <f>INDEX('Ψ(r) Contribution &amp; Weight'!$B$23:$G$23,6)</f>
        <v>0.166666666666667</v>
      </c>
      <c r="E95" s="79" t="inlineStr">
        <is>
          <t xml:space="preserve">=</t>
        </is>
      </c>
      <c r="F95" s="72">
        <f>SUM(B95,D95)</f>
        <v>0.426906180736256</v>
      </c>
      <c r="G95" s="68">
        <f>Dataset!O8</f>
        <v>1</v>
      </c>
      <c r="H95" s="72">
        <f>IF(OR(G95=1,G95=2),F95+IF(G95=1,1,-1)*'Parameters'!$B$19*EXP(-F95)/(1+EXP(-F95)),"—")</f>
        <v>0.545365785292138</v>
      </c>
      <c r="I95" s="102">
        <f>I94+IF(G95=1,H95,0)</f>
        <v>2.82088615540693</v>
      </c>
      <c r="J95" s="102">
        <f>J94+IF(G95=2,H95,0)</f>
        <v>-0.964149148514246</v>
      </c>
      <c r="K95" s="102">
        <f>IF('Parameters'!$B$24=1,I95/'Parameters'!$B$6,SUMIF($G$90:$G$99,1,$H$90:$H$99)/'Parameters'!$B$6)</f>
        <v>0.705221538851732</v>
      </c>
      <c r="L95" s="102">
        <f>IF('Parameters'!$B$24=1,J95/'Parameters'!$B$7,SUMIF($G$90:$G$99,2,$H$90:$H$99)/'Parameters'!$B$7)</f>
        <v>-0.160691524752374</v>
      </c>
      <c r="M95" s="72">
        <f>ABS(H95-IF(G95=1,K95,L95))</f>
        <v>0.159855753559594</v>
      </c>
      <c r="N95" s="72">
        <f>ABS(H95-IF(G95=1,L95,K95))</f>
        <v>0.706057310044512</v>
      </c>
    </row>
    <row r="96">
      <c r="A96" s="64" t="inlineStr">
        <is>
          <t xml:space="preserve">b₇</t>
        </is>
      </c>
      <c r="B96" s="72">
        <f>$J$11</f>
        <v>-0.34973061286611</v>
      </c>
      <c r="C96" s="79" t="inlineStr">
        <is>
          <t xml:space="preserve">+</t>
        </is>
      </c>
      <c r="D96" s="72">
        <f>INDEX('Ψ(r) Contribution &amp; Weight'!$B$24:$G$24,6)</f>
        <v>0.166666666666667</v>
      </c>
      <c r="E96" s="79" t="inlineStr">
        <is>
          <t xml:space="preserve">=</t>
        </is>
      </c>
      <c r="F96" s="72">
        <f>SUM(B96,D96)</f>
        <v>-0.183063946199443</v>
      </c>
      <c r="G96" s="68">
        <f>Dataset!O9</f>
        <v>2</v>
      </c>
      <c r="H96" s="72">
        <f>IF(OR(G96=1,G96=2),F96+IF(G96=1,1,-1)*'Parameters'!$B$19*EXP(-F96)/(1+EXP(-F96)),"—")</f>
        <v>-0.346755527016658</v>
      </c>
      <c r="I96" s="102">
        <f>I95+IF(G96=1,H96,0)</f>
        <v>2.82088615540693</v>
      </c>
      <c r="J96" s="102">
        <f>J95+IF(G96=2,H96,0)</f>
        <v>-1.3109046755309</v>
      </c>
      <c r="K96" s="102">
        <f>IF('Parameters'!$B$24=1,I96/'Parameters'!$B$6,SUMIF($G$90:$G$99,1,$H$90:$H$99)/'Parameters'!$B$6)</f>
        <v>0.705221538851732</v>
      </c>
      <c r="L96" s="102">
        <f>IF('Parameters'!$B$24=1,J96/'Parameters'!$B$7,SUMIF($G$90:$G$99,2,$H$90:$H$99)/'Parameters'!$B$7)</f>
        <v>-0.218484112588484</v>
      </c>
      <c r="M96" s="72">
        <f>ABS(H96-IF(G96=1,K96,L96))</f>
        <v>0.128271414428174</v>
      </c>
      <c r="N96" s="72">
        <f>ABS(H96-IF(G96=1,L96,K96))</f>
        <v>1.05197706586839</v>
      </c>
    </row>
    <row r="97">
      <c r="A97" s="64" t="inlineStr">
        <is>
          <t xml:space="preserve">b₈</t>
        </is>
      </c>
      <c r="B97" s="72">
        <f>$J$12</f>
        <v>-0.34973061286611</v>
      </c>
      <c r="C97" s="79" t="inlineStr">
        <is>
          <t xml:space="preserve">+</t>
        </is>
      </c>
      <c r="D97" s="72">
        <f>INDEX('Ψ(r) Contribution &amp; Weight'!$B$25:$G$25,6)</f>
        <v>0.166666666666667</v>
      </c>
      <c r="E97" s="79" t="inlineStr">
        <is>
          <t xml:space="preserve">=</t>
        </is>
      </c>
      <c r="F97" s="72">
        <f>SUM(B97,D97)</f>
        <v>-0.183063946199443</v>
      </c>
      <c r="G97" s="68">
        <f>Dataset!O10</f>
        <v>2</v>
      </c>
      <c r="H97" s="72">
        <f>IF(OR(G97=1,G97=2),F97+IF(G97=1,1,-1)*'Parameters'!$B$19*EXP(-F97)/(1+EXP(-F97)),"—")</f>
        <v>-0.346755527016658</v>
      </c>
      <c r="I97" s="102">
        <f>I96+IF(G97=1,H97,0)</f>
        <v>2.82088615540693</v>
      </c>
      <c r="J97" s="102">
        <f>J96+IF(G97=2,H97,0)</f>
        <v>-1.65766020254756</v>
      </c>
      <c r="K97" s="102">
        <f>IF('Parameters'!$B$24=1,I97/'Parameters'!$B$6,SUMIF($G$90:$G$99,1,$H$90:$H$99)/'Parameters'!$B$6)</f>
        <v>0.705221538851732</v>
      </c>
      <c r="L97" s="102">
        <f>IF('Parameters'!$B$24=1,J97/'Parameters'!$B$7,SUMIF($G$90:$G$99,2,$H$90:$H$99)/'Parameters'!$B$7)</f>
        <v>-0.276276700424594</v>
      </c>
      <c r="M97" s="72">
        <f>ABS(H97-IF(G97=1,K97,L97))</f>
        <v>0.070478826592064</v>
      </c>
      <c r="N97" s="72">
        <f>ABS(H97-IF(G97=1,L97,K97))</f>
        <v>1.05197706586839</v>
      </c>
    </row>
    <row r="98">
      <c r="A98" s="64" t="inlineStr">
        <is>
          <t xml:space="preserve">b₉</t>
        </is>
      </c>
      <c r="B98" s="72">
        <f>$J$13</f>
        <v>-0.34973061286611</v>
      </c>
      <c r="C98" s="79" t="inlineStr">
        <is>
          <t xml:space="preserve">+</t>
        </is>
      </c>
      <c r="D98" s="72">
        <f>INDEX('Ψ(r) Contribution &amp; Weight'!$B$26:$G$26,6)</f>
        <v>0.166666666666667</v>
      </c>
      <c r="E98" s="79" t="inlineStr">
        <is>
          <t xml:space="preserve">=</t>
        </is>
      </c>
      <c r="F98" s="72">
        <f>SUM(B98,D98)</f>
        <v>-0.183063946199443</v>
      </c>
      <c r="G98" s="68">
        <f>Dataset!O11</f>
        <v>2</v>
      </c>
      <c r="H98" s="72">
        <f>IF(OR(G98=1,G98=2),F98+IF(G98=1,1,-1)*'Parameters'!$B$19*EXP(-F98)/(1+EXP(-F98)),"—")</f>
        <v>-0.346755527016658</v>
      </c>
      <c r="I98" s="102">
        <f>I97+IF(G98=1,H98,0)</f>
        <v>2.82088615540693</v>
      </c>
      <c r="J98" s="102">
        <f>J97+IF(G98=2,H98,0)</f>
        <v>-2.00441572956422</v>
      </c>
      <c r="K98" s="102">
        <f>IF('Parameters'!$B$24=1,I98/'Parameters'!$B$6,SUMIF($G$90:$G$99,1,$H$90:$H$99)/'Parameters'!$B$6)</f>
        <v>0.705221538851732</v>
      </c>
      <c r="L98" s="102">
        <f>IF('Parameters'!$B$24=1,J98/'Parameters'!$B$7,SUMIF($G$90:$G$99,2,$H$90:$H$99)/'Parameters'!$B$7)</f>
        <v>-0.334069288260703</v>
      </c>
      <c r="M98" s="72">
        <f>ABS(H98-IF(G98=1,K98,L98))</f>
        <v>0.0126862387559544</v>
      </c>
      <c r="N98" s="72">
        <f>ABS(H98-IF(G98=1,L98,K98))</f>
        <v>1.05197706586839</v>
      </c>
    </row>
    <row r="99">
      <c r="A99" s="64" t="inlineStr">
        <is>
          <t xml:space="preserve">b₁₀</t>
        </is>
      </c>
      <c r="B99" s="72">
        <f>$J$14</f>
        <v>-0.34973061286611</v>
      </c>
      <c r="C99" s="79" t="inlineStr">
        <is>
          <t xml:space="preserve">+</t>
        </is>
      </c>
      <c r="D99" s="72">
        <f>INDEX('Ψ(r) Contribution &amp; Weight'!$B$27:$G$27,6)</f>
        <v>0.166666666666667</v>
      </c>
      <c r="E99" s="79" t="inlineStr">
        <is>
          <t xml:space="preserve">=</t>
        </is>
      </c>
      <c r="F99" s="72">
        <f>SUM(B99,D99)</f>
        <v>-0.183063946199443</v>
      </c>
      <c r="G99" s="68">
        <f>Dataset!O12</f>
        <v>2</v>
      </c>
      <c r="H99" s="72">
        <f>IF(OR(G99=1,G99=2),F99+IF(G99=1,1,-1)*'Parameters'!$B$19*EXP(-F99)/(1+EXP(-F99)),"—")</f>
        <v>-0.346755527016658</v>
      </c>
      <c r="I99" s="102">
        <f>I98+IF(G99=1,H99,0)</f>
        <v>2.82088615540693</v>
      </c>
      <c r="J99" s="102">
        <f>J98+IF(G99=2,H99,0)</f>
        <v>-2.35117125658088</v>
      </c>
      <c r="K99" s="102">
        <f>IF('Parameters'!$B$24=1,I99/'Parameters'!$B$6,SUMIF($G$90:$G$99,1,$H$90:$H$99)/'Parameters'!$B$6)</f>
        <v>0.705221538851732</v>
      </c>
      <c r="L99" s="102">
        <f>IF('Parameters'!$B$24=1,J99/'Parameters'!$B$7,SUMIF($G$90:$G$99,2,$H$90:$H$99)/'Parameters'!$B$7)</f>
        <v>-0.391861876096813</v>
      </c>
      <c r="M99" s="72">
        <f>ABS(H99-IF(G99=1,K99,L99))</f>
        <v>0.0451063490801552</v>
      </c>
      <c r="N99" s="72">
        <f>ABS(H99-IF(G99=1,L99,K99))</f>
        <v>1.05197706586839</v>
      </c>
    </row>
    <row r="100">
      <c r="K100" s="82" t="inlineStr">
        <is>
          <t xml:space="preserve">θ, γ  →</t>
        </is>
      </c>
      <c r="L100" s="82"/>
      <c r="M100" s="85">
        <f>SUM(M90:M99)</f>
        <v>2.71162629132278</v>
      </c>
      <c r="N100" s="85">
        <f>SUM(N90:N99)</f>
        <v>8.88544161128266</v>
      </c>
      <c r="O100" s="82" t="inlineStr">
        <is>
          <t xml:space="preserve">θ / γ</t>
        </is>
      </c>
      <c r="P100" s="92" t="str">
        <f>IF(G$14=1,M100/N100,"—")</f>
        <v>—</v>
      </c>
    </row>
    <row r="101"/>
    <row r="102">
      <c r="H102" s="58" t="inlineStr">
        <is>
          <t xml:space="preserve">STEP 3 · summary  —  cr1 = min θ/γ,  q = argmin θ/γ</t>
        </is>
      </c>
      <c r="I102" s="58"/>
      <c r="J102" s="58"/>
      <c r="K102" s="58"/>
      <c r="L102" s="58"/>
    </row>
    <row r="103">
      <c r="H103" s="60" t="inlineStr">
        <is>
          <t xml:space="preserve">Feature</t>
        </is>
      </c>
      <c r="I103" s="60" t="inlineStr">
        <is>
          <t xml:space="preserve">Available</t>
        </is>
      </c>
      <c r="J103" s="60" t="inlineStr">
        <is>
          <t xml:space="preserve">θ</t>
        </is>
      </c>
      <c r="K103" s="60" t="inlineStr">
        <is>
          <t xml:space="preserve">γ</t>
        </is>
      </c>
      <c r="L103" s="60" t="inlineStr">
        <is>
          <t xml:space="preserve">θ / γ</t>
        </is>
      </c>
    </row>
    <row r="104">
      <c r="H104" s="64" t="inlineStr">
        <is>
          <t xml:space="preserve">a₁</t>
        </is>
      </c>
      <c r="I104" s="89">
        <f>B$14</f>
        <v>1</v>
      </c>
      <c r="J104" s="72">
        <f>IF(I104=1,M30,"—")</f>
        <v>2.68536009750073</v>
      </c>
      <c r="K104" s="72">
        <f>IF(I104=1,N30,"—")</f>
        <v>8.79647737029494</v>
      </c>
      <c r="L104" s="92">
        <f>P30</f>
        <v>0.305276758463449</v>
      </c>
    </row>
    <row r="105">
      <c r="H105" s="64" t="inlineStr">
        <is>
          <t xml:space="preserve">a₂</t>
        </is>
      </c>
      <c r="I105" s="89">
        <f>C$14</f>
        <v>1</v>
      </c>
      <c r="J105" s="72">
        <f>IF(I105=1,M44,"—")</f>
        <v>2.68536009750073</v>
      </c>
      <c r="K105" s="72">
        <f>IF(I105=1,N44,"—")</f>
        <v>8.79647737029494</v>
      </c>
      <c r="L105" s="92">
        <f>P44</f>
        <v>0.305276758463449</v>
      </c>
    </row>
    <row r="106">
      <c r="H106" s="64" t="inlineStr">
        <is>
          <t xml:space="preserve">a₃</t>
        </is>
      </c>
      <c r="I106" s="89">
        <f>D$14</f>
        <v>0</v>
      </c>
      <c r="J106" s="72" t="str">
        <f>IF(I106=1,M58,"—")</f>
        <v>—</v>
      </c>
      <c r="K106" s="72" t="str">
        <f>IF(I106=1,N58,"—")</f>
        <v>—</v>
      </c>
      <c r="L106" s="92" t="str">
        <f>P58</f>
        <v>—</v>
      </c>
    </row>
    <row r="107">
      <c r="H107" s="64" t="inlineStr">
        <is>
          <t xml:space="preserve">a₄</t>
        </is>
      </c>
      <c r="I107" s="89">
        <f>E$14</f>
        <v>1</v>
      </c>
      <c r="J107" s="72">
        <f>IF(I107=1,M72,"—")</f>
        <v>2.68536009750073</v>
      </c>
      <c r="K107" s="72">
        <f>IF(I107=1,N72,"—")</f>
        <v>8.79647737029494</v>
      </c>
      <c r="L107" s="92">
        <f>P72</f>
        <v>0.305276758463449</v>
      </c>
    </row>
    <row r="108">
      <c r="H108" s="64" t="inlineStr">
        <is>
          <t xml:space="preserve">a₅</t>
        </is>
      </c>
      <c r="I108" s="89">
        <f>F$14</f>
        <v>1</v>
      </c>
      <c r="J108" s="72">
        <f>IF(I108=1,M86,"—")</f>
        <v>2.68536009750073</v>
      </c>
      <c r="K108" s="72">
        <f>IF(I108=1,N86,"—")</f>
        <v>8.79647737029494</v>
      </c>
      <c r="L108" s="92">
        <f>P86</f>
        <v>0.305276758463449</v>
      </c>
    </row>
    <row r="109">
      <c r="H109" s="64" t="inlineStr">
        <is>
          <t xml:space="preserve">a₆</t>
        </is>
      </c>
      <c r="I109" s="89">
        <f>G$14</f>
        <v>0</v>
      </c>
      <c r="J109" s="72" t="str">
        <f>IF(I109=1,M100,"—")</f>
        <v>—</v>
      </c>
      <c r="K109" s="72" t="str">
        <f>IF(I109=1,N100,"—")</f>
        <v>—</v>
      </c>
      <c r="L109" s="92" t="str">
        <f>P100</f>
        <v>—</v>
      </c>
    </row>
    <row r="110"/>
    <row r="111">
      <c r="H111" s="82" t="inlineStr">
        <is>
          <t xml:space="preserve">cr1 = min θ/γ</t>
        </is>
      </c>
      <c r="I111" s="82"/>
      <c r="J111" s="85">
        <f>IF(COUNT($L$104:$L$109)=0,"—",IF(MIN($L$104:$L$109)&lt;'Parameters'!$B$22,MIN($L$104:$L$109),'Parameters'!$B$22))</f>
        <v>0.305276758463449</v>
      </c>
    </row>
    <row r="112">
      <c r="H112" s="82" t="inlineStr">
        <is>
          <t xml:space="preserve">q = argmin θ/γ</t>
        </is>
      </c>
      <c r="I112" s="82"/>
      <c r="J112" s="83">
        <f>IF(ISNUMBER(J111),IF(J111&lt;'Parameters'!$B$22,MATCH(J111,$L$104:$L$109,0),"—"),"—")</f>
        <v>1</v>
      </c>
      <c r="K112" s="83" t="str">
        <f>IF(ISNUMBER(J112),"a"&amp;MID("₀₁₂₃₄₅₆₇₈₉",J112+1,1),"—")</f>
        <v>a₁</v>
      </c>
    </row>
    <row r="113"/>
    <row r="114"/>
    <row r="115">
      <c r="A115" s="58" t="inlineStr">
        <is>
          <t xml:space="preserve">STEP 4 — R(Sₜ) ← R(Sₜ) + η_q(a_tq), majorizer  ⇒  latent (additional) feature r₂</t>
        </is>
      </c>
      <c r="B115" s="58"/>
      <c r="C115" s="58"/>
      <c r="D115" s="58"/>
      <c r="E115" s="58"/>
      <c r="F115" s="58"/>
      <c r="G115" s="58"/>
      <c r="H115" s="58"/>
      <c r="I115" s="58"/>
      <c r="K115" s="58" t="inlineStr">
        <is>
          <t xml:space="preserve">STEP 4 · update and stopping rule</t>
        </is>
      </c>
      <c r="L115" s="58"/>
      <c r="M115" s="58"/>
      <c r="N115" s="58"/>
      <c r="O115" s="58"/>
      <c r="P115" s="58"/>
    </row>
    <row r="116">
      <c r="A116" s="60" t="inlineStr">
        <is>
          <t xml:space="preserve">№</t>
        </is>
      </c>
      <c r="B116" s="60" t="inlineStr">
        <is>
          <t xml:space="preserve">R(Sₜ)</t>
        </is>
      </c>
      <c r="C116" s="60" t="inlineStr">
        <is>
          <t xml:space="preserve">+</t>
        </is>
      </c>
      <c r="D116" s="60" t="inlineStr">
        <is>
          <t xml:space="preserve">η_q(a_tq)</t>
        </is>
      </c>
      <c r="E116" s="60" t="inlineStr">
        <is>
          <t xml:space="preserve">=</t>
        </is>
      </c>
      <c r="F116" s="60" t="inlineStr">
        <is>
          <t xml:space="preserve">bₜ = R + η_q</t>
        </is>
      </c>
      <c r="G116" s="60" t="inlineStr">
        <is>
          <t xml:space="preserve">Class</t>
        </is>
      </c>
      <c r="H116" s="111" t="inlineStr">
        <is>
          <t xml:space="preserve">⚠2 bₜ majorized once</t>
        </is>
      </c>
      <c r="I116" s="111" t="inlineStr">
        <is>
          <t xml:space="preserve">⚠2 r₂ = R(Sₜ) new</t>
        </is>
      </c>
      <c r="K116" s="82" t="inlineStr">
        <is>
          <t xml:space="preserve">crit = cr1</t>
        </is>
      </c>
      <c r="L116" s="82"/>
      <c r="M116" s="85">
        <f>IF(AND($D$4=1,ISNUMBER($J$112)),$J$111,$D$8)</f>
        <v>0.305276758463449</v>
      </c>
      <c r="N116" s="85"/>
      <c r="O116" s="85"/>
      <c r="P116" s="85"/>
      <c r="R116" s="112" t="inlineStr">
        <is>
          <t xml:space="preserve">⚠2  STEP 4 (pink columns H–I).  With Parameters!B25 = 2 (default = template) r is the majorizer applied to column H, which is already majorized — twice in total, as in the template cells I222 = H222 ± α·σ(−H222).  The article applies it once to R + η_q (column F) (B25 = 1).  See sheet “Template Deviations”.</t>
        </is>
      </c>
      <c r="S116" s="112"/>
      <c r="T116" s="112"/>
    </row>
    <row r="117">
      <c r="A117" s="64" t="inlineStr">
        <is>
          <t xml:space="preserve">b₁</t>
        </is>
      </c>
      <c r="B117" s="72">
        <f>$J$5</f>
        <v>0.112062246971304</v>
      </c>
      <c r="C117" s="79" t="inlineStr">
        <is>
          <t xml:space="preserve">+</t>
        </is>
      </c>
      <c r="D117" s="72">
        <f>IF(ISNUMBER($J$112),INDEX('Ψ(r) Contribution &amp; Weight'!$B$18:$G$18,$J$112),0)</f>
        <v>0.15</v>
      </c>
      <c r="E117" s="79" t="inlineStr">
        <is>
          <t xml:space="preserve">=</t>
        </is>
      </c>
      <c r="F117" s="72">
        <f>SUM(B117,D117)</f>
        <v>0.262062246971304</v>
      </c>
      <c r="G117" s="68">
        <f>Dataset!O3</f>
        <v>2</v>
      </c>
      <c r="H117" s="109">
        <f>IF(ISNUMBER($J$112),CHOOSE($J$112,H20,H34,H48,H62,H76,H90),"—")</f>
        <v>0.131605197984028</v>
      </c>
      <c r="I117" s="110">
        <f>IF(AND($D$4=1,ISNUMBER($J$112)),IF('Parameters'!$B$25=2,H117+IF(G117=1,1,-1)*'Parameters'!$B$19*EXP(-H117)/(1+EXP(-H117)),F117+IF(G117=1,1,-1)*'Parameters'!$B$19*EXP(-F117)/(1+EXP(-F117))),"—")</f>
        <v>-0.00853863373958766</v>
      </c>
      <c r="K117" s="82" t="inlineStr">
        <is>
          <t xml:space="preserve">Feature added q</t>
        </is>
      </c>
      <c r="L117" s="82"/>
      <c r="M117" s="83">
        <f>IF(AND($D$4=1,ISNUMBER($J$112)),$J$112,"—")</f>
        <v>1</v>
      </c>
      <c r="N117" s="83"/>
      <c r="O117" s="83"/>
      <c r="P117" s="83"/>
      <c r="R117" s="112"/>
      <c r="S117" s="112"/>
      <c r="T117" s="112"/>
    </row>
    <row r="118">
      <c r="A118" s="64" t="inlineStr">
        <is>
          <t xml:space="preserve">b₂</t>
        </is>
      </c>
      <c r="B118" s="72">
        <f>$J$6</f>
        <v>0.260239514069589</v>
      </c>
      <c r="C118" s="79" t="inlineStr">
        <is>
          <t xml:space="preserve">+</t>
        </is>
      </c>
      <c r="D118" s="72">
        <f>IF(ISNUMBER($J$112),INDEX('Ψ(r) Contribution &amp; Weight'!$B$19:$G$19,$J$112),0)</f>
        <v>0.15</v>
      </c>
      <c r="E118" s="79" t="inlineStr">
        <is>
          <t xml:space="preserve">=</t>
        </is>
      </c>
      <c r="F118" s="72">
        <f>SUM(B118,D118)</f>
        <v>0.410239514069589</v>
      </c>
      <c r="G118" s="68">
        <f>Dataset!O4</f>
        <v>1</v>
      </c>
      <c r="H118" s="109">
        <f>IF(ISNUMBER($J$112),CHOOSE($J$112,H21,H35,H49,H63,H77,H91),"—")</f>
        <v>0.52989592153807</v>
      </c>
      <c r="I118" s="110">
        <f>IF(AND($D$4=1,ISNUMBER($J$112)),IF('Parameters'!$B$25=2,H118+IF(G118=1,1,-1)*'Parameters'!$B$19*EXP(-H118)/(1+EXP(-H118)),F118+IF(G118=1,1,-1)*'Parameters'!$B$19*EXP(-F118)/(1+EXP(-F118))),"—")</f>
        <v>0.641058270440647</v>
      </c>
      <c r="K118" s="82" t="inlineStr">
        <is>
          <t xml:space="preserve">|TUPLAM| after</t>
        </is>
      </c>
      <c r="L118" s="82"/>
      <c r="M118" s="83">
        <f>$D$7+IF(AND($D$4=1,ISNUMBER($J$112)),1,0)</f>
        <v>3</v>
      </c>
      <c r="N118" s="83"/>
      <c r="O118" s="83"/>
      <c r="P118" s="83"/>
      <c r="R118" s="112"/>
      <c r="S118" s="112"/>
      <c r="T118" s="112"/>
    </row>
    <row r="119">
      <c r="A119" s="64" t="inlineStr">
        <is>
          <t xml:space="preserve">b₃</t>
        </is>
      </c>
      <c r="B119" s="72">
        <f>$J$7</f>
        <v>-0.733675804638555</v>
      </c>
      <c r="C119" s="79" t="inlineStr">
        <is>
          <t xml:space="preserve">+</t>
        </is>
      </c>
      <c r="D119" s="72">
        <f>IF(ISNUMBER($J$112),INDEX('Ψ(r) Contribution &amp; Weight'!$B$20:$G$20,$J$112),0)</f>
        <v>-0.15</v>
      </c>
      <c r="E119" s="79" t="inlineStr">
        <is>
          <t xml:space="preserve">=</t>
        </is>
      </c>
      <c r="F119" s="72">
        <f>SUM(B119,D119)</f>
        <v>-0.883675804638555</v>
      </c>
      <c r="G119" s="68">
        <f>Dataset!O5</f>
        <v>2</v>
      </c>
      <c r="H119" s="109">
        <f>IF(ISNUMBER($J$112),CHOOSE($J$112,H22,H36,H50,H64,H78,H92),"—")</f>
        <v>-1.09595081222524</v>
      </c>
      <c r="I119" s="110">
        <f>IF(AND($D$4=1,ISNUMBER($J$112)),IF('Parameters'!$B$25=2,H119+IF(G119=1,1,-1)*'Parameters'!$B$19*EXP(-H119)/(1+EXP(-H119)),F119+IF(G119=1,1,-1)*'Parameters'!$B$19*EXP(-F119)/(1+EXP(-F119))),"—")</f>
        <v>-1.32080100458638</v>
      </c>
      <c r="K119" s="82" t="inlineStr">
        <is>
          <t xml:space="preserve">TUPLAM after</t>
        </is>
      </c>
      <c r="L119" s="82"/>
      <c r="M119" s="84" t="str">
        <f>IF(AND($D$4=1,ISNUMBER($J$112)),LEFT($D$6,LEN($D$6)-1)&amp;", "&amp;"a"&amp;MID("₀₁₂₃₄₅₆₇₈₉",$J$112+1,1)&amp;"}",$D$6)</f>
        <v>{a₆, a₃, a₁}</v>
      </c>
      <c r="N119" s="84"/>
      <c r="O119" s="84"/>
      <c r="P119" s="84"/>
      <c r="R119" s="112"/>
      <c r="S119" s="112"/>
      <c r="T119" s="112"/>
    </row>
    <row r="120">
      <c r="A120" s="64" t="inlineStr">
        <is>
          <t xml:space="preserve">b₄</t>
        </is>
      </c>
      <c r="B120" s="72">
        <f>$J$8</f>
        <v>0.603476162679314</v>
      </c>
      <c r="C120" s="79" t="inlineStr">
        <is>
          <t xml:space="preserve">+</t>
        </is>
      </c>
      <c r="D120" s="72">
        <f>IF(ISNUMBER($J$112),INDEX('Ψ(r) Contribution &amp; Weight'!$B$21:$G$21,$J$112),0)</f>
        <v>0.15</v>
      </c>
      <c r="E120" s="79" t="inlineStr">
        <is>
          <t xml:space="preserve">=</t>
        </is>
      </c>
      <c r="F120" s="72">
        <f>SUM(B120,D120)</f>
        <v>0.753476162679314</v>
      </c>
      <c r="G120" s="68">
        <f>Dataset!O6</f>
        <v>1</v>
      </c>
      <c r="H120" s="109">
        <f>IF(ISNUMBER($J$112),CHOOSE($J$112,H23,H37,H51,H65,H79,H93),"—")</f>
        <v>0.849495463065671</v>
      </c>
      <c r="I120" s="110">
        <f>IF(AND($D$4=1,ISNUMBER($J$112)),IF('Parameters'!$B$25=2,H120+IF(G120=1,1,-1)*'Parameters'!$B$19*EXP(-H120)/(1+EXP(-H120)),F120+IF(G120=1,1,-1)*'Parameters'!$B$19*EXP(-F120)/(1+EXP(-F120))),"—")</f>
        <v>0.939357074977029</v>
      </c>
      <c r="K120" s="82" t="inlineStr">
        <is>
          <t xml:space="preserve">|P| after</t>
        </is>
      </c>
      <c r="L120" s="82"/>
      <c r="M120" s="83">
        <f>$D$10-IF(AND($D$4=1,ISNUMBER($J$112)),1,0)</f>
        <v>3</v>
      </c>
      <c r="N120" s="83"/>
      <c r="O120" s="83"/>
      <c r="P120" s="83"/>
      <c r="R120" s="112"/>
      <c r="S120" s="112"/>
      <c r="T120" s="112"/>
    </row>
    <row r="121">
      <c r="A121" s="64" t="inlineStr">
        <is>
          <t xml:space="preserve">b₅</t>
        </is>
      </c>
      <c r="B121" s="72">
        <f>$J$9</f>
        <v>0.603476162679314</v>
      </c>
      <c r="C121" s="79" t="inlineStr">
        <is>
          <t xml:space="preserve">+</t>
        </is>
      </c>
      <c r="D121" s="72">
        <f>IF(ISNUMBER($J$112),INDEX('Ψ(r) Contribution &amp; Weight'!$B$22:$G$22,$J$112),0)</f>
        <v>0.15</v>
      </c>
      <c r="E121" s="79" t="inlineStr">
        <is>
          <t xml:space="preserve">=</t>
        </is>
      </c>
      <c r="F121" s="72">
        <f>SUM(B121,D121)</f>
        <v>0.753476162679314</v>
      </c>
      <c r="G121" s="68">
        <f>Dataset!O7</f>
        <v>1</v>
      </c>
      <c r="H121" s="109">
        <f>IF(ISNUMBER($J$112),CHOOSE($J$112,H24,H38,H52,H66,H80,H94),"—")</f>
        <v>0.849495463065671</v>
      </c>
      <c r="I121" s="110">
        <f>IF(AND($D$4=1,ISNUMBER($J$112)),IF('Parameters'!$B$25=2,H121+IF(G121=1,1,-1)*'Parameters'!$B$19*EXP(-H121)/(1+EXP(-H121)),F121+IF(G121=1,1,-1)*'Parameters'!$B$19*EXP(-F121)/(1+EXP(-F121))),"—")</f>
        <v>0.939357074977029</v>
      </c>
      <c r="K121" s="82" t="inlineStr">
        <is>
          <t xml:space="preserve">δ</t>
        </is>
      </c>
      <c r="L121" s="82"/>
      <c r="M121" s="83">
        <f>'Parameters'!$B$20</f>
        <v>0.1</v>
      </c>
      <c r="N121" s="83"/>
      <c r="O121" s="83"/>
      <c r="P121" s="83"/>
      <c r="R121" s="112"/>
      <c r="S121" s="112"/>
      <c r="T121" s="112"/>
    </row>
    <row r="122">
      <c r="A122" s="64" t="inlineStr">
        <is>
          <t xml:space="preserve">b₆</t>
        </is>
      </c>
      <c r="B122" s="72">
        <f>$J$10</f>
        <v>0.260239514069589</v>
      </c>
      <c r="C122" s="79" t="inlineStr">
        <is>
          <t xml:space="preserve">+</t>
        </is>
      </c>
      <c r="D122" s="72">
        <f>IF(ISNUMBER($J$112),INDEX('Ψ(r) Contribution &amp; Weight'!$B$23:$G$23,$J$112),0)</f>
        <v>0.15</v>
      </c>
      <c r="E122" s="79" t="inlineStr">
        <is>
          <t xml:space="preserve">=</t>
        </is>
      </c>
      <c r="F122" s="72">
        <f>SUM(B122,D122)</f>
        <v>0.410239514069589</v>
      </c>
      <c r="G122" s="68">
        <f>Dataset!O8</f>
        <v>1</v>
      </c>
      <c r="H122" s="109">
        <f>IF(ISNUMBER($J$112),CHOOSE($J$112,H25,H39,H53,H67,H81,H95),"—")</f>
        <v>0.52989592153807</v>
      </c>
      <c r="I122" s="110">
        <f>IF(AND($D$4=1,ISNUMBER($J$112)),IF('Parameters'!$B$25=2,H122+IF(G122=1,1,-1)*'Parameters'!$B$19*EXP(-H122)/(1+EXP(-H122)),F122+IF(G122=1,1,-1)*'Parameters'!$B$19*EXP(-F122)/(1+EXP(-F122))),"—")</f>
        <v>0.641058270440647</v>
      </c>
      <c r="K122" s="82" t="inlineStr">
        <is>
          <t xml:space="preserve">ϰ</t>
        </is>
      </c>
      <c r="L122" s="82"/>
      <c r="M122" s="83">
        <f>'Parameters'!$B$21</f>
        <v>5</v>
      </c>
      <c r="N122" s="83"/>
      <c r="O122" s="83"/>
      <c r="P122" s="83"/>
      <c r="R122" s="112"/>
      <c r="S122" s="112"/>
      <c r="T122" s="112"/>
    </row>
    <row r="123">
      <c r="A123" s="64" t="inlineStr">
        <is>
          <t xml:space="preserve">b₇</t>
        </is>
      </c>
      <c r="B123" s="72">
        <f>$J$11</f>
        <v>-0.34973061286611</v>
      </c>
      <c r="C123" s="79" t="inlineStr">
        <is>
          <t xml:space="preserve">+</t>
        </is>
      </c>
      <c r="D123" s="72">
        <f>IF(ISNUMBER($J$112),INDEX('Ψ(r) Contribution &amp; Weight'!$B$24:$G$24,$J$112),0)</f>
        <v>0.15</v>
      </c>
      <c r="E123" s="79" t="inlineStr">
        <is>
          <t xml:space="preserve">=</t>
        </is>
      </c>
      <c r="F123" s="72">
        <f>SUM(B123,D123)</f>
        <v>-0.19973061286611</v>
      </c>
      <c r="G123" s="68">
        <f>Dataset!O9</f>
        <v>2</v>
      </c>
      <c r="H123" s="109">
        <f>IF(ISNUMBER($J$112),CHOOSE($J$112,H26,H40,H54,H68,H82,H96),"—")</f>
        <v>-0.364660808457399</v>
      </c>
      <c r="I123" s="110">
        <f>IF(AND($D$4=1,ISNUMBER($J$112)),IF('Parameters'!$B$25=2,H123+IF(G123=1,1,-1)*'Parameters'!$B$19*EXP(-H123)/(1+EXP(-H123)),F123+IF(G123=1,1,-1)*'Parameters'!$B$19*EXP(-F123)/(1+EXP(-F123))),"—")</f>
        <v>-0.541711272743112</v>
      </c>
      <c r="K123" s="82" t="inlineStr">
        <is>
          <t xml:space="preserve">if (|TUPLAM| &lt; ϰ) &amp; (crit &gt; δ)</t>
        </is>
      </c>
      <c r="L123" s="82"/>
      <c r="M123" s="88">
        <f>IF(AND(AND($D$4=1,ISNUMBER($J$112)),$M$118&lt;'Parameters'!$B$21,$M$116&gt;'Parameters'!$B$20,$M$120&gt;0),1,0)</f>
        <v>1</v>
      </c>
      <c r="N123" s="88"/>
      <c r="O123" s="88"/>
      <c r="P123" s="88"/>
      <c r="R123" s="112"/>
      <c r="S123" s="112"/>
      <c r="T123" s="112"/>
    </row>
    <row r="124">
      <c r="A124" s="64" t="inlineStr">
        <is>
          <t xml:space="preserve">b₈</t>
        </is>
      </c>
      <c r="B124" s="72">
        <f>$J$12</f>
        <v>-0.34973061286611</v>
      </c>
      <c r="C124" s="79" t="inlineStr">
        <is>
          <t xml:space="preserve">+</t>
        </is>
      </c>
      <c r="D124" s="72">
        <f>IF(ISNUMBER($J$112),INDEX('Ψ(r) Contribution &amp; Weight'!$B$25:$G$25,$J$112),0)</f>
        <v>0.15</v>
      </c>
      <c r="E124" s="79" t="inlineStr">
        <is>
          <t xml:space="preserve">=</t>
        </is>
      </c>
      <c r="F124" s="72">
        <f>SUM(B124,D124)</f>
        <v>-0.19973061286611</v>
      </c>
      <c r="G124" s="68">
        <f>Dataset!O10</f>
        <v>2</v>
      </c>
      <c r="H124" s="109">
        <f>IF(ISNUMBER($J$112),CHOOSE($J$112,H27,H41,H55,H69,H83,H97),"—")</f>
        <v>-0.364660808457399</v>
      </c>
      <c r="I124" s="110">
        <f>IF(AND($D$4=1,ISNUMBER($J$112)),IF('Parameters'!$B$25=2,H124+IF(G124=1,1,-1)*'Parameters'!$B$19*EXP(-H124)/(1+EXP(-H124)),F124+IF(G124=1,1,-1)*'Parameters'!$B$19*EXP(-F124)/(1+EXP(-F124))),"—")</f>
        <v>-0.541711272743112</v>
      </c>
      <c r="K124" s="96" t="str">
        <f>IF($D$4=0,"Iteration not executed",IF($M$123=1,"Go back to Step 3","Output TUPLAM and stop"))</f>
        <v>Go back to Step 3</v>
      </c>
      <c r="L124" s="96"/>
      <c r="M124" s="96"/>
      <c r="N124" s="96"/>
      <c r="O124" s="96"/>
      <c r="P124" s="96"/>
      <c r="R124" s="112"/>
      <c r="S124" s="112"/>
      <c r="T124" s="112"/>
    </row>
    <row r="125">
      <c r="A125" s="64" t="inlineStr">
        <is>
          <t xml:space="preserve">b₉</t>
        </is>
      </c>
      <c r="B125" s="72">
        <f>$J$13</f>
        <v>-0.34973061286611</v>
      </c>
      <c r="C125" s="79" t="inlineStr">
        <is>
          <t xml:space="preserve">+</t>
        </is>
      </c>
      <c r="D125" s="72">
        <f>IF(ISNUMBER($J$112),INDEX('Ψ(r) Contribution &amp; Weight'!$B$26:$G$26,$J$112),0)</f>
        <v>0.15</v>
      </c>
      <c r="E125" s="79" t="inlineStr">
        <is>
          <t xml:space="preserve">=</t>
        </is>
      </c>
      <c r="F125" s="72">
        <f>SUM(B125,D125)</f>
        <v>-0.19973061286611</v>
      </c>
      <c r="G125" s="68">
        <f>Dataset!O11</f>
        <v>2</v>
      </c>
      <c r="H125" s="109">
        <f>IF(ISNUMBER($J$112),CHOOSE($J$112,H28,H42,H56,H70,H84,H98),"—")</f>
        <v>-0.364660808457399</v>
      </c>
      <c r="I125" s="110">
        <f>IF(AND($D$4=1,ISNUMBER($J$112)),IF('Parameters'!$B$25=2,H125+IF(G125=1,1,-1)*'Parameters'!$B$19*EXP(-H125)/(1+EXP(-H125)),F125+IF(G125=1,1,-1)*'Parameters'!$B$19*EXP(-F125)/(1+EXP(-F125))),"—")</f>
        <v>-0.541711272743112</v>
      </c>
      <c r="R125" s="112"/>
      <c r="S125" s="112"/>
      <c r="T125" s="112"/>
    </row>
    <row r="126">
      <c r="A126" s="64" t="inlineStr">
        <is>
          <t xml:space="preserve">b₁₀</t>
        </is>
      </c>
      <c r="B126" s="72">
        <f>$J$14</f>
        <v>-0.34973061286611</v>
      </c>
      <c r="C126" s="79" t="inlineStr">
        <is>
          <t xml:space="preserve">+</t>
        </is>
      </c>
      <c r="D126" s="72">
        <f>IF(ISNUMBER($J$112),INDEX('Ψ(r) Contribution &amp; Weight'!$B$27:$G$27,$J$112),0)</f>
        <v>0.15</v>
      </c>
      <c r="E126" s="79" t="inlineStr">
        <is>
          <t xml:space="preserve">=</t>
        </is>
      </c>
      <c r="F126" s="72">
        <f>SUM(B126,D126)</f>
        <v>-0.19973061286611</v>
      </c>
      <c r="G126" s="68">
        <f>Dataset!O12</f>
        <v>2</v>
      </c>
      <c r="H126" s="109">
        <f>IF(ISNUMBER($J$112),CHOOSE($J$112,H29,H43,H57,H71,H85,H99),"—")</f>
        <v>-0.364660808457399</v>
      </c>
      <c r="I126" s="110">
        <f>IF(AND($D$4=1,ISNUMBER($J$112)),IF('Parameters'!$B$25=2,H126+IF(G126=1,1,-1)*'Parameters'!$B$19*EXP(-H126)/(1+EXP(-H126)),F126+IF(G126=1,1,-1)*'Parameters'!$B$19*EXP(-F126)/(1+EXP(-F126))),"—")</f>
        <v>-0.541711272743112</v>
      </c>
      <c r="K126" s="61" t="inlineStr">
        <is>
          <t xml:space="preserve">Feature</t>
        </is>
      </c>
      <c r="L126" s="60" t="inlineStr">
        <is>
          <t xml:space="preserve">a₁</t>
        </is>
      </c>
      <c r="M126" s="60" t="inlineStr">
        <is>
          <t xml:space="preserve">a₂</t>
        </is>
      </c>
      <c r="N126" s="60" t="inlineStr">
        <is>
          <t xml:space="preserve">a₃</t>
        </is>
      </c>
      <c r="O126" s="60" t="inlineStr">
        <is>
          <t xml:space="preserve">a₄</t>
        </is>
      </c>
      <c r="P126" s="60" t="inlineStr">
        <is>
          <t xml:space="preserve">a₅</t>
        </is>
      </c>
      <c r="Q126" s="60" t="inlineStr">
        <is>
          <t xml:space="preserve">a₆</t>
        </is>
      </c>
      <c r="R126" s="112"/>
      <c r="S126" s="112"/>
      <c r="T126" s="112"/>
    </row>
    <row r="127">
      <c r="K127" s="65" t="inlineStr">
        <is>
          <t xml:space="preserve">In TUPLAM</t>
        </is>
      </c>
      <c r="L127" s="74">
        <f>IF(OR(B$13=1,AND(AND($D$4=1,ISNUMBER($J$112)),$J$112=1)),1,0)</f>
        <v>1</v>
      </c>
      <c r="M127" s="74">
        <f>IF(OR(C$13=1,AND(AND($D$4=1,ISNUMBER($J$112)),$J$112=2)),1,0)</f>
        <v>0</v>
      </c>
      <c r="N127" s="74">
        <f>IF(OR(D$13=1,AND(AND($D$4=1,ISNUMBER($J$112)),$J$112=3)),1,0)</f>
        <v>1</v>
      </c>
      <c r="O127" s="74">
        <f>IF(OR(E$13=1,AND(AND($D$4=1,ISNUMBER($J$112)),$J$112=4)),1,0)</f>
        <v>0</v>
      </c>
      <c r="P127" s="74">
        <f>IF(OR(F$13=1,AND(AND($D$4=1,ISNUMBER($J$112)),$J$112=5)),1,0)</f>
        <v>0</v>
      </c>
      <c r="Q127" s="74">
        <f>IF(OR(G$13=1,AND(AND($D$4=1,ISNUMBER($J$112)),$J$112=6)),1,0)</f>
        <v>1</v>
      </c>
    </row>
    <row r="128">
      <c r="A128" s="99" t="inlineStr">
        <is>
          <t xml:space="preserve">Each candidate block recomputes bₜ with the candidate feature; the one with the smallest θ/γ is added to TUPLAM and its values become the latent feature r₂.</t>
        </is>
      </c>
    </row>
    <row r="129">
      <c r="A129" s="99" t="inlineStr">
        <is>
          <t xml:space="preserve">Parameters α, δ, ϰ, cr1 and the two calculation switches (class centres, STEP 4 passes) are read from the Parameters sheet; the defaults reproduce the template exactly.</t>
        </is>
      </c>
    </row>
  </sheetData>
  <mergeCells count="69">
    <mergeCell ref="A1:T1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I3:K3"/>
    <mergeCell ref="M3:S3"/>
    <mergeCell ref="N4:S4"/>
    <mergeCell ref="N5:S5"/>
    <mergeCell ref="N6:S6"/>
    <mergeCell ref="N7:S7"/>
    <mergeCell ref="N8:S8"/>
    <mergeCell ref="N9:S9"/>
    <mergeCell ref="N10:S10"/>
    <mergeCell ref="N11:S11"/>
    <mergeCell ref="A16:P16"/>
    <mergeCell ref="A18:N18"/>
    <mergeCell ref="O18:P18"/>
    <mergeCell ref="K30:L30"/>
    <mergeCell ref="A32:N32"/>
    <mergeCell ref="O32:P32"/>
    <mergeCell ref="K44:L44"/>
    <mergeCell ref="A46:N46"/>
    <mergeCell ref="O46:P46"/>
    <mergeCell ref="K58:L58"/>
    <mergeCell ref="A60:N60"/>
    <mergeCell ref="O60:P60"/>
    <mergeCell ref="K72:L72"/>
    <mergeCell ref="A74:N74"/>
    <mergeCell ref="O74:P74"/>
    <mergeCell ref="K86:L86"/>
    <mergeCell ref="A88:N88"/>
    <mergeCell ref="O88:P88"/>
    <mergeCell ref="K100:L100"/>
    <mergeCell ref="R18:T29"/>
    <mergeCell ref="H102:L102"/>
    <mergeCell ref="H111:I111"/>
    <mergeCell ref="H112:I112"/>
    <mergeCell ref="A115:I115"/>
    <mergeCell ref="R116:T126"/>
    <mergeCell ref="K115:P115"/>
    <mergeCell ref="K116:L116"/>
    <mergeCell ref="M116:P116"/>
    <mergeCell ref="K117:L117"/>
    <mergeCell ref="M117:P117"/>
    <mergeCell ref="K118:L118"/>
    <mergeCell ref="M118:P118"/>
    <mergeCell ref="K119:L119"/>
    <mergeCell ref="M119:P119"/>
    <mergeCell ref="K120:L120"/>
    <mergeCell ref="M120:P120"/>
    <mergeCell ref="K121:L121"/>
    <mergeCell ref="M121:P121"/>
    <mergeCell ref="K122:L122"/>
    <mergeCell ref="M122:P122"/>
    <mergeCell ref="K123:L123"/>
    <mergeCell ref="M123:P123"/>
    <mergeCell ref="K124:P124"/>
  </mergeCells>
  <conditionalFormatting sqref="B13:G13">
    <cfRule type="cellIs" dxfId="0" priority="1" operator="equal">
      <formula>1</formula>
    </cfRule>
  </conditionalFormatting>
  <conditionalFormatting sqref="H104:L109">
    <cfRule type="expression" dxfId="0" priority="2">
      <formula>ROW()-103=$J$112</formula>
    </cfRule>
  </conditionalFormatting>
  <conditionalFormatting sqref="L127:Q127">
    <cfRule type="cellIs" dxfId="0" priority="3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T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8.77734375" customWidth="1"/>
    <col min="2" max="2" width="13.77734375" customWidth="1"/>
    <col min="3" max="3" width="4.77734375" customWidth="1"/>
    <col min="4" max="4" width="13.77734375" customWidth="1"/>
    <col min="5" max="5" width="4.77734375" customWidth="1"/>
    <col min="6" max="6" width="13.77734375" customWidth="1"/>
    <col min="7" max="7" width="9.77734375" customWidth="1"/>
    <col min="8" max="17" width="14.77734375" customWidth="1"/>
    <col min="18" max="20" width="16.77734375" customWidth="1"/>
  </cols>
  <sheetData>
    <row r="1" ht="20" customHeight="1">
      <c r="A1" s="57" t="inlineStr">
        <is>
          <t xml:space="preserve">Step 9.3 · Hierarchical agglomerative grouping — greedy search upon weight  →  latent (additional) feature r₃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/>
    <row r="3">
      <c r="A3" s="58" t="inlineStr">
        <is>
          <t xml:space="preserve">State before iteration 3</t>
        </is>
      </c>
      <c r="B3" s="58"/>
      <c r="C3" s="58"/>
      <c r="D3" s="58"/>
      <c r="E3" s="58"/>
      <c r="F3" s="58"/>
      <c r="G3" s="58"/>
      <c r="I3" s="58" t="inlineStr">
        <is>
          <t xml:space="preserve">R(Sₜ) entering this iteration</t>
        </is>
      </c>
      <c r="J3" s="58"/>
      <c r="K3" s="58"/>
      <c r="M3" s="58" t="inlineStr">
        <is>
          <t xml:space="preserve">Definitions  ·  parameters (Parameters sheet)</t>
        </is>
      </c>
      <c r="N3" s="58"/>
      <c r="O3" s="58"/>
      <c r="P3" s="58"/>
      <c r="Q3" s="58"/>
      <c r="R3" s="58"/>
      <c r="S3" s="58"/>
    </row>
    <row r="4">
      <c r="A4" s="82" t="inlineStr">
        <is>
          <t xml:space="preserve">Iteration executed</t>
        </is>
      </c>
      <c r="B4" s="82"/>
      <c r="C4" s="82"/>
      <c r="D4" s="88">
        <f>'Greedy upon Weight (2-Latent)'!$M$123</f>
        <v>1</v>
      </c>
      <c r="E4" s="88"/>
      <c r="F4" s="88"/>
      <c r="G4" s="88"/>
      <c r="I4" s="60" t="inlineStr">
        <is>
          <t xml:space="preserve">№</t>
        </is>
      </c>
      <c r="J4" s="60" t="inlineStr">
        <is>
          <t xml:space="preserve">R(Sₜ)</t>
        </is>
      </c>
      <c r="K4" s="60" t="inlineStr">
        <is>
          <t xml:space="preserve">Class</t>
        </is>
      </c>
      <c r="M4" s="82" t="inlineStr">
        <is>
          <t xml:space="preserve">R(Sₜ)</t>
        </is>
      </c>
      <c r="N4" s="100" t="inlineStr">
        <is>
          <t xml:space="preserve">η_u(a_tu) of the first feature (STEP 2), then the latent feature of the previous iteration</t>
        </is>
      </c>
      <c r="O4" s="100"/>
      <c r="P4" s="100"/>
      <c r="Q4" s="100"/>
      <c r="R4" s="100"/>
      <c r="S4" s="100"/>
    </row>
    <row r="5">
      <c r="A5" s="82" t="inlineStr">
        <is>
          <t xml:space="preserve">Feature added in the previous iteration</t>
        </is>
      </c>
      <c r="B5" s="82"/>
      <c r="C5" s="82"/>
      <c r="D5" s="83">
        <f>'Greedy upon Weight (2-Latent)'!$M$117</f>
        <v>1</v>
      </c>
      <c r="E5" s="83"/>
      <c r="F5" s="83"/>
      <c r="G5" s="83"/>
      <c r="I5" s="64" t="inlineStr">
        <is>
          <t xml:space="preserve">S₁</t>
        </is>
      </c>
      <c r="J5" s="72">
        <f>IF($D$4=1,'Greedy upon Weight (2-Latent)'!$I$117,0)</f>
        <v>-0.00853863373958766</v>
      </c>
      <c r="K5" s="68">
        <f>Dataset!O3</f>
        <v>2</v>
      </c>
      <c r="M5" s="82" t="inlineStr">
        <is>
          <t xml:space="preserve">bₜ</t>
        </is>
      </c>
      <c r="N5" s="100" t="inlineStr">
        <is>
          <t xml:space="preserve">R(Sₜ) + η_u(a_tu) for a candidate u ∈ P  (STEP 3)</t>
        </is>
      </c>
      <c r="O5" s="100"/>
      <c r="P5" s="100"/>
      <c r="Q5" s="100"/>
      <c r="R5" s="100"/>
      <c r="S5" s="100"/>
    </row>
    <row r="6">
      <c r="A6" s="82" t="inlineStr">
        <is>
          <t xml:space="preserve">TUPLAM before</t>
        </is>
      </c>
      <c r="B6" s="82"/>
      <c r="C6" s="82"/>
      <c r="D6" s="83" t="str">
        <f>'Greedy upon Weight (2-Latent)'!$M$119</f>
        <v>{a₆, a₃, a₁}</v>
      </c>
      <c r="E6" s="83"/>
      <c r="F6" s="83"/>
      <c r="G6" s="83"/>
      <c r="I6" s="64" t="inlineStr">
        <is>
          <t xml:space="preserve">S₂</t>
        </is>
      </c>
      <c r="J6" s="72">
        <f>IF($D$4=1,'Greedy upon Weight (2-Latent)'!$I$118,0)</f>
        <v>0.641058270440647</v>
      </c>
      <c r="K6" s="68">
        <f>Dataset!O4</f>
        <v>1</v>
      </c>
      <c r="M6" s="82" t="inlineStr">
        <is>
          <t xml:space="preserve">majorizer</t>
        </is>
      </c>
      <c r="N6" s="100" t="inlineStr">
        <is>
          <t xml:space="preserve">bₜ ← bₜ + α·σ(−bₜ) if Sₜ ∈ K1,  bₜ ← bₜ − α·σ(−bₜ) if Sₜ ∈ K2,  σ(x) = 1/(1 + e^(−x))</t>
        </is>
      </c>
      <c r="O6" s="100"/>
      <c r="P6" s="100"/>
      <c r="Q6" s="100"/>
      <c r="R6" s="100"/>
      <c r="S6" s="100"/>
    </row>
    <row r="7">
      <c r="A7" s="82" t="inlineStr">
        <is>
          <t xml:space="preserve">|TUPLAM| before</t>
        </is>
      </c>
      <c r="B7" s="82"/>
      <c r="C7" s="82"/>
      <c r="D7" s="83">
        <f>'Greedy upon Weight (2-Latent)'!$M$118</f>
        <v>3</v>
      </c>
      <c r="E7" s="83"/>
      <c r="F7" s="83"/>
      <c r="G7" s="83"/>
      <c r="I7" s="64" t="inlineStr">
        <is>
          <t xml:space="preserve">S₃</t>
        </is>
      </c>
      <c r="J7" s="72">
        <f>IF($D$4=1,'Greedy upon Weight (2-Latent)'!$I$119,0)</f>
        <v>-1.32080100458638</v>
      </c>
      <c r="K7" s="68">
        <f>Dataset!O5</f>
        <v>2</v>
      </c>
      <c r="M7" s="82" t="inlineStr">
        <is>
          <t xml:space="preserve">M₁, M₂</t>
        </is>
      </c>
      <c r="N7" s="100" t="inlineStr">
        <is>
          <t xml:space="preserve">class centres: running partial means (mode 1, template cells) or final means Σbₜ/|Kᵢ| (mode 2, article)</t>
        </is>
      </c>
      <c r="O7" s="100"/>
      <c r="P7" s="100"/>
      <c r="Q7" s="100"/>
      <c r="R7" s="100"/>
      <c r="S7" s="100"/>
    </row>
    <row r="8">
      <c r="A8" s="82" t="inlineStr">
        <is>
          <t xml:space="preserve">crit before</t>
        </is>
      </c>
      <c r="B8" s="82"/>
      <c r="C8" s="82"/>
      <c r="D8" s="85">
        <f>'Greedy upon Weight (2-Latent)'!$M$116</f>
        <v>0.305276758463449</v>
      </c>
      <c r="E8" s="85"/>
      <c r="F8" s="85"/>
      <c r="G8" s="85"/>
      <c r="I8" s="64" t="inlineStr">
        <is>
          <t xml:space="preserve">S₄</t>
        </is>
      </c>
      <c r="J8" s="72">
        <f>IF($D$4=1,'Greedy upon Weight (2-Latent)'!$I$120,0)</f>
        <v>0.939357074977029</v>
      </c>
      <c r="K8" s="68">
        <f>Dataset!O6</f>
        <v>1</v>
      </c>
      <c r="M8" s="82" t="inlineStr">
        <is>
          <t xml:space="preserve">θ</t>
        </is>
      </c>
      <c r="N8" s="100" t="inlineStr">
        <is>
          <t xml:space="preserve">intra-class similarity Σ |bₜ − M(own class)|</t>
        </is>
      </c>
      <c r="O8" s="100"/>
      <c r="P8" s="100"/>
      <c r="Q8" s="100"/>
      <c r="R8" s="100"/>
      <c r="S8" s="100"/>
    </row>
    <row r="9">
      <c r="A9" s="82" t="inlineStr">
        <is>
          <t xml:space="preserve">Candidates |P| before</t>
        </is>
      </c>
      <c r="B9" s="82"/>
      <c r="C9" s="82"/>
      <c r="D9" s="83">
        <f>'Greedy upon Weight (2-Latent)'!$M$120</f>
        <v>3</v>
      </c>
      <c r="E9" s="83"/>
      <c r="F9" s="83"/>
      <c r="G9" s="83"/>
      <c r="I9" s="64" t="inlineStr">
        <is>
          <t xml:space="preserve">S₅</t>
        </is>
      </c>
      <c r="J9" s="72">
        <f>IF($D$4=1,'Greedy upon Weight (2-Latent)'!$I$121,0)</f>
        <v>0.939357074977029</v>
      </c>
      <c r="K9" s="68">
        <f>Dataset!O7</f>
        <v>1</v>
      </c>
      <c r="M9" s="82" t="inlineStr">
        <is>
          <t xml:space="preserve">γ</t>
        </is>
      </c>
      <c r="N9" s="100" t="inlineStr">
        <is>
          <t xml:space="preserve">inter-class difference Σ |bₜ − M(other class)|</t>
        </is>
      </c>
      <c r="O9" s="100"/>
      <c r="P9" s="100"/>
      <c r="Q9" s="100"/>
      <c r="R9" s="100"/>
      <c r="S9" s="100"/>
    </row>
    <row r="10">
      <c r="A10" s="82" t="inlineStr">
        <is>
          <t xml:space="preserve">Candidates available now |P|</t>
        </is>
      </c>
      <c r="B10" s="82"/>
      <c r="C10" s="82"/>
      <c r="D10" s="83">
        <f>SUM(B14:G14)</f>
        <v>3</v>
      </c>
      <c r="E10" s="83"/>
      <c r="F10" s="83"/>
      <c r="G10" s="83"/>
      <c r="I10" s="64" t="inlineStr">
        <is>
          <t xml:space="preserve">S₆</t>
        </is>
      </c>
      <c r="J10" s="72">
        <f>IF($D$4=1,'Greedy upon Weight (2-Latent)'!$I$122,0)</f>
        <v>0.641058270440647</v>
      </c>
      <c r="K10" s="68">
        <f>Dataset!O8</f>
        <v>1</v>
      </c>
      <c r="M10" s="82" t="inlineStr">
        <is>
          <t xml:space="preserve">q</t>
        </is>
      </c>
      <c r="N10" s="100" t="inlineStr">
        <is>
          <t xml:space="preserve">argmin θ/γ over the available candidates (first one on ties);  crit = min θ/γ</t>
        </is>
      </c>
      <c r="O10" s="100"/>
      <c r="P10" s="100"/>
      <c r="Q10" s="100"/>
      <c r="R10" s="100"/>
      <c r="S10" s="100"/>
    </row>
    <row r="11">
      <c r="I11" s="64" t="inlineStr">
        <is>
          <t xml:space="preserve">S₇</t>
        </is>
      </c>
      <c r="J11" s="72">
        <f>IF($D$4=1,'Greedy upon Weight (2-Latent)'!$I$123,0)</f>
        <v>-0.541711272743112</v>
      </c>
      <c r="K11" s="68">
        <f>Dataset!O9</f>
        <v>2</v>
      </c>
      <c r="M11" s="82" t="inlineStr">
        <is>
          <t xml:space="preserve">stop</t>
        </is>
      </c>
      <c r="N11" s="100" t="inlineStr">
        <is>
          <t xml:space="preserve">continue while |TUPLAM| &lt; ϰ and crit &gt; δ (and P is not empty)</t>
        </is>
      </c>
      <c r="O11" s="100"/>
      <c r="P11" s="100"/>
      <c r="Q11" s="100"/>
      <c r="R11" s="100"/>
      <c r="S11" s="100"/>
    </row>
    <row r="12">
      <c r="A12" s="61" t="inlineStr">
        <is>
          <t xml:space="preserve">Feature</t>
        </is>
      </c>
      <c r="B12" s="60" t="inlineStr">
        <is>
          <t xml:space="preserve">a₁</t>
        </is>
      </c>
      <c r="C12" s="60" t="inlineStr">
        <is>
          <t xml:space="preserve">a₂</t>
        </is>
      </c>
      <c r="D12" s="60" t="inlineStr">
        <is>
          <t xml:space="preserve">a₃</t>
        </is>
      </c>
      <c r="E12" s="60" t="inlineStr">
        <is>
          <t xml:space="preserve">a₄</t>
        </is>
      </c>
      <c r="F12" s="60" t="inlineStr">
        <is>
          <t xml:space="preserve">a₅</t>
        </is>
      </c>
      <c r="G12" s="60" t="inlineStr">
        <is>
          <t xml:space="preserve">a₆</t>
        </is>
      </c>
      <c r="I12" s="64" t="inlineStr">
        <is>
          <t xml:space="preserve">S₈</t>
        </is>
      </c>
      <c r="J12" s="72">
        <f>IF($D$4=1,'Greedy upon Weight (2-Latent)'!$I$124,0)</f>
        <v>-0.541711272743112</v>
      </c>
      <c r="K12" s="68">
        <f>Dataset!O10</f>
        <v>2</v>
      </c>
      <c r="M12" s="82" t="inlineStr">
        <is>
          <t xml:space="preserve">α</t>
        </is>
      </c>
      <c r="N12" s="83">
        <f>'Parameters'!$B$19</f>
        <v>0.3</v>
      </c>
      <c r="O12" s="82" t="inlineStr">
        <is>
          <t xml:space="preserve">δ</t>
        </is>
      </c>
      <c r="P12" s="83">
        <f>'Parameters'!$B$20</f>
        <v>0.1</v>
      </c>
      <c r="Q12" s="82" t="inlineStr">
        <is>
          <t xml:space="preserve">ϰ</t>
        </is>
      </c>
      <c r="R12" s="83">
        <f>'Parameters'!$B$21</f>
        <v>5</v>
      </c>
    </row>
    <row r="13">
      <c r="A13" s="65" t="inlineStr">
        <is>
          <t xml:space="preserve">In TUPLAM before</t>
        </is>
      </c>
      <c r="B13" s="74">
        <f>'Greedy upon Weight (2-Latent)'!L127</f>
        <v>1</v>
      </c>
      <c r="C13" s="74">
        <f>'Greedy upon Weight (2-Latent)'!M127</f>
        <v>0</v>
      </c>
      <c r="D13" s="74">
        <f>'Greedy upon Weight (2-Latent)'!N127</f>
        <v>1</v>
      </c>
      <c r="E13" s="74">
        <f>'Greedy upon Weight (2-Latent)'!O127</f>
        <v>0</v>
      </c>
      <c r="F13" s="74">
        <f>'Greedy upon Weight (2-Latent)'!P127</f>
        <v>0</v>
      </c>
      <c r="G13" s="74">
        <f>'Greedy upon Weight (2-Latent)'!Q127</f>
        <v>1</v>
      </c>
      <c r="I13" s="64" t="inlineStr">
        <is>
          <t xml:space="preserve">S₉</t>
        </is>
      </c>
      <c r="J13" s="72">
        <f>IF($D$4=1,'Greedy upon Weight (2-Latent)'!$I$125,0)</f>
        <v>-0.541711272743112</v>
      </c>
      <c r="K13" s="68">
        <f>Dataset!O11</f>
        <v>2</v>
      </c>
      <c r="M13" s="82" t="inlineStr">
        <is>
          <t xml:space="preserve">centres</t>
        </is>
      </c>
      <c r="N13" s="83">
        <f>'Parameters'!$B$24</f>
        <v>1</v>
      </c>
      <c r="O13" s="82" t="inlineStr">
        <is>
          <t xml:space="preserve">passes</t>
        </is>
      </c>
      <c r="P13" s="83">
        <f>'Parameters'!$B$25</f>
        <v>2</v>
      </c>
      <c r="Q13" s="82" t="inlineStr">
        <is>
          <t xml:space="preserve">cr1₀</t>
        </is>
      </c>
      <c r="R13" s="83">
        <f>'Parameters'!$B$22</f>
        <v>10</v>
      </c>
    </row>
    <row r="14">
      <c r="A14" s="65" t="inlineStr">
        <is>
          <t xml:space="preserve">Available in P</t>
        </is>
      </c>
      <c r="B14" s="74">
        <f>IF(AND($D$4=1,B13=0),1,0)</f>
        <v>0</v>
      </c>
      <c r="C14" s="74">
        <f>IF(AND($D$4=1,C13=0),1,0)</f>
        <v>1</v>
      </c>
      <c r="D14" s="74">
        <f>IF(AND($D$4=1,D13=0),1,0)</f>
        <v>0</v>
      </c>
      <c r="E14" s="74">
        <f>IF(AND($D$4=1,E13=0),1,0)</f>
        <v>1</v>
      </c>
      <c r="F14" s="74">
        <f>IF(AND($D$4=1,F13=0),1,0)</f>
        <v>1</v>
      </c>
      <c r="G14" s="74">
        <f>IF(AND($D$4=1,G13=0),1,0)</f>
        <v>0</v>
      </c>
      <c r="I14" s="64" t="inlineStr">
        <is>
          <t xml:space="preserve">S₁₀</t>
        </is>
      </c>
      <c r="J14" s="72">
        <f>IF($D$4=1,'Greedy upon Weight (2-Latent)'!$I$126,0)</f>
        <v>-0.541711272743112</v>
      </c>
      <c r="K14" s="68">
        <f>Dataset!O12</f>
        <v>2</v>
      </c>
    </row>
    <row r="15"/>
    <row r="16">
      <c r="A16" s="58" t="inlineStr">
        <is>
          <t xml:space="preserve">STEP 3 — try adding each remaining feature:  bₜ = R(Sₜ) + ηᵤ(a_tu),  majorizer,  θ / γ</t>
        </is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</row>
    <row r="17"/>
    <row r="18">
      <c r="A18" s="59" t="str">
        <f>"Candidate a₁  ·  operator ρ  ·  k = "&amp;'Synthetic Features (k-NN)'!$B$4&amp;"   —   bₜ = R(Sₜ) + η₁(a_t₁)"</f>
        <v>Candidate a₁  ·  operator ρ  ·  k = 3   —   bₜ = R(Sₜ) + η₁(a_t₁)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84" t="str">
        <f>IF(B$14=1,"available",IF($D$4=1,"in TUPLAM — skipped","iteration not executed"))</f>
        <v>in TUPLAM — skipped</v>
      </c>
      <c r="P18" s="84"/>
      <c r="R18" s="104" t="inlineStr">
        <is>
          <t xml:space="preserve">⚠1  Class centres (orange columns I–L).  With Parameters!B24 = 1 (default = template) M₁ and M₂ in each row are running partial means of the rows above, as in the template cells K32 = I32/COUNTIF($G$32:$G$41,1).  The article uses the final means M = Σbₜ/|K| (B24 = 2).  See sheet “Template Deviations”.</t>
        </is>
      </c>
      <c r="S18" s="104"/>
      <c r="T18" s="104"/>
    </row>
    <row r="19">
      <c r="A19" s="60" t="inlineStr">
        <is>
          <t xml:space="preserve">№</t>
        </is>
      </c>
      <c r="B19" s="60" t="inlineStr">
        <is>
          <t xml:space="preserve">R(Sₜ)</t>
        </is>
      </c>
      <c r="C19" s="60" t="inlineStr">
        <is>
          <t xml:space="preserve">+</t>
        </is>
      </c>
      <c r="D19" s="60" t="inlineStr">
        <is>
          <t xml:space="preserve">ηᵤ(a_tu)</t>
        </is>
      </c>
      <c r="E19" s="60" t="inlineStr">
        <is>
          <t xml:space="preserve">=</t>
        </is>
      </c>
      <c r="F19" s="60" t="inlineStr">
        <is>
          <t xml:space="preserve">bₜ</t>
        </is>
      </c>
      <c r="G19" s="60" t="inlineStr">
        <is>
          <t xml:space="preserve">Class</t>
        </is>
      </c>
      <c r="H19" s="60" t="inlineStr">
        <is>
          <t xml:space="preserve">bₜ (majorized)</t>
        </is>
      </c>
      <c r="I19" s="103" t="inlineStr">
        <is>
          <t xml:space="preserve">⚠1 Σ K1 (running)</t>
        </is>
      </c>
      <c r="J19" s="103" t="inlineStr">
        <is>
          <t xml:space="preserve">⚠1 Σ K2 (running)</t>
        </is>
      </c>
      <c r="K19" s="103" t="inlineStr">
        <is>
          <t xml:space="preserve">⚠1 M₁ used</t>
        </is>
      </c>
      <c r="L19" s="103" t="inlineStr">
        <is>
          <t xml:space="preserve">⚠1 M₂ used</t>
        </is>
      </c>
      <c r="M19" s="60" t="inlineStr">
        <is>
          <t xml:space="preserve">|b − M own|</t>
        </is>
      </c>
      <c r="N19" s="60" t="inlineStr">
        <is>
          <t xml:space="preserve">|b − M other|</t>
        </is>
      </c>
      <c r="R19" s="104"/>
      <c r="S19" s="104"/>
      <c r="T19" s="104"/>
    </row>
    <row r="20">
      <c r="A20" s="64" t="inlineStr">
        <is>
          <t xml:space="preserve">b₁</t>
        </is>
      </c>
      <c r="B20" s="72">
        <f>$J$5</f>
        <v>-0.00853863373958766</v>
      </c>
      <c r="C20" s="79" t="inlineStr">
        <is>
          <t xml:space="preserve">+</t>
        </is>
      </c>
      <c r="D20" s="72">
        <f>INDEX('Ψ(r) Contribution &amp; Weight'!$B$18:$G$18,1)</f>
        <v>0.15</v>
      </c>
      <c r="E20" s="79" t="inlineStr">
        <is>
          <t xml:space="preserve">=</t>
        </is>
      </c>
      <c r="F20" s="72">
        <f>SUM(B20,D20)</f>
        <v>0.141461366260412</v>
      </c>
      <c r="G20" s="68">
        <f>Dataset!O3</f>
        <v>2</v>
      </c>
      <c r="H20" s="72">
        <f>IF(OR(G20=1,G20=2),F20+IF(G20=1,1,-1)*'Parameters'!$B$19*EXP(-F20)/(1+EXP(-F20)),"—")</f>
        <v>0.0020533113862404</v>
      </c>
      <c r="I20" s="102">
        <f>IF(G20=1,H20,0)</f>
        <v>0</v>
      </c>
      <c r="J20" s="102">
        <f>IF(G20=2,H20,0)</f>
        <v>0.0020533113862404</v>
      </c>
      <c r="K20" s="102">
        <f>IF('Parameters'!$B$24=1,I20/'Parameters'!$B$6,SUMIF($G$20:$G$29,1,$H$20:$H$29)/'Parameters'!$B$6)</f>
        <v>0</v>
      </c>
      <c r="L20" s="102">
        <f>IF('Parameters'!$B$24=1,J20/'Parameters'!$B$7,SUMIF($G$20:$G$29,2,$H$20:$H$29)/'Parameters'!$B$7)</f>
        <v>0.000342218564373401</v>
      </c>
      <c r="M20" s="72">
        <f>ABS(H20-IF(G20=1,K20,L20))</f>
        <v>0.001711092821867</v>
      </c>
      <c r="N20" s="72">
        <f>ABS(H20-IF(G20=1,L20,K20))</f>
        <v>0.0020533113862404</v>
      </c>
      <c r="R20" s="104"/>
      <c r="S20" s="104"/>
      <c r="T20" s="104"/>
    </row>
    <row r="21">
      <c r="A21" s="64" t="inlineStr">
        <is>
          <t xml:space="preserve">b₂</t>
        </is>
      </c>
      <c r="B21" s="72">
        <f>$J$6</f>
        <v>0.641058270440647</v>
      </c>
      <c r="C21" s="79" t="inlineStr">
        <is>
          <t xml:space="preserve">+</t>
        </is>
      </c>
      <c r="D21" s="72">
        <f>INDEX('Ψ(r) Contribution &amp; Weight'!$B$19:$G$19,1)</f>
        <v>0.15</v>
      </c>
      <c r="E21" s="79" t="inlineStr">
        <is>
          <t xml:space="preserve">=</t>
        </is>
      </c>
      <c r="F21" s="72">
        <f>SUM(B21,D21)</f>
        <v>0.791058270440647</v>
      </c>
      <c r="G21" s="68">
        <f>Dataset!O4</f>
        <v>1</v>
      </c>
      <c r="H21" s="72">
        <f>IF(OR(G21=1,G21=2),F21+IF(G21=1,1,-1)*'Parameters'!$B$19*EXP(-F21)/(1+EXP(-F21)),"—")</f>
        <v>0.884640715464478</v>
      </c>
      <c r="I21" s="102">
        <f>I20+IF(G21=1,H21,0)</f>
        <v>0.884640715464478</v>
      </c>
      <c r="J21" s="102">
        <f>J20+IF(G21=2,H21,0)</f>
        <v>0.0020533113862404</v>
      </c>
      <c r="K21" s="102">
        <f>IF('Parameters'!$B$24=1,I21/'Parameters'!$B$6,SUMIF($G$20:$G$29,1,$H$20:$H$29)/'Parameters'!$B$6)</f>
        <v>0.22116017886612</v>
      </c>
      <c r="L21" s="102">
        <f>IF('Parameters'!$B$24=1,J21/'Parameters'!$B$7,SUMIF($G$20:$G$29,2,$H$20:$H$29)/'Parameters'!$B$7)</f>
        <v>0.000342218564373401</v>
      </c>
      <c r="M21" s="72">
        <f>ABS(H21-IF(G21=1,K21,L21))</f>
        <v>0.663480536598359</v>
      </c>
      <c r="N21" s="72">
        <f>ABS(H21-IF(G21=1,L21,K21))</f>
        <v>0.884298496900105</v>
      </c>
      <c r="R21" s="104"/>
      <c r="S21" s="104"/>
      <c r="T21" s="104"/>
    </row>
    <row r="22">
      <c r="A22" s="64" t="inlineStr">
        <is>
          <t xml:space="preserve">b₃</t>
        </is>
      </c>
      <c r="B22" s="72">
        <f>$J$7</f>
        <v>-1.32080100458638</v>
      </c>
      <c r="C22" s="79" t="inlineStr">
        <is>
          <t xml:space="preserve">+</t>
        </is>
      </c>
      <c r="D22" s="72">
        <f>INDEX('Ψ(r) Contribution &amp; Weight'!$B$20:$G$20,1)</f>
        <v>-0.15</v>
      </c>
      <c r="E22" s="79" t="inlineStr">
        <is>
          <t xml:space="preserve">=</t>
        </is>
      </c>
      <c r="F22" s="72">
        <f>SUM(B22,D22)</f>
        <v>-1.47080100458638</v>
      </c>
      <c r="G22" s="68">
        <f>Dataset!O5</f>
        <v>2</v>
      </c>
      <c r="H22" s="72">
        <f>IF(OR(G22=1,G22=2),F22+IF(G22=1,1,-1)*'Parameters'!$B$19*EXP(-F22)/(1+EXP(-F22)),"—")</f>
        <v>-1.71475473586256</v>
      </c>
      <c r="I22" s="102">
        <f>I21+IF(G22=1,H22,0)</f>
        <v>0.884640715464478</v>
      </c>
      <c r="J22" s="102">
        <f>J21+IF(G22=2,H22,0)</f>
        <v>-1.71270142447632</v>
      </c>
      <c r="K22" s="102">
        <f>IF('Parameters'!$B$24=1,I22/'Parameters'!$B$6,SUMIF($G$20:$G$29,1,$H$20:$H$29)/'Parameters'!$B$6)</f>
        <v>0.22116017886612</v>
      </c>
      <c r="L22" s="102">
        <f>IF('Parameters'!$B$24=1,J22/'Parameters'!$B$7,SUMIF($G$20:$G$29,2,$H$20:$H$29)/'Parameters'!$B$7)</f>
        <v>-0.285450237412721</v>
      </c>
      <c r="M22" s="72">
        <f>ABS(H22-IF(G22=1,K22,L22))</f>
        <v>1.42930449844984</v>
      </c>
      <c r="N22" s="72">
        <f>ABS(H22-IF(G22=1,L22,K22))</f>
        <v>1.93591491472868</v>
      </c>
      <c r="R22" s="104"/>
      <c r="S22" s="104"/>
      <c r="T22" s="104"/>
    </row>
    <row r="23">
      <c r="A23" s="64" t="inlineStr">
        <is>
          <t xml:space="preserve">b₄</t>
        </is>
      </c>
      <c r="B23" s="72">
        <f>$J$8</f>
        <v>0.939357074977029</v>
      </c>
      <c r="C23" s="79" t="inlineStr">
        <is>
          <t xml:space="preserve">+</t>
        </is>
      </c>
      <c r="D23" s="72">
        <f>INDEX('Ψ(r) Contribution &amp; Weight'!$B$21:$G$21,1)</f>
        <v>0.15</v>
      </c>
      <c r="E23" s="79" t="inlineStr">
        <is>
          <t xml:space="preserve">=</t>
        </is>
      </c>
      <c r="F23" s="72">
        <f>SUM(B23,D23)</f>
        <v>1.08935707497703</v>
      </c>
      <c r="G23" s="68">
        <f>Dataset!O6</f>
        <v>1</v>
      </c>
      <c r="H23" s="72">
        <f>IF(OR(G23=1,G23=2),F23+IF(G23=1,1,-1)*'Parameters'!$B$19*EXP(-F23)/(1+EXP(-F23)),"—")</f>
        <v>1.16487888438675</v>
      </c>
      <c r="I23" s="102">
        <f>I22+IF(G23=1,H23,0)</f>
        <v>2.04951959985123</v>
      </c>
      <c r="J23" s="102">
        <f>J22+IF(G23=2,H23,0)</f>
        <v>-1.71270142447632</v>
      </c>
      <c r="K23" s="102">
        <f>IF('Parameters'!$B$24=1,I23/'Parameters'!$B$6,SUMIF($G$20:$G$29,1,$H$20:$H$29)/'Parameters'!$B$6)</f>
        <v>0.512379899962807</v>
      </c>
      <c r="L23" s="102">
        <f>IF('Parameters'!$B$24=1,J23/'Parameters'!$B$7,SUMIF($G$20:$G$29,2,$H$20:$H$29)/'Parameters'!$B$7)</f>
        <v>-0.285450237412721</v>
      </c>
      <c r="M23" s="72">
        <f>ABS(H23-IF(G23=1,K23,L23))</f>
        <v>0.652498984423944</v>
      </c>
      <c r="N23" s="72">
        <f>ABS(H23-IF(G23=1,L23,K23))</f>
        <v>1.45032912179947</v>
      </c>
      <c r="R23" s="104"/>
      <c r="S23" s="104"/>
      <c r="T23" s="104"/>
    </row>
    <row r="24">
      <c r="A24" s="64" t="inlineStr">
        <is>
          <t xml:space="preserve">b₅</t>
        </is>
      </c>
      <c r="B24" s="72">
        <f>$J$9</f>
        <v>0.939357074977029</v>
      </c>
      <c r="C24" s="79" t="inlineStr">
        <is>
          <t xml:space="preserve">+</t>
        </is>
      </c>
      <c r="D24" s="72">
        <f>INDEX('Ψ(r) Contribution &amp; Weight'!$B$22:$G$22,1)</f>
        <v>0.15</v>
      </c>
      <c r="E24" s="79" t="inlineStr">
        <is>
          <t xml:space="preserve">=</t>
        </is>
      </c>
      <c r="F24" s="72">
        <f>SUM(B24,D24)</f>
        <v>1.08935707497703</v>
      </c>
      <c r="G24" s="68">
        <f>Dataset!O7</f>
        <v>1</v>
      </c>
      <c r="H24" s="72">
        <f>IF(OR(G24=1,G24=2),F24+IF(G24=1,1,-1)*'Parameters'!$B$19*EXP(-F24)/(1+EXP(-F24)),"—")</f>
        <v>1.16487888438675</v>
      </c>
      <c r="I24" s="102">
        <f>I23+IF(G24=1,H24,0)</f>
        <v>3.21439848423798</v>
      </c>
      <c r="J24" s="102">
        <f>J23+IF(G24=2,H24,0)</f>
        <v>-1.71270142447632</v>
      </c>
      <c r="K24" s="102">
        <f>IF('Parameters'!$B$24=1,I24/'Parameters'!$B$6,SUMIF($G$20:$G$29,1,$H$20:$H$29)/'Parameters'!$B$6)</f>
        <v>0.803599621059495</v>
      </c>
      <c r="L24" s="102">
        <f>IF('Parameters'!$B$24=1,J24/'Parameters'!$B$7,SUMIF($G$20:$G$29,2,$H$20:$H$29)/'Parameters'!$B$7)</f>
        <v>-0.285450237412721</v>
      </c>
      <c r="M24" s="72">
        <f>ABS(H24-IF(G24=1,K24,L24))</f>
        <v>0.361279263327256</v>
      </c>
      <c r="N24" s="72">
        <f>ABS(H24-IF(G24=1,L24,K24))</f>
        <v>1.45032912179947</v>
      </c>
      <c r="R24" s="104"/>
      <c r="S24" s="104"/>
      <c r="T24" s="104"/>
    </row>
    <row r="25">
      <c r="A25" s="64" t="inlineStr">
        <is>
          <t xml:space="preserve">b₆</t>
        </is>
      </c>
      <c r="B25" s="72">
        <f>$J$10</f>
        <v>0.641058270440647</v>
      </c>
      <c r="C25" s="79" t="inlineStr">
        <is>
          <t xml:space="preserve">+</t>
        </is>
      </c>
      <c r="D25" s="72">
        <f>INDEX('Ψ(r) Contribution &amp; Weight'!$B$23:$G$23,1)</f>
        <v>0.15</v>
      </c>
      <c r="E25" s="79" t="inlineStr">
        <is>
          <t xml:space="preserve">=</t>
        </is>
      </c>
      <c r="F25" s="72">
        <f>SUM(B25,D25)</f>
        <v>0.791058270440647</v>
      </c>
      <c r="G25" s="68">
        <f>Dataset!O8</f>
        <v>1</v>
      </c>
      <c r="H25" s="72">
        <f>IF(OR(G25=1,G25=2),F25+IF(G25=1,1,-1)*'Parameters'!$B$19*EXP(-F25)/(1+EXP(-F25)),"—")</f>
        <v>0.884640715464478</v>
      </c>
      <c r="I25" s="102">
        <f>I24+IF(G25=1,H25,0)</f>
        <v>4.09903919970246</v>
      </c>
      <c r="J25" s="102">
        <f>J24+IF(G25=2,H25,0)</f>
        <v>-1.71270142447632</v>
      </c>
      <c r="K25" s="102">
        <f>IF('Parameters'!$B$24=1,I25/'Parameters'!$B$6,SUMIF($G$20:$G$29,1,$H$20:$H$29)/'Parameters'!$B$6)</f>
        <v>1.02475979992561</v>
      </c>
      <c r="L25" s="102">
        <f>IF('Parameters'!$B$24=1,J25/'Parameters'!$B$7,SUMIF($G$20:$G$29,2,$H$20:$H$29)/'Parameters'!$B$7)</f>
        <v>-0.285450237412721</v>
      </c>
      <c r="M25" s="72">
        <f>ABS(H25-IF(G25=1,K25,L25))</f>
        <v>0.140119084461136</v>
      </c>
      <c r="N25" s="72">
        <f>ABS(H25-IF(G25=1,L25,K25))</f>
        <v>1.1700909528772</v>
      </c>
      <c r="R25" s="104"/>
      <c r="S25" s="104"/>
      <c r="T25" s="104"/>
    </row>
    <row r="26">
      <c r="A26" s="64" t="inlineStr">
        <is>
          <t xml:space="preserve">b₇</t>
        </is>
      </c>
      <c r="B26" s="72">
        <f>$J$11</f>
        <v>-0.541711272743112</v>
      </c>
      <c r="C26" s="79" t="inlineStr">
        <is>
          <t xml:space="preserve">+</t>
        </is>
      </c>
      <c r="D26" s="72">
        <f>INDEX('Ψ(r) Contribution &amp; Weight'!$B$24:$G$24,1)</f>
        <v>0.15</v>
      </c>
      <c r="E26" s="79" t="inlineStr">
        <is>
          <t xml:space="preserve">=</t>
        </is>
      </c>
      <c r="F26" s="72">
        <f>SUM(B26,D26)</f>
        <v>-0.391711272743112</v>
      </c>
      <c r="G26" s="68">
        <f>Dataset!O9</f>
        <v>2</v>
      </c>
      <c r="H26" s="72">
        <f>IF(OR(G26=1,G26=2),F26+IF(G26=1,1,-1)*'Parameters'!$B$19*EXP(-F26)/(1+EXP(-F26)),"—")</f>
        <v>-0.570719648364901</v>
      </c>
      <c r="I26" s="102">
        <f>I25+IF(G26=1,H26,0)</f>
        <v>4.09903919970246</v>
      </c>
      <c r="J26" s="102">
        <f>J25+IF(G26=2,H26,0)</f>
        <v>-2.28342107284123</v>
      </c>
      <c r="K26" s="102">
        <f>IF('Parameters'!$B$24=1,I26/'Parameters'!$B$6,SUMIF($G$20:$G$29,1,$H$20:$H$29)/'Parameters'!$B$6)</f>
        <v>1.02475979992561</v>
      </c>
      <c r="L26" s="102">
        <f>IF('Parameters'!$B$24=1,J26/'Parameters'!$B$7,SUMIF($G$20:$G$29,2,$H$20:$H$29)/'Parameters'!$B$7)</f>
        <v>-0.380570178806871</v>
      </c>
      <c r="M26" s="72">
        <f>ABS(H26-IF(G26=1,K26,L26))</f>
        <v>0.19014946955803</v>
      </c>
      <c r="N26" s="72">
        <f>ABS(H26-IF(G26=1,L26,K26))</f>
        <v>1.59547944829052</v>
      </c>
      <c r="R26" s="104"/>
      <c r="S26" s="104"/>
      <c r="T26" s="104"/>
    </row>
    <row r="27">
      <c r="A27" s="64" t="inlineStr">
        <is>
          <t xml:space="preserve">b₈</t>
        </is>
      </c>
      <c r="B27" s="72">
        <f>$J$12</f>
        <v>-0.541711272743112</v>
      </c>
      <c r="C27" s="79" t="inlineStr">
        <is>
          <t xml:space="preserve">+</t>
        </is>
      </c>
      <c r="D27" s="72">
        <f>INDEX('Ψ(r) Contribution &amp; Weight'!$B$25:$G$25,1)</f>
        <v>0.15</v>
      </c>
      <c r="E27" s="79" t="inlineStr">
        <is>
          <t xml:space="preserve">=</t>
        </is>
      </c>
      <c r="F27" s="72">
        <f>SUM(B27,D27)</f>
        <v>-0.391711272743112</v>
      </c>
      <c r="G27" s="68">
        <f>Dataset!O10</f>
        <v>2</v>
      </c>
      <c r="H27" s="72">
        <f>IF(OR(G27=1,G27=2),F27+IF(G27=1,1,-1)*'Parameters'!$B$19*EXP(-F27)/(1+EXP(-F27)),"—")</f>
        <v>-0.570719648364901</v>
      </c>
      <c r="I27" s="102">
        <f>I26+IF(G27=1,H27,0)</f>
        <v>4.09903919970246</v>
      </c>
      <c r="J27" s="102">
        <f>J26+IF(G27=2,H27,0)</f>
        <v>-2.85414072120613</v>
      </c>
      <c r="K27" s="102">
        <f>IF('Parameters'!$B$24=1,I27/'Parameters'!$B$6,SUMIF($G$20:$G$29,1,$H$20:$H$29)/'Parameters'!$B$6)</f>
        <v>1.02475979992561</v>
      </c>
      <c r="L27" s="102">
        <f>IF('Parameters'!$B$24=1,J27/'Parameters'!$B$7,SUMIF($G$20:$G$29,2,$H$20:$H$29)/'Parameters'!$B$7)</f>
        <v>-0.475690120201021</v>
      </c>
      <c r="M27" s="72">
        <f>ABS(H27-IF(G27=1,K27,L27))</f>
        <v>0.0950295281638798</v>
      </c>
      <c r="N27" s="72">
        <f>ABS(H27-IF(G27=1,L27,K27))</f>
        <v>1.59547944829052</v>
      </c>
      <c r="R27" s="104"/>
      <c r="S27" s="104"/>
      <c r="T27" s="104"/>
    </row>
    <row r="28">
      <c r="A28" s="64" t="inlineStr">
        <is>
          <t xml:space="preserve">b₉</t>
        </is>
      </c>
      <c r="B28" s="72">
        <f>$J$13</f>
        <v>-0.541711272743112</v>
      </c>
      <c r="C28" s="79" t="inlineStr">
        <is>
          <t xml:space="preserve">+</t>
        </is>
      </c>
      <c r="D28" s="72">
        <f>INDEX('Ψ(r) Contribution &amp; Weight'!$B$26:$G$26,1)</f>
        <v>0.15</v>
      </c>
      <c r="E28" s="79" t="inlineStr">
        <is>
          <t xml:space="preserve">=</t>
        </is>
      </c>
      <c r="F28" s="72">
        <f>SUM(B28,D28)</f>
        <v>-0.391711272743112</v>
      </c>
      <c r="G28" s="68">
        <f>Dataset!O11</f>
        <v>2</v>
      </c>
      <c r="H28" s="72">
        <f>IF(OR(G28=1,G28=2),F28+IF(G28=1,1,-1)*'Parameters'!$B$19*EXP(-F28)/(1+EXP(-F28)),"—")</f>
        <v>-0.570719648364901</v>
      </c>
      <c r="I28" s="102">
        <f>I27+IF(G28=1,H28,0)</f>
        <v>4.09903919970246</v>
      </c>
      <c r="J28" s="102">
        <f>J27+IF(G28=2,H28,0)</f>
        <v>-3.42486036957103</v>
      </c>
      <c r="K28" s="102">
        <f>IF('Parameters'!$B$24=1,I28/'Parameters'!$B$6,SUMIF($G$20:$G$29,1,$H$20:$H$29)/'Parameters'!$B$6)</f>
        <v>1.02475979992561</v>
      </c>
      <c r="L28" s="102">
        <f>IF('Parameters'!$B$24=1,J28/'Parameters'!$B$7,SUMIF($G$20:$G$29,2,$H$20:$H$29)/'Parameters'!$B$7)</f>
        <v>-0.570810061595171</v>
      </c>
      <c r="M28" s="72">
        <f>ABS(H28-IF(G28=1,K28,L28))</f>
        <v>9.04132302702587e-05</v>
      </c>
      <c r="N28" s="72">
        <f>ABS(H28-IF(G28=1,L28,K28))</f>
        <v>1.59547944829052</v>
      </c>
      <c r="R28" s="104"/>
      <c r="S28" s="104"/>
      <c r="T28" s="104"/>
    </row>
    <row r="29">
      <c r="A29" s="64" t="inlineStr">
        <is>
          <t xml:space="preserve">b₁₀</t>
        </is>
      </c>
      <c r="B29" s="72">
        <f>$J$14</f>
        <v>-0.541711272743112</v>
      </c>
      <c r="C29" s="79" t="inlineStr">
        <is>
          <t xml:space="preserve">+</t>
        </is>
      </c>
      <c r="D29" s="72">
        <f>INDEX('Ψ(r) Contribution &amp; Weight'!$B$27:$G$27,1)</f>
        <v>0.15</v>
      </c>
      <c r="E29" s="79" t="inlineStr">
        <is>
          <t xml:space="preserve">=</t>
        </is>
      </c>
      <c r="F29" s="72">
        <f>SUM(B29,D29)</f>
        <v>-0.391711272743112</v>
      </c>
      <c r="G29" s="68">
        <f>Dataset!O12</f>
        <v>2</v>
      </c>
      <c r="H29" s="72">
        <f>IF(OR(G29=1,G29=2),F29+IF(G29=1,1,-1)*'Parameters'!$B$19*EXP(-F29)/(1+EXP(-F29)),"—")</f>
        <v>-0.570719648364901</v>
      </c>
      <c r="I29" s="102">
        <f>I28+IF(G29=1,H29,0)</f>
        <v>4.09903919970246</v>
      </c>
      <c r="J29" s="102">
        <f>J28+IF(G29=2,H29,0)</f>
        <v>-3.99558001793593</v>
      </c>
      <c r="K29" s="102">
        <f>IF('Parameters'!$B$24=1,I29/'Parameters'!$B$6,SUMIF($G$20:$G$29,1,$H$20:$H$29)/'Parameters'!$B$6)</f>
        <v>1.02475979992561</v>
      </c>
      <c r="L29" s="102">
        <f>IF('Parameters'!$B$24=1,J29/'Parameters'!$B$7,SUMIF($G$20:$G$29,2,$H$20:$H$29)/'Parameters'!$B$7)</f>
        <v>-0.665930002989321</v>
      </c>
      <c r="M29" s="72">
        <f>ABS(H29-IF(G29=1,K29,L29))</f>
        <v>0.0952103546244204</v>
      </c>
      <c r="N29" s="72">
        <f>ABS(H29-IF(G29=1,L29,K29))</f>
        <v>1.59547944829052</v>
      </c>
      <c r="R29" s="104"/>
      <c r="S29" s="104"/>
      <c r="T29" s="104"/>
    </row>
    <row r="30">
      <c r="K30" s="82" t="inlineStr">
        <is>
          <t xml:space="preserve">θ, γ  →</t>
        </is>
      </c>
      <c r="L30" s="82"/>
      <c r="M30" s="85">
        <f>SUM(M20:M29)</f>
        <v>3.62887322565901</v>
      </c>
      <c r="N30" s="85">
        <f>SUM(N20:N29)</f>
        <v>13.2749337126532</v>
      </c>
      <c r="O30" s="82" t="inlineStr">
        <is>
          <t xml:space="preserve">θ / γ</t>
        </is>
      </c>
      <c r="P30" s="92" t="str">
        <f>IF(B$14=1,M30/N30,"—")</f>
        <v>—</v>
      </c>
    </row>
    <row r="31"/>
    <row r="32">
      <c r="A32" s="59" t="str">
        <f>"Candidate a₂  ·  operator ρ  ·  k = "&amp;'Synthetic Features (k-NN)'!$C$4&amp;"   —   bₜ = R(Sₜ) + η₂(a_t₂)"</f>
        <v>Candidate a₂  ·  operator ρ  ·  k = 5   —   bₜ = R(Sₜ) + η₂(a_t₂)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84" t="str">
        <f>IF(C$14=1,"available",IF($D$4=1,"in TUPLAM — skipped","iteration not executed"))</f>
        <v>available</v>
      </c>
      <c r="P32" s="84"/>
    </row>
    <row r="33">
      <c r="A33" s="60" t="inlineStr">
        <is>
          <t xml:space="preserve">№</t>
        </is>
      </c>
      <c r="B33" s="60" t="inlineStr">
        <is>
          <t xml:space="preserve">R(Sₜ)</t>
        </is>
      </c>
      <c r="C33" s="60" t="inlineStr">
        <is>
          <t xml:space="preserve">+</t>
        </is>
      </c>
      <c r="D33" s="60" t="inlineStr">
        <is>
          <t xml:space="preserve">ηᵤ(a_tu)</t>
        </is>
      </c>
      <c r="E33" s="60" t="inlineStr">
        <is>
          <t xml:space="preserve">=</t>
        </is>
      </c>
      <c r="F33" s="60" t="inlineStr">
        <is>
          <t xml:space="preserve">bₜ</t>
        </is>
      </c>
      <c r="G33" s="60" t="inlineStr">
        <is>
          <t xml:space="preserve">Class</t>
        </is>
      </c>
      <c r="H33" s="60" t="inlineStr">
        <is>
          <t xml:space="preserve">bₜ (majorized)</t>
        </is>
      </c>
      <c r="I33" s="103" t="inlineStr">
        <is>
          <t xml:space="preserve">⚠1 Σ K1 (running)</t>
        </is>
      </c>
      <c r="J33" s="103" t="inlineStr">
        <is>
          <t xml:space="preserve">⚠1 Σ K2 (running)</t>
        </is>
      </c>
      <c r="K33" s="103" t="inlineStr">
        <is>
          <t xml:space="preserve">⚠1 M₁ used</t>
        </is>
      </c>
      <c r="L33" s="103" t="inlineStr">
        <is>
          <t xml:space="preserve">⚠1 M₂ used</t>
        </is>
      </c>
      <c r="M33" s="60" t="inlineStr">
        <is>
          <t xml:space="preserve">|b − M own|</t>
        </is>
      </c>
      <c r="N33" s="60" t="inlineStr">
        <is>
          <t xml:space="preserve">|b − M other|</t>
        </is>
      </c>
    </row>
    <row r="34">
      <c r="A34" s="64" t="inlineStr">
        <is>
          <t xml:space="preserve">b₁</t>
        </is>
      </c>
      <c r="B34" s="72">
        <f>$J$5</f>
        <v>-0.00853863373958766</v>
      </c>
      <c r="C34" s="79" t="inlineStr">
        <is>
          <t xml:space="preserve">+</t>
        </is>
      </c>
      <c r="D34" s="72">
        <f>INDEX('Ψ(r) Contribution &amp; Weight'!$B$18:$G$18,2)</f>
        <v>0.15</v>
      </c>
      <c r="E34" s="79" t="inlineStr">
        <is>
          <t xml:space="preserve">=</t>
        </is>
      </c>
      <c r="F34" s="72">
        <f>SUM(B34,D34)</f>
        <v>0.141461366260412</v>
      </c>
      <c r="G34" s="68">
        <f>Dataset!O3</f>
        <v>2</v>
      </c>
      <c r="H34" s="72">
        <f>IF(OR(G34=1,G34=2),F34+IF(G34=1,1,-1)*'Parameters'!$B$19*EXP(-F34)/(1+EXP(-F34)),"—")</f>
        <v>0.0020533113862404</v>
      </c>
      <c r="I34" s="102">
        <f>IF(G34=1,H34,0)</f>
        <v>0</v>
      </c>
      <c r="J34" s="102">
        <f>IF(G34=2,H34,0)</f>
        <v>0.0020533113862404</v>
      </c>
      <c r="K34" s="102">
        <f>IF('Parameters'!$B$24=1,I34/'Parameters'!$B$6,SUMIF($G$34:$G$43,1,$H$34:$H$43)/'Parameters'!$B$6)</f>
        <v>0</v>
      </c>
      <c r="L34" s="102">
        <f>IF('Parameters'!$B$24=1,J34/'Parameters'!$B$7,SUMIF($G$34:$G$43,2,$H$34:$H$43)/'Parameters'!$B$7)</f>
        <v>0.000342218564373401</v>
      </c>
      <c r="M34" s="72">
        <f>ABS(H34-IF(G34=1,K34,L34))</f>
        <v>0.001711092821867</v>
      </c>
      <c r="N34" s="72">
        <f>ABS(H34-IF(G34=1,L34,K34))</f>
        <v>0.0020533113862404</v>
      </c>
    </row>
    <row r="35">
      <c r="A35" s="64" t="inlineStr">
        <is>
          <t xml:space="preserve">b₂</t>
        </is>
      </c>
      <c r="B35" s="72">
        <f>$J$6</f>
        <v>0.641058270440647</v>
      </c>
      <c r="C35" s="79" t="inlineStr">
        <is>
          <t xml:space="preserve">+</t>
        </is>
      </c>
      <c r="D35" s="72">
        <f>INDEX('Ψ(r) Contribution &amp; Weight'!$B$19:$G$19,2)</f>
        <v>0.15</v>
      </c>
      <c r="E35" s="79" t="inlineStr">
        <is>
          <t xml:space="preserve">=</t>
        </is>
      </c>
      <c r="F35" s="72">
        <f>SUM(B35,D35)</f>
        <v>0.791058270440647</v>
      </c>
      <c r="G35" s="68">
        <f>Dataset!O4</f>
        <v>1</v>
      </c>
      <c r="H35" s="72">
        <f>IF(OR(G35=1,G35=2),F35+IF(G35=1,1,-1)*'Parameters'!$B$19*EXP(-F35)/(1+EXP(-F35)),"—")</f>
        <v>0.884640715464478</v>
      </c>
      <c r="I35" s="102">
        <f>I34+IF(G35=1,H35,0)</f>
        <v>0.884640715464478</v>
      </c>
      <c r="J35" s="102">
        <f>J34+IF(G35=2,H35,0)</f>
        <v>0.0020533113862404</v>
      </c>
      <c r="K35" s="102">
        <f>IF('Parameters'!$B$24=1,I35/'Parameters'!$B$6,SUMIF($G$34:$G$43,1,$H$34:$H$43)/'Parameters'!$B$6)</f>
        <v>0.22116017886612</v>
      </c>
      <c r="L35" s="102">
        <f>IF('Parameters'!$B$24=1,J35/'Parameters'!$B$7,SUMIF($G$34:$G$43,2,$H$34:$H$43)/'Parameters'!$B$7)</f>
        <v>0.000342218564373401</v>
      </c>
      <c r="M35" s="72">
        <f>ABS(H35-IF(G35=1,K35,L35))</f>
        <v>0.663480536598359</v>
      </c>
      <c r="N35" s="72">
        <f>ABS(H35-IF(G35=1,L35,K35))</f>
        <v>0.884298496900105</v>
      </c>
    </row>
    <row r="36">
      <c r="A36" s="64" t="inlineStr">
        <is>
          <t xml:space="preserve">b₃</t>
        </is>
      </c>
      <c r="B36" s="72">
        <f>$J$7</f>
        <v>-1.32080100458638</v>
      </c>
      <c r="C36" s="79" t="inlineStr">
        <is>
          <t xml:space="preserve">+</t>
        </is>
      </c>
      <c r="D36" s="72">
        <f>INDEX('Ψ(r) Contribution &amp; Weight'!$B$20:$G$20,2)</f>
        <v>-0.15</v>
      </c>
      <c r="E36" s="79" t="inlineStr">
        <is>
          <t xml:space="preserve">=</t>
        </is>
      </c>
      <c r="F36" s="72">
        <f>SUM(B36,D36)</f>
        <v>-1.47080100458638</v>
      </c>
      <c r="G36" s="68">
        <f>Dataset!O5</f>
        <v>2</v>
      </c>
      <c r="H36" s="72">
        <f>IF(OR(G36=1,G36=2),F36+IF(G36=1,1,-1)*'Parameters'!$B$19*EXP(-F36)/(1+EXP(-F36)),"—")</f>
        <v>-1.71475473586256</v>
      </c>
      <c r="I36" s="102">
        <f>I35+IF(G36=1,H36,0)</f>
        <v>0.884640715464478</v>
      </c>
      <c r="J36" s="102">
        <f>J35+IF(G36=2,H36,0)</f>
        <v>-1.71270142447632</v>
      </c>
      <c r="K36" s="102">
        <f>IF('Parameters'!$B$24=1,I36/'Parameters'!$B$6,SUMIF($G$34:$G$43,1,$H$34:$H$43)/'Parameters'!$B$6)</f>
        <v>0.22116017886612</v>
      </c>
      <c r="L36" s="102">
        <f>IF('Parameters'!$B$24=1,J36/'Parameters'!$B$7,SUMIF($G$34:$G$43,2,$H$34:$H$43)/'Parameters'!$B$7)</f>
        <v>-0.285450237412721</v>
      </c>
      <c r="M36" s="72">
        <f>ABS(H36-IF(G36=1,K36,L36))</f>
        <v>1.42930449844984</v>
      </c>
      <c r="N36" s="72">
        <f>ABS(H36-IF(G36=1,L36,K36))</f>
        <v>1.93591491472868</v>
      </c>
    </row>
    <row r="37">
      <c r="A37" s="64" t="inlineStr">
        <is>
          <t xml:space="preserve">b₄</t>
        </is>
      </c>
      <c r="B37" s="72">
        <f>$J$8</f>
        <v>0.939357074977029</v>
      </c>
      <c r="C37" s="79" t="inlineStr">
        <is>
          <t xml:space="preserve">+</t>
        </is>
      </c>
      <c r="D37" s="72">
        <f>INDEX('Ψ(r) Contribution &amp; Weight'!$B$21:$G$21,2)</f>
        <v>0.15</v>
      </c>
      <c r="E37" s="79" t="inlineStr">
        <is>
          <t xml:space="preserve">=</t>
        </is>
      </c>
      <c r="F37" s="72">
        <f>SUM(B37,D37)</f>
        <v>1.08935707497703</v>
      </c>
      <c r="G37" s="68">
        <f>Dataset!O6</f>
        <v>1</v>
      </c>
      <c r="H37" s="72">
        <f>IF(OR(G37=1,G37=2),F37+IF(G37=1,1,-1)*'Parameters'!$B$19*EXP(-F37)/(1+EXP(-F37)),"—")</f>
        <v>1.16487888438675</v>
      </c>
      <c r="I37" s="102">
        <f>I36+IF(G37=1,H37,0)</f>
        <v>2.04951959985123</v>
      </c>
      <c r="J37" s="102">
        <f>J36+IF(G37=2,H37,0)</f>
        <v>-1.71270142447632</v>
      </c>
      <c r="K37" s="102">
        <f>IF('Parameters'!$B$24=1,I37/'Parameters'!$B$6,SUMIF($G$34:$G$43,1,$H$34:$H$43)/'Parameters'!$B$6)</f>
        <v>0.512379899962807</v>
      </c>
      <c r="L37" s="102">
        <f>IF('Parameters'!$B$24=1,J37/'Parameters'!$B$7,SUMIF($G$34:$G$43,2,$H$34:$H$43)/'Parameters'!$B$7)</f>
        <v>-0.285450237412721</v>
      </c>
      <c r="M37" s="72">
        <f>ABS(H37-IF(G37=1,K37,L37))</f>
        <v>0.652498984423944</v>
      </c>
      <c r="N37" s="72">
        <f>ABS(H37-IF(G37=1,L37,K37))</f>
        <v>1.45032912179947</v>
      </c>
    </row>
    <row r="38">
      <c r="A38" s="64" t="inlineStr">
        <is>
          <t xml:space="preserve">b₅</t>
        </is>
      </c>
      <c r="B38" s="72">
        <f>$J$9</f>
        <v>0.939357074977029</v>
      </c>
      <c r="C38" s="79" t="inlineStr">
        <is>
          <t xml:space="preserve">+</t>
        </is>
      </c>
      <c r="D38" s="72">
        <f>INDEX('Ψ(r) Contribution &amp; Weight'!$B$22:$G$22,2)</f>
        <v>0.15</v>
      </c>
      <c r="E38" s="79" t="inlineStr">
        <is>
          <t xml:space="preserve">=</t>
        </is>
      </c>
      <c r="F38" s="72">
        <f>SUM(B38,D38)</f>
        <v>1.08935707497703</v>
      </c>
      <c r="G38" s="68">
        <f>Dataset!O7</f>
        <v>1</v>
      </c>
      <c r="H38" s="72">
        <f>IF(OR(G38=1,G38=2),F38+IF(G38=1,1,-1)*'Parameters'!$B$19*EXP(-F38)/(1+EXP(-F38)),"—")</f>
        <v>1.16487888438675</v>
      </c>
      <c r="I38" s="102">
        <f>I37+IF(G38=1,H38,0)</f>
        <v>3.21439848423798</v>
      </c>
      <c r="J38" s="102">
        <f>J37+IF(G38=2,H38,0)</f>
        <v>-1.71270142447632</v>
      </c>
      <c r="K38" s="102">
        <f>IF('Parameters'!$B$24=1,I38/'Parameters'!$B$6,SUMIF($G$34:$G$43,1,$H$34:$H$43)/'Parameters'!$B$6)</f>
        <v>0.803599621059495</v>
      </c>
      <c r="L38" s="102">
        <f>IF('Parameters'!$B$24=1,J38/'Parameters'!$B$7,SUMIF($G$34:$G$43,2,$H$34:$H$43)/'Parameters'!$B$7)</f>
        <v>-0.285450237412721</v>
      </c>
      <c r="M38" s="72">
        <f>ABS(H38-IF(G38=1,K38,L38))</f>
        <v>0.361279263327256</v>
      </c>
      <c r="N38" s="72">
        <f>ABS(H38-IF(G38=1,L38,K38))</f>
        <v>1.45032912179947</v>
      </c>
    </row>
    <row r="39">
      <c r="A39" s="64" t="inlineStr">
        <is>
          <t xml:space="preserve">b₆</t>
        </is>
      </c>
      <c r="B39" s="72">
        <f>$J$10</f>
        <v>0.641058270440647</v>
      </c>
      <c r="C39" s="79" t="inlineStr">
        <is>
          <t xml:space="preserve">+</t>
        </is>
      </c>
      <c r="D39" s="72">
        <f>INDEX('Ψ(r) Contribution &amp; Weight'!$B$23:$G$23,2)</f>
        <v>0.15</v>
      </c>
      <c r="E39" s="79" t="inlineStr">
        <is>
          <t xml:space="preserve">=</t>
        </is>
      </c>
      <c r="F39" s="72">
        <f>SUM(B39,D39)</f>
        <v>0.791058270440647</v>
      </c>
      <c r="G39" s="68">
        <f>Dataset!O8</f>
        <v>1</v>
      </c>
      <c r="H39" s="72">
        <f>IF(OR(G39=1,G39=2),F39+IF(G39=1,1,-1)*'Parameters'!$B$19*EXP(-F39)/(1+EXP(-F39)),"—")</f>
        <v>0.884640715464478</v>
      </c>
      <c r="I39" s="102">
        <f>I38+IF(G39=1,H39,0)</f>
        <v>4.09903919970246</v>
      </c>
      <c r="J39" s="102">
        <f>J38+IF(G39=2,H39,0)</f>
        <v>-1.71270142447632</v>
      </c>
      <c r="K39" s="102">
        <f>IF('Parameters'!$B$24=1,I39/'Parameters'!$B$6,SUMIF($G$34:$G$43,1,$H$34:$H$43)/'Parameters'!$B$6)</f>
        <v>1.02475979992561</v>
      </c>
      <c r="L39" s="102">
        <f>IF('Parameters'!$B$24=1,J39/'Parameters'!$B$7,SUMIF($G$34:$G$43,2,$H$34:$H$43)/'Parameters'!$B$7)</f>
        <v>-0.285450237412721</v>
      </c>
      <c r="M39" s="72">
        <f>ABS(H39-IF(G39=1,K39,L39))</f>
        <v>0.140119084461136</v>
      </c>
      <c r="N39" s="72">
        <f>ABS(H39-IF(G39=1,L39,K39))</f>
        <v>1.1700909528772</v>
      </c>
    </row>
    <row r="40">
      <c r="A40" s="64" t="inlineStr">
        <is>
          <t xml:space="preserve">b₇</t>
        </is>
      </c>
      <c r="B40" s="72">
        <f>$J$11</f>
        <v>-0.541711272743112</v>
      </c>
      <c r="C40" s="79" t="inlineStr">
        <is>
          <t xml:space="preserve">+</t>
        </is>
      </c>
      <c r="D40" s="72">
        <f>INDEX('Ψ(r) Contribution &amp; Weight'!$B$24:$G$24,2)</f>
        <v>0.15</v>
      </c>
      <c r="E40" s="79" t="inlineStr">
        <is>
          <t xml:space="preserve">=</t>
        </is>
      </c>
      <c r="F40" s="72">
        <f>SUM(B40,D40)</f>
        <v>-0.391711272743112</v>
      </c>
      <c r="G40" s="68">
        <f>Dataset!O9</f>
        <v>2</v>
      </c>
      <c r="H40" s="72">
        <f>IF(OR(G40=1,G40=2),F40+IF(G40=1,1,-1)*'Parameters'!$B$19*EXP(-F40)/(1+EXP(-F40)),"—")</f>
        <v>-0.570719648364901</v>
      </c>
      <c r="I40" s="102">
        <f>I39+IF(G40=1,H40,0)</f>
        <v>4.09903919970246</v>
      </c>
      <c r="J40" s="102">
        <f>J39+IF(G40=2,H40,0)</f>
        <v>-2.28342107284123</v>
      </c>
      <c r="K40" s="102">
        <f>IF('Parameters'!$B$24=1,I40/'Parameters'!$B$6,SUMIF($G$34:$G$43,1,$H$34:$H$43)/'Parameters'!$B$6)</f>
        <v>1.02475979992561</v>
      </c>
      <c r="L40" s="102">
        <f>IF('Parameters'!$B$24=1,J40/'Parameters'!$B$7,SUMIF($G$34:$G$43,2,$H$34:$H$43)/'Parameters'!$B$7)</f>
        <v>-0.380570178806871</v>
      </c>
      <c r="M40" s="72">
        <f>ABS(H40-IF(G40=1,K40,L40))</f>
        <v>0.19014946955803</v>
      </c>
      <c r="N40" s="72">
        <f>ABS(H40-IF(G40=1,L40,K40))</f>
        <v>1.59547944829052</v>
      </c>
    </row>
    <row r="41">
      <c r="A41" s="64" t="inlineStr">
        <is>
          <t xml:space="preserve">b₈</t>
        </is>
      </c>
      <c r="B41" s="72">
        <f>$J$12</f>
        <v>-0.541711272743112</v>
      </c>
      <c r="C41" s="79" t="inlineStr">
        <is>
          <t xml:space="preserve">+</t>
        </is>
      </c>
      <c r="D41" s="72">
        <f>INDEX('Ψ(r) Contribution &amp; Weight'!$B$25:$G$25,2)</f>
        <v>0.15</v>
      </c>
      <c r="E41" s="79" t="inlineStr">
        <is>
          <t xml:space="preserve">=</t>
        </is>
      </c>
      <c r="F41" s="72">
        <f>SUM(B41,D41)</f>
        <v>-0.391711272743112</v>
      </c>
      <c r="G41" s="68">
        <f>Dataset!O10</f>
        <v>2</v>
      </c>
      <c r="H41" s="72">
        <f>IF(OR(G41=1,G41=2),F41+IF(G41=1,1,-1)*'Parameters'!$B$19*EXP(-F41)/(1+EXP(-F41)),"—")</f>
        <v>-0.570719648364901</v>
      </c>
      <c r="I41" s="102">
        <f>I40+IF(G41=1,H41,0)</f>
        <v>4.09903919970246</v>
      </c>
      <c r="J41" s="102">
        <f>J40+IF(G41=2,H41,0)</f>
        <v>-2.85414072120613</v>
      </c>
      <c r="K41" s="102">
        <f>IF('Parameters'!$B$24=1,I41/'Parameters'!$B$6,SUMIF($G$34:$G$43,1,$H$34:$H$43)/'Parameters'!$B$6)</f>
        <v>1.02475979992561</v>
      </c>
      <c r="L41" s="102">
        <f>IF('Parameters'!$B$24=1,J41/'Parameters'!$B$7,SUMIF($G$34:$G$43,2,$H$34:$H$43)/'Parameters'!$B$7)</f>
        <v>-0.475690120201021</v>
      </c>
      <c r="M41" s="72">
        <f>ABS(H41-IF(G41=1,K41,L41))</f>
        <v>0.0950295281638798</v>
      </c>
      <c r="N41" s="72">
        <f>ABS(H41-IF(G41=1,L41,K41))</f>
        <v>1.59547944829052</v>
      </c>
    </row>
    <row r="42">
      <c r="A42" s="64" t="inlineStr">
        <is>
          <t xml:space="preserve">b₉</t>
        </is>
      </c>
      <c r="B42" s="72">
        <f>$J$13</f>
        <v>-0.541711272743112</v>
      </c>
      <c r="C42" s="79" t="inlineStr">
        <is>
          <t xml:space="preserve">+</t>
        </is>
      </c>
      <c r="D42" s="72">
        <f>INDEX('Ψ(r) Contribution &amp; Weight'!$B$26:$G$26,2)</f>
        <v>0.15</v>
      </c>
      <c r="E42" s="79" t="inlineStr">
        <is>
          <t xml:space="preserve">=</t>
        </is>
      </c>
      <c r="F42" s="72">
        <f>SUM(B42,D42)</f>
        <v>-0.391711272743112</v>
      </c>
      <c r="G42" s="68">
        <f>Dataset!O11</f>
        <v>2</v>
      </c>
      <c r="H42" s="72">
        <f>IF(OR(G42=1,G42=2),F42+IF(G42=1,1,-1)*'Parameters'!$B$19*EXP(-F42)/(1+EXP(-F42)),"—")</f>
        <v>-0.570719648364901</v>
      </c>
      <c r="I42" s="102">
        <f>I41+IF(G42=1,H42,0)</f>
        <v>4.09903919970246</v>
      </c>
      <c r="J42" s="102">
        <f>J41+IF(G42=2,H42,0)</f>
        <v>-3.42486036957103</v>
      </c>
      <c r="K42" s="102">
        <f>IF('Parameters'!$B$24=1,I42/'Parameters'!$B$6,SUMIF($G$34:$G$43,1,$H$34:$H$43)/'Parameters'!$B$6)</f>
        <v>1.02475979992561</v>
      </c>
      <c r="L42" s="102">
        <f>IF('Parameters'!$B$24=1,J42/'Parameters'!$B$7,SUMIF($G$34:$G$43,2,$H$34:$H$43)/'Parameters'!$B$7)</f>
        <v>-0.570810061595171</v>
      </c>
      <c r="M42" s="72">
        <f>ABS(H42-IF(G42=1,K42,L42))</f>
        <v>9.04132302702587e-05</v>
      </c>
      <c r="N42" s="72">
        <f>ABS(H42-IF(G42=1,L42,K42))</f>
        <v>1.59547944829052</v>
      </c>
    </row>
    <row r="43">
      <c r="A43" s="64" t="inlineStr">
        <is>
          <t xml:space="preserve">b₁₀</t>
        </is>
      </c>
      <c r="B43" s="72">
        <f>$J$14</f>
        <v>-0.541711272743112</v>
      </c>
      <c r="C43" s="79" t="inlineStr">
        <is>
          <t xml:space="preserve">+</t>
        </is>
      </c>
      <c r="D43" s="72">
        <f>INDEX('Ψ(r) Contribution &amp; Weight'!$B$27:$G$27,2)</f>
        <v>0.15</v>
      </c>
      <c r="E43" s="79" t="inlineStr">
        <is>
          <t xml:space="preserve">=</t>
        </is>
      </c>
      <c r="F43" s="72">
        <f>SUM(B43,D43)</f>
        <v>-0.391711272743112</v>
      </c>
      <c r="G43" s="68">
        <f>Dataset!O12</f>
        <v>2</v>
      </c>
      <c r="H43" s="72">
        <f>IF(OR(G43=1,G43=2),F43+IF(G43=1,1,-1)*'Parameters'!$B$19*EXP(-F43)/(1+EXP(-F43)),"—")</f>
        <v>-0.570719648364901</v>
      </c>
      <c r="I43" s="102">
        <f>I42+IF(G43=1,H43,0)</f>
        <v>4.09903919970246</v>
      </c>
      <c r="J43" s="102">
        <f>J42+IF(G43=2,H43,0)</f>
        <v>-3.99558001793593</v>
      </c>
      <c r="K43" s="102">
        <f>IF('Parameters'!$B$24=1,I43/'Parameters'!$B$6,SUMIF($G$34:$G$43,1,$H$34:$H$43)/'Parameters'!$B$6)</f>
        <v>1.02475979992561</v>
      </c>
      <c r="L43" s="102">
        <f>IF('Parameters'!$B$24=1,J43/'Parameters'!$B$7,SUMIF($G$34:$G$43,2,$H$34:$H$43)/'Parameters'!$B$7)</f>
        <v>-0.665930002989321</v>
      </c>
      <c r="M43" s="72">
        <f>ABS(H43-IF(G43=1,K43,L43))</f>
        <v>0.0952103546244204</v>
      </c>
      <c r="N43" s="72">
        <f>ABS(H43-IF(G43=1,L43,K43))</f>
        <v>1.59547944829052</v>
      </c>
    </row>
    <row r="44">
      <c r="K44" s="82" t="inlineStr">
        <is>
          <t xml:space="preserve">θ, γ  →</t>
        </is>
      </c>
      <c r="L44" s="82"/>
      <c r="M44" s="85">
        <f>SUM(M34:M43)</f>
        <v>3.62887322565901</v>
      </c>
      <c r="N44" s="85">
        <f>SUM(N34:N43)</f>
        <v>13.2749337126532</v>
      </c>
      <c r="O44" s="82" t="inlineStr">
        <is>
          <t xml:space="preserve">θ / γ</t>
        </is>
      </c>
      <c r="P44" s="92">
        <f>IF(C$14=1,M44/N44,"—")</f>
        <v>0.27336281326965</v>
      </c>
    </row>
    <row r="45"/>
    <row r="46">
      <c r="A46" s="59" t="str">
        <f>"Candidate a₃  ·  operator ρ_I  ·  k = "&amp;'Synthetic Features (k-NN)'!$B$18&amp;"   —   bₜ = R(Sₜ) + η₃(a_t₃)"</f>
        <v>Candidate a₃  ·  operator ρ_I  ·  k = 3   —   bₜ = R(Sₜ) + η₃(a_t₃)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84" t="str">
        <f>IF(D$14=1,"available",IF($D$4=1,"in TUPLAM — skipped","iteration not executed"))</f>
        <v>in TUPLAM — skipped</v>
      </c>
      <c r="P46" s="84"/>
    </row>
    <row r="47">
      <c r="A47" s="60" t="inlineStr">
        <is>
          <t xml:space="preserve">№</t>
        </is>
      </c>
      <c r="B47" s="60" t="inlineStr">
        <is>
          <t xml:space="preserve">R(Sₜ)</t>
        </is>
      </c>
      <c r="C47" s="60" t="inlineStr">
        <is>
          <t xml:space="preserve">+</t>
        </is>
      </c>
      <c r="D47" s="60" t="inlineStr">
        <is>
          <t xml:space="preserve">ηᵤ(a_tu)</t>
        </is>
      </c>
      <c r="E47" s="60" t="inlineStr">
        <is>
          <t xml:space="preserve">=</t>
        </is>
      </c>
      <c r="F47" s="60" t="inlineStr">
        <is>
          <t xml:space="preserve">bₜ</t>
        </is>
      </c>
      <c r="G47" s="60" t="inlineStr">
        <is>
          <t xml:space="preserve">Class</t>
        </is>
      </c>
      <c r="H47" s="60" t="inlineStr">
        <is>
          <t xml:space="preserve">bₜ (majorized)</t>
        </is>
      </c>
      <c r="I47" s="103" t="inlineStr">
        <is>
          <t xml:space="preserve">⚠1 Σ K1 (running)</t>
        </is>
      </c>
      <c r="J47" s="103" t="inlineStr">
        <is>
          <t xml:space="preserve">⚠1 Σ K2 (running)</t>
        </is>
      </c>
      <c r="K47" s="103" t="inlineStr">
        <is>
          <t xml:space="preserve">⚠1 M₁ used</t>
        </is>
      </c>
      <c r="L47" s="103" t="inlineStr">
        <is>
          <t xml:space="preserve">⚠1 M₂ used</t>
        </is>
      </c>
      <c r="M47" s="60" t="inlineStr">
        <is>
          <t xml:space="preserve">|b − M own|</t>
        </is>
      </c>
      <c r="N47" s="60" t="inlineStr">
        <is>
          <t xml:space="preserve">|b − M other|</t>
        </is>
      </c>
    </row>
    <row r="48">
      <c r="A48" s="64" t="inlineStr">
        <is>
          <t xml:space="preserve">b₁</t>
        </is>
      </c>
      <c r="B48" s="72">
        <f>$J$5</f>
        <v>-0.00853863373958766</v>
      </c>
      <c r="C48" s="79" t="inlineStr">
        <is>
          <t xml:space="preserve">+</t>
        </is>
      </c>
      <c r="D48" s="72">
        <f>INDEX('Ψ(r) Contribution &amp; Weight'!$B$18:$G$18,3)</f>
        <v>0.2</v>
      </c>
      <c r="E48" s="79" t="inlineStr">
        <is>
          <t xml:space="preserve">=</t>
        </is>
      </c>
      <c r="F48" s="72">
        <f>SUM(B48,D48)</f>
        <v>0.191461366260412</v>
      </c>
      <c r="G48" s="68">
        <f>Dataset!O3</f>
        <v>2</v>
      </c>
      <c r="H48" s="72">
        <f>IF(OR(G48=1,G48=2),F48+IF(G48=1,1,-1)*'Parameters'!$B$19*EXP(-F48)/(1+EXP(-F48)),"—")</f>
        <v>0.0557772633957484</v>
      </c>
      <c r="I48" s="102">
        <f>IF(G48=1,H48,0)</f>
        <v>0</v>
      </c>
      <c r="J48" s="102">
        <f>IF(G48=2,H48,0)</f>
        <v>0.0557772633957484</v>
      </c>
      <c r="K48" s="102">
        <f>IF('Parameters'!$B$24=1,I48/'Parameters'!$B$6,SUMIF($G$48:$G$57,1,$H$48:$H$57)/'Parameters'!$B$6)</f>
        <v>0</v>
      </c>
      <c r="L48" s="102">
        <f>IF('Parameters'!$B$24=1,J48/'Parameters'!$B$7,SUMIF($G$48:$G$57,2,$H$48:$H$57)/'Parameters'!$B$7)</f>
        <v>0.00929621056595807</v>
      </c>
      <c r="M48" s="72">
        <f>ABS(H48-IF(G48=1,K48,L48))</f>
        <v>0.0464810528297904</v>
      </c>
      <c r="N48" s="72">
        <f>ABS(H48-IF(G48=1,L48,K48))</f>
        <v>0.0557772633957484</v>
      </c>
    </row>
    <row r="49">
      <c r="A49" s="64" t="inlineStr">
        <is>
          <t xml:space="preserve">b₂</t>
        </is>
      </c>
      <c r="B49" s="72">
        <f>$J$6</f>
        <v>0.641058270440647</v>
      </c>
      <c r="C49" s="79" t="inlineStr">
        <is>
          <t xml:space="preserve">+</t>
        </is>
      </c>
      <c r="D49" s="72">
        <f>INDEX('Ψ(r) Contribution &amp; Weight'!$B$19:$G$19,3)</f>
        <v>-0.2</v>
      </c>
      <c r="E49" s="79" t="inlineStr">
        <is>
          <t xml:space="preserve">=</t>
        </is>
      </c>
      <c r="F49" s="72">
        <f>SUM(B49,D49)</f>
        <v>0.441058270440647</v>
      </c>
      <c r="G49" s="68">
        <f>Dataset!O4</f>
        <v>1</v>
      </c>
      <c r="H49" s="72">
        <f>IF(OR(G49=1,G49=2),F49+IF(G49=1,1,-1)*'Parameters'!$B$19*EXP(-F49)/(1+EXP(-F49)),"—")</f>
        <v>0.55850492049116</v>
      </c>
      <c r="I49" s="102">
        <f>I48+IF(G49=1,H49,0)</f>
        <v>0.55850492049116</v>
      </c>
      <c r="J49" s="102">
        <f>J48+IF(G49=2,H49,0)</f>
        <v>0.0557772633957484</v>
      </c>
      <c r="K49" s="102">
        <f>IF('Parameters'!$B$24=1,I49/'Parameters'!$B$6,SUMIF($G$48:$G$57,1,$H$48:$H$57)/'Parameters'!$B$6)</f>
        <v>0.13962623012279</v>
      </c>
      <c r="L49" s="102">
        <f>IF('Parameters'!$B$24=1,J49/'Parameters'!$B$7,SUMIF($G$48:$G$57,2,$H$48:$H$57)/'Parameters'!$B$7)</f>
        <v>0.00929621056595807</v>
      </c>
      <c r="M49" s="72">
        <f>ABS(H49-IF(G49=1,K49,L49))</f>
        <v>0.41887869036837</v>
      </c>
      <c r="N49" s="72">
        <f>ABS(H49-IF(G49=1,L49,K49))</f>
        <v>0.549208709925202</v>
      </c>
    </row>
    <row r="50">
      <c r="A50" s="64" t="inlineStr">
        <is>
          <t xml:space="preserve">b₃</t>
        </is>
      </c>
      <c r="B50" s="72">
        <f>$J$7</f>
        <v>-1.32080100458638</v>
      </c>
      <c r="C50" s="79" t="inlineStr">
        <is>
          <t xml:space="preserve">+</t>
        </is>
      </c>
      <c r="D50" s="72">
        <f>INDEX('Ψ(r) Contribution &amp; Weight'!$B$20:$G$20,3)</f>
        <v>-0.2</v>
      </c>
      <c r="E50" s="79" t="inlineStr">
        <is>
          <t xml:space="preserve">=</t>
        </is>
      </c>
      <c r="F50" s="72">
        <f>SUM(B50,D50)</f>
        <v>-1.52080100458638</v>
      </c>
      <c r="G50" s="68">
        <f>Dataset!O5</f>
        <v>2</v>
      </c>
      <c r="H50" s="72">
        <f>IF(OR(G50=1,G50=2),F50+IF(G50=1,1,-1)*'Parameters'!$B$19*EXP(-F50)/(1+EXP(-F50)),"—")</f>
        <v>-1.76699792527819</v>
      </c>
      <c r="I50" s="102">
        <f>I49+IF(G50=1,H50,0)</f>
        <v>0.55850492049116</v>
      </c>
      <c r="J50" s="102">
        <f>J49+IF(G50=2,H50,0)</f>
        <v>-1.71122066188245</v>
      </c>
      <c r="K50" s="102">
        <f>IF('Parameters'!$B$24=1,I50/'Parameters'!$B$6,SUMIF($G$48:$G$57,1,$H$48:$H$57)/'Parameters'!$B$6)</f>
        <v>0.13962623012279</v>
      </c>
      <c r="L50" s="102">
        <f>IF('Parameters'!$B$24=1,J50/'Parameters'!$B$7,SUMIF($G$48:$G$57,2,$H$48:$H$57)/'Parameters'!$B$7)</f>
        <v>-0.285203443647074</v>
      </c>
      <c r="M50" s="72">
        <f>ABS(H50-IF(G50=1,K50,L50))</f>
        <v>1.48179448163112</v>
      </c>
      <c r="N50" s="72">
        <f>ABS(H50-IF(G50=1,L50,K50))</f>
        <v>1.90662415540098</v>
      </c>
    </row>
    <row r="51">
      <c r="A51" s="64" t="inlineStr">
        <is>
          <t xml:space="preserve">b₄</t>
        </is>
      </c>
      <c r="B51" s="72">
        <f>$J$8</f>
        <v>0.939357074977029</v>
      </c>
      <c r="C51" s="79" t="inlineStr">
        <is>
          <t xml:space="preserve">+</t>
        </is>
      </c>
      <c r="D51" s="72">
        <f>INDEX('Ψ(r) Contribution &amp; Weight'!$B$21:$G$21,3)</f>
        <v>0.2</v>
      </c>
      <c r="E51" s="79" t="inlineStr">
        <is>
          <t xml:space="preserve">=</t>
        </is>
      </c>
      <c r="F51" s="72">
        <f>SUM(B51,D51)</f>
        <v>1.13935707497703</v>
      </c>
      <c r="G51" s="68">
        <f>Dataset!O6</f>
        <v>1</v>
      </c>
      <c r="H51" s="72">
        <f>IF(OR(G51=1,G51=2),F51+IF(G51=1,1,-1)*'Parameters'!$B$19*EXP(-F51)/(1+EXP(-F51)),"—")</f>
        <v>1.21208860168484</v>
      </c>
      <c r="I51" s="102">
        <f>I50+IF(G51=1,H51,0)</f>
        <v>1.770593522176</v>
      </c>
      <c r="J51" s="102">
        <f>J50+IF(G51=2,H51,0)</f>
        <v>-1.71122066188245</v>
      </c>
      <c r="K51" s="102">
        <f>IF('Parameters'!$B$24=1,I51/'Parameters'!$B$6,SUMIF($G$48:$G$57,1,$H$48:$H$57)/'Parameters'!$B$6)</f>
        <v>0.442648380544</v>
      </c>
      <c r="L51" s="102">
        <f>IF('Parameters'!$B$24=1,J51/'Parameters'!$B$7,SUMIF($G$48:$G$57,2,$H$48:$H$57)/'Parameters'!$B$7)</f>
        <v>-0.285203443647074</v>
      </c>
      <c r="M51" s="72">
        <f>ABS(H51-IF(G51=1,K51,L51))</f>
        <v>0.76944022114084</v>
      </c>
      <c r="N51" s="72">
        <f>ABS(H51-IF(G51=1,L51,K51))</f>
        <v>1.49729204533191</v>
      </c>
    </row>
    <row r="52">
      <c r="A52" s="64" t="inlineStr">
        <is>
          <t xml:space="preserve">b₅</t>
        </is>
      </c>
      <c r="B52" s="72">
        <f>$J$9</f>
        <v>0.939357074977029</v>
      </c>
      <c r="C52" s="79" t="inlineStr">
        <is>
          <t xml:space="preserve">+</t>
        </is>
      </c>
      <c r="D52" s="72">
        <f>INDEX('Ψ(r) Contribution &amp; Weight'!$B$22:$G$22,3)</f>
        <v>0.2</v>
      </c>
      <c r="E52" s="79" t="inlineStr">
        <is>
          <t xml:space="preserve">=</t>
        </is>
      </c>
      <c r="F52" s="72">
        <f>SUM(B52,D52)</f>
        <v>1.13935707497703</v>
      </c>
      <c r="G52" s="68">
        <f>Dataset!O7</f>
        <v>1</v>
      </c>
      <c r="H52" s="72">
        <f>IF(OR(G52=1,G52=2),F52+IF(G52=1,1,-1)*'Parameters'!$B$19*EXP(-F52)/(1+EXP(-F52)),"—")</f>
        <v>1.21208860168484</v>
      </c>
      <c r="I52" s="102">
        <f>I51+IF(G52=1,H52,0)</f>
        <v>2.98268212386084</v>
      </c>
      <c r="J52" s="102">
        <f>J51+IF(G52=2,H52,0)</f>
        <v>-1.71122066188245</v>
      </c>
      <c r="K52" s="102">
        <f>IF('Parameters'!$B$24=1,I52/'Parameters'!$B$6,SUMIF($G$48:$G$57,1,$H$48:$H$57)/'Parameters'!$B$6)</f>
        <v>0.74567053096521</v>
      </c>
      <c r="L52" s="102">
        <f>IF('Parameters'!$B$24=1,J52/'Parameters'!$B$7,SUMIF($G$48:$G$57,2,$H$48:$H$57)/'Parameters'!$B$7)</f>
        <v>-0.285203443647074</v>
      </c>
      <c r="M52" s="72">
        <f>ABS(H52-IF(G52=1,K52,L52))</f>
        <v>0.46641807071963</v>
      </c>
      <c r="N52" s="72">
        <f>ABS(H52-IF(G52=1,L52,K52))</f>
        <v>1.49729204533191</v>
      </c>
    </row>
    <row r="53">
      <c r="A53" s="64" t="inlineStr">
        <is>
          <t xml:space="preserve">b₆</t>
        </is>
      </c>
      <c r="B53" s="72">
        <f>$J$10</f>
        <v>0.641058270440647</v>
      </c>
      <c r="C53" s="79" t="inlineStr">
        <is>
          <t xml:space="preserve">+</t>
        </is>
      </c>
      <c r="D53" s="72">
        <f>INDEX('Ψ(r) Contribution &amp; Weight'!$B$23:$G$23,3)</f>
        <v>-0.2</v>
      </c>
      <c r="E53" s="79" t="inlineStr">
        <is>
          <t xml:space="preserve">=</t>
        </is>
      </c>
      <c r="F53" s="72">
        <f>SUM(B53,D53)</f>
        <v>0.441058270440647</v>
      </c>
      <c r="G53" s="68">
        <f>Dataset!O8</f>
        <v>1</v>
      </c>
      <c r="H53" s="72">
        <f>IF(OR(G53=1,G53=2),F53+IF(G53=1,1,-1)*'Parameters'!$B$19*EXP(-F53)/(1+EXP(-F53)),"—")</f>
        <v>0.55850492049116</v>
      </c>
      <c r="I53" s="102">
        <f>I52+IF(G53=1,H53,0)</f>
        <v>3.541187044352</v>
      </c>
      <c r="J53" s="102">
        <f>J52+IF(G53=2,H53,0)</f>
        <v>-1.71122066188245</v>
      </c>
      <c r="K53" s="102">
        <f>IF('Parameters'!$B$24=1,I53/'Parameters'!$B$6,SUMIF($G$48:$G$57,1,$H$48:$H$57)/'Parameters'!$B$6)</f>
        <v>0.885296761088</v>
      </c>
      <c r="L53" s="102">
        <f>IF('Parameters'!$B$24=1,J53/'Parameters'!$B$7,SUMIF($G$48:$G$57,2,$H$48:$H$57)/'Parameters'!$B$7)</f>
        <v>-0.285203443647074</v>
      </c>
      <c r="M53" s="72">
        <f>ABS(H53-IF(G53=1,K53,L53))</f>
        <v>0.32679184059684</v>
      </c>
      <c r="N53" s="72">
        <f>ABS(H53-IF(G53=1,L53,K53))</f>
        <v>0.843708364138235</v>
      </c>
    </row>
    <row r="54">
      <c r="A54" s="64" t="inlineStr">
        <is>
          <t xml:space="preserve">b₇</t>
        </is>
      </c>
      <c r="B54" s="72">
        <f>$J$11</f>
        <v>-0.541711272743112</v>
      </c>
      <c r="C54" s="79" t="inlineStr">
        <is>
          <t xml:space="preserve">+</t>
        </is>
      </c>
      <c r="D54" s="72">
        <f>INDEX('Ψ(r) Contribution &amp; Weight'!$B$24:$G$24,3)</f>
        <v>-0.2</v>
      </c>
      <c r="E54" s="79" t="inlineStr">
        <is>
          <t xml:space="preserve">=</t>
        </is>
      </c>
      <c r="F54" s="72">
        <f>SUM(B54,D54)</f>
        <v>-0.741711272743112</v>
      </c>
      <c r="G54" s="68">
        <f>Dataset!O9</f>
        <v>2</v>
      </c>
      <c r="H54" s="72">
        <f>IF(OR(G54=1,G54=2),F54+IF(G54=1,1,-1)*'Parameters'!$B$19*EXP(-F54)/(1+EXP(-F54)),"—")</f>
        <v>-0.944922258064279</v>
      </c>
      <c r="I54" s="102">
        <f>I53+IF(G54=1,H54,0)</f>
        <v>3.541187044352</v>
      </c>
      <c r="J54" s="102">
        <f>J53+IF(G54=2,H54,0)</f>
        <v>-2.65614291994673</v>
      </c>
      <c r="K54" s="102">
        <f>IF('Parameters'!$B$24=1,I54/'Parameters'!$B$6,SUMIF($G$48:$G$57,1,$H$48:$H$57)/'Parameters'!$B$6)</f>
        <v>0.885296761088</v>
      </c>
      <c r="L54" s="102">
        <f>IF('Parameters'!$B$24=1,J54/'Parameters'!$B$7,SUMIF($G$48:$G$57,2,$H$48:$H$57)/'Parameters'!$B$7)</f>
        <v>-0.442690486657788</v>
      </c>
      <c r="M54" s="72">
        <f>ABS(H54-IF(G54=1,K54,L54))</f>
        <v>0.502231771406492</v>
      </c>
      <c r="N54" s="72">
        <f>ABS(H54-IF(G54=1,L54,K54))</f>
        <v>1.83021901915228</v>
      </c>
    </row>
    <row r="55">
      <c r="A55" s="64" t="inlineStr">
        <is>
          <t xml:space="preserve">b₈</t>
        </is>
      </c>
      <c r="B55" s="72">
        <f>$J$12</f>
        <v>-0.541711272743112</v>
      </c>
      <c r="C55" s="79" t="inlineStr">
        <is>
          <t xml:space="preserve">+</t>
        </is>
      </c>
      <c r="D55" s="72">
        <f>INDEX('Ψ(r) Contribution &amp; Weight'!$B$25:$G$25,3)</f>
        <v>-0.2</v>
      </c>
      <c r="E55" s="79" t="inlineStr">
        <is>
          <t xml:space="preserve">=</t>
        </is>
      </c>
      <c r="F55" s="72">
        <f>SUM(B55,D55)</f>
        <v>-0.741711272743112</v>
      </c>
      <c r="G55" s="68">
        <f>Dataset!O10</f>
        <v>2</v>
      </c>
      <c r="H55" s="72">
        <f>IF(OR(G55=1,G55=2),F55+IF(G55=1,1,-1)*'Parameters'!$B$19*EXP(-F55)/(1+EXP(-F55)),"—")</f>
        <v>-0.944922258064279</v>
      </c>
      <c r="I55" s="102">
        <f>I54+IF(G55=1,H55,0)</f>
        <v>3.541187044352</v>
      </c>
      <c r="J55" s="102">
        <f>J54+IF(G55=2,H55,0)</f>
        <v>-3.60106517801101</v>
      </c>
      <c r="K55" s="102">
        <f>IF('Parameters'!$B$24=1,I55/'Parameters'!$B$6,SUMIF($G$48:$G$57,1,$H$48:$H$57)/'Parameters'!$B$6)</f>
        <v>0.885296761088</v>
      </c>
      <c r="L55" s="102">
        <f>IF('Parameters'!$B$24=1,J55/'Parameters'!$B$7,SUMIF($G$48:$G$57,2,$H$48:$H$57)/'Parameters'!$B$7)</f>
        <v>-0.600177529668501</v>
      </c>
      <c r="M55" s="72">
        <f>ABS(H55-IF(G55=1,K55,L55))</f>
        <v>0.344744728395779</v>
      </c>
      <c r="N55" s="72">
        <f>ABS(H55-IF(G55=1,L55,K55))</f>
        <v>1.83021901915228</v>
      </c>
    </row>
    <row r="56">
      <c r="A56" s="64" t="inlineStr">
        <is>
          <t xml:space="preserve">b₉</t>
        </is>
      </c>
      <c r="B56" s="72">
        <f>$J$13</f>
        <v>-0.541711272743112</v>
      </c>
      <c r="C56" s="79" t="inlineStr">
        <is>
          <t xml:space="preserve">+</t>
        </is>
      </c>
      <c r="D56" s="72">
        <f>INDEX('Ψ(r) Contribution &amp; Weight'!$B$26:$G$26,3)</f>
        <v>-0.2</v>
      </c>
      <c r="E56" s="79" t="inlineStr">
        <is>
          <t xml:space="preserve">=</t>
        </is>
      </c>
      <c r="F56" s="72">
        <f>SUM(B56,D56)</f>
        <v>-0.741711272743112</v>
      </c>
      <c r="G56" s="68">
        <f>Dataset!O11</f>
        <v>2</v>
      </c>
      <c r="H56" s="72">
        <f>IF(OR(G56=1,G56=2),F56+IF(G56=1,1,-1)*'Parameters'!$B$19*EXP(-F56)/(1+EXP(-F56)),"—")</f>
        <v>-0.944922258064279</v>
      </c>
      <c r="I56" s="102">
        <f>I55+IF(G56=1,H56,0)</f>
        <v>3.541187044352</v>
      </c>
      <c r="J56" s="102">
        <f>J55+IF(G56=2,H56,0)</f>
        <v>-4.54598743607528</v>
      </c>
      <c r="K56" s="102">
        <f>IF('Parameters'!$B$24=1,I56/'Parameters'!$B$6,SUMIF($G$48:$G$57,1,$H$48:$H$57)/'Parameters'!$B$6)</f>
        <v>0.885296761088</v>
      </c>
      <c r="L56" s="102">
        <f>IF('Parameters'!$B$24=1,J56/'Parameters'!$B$7,SUMIF($G$48:$G$57,2,$H$48:$H$57)/'Parameters'!$B$7)</f>
        <v>-0.757664572679214</v>
      </c>
      <c r="M56" s="72">
        <f>ABS(H56-IF(G56=1,K56,L56))</f>
        <v>0.187257685385065</v>
      </c>
      <c r="N56" s="72">
        <f>ABS(H56-IF(G56=1,L56,K56))</f>
        <v>1.83021901915228</v>
      </c>
    </row>
    <row r="57">
      <c r="A57" s="64" t="inlineStr">
        <is>
          <t xml:space="preserve">b₁₀</t>
        </is>
      </c>
      <c r="B57" s="72">
        <f>$J$14</f>
        <v>-0.541711272743112</v>
      </c>
      <c r="C57" s="79" t="inlineStr">
        <is>
          <t xml:space="preserve">+</t>
        </is>
      </c>
      <c r="D57" s="72">
        <f>INDEX('Ψ(r) Contribution &amp; Weight'!$B$27:$G$27,3)</f>
        <v>-0.2</v>
      </c>
      <c r="E57" s="79" t="inlineStr">
        <is>
          <t xml:space="preserve">=</t>
        </is>
      </c>
      <c r="F57" s="72">
        <f>SUM(B57,D57)</f>
        <v>-0.741711272743112</v>
      </c>
      <c r="G57" s="68">
        <f>Dataset!O12</f>
        <v>2</v>
      </c>
      <c r="H57" s="72">
        <f>IF(OR(G57=1,G57=2),F57+IF(G57=1,1,-1)*'Parameters'!$B$19*EXP(-F57)/(1+EXP(-F57)),"—")</f>
        <v>-0.944922258064279</v>
      </c>
      <c r="I57" s="102">
        <f>I56+IF(G57=1,H57,0)</f>
        <v>3.541187044352</v>
      </c>
      <c r="J57" s="102">
        <f>J56+IF(G57=2,H57,0)</f>
        <v>-5.49090969413956</v>
      </c>
      <c r="K57" s="102">
        <f>IF('Parameters'!$B$24=1,I57/'Parameters'!$B$6,SUMIF($G$48:$G$57,1,$H$48:$H$57)/'Parameters'!$B$6)</f>
        <v>0.885296761088</v>
      </c>
      <c r="L57" s="102">
        <f>IF('Parameters'!$B$24=1,J57/'Parameters'!$B$7,SUMIF($G$48:$G$57,2,$H$48:$H$57)/'Parameters'!$B$7)</f>
        <v>-0.915151615689927</v>
      </c>
      <c r="M57" s="72">
        <f>ABS(H57-IF(G57=1,K57,L57))</f>
        <v>0.029770642374352</v>
      </c>
      <c r="N57" s="72">
        <f>ABS(H57-IF(G57=1,L57,K57))</f>
        <v>1.83021901915228</v>
      </c>
    </row>
    <row r="58">
      <c r="K58" s="82" t="inlineStr">
        <is>
          <t xml:space="preserve">θ, γ  →</t>
        </is>
      </c>
      <c r="L58" s="82"/>
      <c r="M58" s="85">
        <f>SUM(M48:M57)</f>
        <v>4.57380918484828</v>
      </c>
      <c r="N58" s="85">
        <f>SUM(N48:N57)</f>
        <v>13.6707786601331</v>
      </c>
      <c r="O58" s="82" t="inlineStr">
        <is>
          <t xml:space="preserve">θ / γ</t>
        </is>
      </c>
      <c r="P58" s="92" t="str">
        <f>IF(D$14=1,M58/N58,"—")</f>
        <v>—</v>
      </c>
    </row>
    <row r="59"/>
    <row r="60">
      <c r="A60" s="59" t="str">
        <f>"Candidate a₄  ·  operator ρ_I  ·  k = "&amp;'Synthetic Features (k-NN)'!$C$18&amp;"   —   bₜ = R(Sₜ) + η₄(a_t₄)"</f>
        <v>Candidate a₄  ·  operator ρ_I  ·  k = 5   —   bₜ = R(Sₜ) + η₄(a_t₄)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84" t="str">
        <f>IF(E$14=1,"available",IF($D$4=1,"in TUPLAM — skipped","iteration not executed"))</f>
        <v>available</v>
      </c>
      <c r="P60" s="84"/>
    </row>
    <row r="61">
      <c r="A61" s="60" t="inlineStr">
        <is>
          <t xml:space="preserve">№</t>
        </is>
      </c>
      <c r="B61" s="60" t="inlineStr">
        <is>
          <t xml:space="preserve">R(Sₜ)</t>
        </is>
      </c>
      <c r="C61" s="60" t="inlineStr">
        <is>
          <t xml:space="preserve">+</t>
        </is>
      </c>
      <c r="D61" s="60" t="inlineStr">
        <is>
          <t xml:space="preserve">ηᵤ(a_tu)</t>
        </is>
      </c>
      <c r="E61" s="60" t="inlineStr">
        <is>
          <t xml:space="preserve">=</t>
        </is>
      </c>
      <c r="F61" s="60" t="inlineStr">
        <is>
          <t xml:space="preserve">bₜ</t>
        </is>
      </c>
      <c r="G61" s="60" t="inlineStr">
        <is>
          <t xml:space="preserve">Class</t>
        </is>
      </c>
      <c r="H61" s="60" t="inlineStr">
        <is>
          <t xml:space="preserve">bₜ (majorized)</t>
        </is>
      </c>
      <c r="I61" s="103" t="inlineStr">
        <is>
          <t xml:space="preserve">⚠1 Σ K1 (running)</t>
        </is>
      </c>
      <c r="J61" s="103" t="inlineStr">
        <is>
          <t xml:space="preserve">⚠1 Σ K2 (running)</t>
        </is>
      </c>
      <c r="K61" s="103" t="inlineStr">
        <is>
          <t xml:space="preserve">⚠1 M₁ used</t>
        </is>
      </c>
      <c r="L61" s="103" t="inlineStr">
        <is>
          <t xml:space="preserve">⚠1 M₂ used</t>
        </is>
      </c>
      <c r="M61" s="60" t="inlineStr">
        <is>
          <t xml:space="preserve">|b − M own|</t>
        </is>
      </c>
      <c r="N61" s="60" t="inlineStr">
        <is>
          <t xml:space="preserve">|b − M other|</t>
        </is>
      </c>
    </row>
    <row r="62">
      <c r="A62" s="64" t="inlineStr">
        <is>
          <t xml:space="preserve">b₁</t>
        </is>
      </c>
      <c r="B62" s="72">
        <f>$J$5</f>
        <v>-0.00853863373958766</v>
      </c>
      <c r="C62" s="79" t="inlineStr">
        <is>
          <t xml:space="preserve">+</t>
        </is>
      </c>
      <c r="D62" s="72">
        <f>INDEX('Ψ(r) Contribution &amp; Weight'!$B$18:$G$18,4)</f>
        <v>0.15</v>
      </c>
      <c r="E62" s="79" t="inlineStr">
        <is>
          <t xml:space="preserve">=</t>
        </is>
      </c>
      <c r="F62" s="72">
        <f>SUM(B62,D62)</f>
        <v>0.141461366260412</v>
      </c>
      <c r="G62" s="68">
        <f>Dataset!O3</f>
        <v>2</v>
      </c>
      <c r="H62" s="72">
        <f>IF(OR(G62=1,G62=2),F62+IF(G62=1,1,-1)*'Parameters'!$B$19*EXP(-F62)/(1+EXP(-F62)),"—")</f>
        <v>0.0020533113862404</v>
      </c>
      <c r="I62" s="102">
        <f>IF(G62=1,H62,0)</f>
        <v>0</v>
      </c>
      <c r="J62" s="102">
        <f>IF(G62=2,H62,0)</f>
        <v>0.0020533113862404</v>
      </c>
      <c r="K62" s="102">
        <f>IF('Parameters'!$B$24=1,I62/'Parameters'!$B$6,SUMIF($G$62:$G$71,1,$H$62:$H$71)/'Parameters'!$B$6)</f>
        <v>0</v>
      </c>
      <c r="L62" s="102">
        <f>IF('Parameters'!$B$24=1,J62/'Parameters'!$B$7,SUMIF($G$62:$G$71,2,$H$62:$H$71)/'Parameters'!$B$7)</f>
        <v>0.000342218564373401</v>
      </c>
      <c r="M62" s="72">
        <f>ABS(H62-IF(G62=1,K62,L62))</f>
        <v>0.001711092821867</v>
      </c>
      <c r="N62" s="72">
        <f>ABS(H62-IF(G62=1,L62,K62))</f>
        <v>0.0020533113862404</v>
      </c>
    </row>
    <row r="63">
      <c r="A63" s="64" t="inlineStr">
        <is>
          <t xml:space="preserve">b₂</t>
        </is>
      </c>
      <c r="B63" s="72">
        <f>$J$6</f>
        <v>0.641058270440647</v>
      </c>
      <c r="C63" s="79" t="inlineStr">
        <is>
          <t xml:space="preserve">+</t>
        </is>
      </c>
      <c r="D63" s="72">
        <f>INDEX('Ψ(r) Contribution &amp; Weight'!$B$19:$G$19,4)</f>
        <v>0.15</v>
      </c>
      <c r="E63" s="79" t="inlineStr">
        <is>
          <t xml:space="preserve">=</t>
        </is>
      </c>
      <c r="F63" s="72">
        <f>SUM(B63,D63)</f>
        <v>0.791058270440647</v>
      </c>
      <c r="G63" s="68">
        <f>Dataset!O4</f>
        <v>1</v>
      </c>
      <c r="H63" s="72">
        <f>IF(OR(G63=1,G63=2),F63+IF(G63=1,1,-1)*'Parameters'!$B$19*EXP(-F63)/(1+EXP(-F63)),"—")</f>
        <v>0.884640715464478</v>
      </c>
      <c r="I63" s="102">
        <f>I62+IF(G63=1,H63,0)</f>
        <v>0.884640715464478</v>
      </c>
      <c r="J63" s="102">
        <f>J62+IF(G63=2,H63,0)</f>
        <v>0.0020533113862404</v>
      </c>
      <c r="K63" s="102">
        <f>IF('Parameters'!$B$24=1,I63/'Parameters'!$B$6,SUMIF($G$62:$G$71,1,$H$62:$H$71)/'Parameters'!$B$6)</f>
        <v>0.22116017886612</v>
      </c>
      <c r="L63" s="102">
        <f>IF('Parameters'!$B$24=1,J63/'Parameters'!$B$7,SUMIF($G$62:$G$71,2,$H$62:$H$71)/'Parameters'!$B$7)</f>
        <v>0.000342218564373401</v>
      </c>
      <c r="M63" s="72">
        <f>ABS(H63-IF(G63=1,K63,L63))</f>
        <v>0.663480536598359</v>
      </c>
      <c r="N63" s="72">
        <f>ABS(H63-IF(G63=1,L63,K63))</f>
        <v>0.884298496900105</v>
      </c>
    </row>
    <row r="64">
      <c r="A64" s="64" t="inlineStr">
        <is>
          <t xml:space="preserve">b₃</t>
        </is>
      </c>
      <c r="B64" s="72">
        <f>$J$7</f>
        <v>-1.32080100458638</v>
      </c>
      <c r="C64" s="79" t="inlineStr">
        <is>
          <t xml:space="preserve">+</t>
        </is>
      </c>
      <c r="D64" s="72">
        <f>INDEX('Ψ(r) Contribution &amp; Weight'!$B$20:$G$20,4)</f>
        <v>-0.15</v>
      </c>
      <c r="E64" s="79" t="inlineStr">
        <is>
          <t xml:space="preserve">=</t>
        </is>
      </c>
      <c r="F64" s="72">
        <f>SUM(B64,D64)</f>
        <v>-1.47080100458638</v>
      </c>
      <c r="G64" s="68">
        <f>Dataset!O5</f>
        <v>2</v>
      </c>
      <c r="H64" s="72">
        <f>IF(OR(G64=1,G64=2),F64+IF(G64=1,1,-1)*'Parameters'!$B$19*EXP(-F64)/(1+EXP(-F64)),"—")</f>
        <v>-1.71475473586256</v>
      </c>
      <c r="I64" s="102">
        <f>I63+IF(G64=1,H64,0)</f>
        <v>0.884640715464478</v>
      </c>
      <c r="J64" s="102">
        <f>J63+IF(G64=2,H64,0)</f>
        <v>-1.71270142447632</v>
      </c>
      <c r="K64" s="102">
        <f>IF('Parameters'!$B$24=1,I64/'Parameters'!$B$6,SUMIF($G$62:$G$71,1,$H$62:$H$71)/'Parameters'!$B$6)</f>
        <v>0.22116017886612</v>
      </c>
      <c r="L64" s="102">
        <f>IF('Parameters'!$B$24=1,J64/'Parameters'!$B$7,SUMIF($G$62:$G$71,2,$H$62:$H$71)/'Parameters'!$B$7)</f>
        <v>-0.285450237412721</v>
      </c>
      <c r="M64" s="72">
        <f>ABS(H64-IF(G64=1,K64,L64))</f>
        <v>1.42930449844984</v>
      </c>
      <c r="N64" s="72">
        <f>ABS(H64-IF(G64=1,L64,K64))</f>
        <v>1.93591491472868</v>
      </c>
    </row>
    <row r="65">
      <c r="A65" s="64" t="inlineStr">
        <is>
          <t xml:space="preserve">b₄</t>
        </is>
      </c>
      <c r="B65" s="72">
        <f>$J$8</f>
        <v>0.939357074977029</v>
      </c>
      <c r="C65" s="79" t="inlineStr">
        <is>
          <t xml:space="preserve">+</t>
        </is>
      </c>
      <c r="D65" s="72">
        <f>INDEX('Ψ(r) Contribution &amp; Weight'!$B$21:$G$21,4)</f>
        <v>0.15</v>
      </c>
      <c r="E65" s="79" t="inlineStr">
        <is>
          <t xml:space="preserve">=</t>
        </is>
      </c>
      <c r="F65" s="72">
        <f>SUM(B65,D65)</f>
        <v>1.08935707497703</v>
      </c>
      <c r="G65" s="68">
        <f>Dataset!O6</f>
        <v>1</v>
      </c>
      <c r="H65" s="72">
        <f>IF(OR(G65=1,G65=2),F65+IF(G65=1,1,-1)*'Parameters'!$B$19*EXP(-F65)/(1+EXP(-F65)),"—")</f>
        <v>1.16487888438675</v>
      </c>
      <c r="I65" s="102">
        <f>I64+IF(G65=1,H65,0)</f>
        <v>2.04951959985123</v>
      </c>
      <c r="J65" s="102">
        <f>J64+IF(G65=2,H65,0)</f>
        <v>-1.71270142447632</v>
      </c>
      <c r="K65" s="102">
        <f>IF('Parameters'!$B$24=1,I65/'Parameters'!$B$6,SUMIF($G$62:$G$71,1,$H$62:$H$71)/'Parameters'!$B$6)</f>
        <v>0.512379899962807</v>
      </c>
      <c r="L65" s="102">
        <f>IF('Parameters'!$B$24=1,J65/'Parameters'!$B$7,SUMIF($G$62:$G$71,2,$H$62:$H$71)/'Parameters'!$B$7)</f>
        <v>-0.285450237412721</v>
      </c>
      <c r="M65" s="72">
        <f>ABS(H65-IF(G65=1,K65,L65))</f>
        <v>0.652498984423944</v>
      </c>
      <c r="N65" s="72">
        <f>ABS(H65-IF(G65=1,L65,K65))</f>
        <v>1.45032912179947</v>
      </c>
    </row>
    <row r="66">
      <c r="A66" s="64" t="inlineStr">
        <is>
          <t xml:space="preserve">b₅</t>
        </is>
      </c>
      <c r="B66" s="72">
        <f>$J$9</f>
        <v>0.939357074977029</v>
      </c>
      <c r="C66" s="79" t="inlineStr">
        <is>
          <t xml:space="preserve">+</t>
        </is>
      </c>
      <c r="D66" s="72">
        <f>INDEX('Ψ(r) Contribution &amp; Weight'!$B$22:$G$22,4)</f>
        <v>0.15</v>
      </c>
      <c r="E66" s="79" t="inlineStr">
        <is>
          <t xml:space="preserve">=</t>
        </is>
      </c>
      <c r="F66" s="72">
        <f>SUM(B66,D66)</f>
        <v>1.08935707497703</v>
      </c>
      <c r="G66" s="68">
        <f>Dataset!O7</f>
        <v>1</v>
      </c>
      <c r="H66" s="72">
        <f>IF(OR(G66=1,G66=2),F66+IF(G66=1,1,-1)*'Parameters'!$B$19*EXP(-F66)/(1+EXP(-F66)),"—")</f>
        <v>1.16487888438675</v>
      </c>
      <c r="I66" s="102">
        <f>I65+IF(G66=1,H66,0)</f>
        <v>3.21439848423798</v>
      </c>
      <c r="J66" s="102">
        <f>J65+IF(G66=2,H66,0)</f>
        <v>-1.71270142447632</v>
      </c>
      <c r="K66" s="102">
        <f>IF('Parameters'!$B$24=1,I66/'Parameters'!$B$6,SUMIF($G$62:$G$71,1,$H$62:$H$71)/'Parameters'!$B$6)</f>
        <v>0.803599621059495</v>
      </c>
      <c r="L66" s="102">
        <f>IF('Parameters'!$B$24=1,J66/'Parameters'!$B$7,SUMIF($G$62:$G$71,2,$H$62:$H$71)/'Parameters'!$B$7)</f>
        <v>-0.285450237412721</v>
      </c>
      <c r="M66" s="72">
        <f>ABS(H66-IF(G66=1,K66,L66))</f>
        <v>0.361279263327256</v>
      </c>
      <c r="N66" s="72">
        <f>ABS(H66-IF(G66=1,L66,K66))</f>
        <v>1.45032912179947</v>
      </c>
    </row>
    <row r="67">
      <c r="A67" s="64" t="inlineStr">
        <is>
          <t xml:space="preserve">b₆</t>
        </is>
      </c>
      <c r="B67" s="72">
        <f>$J$10</f>
        <v>0.641058270440647</v>
      </c>
      <c r="C67" s="79" t="inlineStr">
        <is>
          <t xml:space="preserve">+</t>
        </is>
      </c>
      <c r="D67" s="72">
        <f>INDEX('Ψ(r) Contribution &amp; Weight'!$B$23:$G$23,4)</f>
        <v>0.15</v>
      </c>
      <c r="E67" s="79" t="inlineStr">
        <is>
          <t xml:space="preserve">=</t>
        </is>
      </c>
      <c r="F67" s="72">
        <f>SUM(B67,D67)</f>
        <v>0.791058270440647</v>
      </c>
      <c r="G67" s="68">
        <f>Dataset!O8</f>
        <v>1</v>
      </c>
      <c r="H67" s="72">
        <f>IF(OR(G67=1,G67=2),F67+IF(G67=1,1,-1)*'Parameters'!$B$19*EXP(-F67)/(1+EXP(-F67)),"—")</f>
        <v>0.884640715464478</v>
      </c>
      <c r="I67" s="102">
        <f>I66+IF(G67=1,H67,0)</f>
        <v>4.09903919970246</v>
      </c>
      <c r="J67" s="102">
        <f>J66+IF(G67=2,H67,0)</f>
        <v>-1.71270142447632</v>
      </c>
      <c r="K67" s="102">
        <f>IF('Parameters'!$B$24=1,I67/'Parameters'!$B$6,SUMIF($G$62:$G$71,1,$H$62:$H$71)/'Parameters'!$B$6)</f>
        <v>1.02475979992561</v>
      </c>
      <c r="L67" s="102">
        <f>IF('Parameters'!$B$24=1,J67/'Parameters'!$B$7,SUMIF($G$62:$G$71,2,$H$62:$H$71)/'Parameters'!$B$7)</f>
        <v>-0.285450237412721</v>
      </c>
      <c r="M67" s="72">
        <f>ABS(H67-IF(G67=1,K67,L67))</f>
        <v>0.140119084461136</v>
      </c>
      <c r="N67" s="72">
        <f>ABS(H67-IF(G67=1,L67,K67))</f>
        <v>1.1700909528772</v>
      </c>
    </row>
    <row r="68">
      <c r="A68" s="64" t="inlineStr">
        <is>
          <t xml:space="preserve">b₇</t>
        </is>
      </c>
      <c r="B68" s="72">
        <f>$J$11</f>
        <v>-0.541711272743112</v>
      </c>
      <c r="C68" s="79" t="inlineStr">
        <is>
          <t xml:space="preserve">+</t>
        </is>
      </c>
      <c r="D68" s="72">
        <f>INDEX('Ψ(r) Contribution &amp; Weight'!$B$24:$G$24,4)</f>
        <v>0.15</v>
      </c>
      <c r="E68" s="79" t="inlineStr">
        <is>
          <t xml:space="preserve">=</t>
        </is>
      </c>
      <c r="F68" s="72">
        <f>SUM(B68,D68)</f>
        <v>-0.391711272743112</v>
      </c>
      <c r="G68" s="68">
        <f>Dataset!O9</f>
        <v>2</v>
      </c>
      <c r="H68" s="72">
        <f>IF(OR(G68=1,G68=2),F68+IF(G68=1,1,-1)*'Parameters'!$B$19*EXP(-F68)/(1+EXP(-F68)),"—")</f>
        <v>-0.570719648364901</v>
      </c>
      <c r="I68" s="102">
        <f>I67+IF(G68=1,H68,0)</f>
        <v>4.09903919970246</v>
      </c>
      <c r="J68" s="102">
        <f>J67+IF(G68=2,H68,0)</f>
        <v>-2.28342107284123</v>
      </c>
      <c r="K68" s="102">
        <f>IF('Parameters'!$B$24=1,I68/'Parameters'!$B$6,SUMIF($G$62:$G$71,1,$H$62:$H$71)/'Parameters'!$B$6)</f>
        <v>1.02475979992561</v>
      </c>
      <c r="L68" s="102">
        <f>IF('Parameters'!$B$24=1,J68/'Parameters'!$B$7,SUMIF($G$62:$G$71,2,$H$62:$H$71)/'Parameters'!$B$7)</f>
        <v>-0.380570178806871</v>
      </c>
      <c r="M68" s="72">
        <f>ABS(H68-IF(G68=1,K68,L68))</f>
        <v>0.19014946955803</v>
      </c>
      <c r="N68" s="72">
        <f>ABS(H68-IF(G68=1,L68,K68))</f>
        <v>1.59547944829052</v>
      </c>
    </row>
    <row r="69">
      <c r="A69" s="64" t="inlineStr">
        <is>
          <t xml:space="preserve">b₈</t>
        </is>
      </c>
      <c r="B69" s="72">
        <f>$J$12</f>
        <v>-0.541711272743112</v>
      </c>
      <c r="C69" s="79" t="inlineStr">
        <is>
          <t xml:space="preserve">+</t>
        </is>
      </c>
      <c r="D69" s="72">
        <f>INDEX('Ψ(r) Contribution &amp; Weight'!$B$25:$G$25,4)</f>
        <v>0.15</v>
      </c>
      <c r="E69" s="79" t="inlineStr">
        <is>
          <t xml:space="preserve">=</t>
        </is>
      </c>
      <c r="F69" s="72">
        <f>SUM(B69,D69)</f>
        <v>-0.391711272743112</v>
      </c>
      <c r="G69" s="68">
        <f>Dataset!O10</f>
        <v>2</v>
      </c>
      <c r="H69" s="72">
        <f>IF(OR(G69=1,G69=2),F69+IF(G69=1,1,-1)*'Parameters'!$B$19*EXP(-F69)/(1+EXP(-F69)),"—")</f>
        <v>-0.570719648364901</v>
      </c>
      <c r="I69" s="102">
        <f>I68+IF(G69=1,H69,0)</f>
        <v>4.09903919970246</v>
      </c>
      <c r="J69" s="102">
        <f>J68+IF(G69=2,H69,0)</f>
        <v>-2.85414072120613</v>
      </c>
      <c r="K69" s="102">
        <f>IF('Parameters'!$B$24=1,I69/'Parameters'!$B$6,SUMIF($G$62:$G$71,1,$H$62:$H$71)/'Parameters'!$B$6)</f>
        <v>1.02475979992561</v>
      </c>
      <c r="L69" s="102">
        <f>IF('Parameters'!$B$24=1,J69/'Parameters'!$B$7,SUMIF($G$62:$G$71,2,$H$62:$H$71)/'Parameters'!$B$7)</f>
        <v>-0.475690120201021</v>
      </c>
      <c r="M69" s="72">
        <f>ABS(H69-IF(G69=1,K69,L69))</f>
        <v>0.0950295281638798</v>
      </c>
      <c r="N69" s="72">
        <f>ABS(H69-IF(G69=1,L69,K69))</f>
        <v>1.59547944829052</v>
      </c>
    </row>
    <row r="70">
      <c r="A70" s="64" t="inlineStr">
        <is>
          <t xml:space="preserve">b₉</t>
        </is>
      </c>
      <c r="B70" s="72">
        <f>$J$13</f>
        <v>-0.541711272743112</v>
      </c>
      <c r="C70" s="79" t="inlineStr">
        <is>
          <t xml:space="preserve">+</t>
        </is>
      </c>
      <c r="D70" s="72">
        <f>INDEX('Ψ(r) Contribution &amp; Weight'!$B$26:$G$26,4)</f>
        <v>0.15</v>
      </c>
      <c r="E70" s="79" t="inlineStr">
        <is>
          <t xml:space="preserve">=</t>
        </is>
      </c>
      <c r="F70" s="72">
        <f>SUM(B70,D70)</f>
        <v>-0.391711272743112</v>
      </c>
      <c r="G70" s="68">
        <f>Dataset!O11</f>
        <v>2</v>
      </c>
      <c r="H70" s="72">
        <f>IF(OR(G70=1,G70=2),F70+IF(G70=1,1,-1)*'Parameters'!$B$19*EXP(-F70)/(1+EXP(-F70)),"—")</f>
        <v>-0.570719648364901</v>
      </c>
      <c r="I70" s="102">
        <f>I69+IF(G70=1,H70,0)</f>
        <v>4.09903919970246</v>
      </c>
      <c r="J70" s="102">
        <f>J69+IF(G70=2,H70,0)</f>
        <v>-3.42486036957103</v>
      </c>
      <c r="K70" s="102">
        <f>IF('Parameters'!$B$24=1,I70/'Parameters'!$B$6,SUMIF($G$62:$G$71,1,$H$62:$H$71)/'Parameters'!$B$6)</f>
        <v>1.02475979992561</v>
      </c>
      <c r="L70" s="102">
        <f>IF('Parameters'!$B$24=1,J70/'Parameters'!$B$7,SUMIF($G$62:$G$71,2,$H$62:$H$71)/'Parameters'!$B$7)</f>
        <v>-0.570810061595171</v>
      </c>
      <c r="M70" s="72">
        <f>ABS(H70-IF(G70=1,K70,L70))</f>
        <v>9.04132302702587e-05</v>
      </c>
      <c r="N70" s="72">
        <f>ABS(H70-IF(G70=1,L70,K70))</f>
        <v>1.59547944829052</v>
      </c>
    </row>
    <row r="71">
      <c r="A71" s="64" t="inlineStr">
        <is>
          <t xml:space="preserve">b₁₀</t>
        </is>
      </c>
      <c r="B71" s="72">
        <f>$J$14</f>
        <v>-0.541711272743112</v>
      </c>
      <c r="C71" s="79" t="inlineStr">
        <is>
          <t xml:space="preserve">+</t>
        </is>
      </c>
      <c r="D71" s="72">
        <f>INDEX('Ψ(r) Contribution &amp; Weight'!$B$27:$G$27,4)</f>
        <v>0.15</v>
      </c>
      <c r="E71" s="79" t="inlineStr">
        <is>
          <t xml:space="preserve">=</t>
        </is>
      </c>
      <c r="F71" s="72">
        <f>SUM(B71,D71)</f>
        <v>-0.391711272743112</v>
      </c>
      <c r="G71" s="68">
        <f>Dataset!O12</f>
        <v>2</v>
      </c>
      <c r="H71" s="72">
        <f>IF(OR(G71=1,G71=2),F71+IF(G71=1,1,-1)*'Parameters'!$B$19*EXP(-F71)/(1+EXP(-F71)),"—")</f>
        <v>-0.570719648364901</v>
      </c>
      <c r="I71" s="102">
        <f>I70+IF(G71=1,H71,0)</f>
        <v>4.09903919970246</v>
      </c>
      <c r="J71" s="102">
        <f>J70+IF(G71=2,H71,0)</f>
        <v>-3.99558001793593</v>
      </c>
      <c r="K71" s="102">
        <f>IF('Parameters'!$B$24=1,I71/'Parameters'!$B$6,SUMIF($G$62:$G$71,1,$H$62:$H$71)/'Parameters'!$B$6)</f>
        <v>1.02475979992561</v>
      </c>
      <c r="L71" s="102">
        <f>IF('Parameters'!$B$24=1,J71/'Parameters'!$B$7,SUMIF($G$62:$G$71,2,$H$62:$H$71)/'Parameters'!$B$7)</f>
        <v>-0.665930002989321</v>
      </c>
      <c r="M71" s="72">
        <f>ABS(H71-IF(G71=1,K71,L71))</f>
        <v>0.0952103546244204</v>
      </c>
      <c r="N71" s="72">
        <f>ABS(H71-IF(G71=1,L71,K71))</f>
        <v>1.59547944829052</v>
      </c>
    </row>
    <row r="72">
      <c r="K72" s="82" t="inlineStr">
        <is>
          <t xml:space="preserve">θ, γ  →</t>
        </is>
      </c>
      <c r="L72" s="82"/>
      <c r="M72" s="85">
        <f>SUM(M62:M71)</f>
        <v>3.62887322565901</v>
      </c>
      <c r="N72" s="85">
        <f>SUM(N62:N71)</f>
        <v>13.2749337126532</v>
      </c>
      <c r="O72" s="82" t="inlineStr">
        <is>
          <t xml:space="preserve">θ / γ</t>
        </is>
      </c>
      <c r="P72" s="92">
        <f>IF(E$14=1,M72/N72,"—")</f>
        <v>0.27336281326965</v>
      </c>
    </row>
    <row r="73"/>
    <row r="74">
      <c r="A74" s="59" t="str">
        <f>"Candidate a₅  ·  operator ρ_J  ·  k = "&amp;'Synthetic Features (k-NN)'!$B$32&amp;"   —   bₜ = R(Sₜ) + η₅(a_t₅)"</f>
        <v>Candidate a₅  ·  operator ρ_J  ·  k = 3   —   bₜ = R(Sₜ) + η₅(a_t₅)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84" t="str">
        <f>IF(F$14=1,"available",IF($D$4=1,"in TUPLAM — skipped","iteration not executed"))</f>
        <v>available</v>
      </c>
      <c r="P74" s="84"/>
    </row>
    <row r="75">
      <c r="A75" s="60" t="inlineStr">
        <is>
          <t xml:space="preserve">№</t>
        </is>
      </c>
      <c r="B75" s="60" t="inlineStr">
        <is>
          <t xml:space="preserve">R(Sₜ)</t>
        </is>
      </c>
      <c r="C75" s="60" t="inlineStr">
        <is>
          <t xml:space="preserve">+</t>
        </is>
      </c>
      <c r="D75" s="60" t="inlineStr">
        <is>
          <t xml:space="preserve">ηᵤ(a_tu)</t>
        </is>
      </c>
      <c r="E75" s="60" t="inlineStr">
        <is>
          <t xml:space="preserve">=</t>
        </is>
      </c>
      <c r="F75" s="60" t="inlineStr">
        <is>
          <t xml:space="preserve">bₜ</t>
        </is>
      </c>
      <c r="G75" s="60" t="inlineStr">
        <is>
          <t xml:space="preserve">Class</t>
        </is>
      </c>
      <c r="H75" s="60" t="inlineStr">
        <is>
          <t xml:space="preserve">bₜ (majorized)</t>
        </is>
      </c>
      <c r="I75" s="103" t="inlineStr">
        <is>
          <t xml:space="preserve">⚠1 Σ K1 (running)</t>
        </is>
      </c>
      <c r="J75" s="103" t="inlineStr">
        <is>
          <t xml:space="preserve">⚠1 Σ K2 (running)</t>
        </is>
      </c>
      <c r="K75" s="103" t="inlineStr">
        <is>
          <t xml:space="preserve">⚠1 M₁ used</t>
        </is>
      </c>
      <c r="L75" s="103" t="inlineStr">
        <is>
          <t xml:space="preserve">⚠1 M₂ used</t>
        </is>
      </c>
      <c r="M75" s="60" t="inlineStr">
        <is>
          <t xml:space="preserve">|b − M own|</t>
        </is>
      </c>
      <c r="N75" s="60" t="inlineStr">
        <is>
          <t xml:space="preserve">|b − M other|</t>
        </is>
      </c>
    </row>
    <row r="76">
      <c r="A76" s="64" t="inlineStr">
        <is>
          <t xml:space="preserve">b₁</t>
        </is>
      </c>
      <c r="B76" s="72">
        <f>$J$5</f>
        <v>-0.00853863373958766</v>
      </c>
      <c r="C76" s="79" t="inlineStr">
        <is>
          <t xml:space="preserve">+</t>
        </is>
      </c>
      <c r="D76" s="72">
        <f>INDEX('Ψ(r) Contribution &amp; Weight'!$B$18:$G$18,5)</f>
        <v>0.15</v>
      </c>
      <c r="E76" s="79" t="inlineStr">
        <is>
          <t xml:space="preserve">=</t>
        </is>
      </c>
      <c r="F76" s="72">
        <f>SUM(B76,D76)</f>
        <v>0.141461366260412</v>
      </c>
      <c r="G76" s="68">
        <f>Dataset!O3</f>
        <v>2</v>
      </c>
      <c r="H76" s="72">
        <f>IF(OR(G76=1,G76=2),F76+IF(G76=1,1,-1)*'Parameters'!$B$19*EXP(-F76)/(1+EXP(-F76)),"—")</f>
        <v>0.0020533113862404</v>
      </c>
      <c r="I76" s="102">
        <f>IF(G76=1,H76,0)</f>
        <v>0</v>
      </c>
      <c r="J76" s="102">
        <f>IF(G76=2,H76,0)</f>
        <v>0.0020533113862404</v>
      </c>
      <c r="K76" s="102">
        <f>IF('Parameters'!$B$24=1,I76/'Parameters'!$B$6,SUMIF($G$76:$G$85,1,$H$76:$H$85)/'Parameters'!$B$6)</f>
        <v>0</v>
      </c>
      <c r="L76" s="102">
        <f>IF('Parameters'!$B$24=1,J76/'Parameters'!$B$7,SUMIF($G$76:$G$85,2,$H$76:$H$85)/'Parameters'!$B$7)</f>
        <v>0.000342218564373401</v>
      </c>
      <c r="M76" s="72">
        <f>ABS(H76-IF(G76=1,K76,L76))</f>
        <v>0.001711092821867</v>
      </c>
      <c r="N76" s="72">
        <f>ABS(H76-IF(G76=1,L76,K76))</f>
        <v>0.0020533113862404</v>
      </c>
    </row>
    <row r="77">
      <c r="A77" s="64" t="inlineStr">
        <is>
          <t xml:space="preserve">b₂</t>
        </is>
      </c>
      <c r="B77" s="72">
        <f>$J$6</f>
        <v>0.641058270440647</v>
      </c>
      <c r="C77" s="79" t="inlineStr">
        <is>
          <t xml:space="preserve">+</t>
        </is>
      </c>
      <c r="D77" s="72">
        <f>INDEX('Ψ(r) Contribution &amp; Weight'!$B$19:$G$19,5)</f>
        <v>0.15</v>
      </c>
      <c r="E77" s="79" t="inlineStr">
        <is>
          <t xml:space="preserve">=</t>
        </is>
      </c>
      <c r="F77" s="72">
        <f>SUM(B77,D77)</f>
        <v>0.791058270440647</v>
      </c>
      <c r="G77" s="68">
        <f>Dataset!O4</f>
        <v>1</v>
      </c>
      <c r="H77" s="72">
        <f>IF(OR(G77=1,G77=2),F77+IF(G77=1,1,-1)*'Parameters'!$B$19*EXP(-F77)/(1+EXP(-F77)),"—")</f>
        <v>0.884640715464478</v>
      </c>
      <c r="I77" s="102">
        <f>I76+IF(G77=1,H77,0)</f>
        <v>0.884640715464478</v>
      </c>
      <c r="J77" s="102">
        <f>J76+IF(G77=2,H77,0)</f>
        <v>0.0020533113862404</v>
      </c>
      <c r="K77" s="102">
        <f>IF('Parameters'!$B$24=1,I77/'Parameters'!$B$6,SUMIF($G$76:$G$85,1,$H$76:$H$85)/'Parameters'!$B$6)</f>
        <v>0.22116017886612</v>
      </c>
      <c r="L77" s="102">
        <f>IF('Parameters'!$B$24=1,J77/'Parameters'!$B$7,SUMIF($G$76:$G$85,2,$H$76:$H$85)/'Parameters'!$B$7)</f>
        <v>0.000342218564373401</v>
      </c>
      <c r="M77" s="72">
        <f>ABS(H77-IF(G77=1,K77,L77))</f>
        <v>0.663480536598359</v>
      </c>
      <c r="N77" s="72">
        <f>ABS(H77-IF(G77=1,L77,K77))</f>
        <v>0.884298496900105</v>
      </c>
    </row>
    <row r="78">
      <c r="A78" s="64" t="inlineStr">
        <is>
          <t xml:space="preserve">b₃</t>
        </is>
      </c>
      <c r="B78" s="72">
        <f>$J$7</f>
        <v>-1.32080100458638</v>
      </c>
      <c r="C78" s="79" t="inlineStr">
        <is>
          <t xml:space="preserve">+</t>
        </is>
      </c>
      <c r="D78" s="72">
        <f>INDEX('Ψ(r) Contribution &amp; Weight'!$B$20:$G$20,5)</f>
        <v>-0.15</v>
      </c>
      <c r="E78" s="79" t="inlineStr">
        <is>
          <t xml:space="preserve">=</t>
        </is>
      </c>
      <c r="F78" s="72">
        <f>SUM(B78,D78)</f>
        <v>-1.47080100458638</v>
      </c>
      <c r="G78" s="68">
        <f>Dataset!O5</f>
        <v>2</v>
      </c>
      <c r="H78" s="72">
        <f>IF(OR(G78=1,G78=2),F78+IF(G78=1,1,-1)*'Parameters'!$B$19*EXP(-F78)/(1+EXP(-F78)),"—")</f>
        <v>-1.71475473586256</v>
      </c>
      <c r="I78" s="102">
        <f>I77+IF(G78=1,H78,0)</f>
        <v>0.884640715464478</v>
      </c>
      <c r="J78" s="102">
        <f>J77+IF(G78=2,H78,0)</f>
        <v>-1.71270142447632</v>
      </c>
      <c r="K78" s="102">
        <f>IF('Parameters'!$B$24=1,I78/'Parameters'!$B$6,SUMIF($G$76:$G$85,1,$H$76:$H$85)/'Parameters'!$B$6)</f>
        <v>0.22116017886612</v>
      </c>
      <c r="L78" s="102">
        <f>IF('Parameters'!$B$24=1,J78/'Parameters'!$B$7,SUMIF($G$76:$G$85,2,$H$76:$H$85)/'Parameters'!$B$7)</f>
        <v>-0.285450237412721</v>
      </c>
      <c r="M78" s="72">
        <f>ABS(H78-IF(G78=1,K78,L78))</f>
        <v>1.42930449844984</v>
      </c>
      <c r="N78" s="72">
        <f>ABS(H78-IF(G78=1,L78,K78))</f>
        <v>1.93591491472868</v>
      </c>
    </row>
    <row r="79">
      <c r="A79" s="64" t="inlineStr">
        <is>
          <t xml:space="preserve">b₄</t>
        </is>
      </c>
      <c r="B79" s="72">
        <f>$J$8</f>
        <v>0.939357074977029</v>
      </c>
      <c r="C79" s="79" t="inlineStr">
        <is>
          <t xml:space="preserve">+</t>
        </is>
      </c>
      <c r="D79" s="72">
        <f>INDEX('Ψ(r) Contribution &amp; Weight'!$B$21:$G$21,5)</f>
        <v>0.15</v>
      </c>
      <c r="E79" s="79" t="inlineStr">
        <is>
          <t xml:space="preserve">=</t>
        </is>
      </c>
      <c r="F79" s="72">
        <f>SUM(B79,D79)</f>
        <v>1.08935707497703</v>
      </c>
      <c r="G79" s="68">
        <f>Dataset!O6</f>
        <v>1</v>
      </c>
      <c r="H79" s="72">
        <f>IF(OR(G79=1,G79=2),F79+IF(G79=1,1,-1)*'Parameters'!$B$19*EXP(-F79)/(1+EXP(-F79)),"—")</f>
        <v>1.16487888438675</v>
      </c>
      <c r="I79" s="102">
        <f>I78+IF(G79=1,H79,0)</f>
        <v>2.04951959985123</v>
      </c>
      <c r="J79" s="102">
        <f>J78+IF(G79=2,H79,0)</f>
        <v>-1.71270142447632</v>
      </c>
      <c r="K79" s="102">
        <f>IF('Parameters'!$B$24=1,I79/'Parameters'!$B$6,SUMIF($G$76:$G$85,1,$H$76:$H$85)/'Parameters'!$B$6)</f>
        <v>0.512379899962807</v>
      </c>
      <c r="L79" s="102">
        <f>IF('Parameters'!$B$24=1,J79/'Parameters'!$B$7,SUMIF($G$76:$G$85,2,$H$76:$H$85)/'Parameters'!$B$7)</f>
        <v>-0.285450237412721</v>
      </c>
      <c r="M79" s="72">
        <f>ABS(H79-IF(G79=1,K79,L79))</f>
        <v>0.652498984423944</v>
      </c>
      <c r="N79" s="72">
        <f>ABS(H79-IF(G79=1,L79,K79))</f>
        <v>1.45032912179947</v>
      </c>
    </row>
    <row r="80">
      <c r="A80" s="64" t="inlineStr">
        <is>
          <t xml:space="preserve">b₅</t>
        </is>
      </c>
      <c r="B80" s="72">
        <f>$J$9</f>
        <v>0.939357074977029</v>
      </c>
      <c r="C80" s="79" t="inlineStr">
        <is>
          <t xml:space="preserve">+</t>
        </is>
      </c>
      <c r="D80" s="72">
        <f>INDEX('Ψ(r) Contribution &amp; Weight'!$B$22:$G$22,5)</f>
        <v>0.15</v>
      </c>
      <c r="E80" s="79" t="inlineStr">
        <is>
          <t xml:space="preserve">=</t>
        </is>
      </c>
      <c r="F80" s="72">
        <f>SUM(B80,D80)</f>
        <v>1.08935707497703</v>
      </c>
      <c r="G80" s="68">
        <f>Dataset!O7</f>
        <v>1</v>
      </c>
      <c r="H80" s="72">
        <f>IF(OR(G80=1,G80=2),F80+IF(G80=1,1,-1)*'Parameters'!$B$19*EXP(-F80)/(1+EXP(-F80)),"—")</f>
        <v>1.16487888438675</v>
      </c>
      <c r="I80" s="102">
        <f>I79+IF(G80=1,H80,0)</f>
        <v>3.21439848423798</v>
      </c>
      <c r="J80" s="102">
        <f>J79+IF(G80=2,H80,0)</f>
        <v>-1.71270142447632</v>
      </c>
      <c r="K80" s="102">
        <f>IF('Parameters'!$B$24=1,I80/'Parameters'!$B$6,SUMIF($G$76:$G$85,1,$H$76:$H$85)/'Parameters'!$B$6)</f>
        <v>0.803599621059495</v>
      </c>
      <c r="L80" s="102">
        <f>IF('Parameters'!$B$24=1,J80/'Parameters'!$B$7,SUMIF($G$76:$G$85,2,$H$76:$H$85)/'Parameters'!$B$7)</f>
        <v>-0.285450237412721</v>
      </c>
      <c r="M80" s="72">
        <f>ABS(H80-IF(G80=1,K80,L80))</f>
        <v>0.361279263327256</v>
      </c>
      <c r="N80" s="72">
        <f>ABS(H80-IF(G80=1,L80,K80))</f>
        <v>1.45032912179947</v>
      </c>
    </row>
    <row r="81">
      <c r="A81" s="64" t="inlineStr">
        <is>
          <t xml:space="preserve">b₆</t>
        </is>
      </c>
      <c r="B81" s="72">
        <f>$J$10</f>
        <v>0.641058270440647</v>
      </c>
      <c r="C81" s="79" t="inlineStr">
        <is>
          <t xml:space="preserve">+</t>
        </is>
      </c>
      <c r="D81" s="72">
        <f>INDEX('Ψ(r) Contribution &amp; Weight'!$B$23:$G$23,5)</f>
        <v>0.15</v>
      </c>
      <c r="E81" s="79" t="inlineStr">
        <is>
          <t xml:space="preserve">=</t>
        </is>
      </c>
      <c r="F81" s="72">
        <f>SUM(B81,D81)</f>
        <v>0.791058270440647</v>
      </c>
      <c r="G81" s="68">
        <f>Dataset!O8</f>
        <v>1</v>
      </c>
      <c r="H81" s="72">
        <f>IF(OR(G81=1,G81=2),F81+IF(G81=1,1,-1)*'Parameters'!$B$19*EXP(-F81)/(1+EXP(-F81)),"—")</f>
        <v>0.884640715464478</v>
      </c>
      <c r="I81" s="102">
        <f>I80+IF(G81=1,H81,0)</f>
        <v>4.09903919970246</v>
      </c>
      <c r="J81" s="102">
        <f>J80+IF(G81=2,H81,0)</f>
        <v>-1.71270142447632</v>
      </c>
      <c r="K81" s="102">
        <f>IF('Parameters'!$B$24=1,I81/'Parameters'!$B$6,SUMIF($G$76:$G$85,1,$H$76:$H$85)/'Parameters'!$B$6)</f>
        <v>1.02475979992561</v>
      </c>
      <c r="L81" s="102">
        <f>IF('Parameters'!$B$24=1,J81/'Parameters'!$B$7,SUMIF($G$76:$G$85,2,$H$76:$H$85)/'Parameters'!$B$7)</f>
        <v>-0.285450237412721</v>
      </c>
      <c r="M81" s="72">
        <f>ABS(H81-IF(G81=1,K81,L81))</f>
        <v>0.140119084461136</v>
      </c>
      <c r="N81" s="72">
        <f>ABS(H81-IF(G81=1,L81,K81))</f>
        <v>1.1700909528772</v>
      </c>
    </row>
    <row r="82">
      <c r="A82" s="64" t="inlineStr">
        <is>
          <t xml:space="preserve">b₇</t>
        </is>
      </c>
      <c r="B82" s="72">
        <f>$J$11</f>
        <v>-0.541711272743112</v>
      </c>
      <c r="C82" s="79" t="inlineStr">
        <is>
          <t xml:space="preserve">+</t>
        </is>
      </c>
      <c r="D82" s="72">
        <f>INDEX('Ψ(r) Contribution &amp; Weight'!$B$24:$G$24,5)</f>
        <v>0.15</v>
      </c>
      <c r="E82" s="79" t="inlineStr">
        <is>
          <t xml:space="preserve">=</t>
        </is>
      </c>
      <c r="F82" s="72">
        <f>SUM(B82,D82)</f>
        <v>-0.391711272743112</v>
      </c>
      <c r="G82" s="68">
        <f>Dataset!O9</f>
        <v>2</v>
      </c>
      <c r="H82" s="72">
        <f>IF(OR(G82=1,G82=2),F82+IF(G82=1,1,-1)*'Parameters'!$B$19*EXP(-F82)/(1+EXP(-F82)),"—")</f>
        <v>-0.570719648364901</v>
      </c>
      <c r="I82" s="102">
        <f>I81+IF(G82=1,H82,0)</f>
        <v>4.09903919970246</v>
      </c>
      <c r="J82" s="102">
        <f>J81+IF(G82=2,H82,0)</f>
        <v>-2.28342107284123</v>
      </c>
      <c r="K82" s="102">
        <f>IF('Parameters'!$B$24=1,I82/'Parameters'!$B$6,SUMIF($G$76:$G$85,1,$H$76:$H$85)/'Parameters'!$B$6)</f>
        <v>1.02475979992561</v>
      </c>
      <c r="L82" s="102">
        <f>IF('Parameters'!$B$24=1,J82/'Parameters'!$B$7,SUMIF($G$76:$G$85,2,$H$76:$H$85)/'Parameters'!$B$7)</f>
        <v>-0.380570178806871</v>
      </c>
      <c r="M82" s="72">
        <f>ABS(H82-IF(G82=1,K82,L82))</f>
        <v>0.19014946955803</v>
      </c>
      <c r="N82" s="72">
        <f>ABS(H82-IF(G82=1,L82,K82))</f>
        <v>1.59547944829052</v>
      </c>
    </row>
    <row r="83">
      <c r="A83" s="64" t="inlineStr">
        <is>
          <t xml:space="preserve">b₈</t>
        </is>
      </c>
      <c r="B83" s="72">
        <f>$J$12</f>
        <v>-0.541711272743112</v>
      </c>
      <c r="C83" s="79" t="inlineStr">
        <is>
          <t xml:space="preserve">+</t>
        </is>
      </c>
      <c r="D83" s="72">
        <f>INDEX('Ψ(r) Contribution &amp; Weight'!$B$25:$G$25,5)</f>
        <v>0.15</v>
      </c>
      <c r="E83" s="79" t="inlineStr">
        <is>
          <t xml:space="preserve">=</t>
        </is>
      </c>
      <c r="F83" s="72">
        <f>SUM(B83,D83)</f>
        <v>-0.391711272743112</v>
      </c>
      <c r="G83" s="68">
        <f>Dataset!O10</f>
        <v>2</v>
      </c>
      <c r="H83" s="72">
        <f>IF(OR(G83=1,G83=2),F83+IF(G83=1,1,-1)*'Parameters'!$B$19*EXP(-F83)/(1+EXP(-F83)),"—")</f>
        <v>-0.570719648364901</v>
      </c>
      <c r="I83" s="102">
        <f>I82+IF(G83=1,H83,0)</f>
        <v>4.09903919970246</v>
      </c>
      <c r="J83" s="102">
        <f>J82+IF(G83=2,H83,0)</f>
        <v>-2.85414072120613</v>
      </c>
      <c r="K83" s="102">
        <f>IF('Parameters'!$B$24=1,I83/'Parameters'!$B$6,SUMIF($G$76:$G$85,1,$H$76:$H$85)/'Parameters'!$B$6)</f>
        <v>1.02475979992561</v>
      </c>
      <c r="L83" s="102">
        <f>IF('Parameters'!$B$24=1,J83/'Parameters'!$B$7,SUMIF($G$76:$G$85,2,$H$76:$H$85)/'Parameters'!$B$7)</f>
        <v>-0.475690120201021</v>
      </c>
      <c r="M83" s="72">
        <f>ABS(H83-IF(G83=1,K83,L83))</f>
        <v>0.0950295281638798</v>
      </c>
      <c r="N83" s="72">
        <f>ABS(H83-IF(G83=1,L83,K83))</f>
        <v>1.59547944829052</v>
      </c>
    </row>
    <row r="84">
      <c r="A84" s="64" t="inlineStr">
        <is>
          <t xml:space="preserve">b₉</t>
        </is>
      </c>
      <c r="B84" s="72">
        <f>$J$13</f>
        <v>-0.541711272743112</v>
      </c>
      <c r="C84" s="79" t="inlineStr">
        <is>
          <t xml:space="preserve">+</t>
        </is>
      </c>
      <c r="D84" s="72">
        <f>INDEX('Ψ(r) Contribution &amp; Weight'!$B$26:$G$26,5)</f>
        <v>0.15</v>
      </c>
      <c r="E84" s="79" t="inlineStr">
        <is>
          <t xml:space="preserve">=</t>
        </is>
      </c>
      <c r="F84" s="72">
        <f>SUM(B84,D84)</f>
        <v>-0.391711272743112</v>
      </c>
      <c r="G84" s="68">
        <f>Dataset!O11</f>
        <v>2</v>
      </c>
      <c r="H84" s="72">
        <f>IF(OR(G84=1,G84=2),F84+IF(G84=1,1,-1)*'Parameters'!$B$19*EXP(-F84)/(1+EXP(-F84)),"—")</f>
        <v>-0.570719648364901</v>
      </c>
      <c r="I84" s="102">
        <f>I83+IF(G84=1,H84,0)</f>
        <v>4.09903919970246</v>
      </c>
      <c r="J84" s="102">
        <f>J83+IF(G84=2,H84,0)</f>
        <v>-3.42486036957103</v>
      </c>
      <c r="K84" s="102">
        <f>IF('Parameters'!$B$24=1,I84/'Parameters'!$B$6,SUMIF($G$76:$G$85,1,$H$76:$H$85)/'Parameters'!$B$6)</f>
        <v>1.02475979992561</v>
      </c>
      <c r="L84" s="102">
        <f>IF('Parameters'!$B$24=1,J84/'Parameters'!$B$7,SUMIF($G$76:$G$85,2,$H$76:$H$85)/'Parameters'!$B$7)</f>
        <v>-0.570810061595171</v>
      </c>
      <c r="M84" s="72">
        <f>ABS(H84-IF(G84=1,K84,L84))</f>
        <v>9.04132302702587e-05</v>
      </c>
      <c r="N84" s="72">
        <f>ABS(H84-IF(G84=1,L84,K84))</f>
        <v>1.59547944829052</v>
      </c>
    </row>
    <row r="85">
      <c r="A85" s="64" t="inlineStr">
        <is>
          <t xml:space="preserve">b₁₀</t>
        </is>
      </c>
      <c r="B85" s="72">
        <f>$J$14</f>
        <v>-0.541711272743112</v>
      </c>
      <c r="C85" s="79" t="inlineStr">
        <is>
          <t xml:space="preserve">+</t>
        </is>
      </c>
      <c r="D85" s="72">
        <f>INDEX('Ψ(r) Contribution &amp; Weight'!$B$27:$G$27,5)</f>
        <v>0.15</v>
      </c>
      <c r="E85" s="79" t="inlineStr">
        <is>
          <t xml:space="preserve">=</t>
        </is>
      </c>
      <c r="F85" s="72">
        <f>SUM(B85,D85)</f>
        <v>-0.391711272743112</v>
      </c>
      <c r="G85" s="68">
        <f>Dataset!O12</f>
        <v>2</v>
      </c>
      <c r="H85" s="72">
        <f>IF(OR(G85=1,G85=2),F85+IF(G85=1,1,-1)*'Parameters'!$B$19*EXP(-F85)/(1+EXP(-F85)),"—")</f>
        <v>-0.570719648364901</v>
      </c>
      <c r="I85" s="102">
        <f>I84+IF(G85=1,H85,0)</f>
        <v>4.09903919970246</v>
      </c>
      <c r="J85" s="102">
        <f>J84+IF(G85=2,H85,0)</f>
        <v>-3.99558001793593</v>
      </c>
      <c r="K85" s="102">
        <f>IF('Parameters'!$B$24=1,I85/'Parameters'!$B$6,SUMIF($G$76:$G$85,1,$H$76:$H$85)/'Parameters'!$B$6)</f>
        <v>1.02475979992561</v>
      </c>
      <c r="L85" s="102">
        <f>IF('Parameters'!$B$24=1,J85/'Parameters'!$B$7,SUMIF($G$76:$G$85,2,$H$76:$H$85)/'Parameters'!$B$7)</f>
        <v>-0.665930002989321</v>
      </c>
      <c r="M85" s="72">
        <f>ABS(H85-IF(G85=1,K85,L85))</f>
        <v>0.0952103546244204</v>
      </c>
      <c r="N85" s="72">
        <f>ABS(H85-IF(G85=1,L85,K85))</f>
        <v>1.59547944829052</v>
      </c>
    </row>
    <row r="86">
      <c r="K86" s="82" t="inlineStr">
        <is>
          <t xml:space="preserve">θ, γ  →</t>
        </is>
      </c>
      <c r="L86" s="82"/>
      <c r="M86" s="85">
        <f>SUM(M76:M85)</f>
        <v>3.62887322565901</v>
      </c>
      <c r="N86" s="85">
        <f>SUM(N76:N85)</f>
        <v>13.2749337126532</v>
      </c>
      <c r="O86" s="82" t="inlineStr">
        <is>
          <t xml:space="preserve">θ / γ</t>
        </is>
      </c>
      <c r="P86" s="92">
        <f>IF(F$14=1,M86/N86,"—")</f>
        <v>0.27336281326965</v>
      </c>
    </row>
    <row r="87"/>
    <row r="88">
      <c r="A88" s="59" t="str">
        <f>"Candidate a₆  ·  operator ρ_J  ·  k = "&amp;'Synthetic Features (k-NN)'!$C$32&amp;"   —   bₜ = R(Sₜ) + η₆(a_t₆)"</f>
        <v>Candidate a₆  ·  operator ρ_J  ·  k = 5   —   bₜ = R(Sₜ) + η₆(a_t₆)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84" t="str">
        <f>IF(G$14=1,"available",IF($D$4=1,"in TUPLAM — skipped","iteration not executed"))</f>
        <v>in TUPLAM — skipped</v>
      </c>
      <c r="P88" s="84"/>
    </row>
    <row r="89">
      <c r="A89" s="60" t="inlineStr">
        <is>
          <t xml:space="preserve">№</t>
        </is>
      </c>
      <c r="B89" s="60" t="inlineStr">
        <is>
          <t xml:space="preserve">R(Sₜ)</t>
        </is>
      </c>
      <c r="C89" s="60" t="inlineStr">
        <is>
          <t xml:space="preserve">+</t>
        </is>
      </c>
      <c r="D89" s="60" t="inlineStr">
        <is>
          <t xml:space="preserve">ηᵤ(a_tu)</t>
        </is>
      </c>
      <c r="E89" s="60" t="inlineStr">
        <is>
          <t xml:space="preserve">=</t>
        </is>
      </c>
      <c r="F89" s="60" t="inlineStr">
        <is>
          <t xml:space="preserve">bₜ</t>
        </is>
      </c>
      <c r="G89" s="60" t="inlineStr">
        <is>
          <t xml:space="preserve">Class</t>
        </is>
      </c>
      <c r="H89" s="60" t="inlineStr">
        <is>
          <t xml:space="preserve">bₜ (majorized)</t>
        </is>
      </c>
      <c r="I89" s="103" t="inlineStr">
        <is>
          <t xml:space="preserve">⚠1 Σ K1 (running)</t>
        </is>
      </c>
      <c r="J89" s="103" t="inlineStr">
        <is>
          <t xml:space="preserve">⚠1 Σ K2 (running)</t>
        </is>
      </c>
      <c r="K89" s="103" t="inlineStr">
        <is>
          <t xml:space="preserve">⚠1 M₁ used</t>
        </is>
      </c>
      <c r="L89" s="103" t="inlineStr">
        <is>
          <t xml:space="preserve">⚠1 M₂ used</t>
        </is>
      </c>
      <c r="M89" s="60" t="inlineStr">
        <is>
          <t xml:space="preserve">|b − M own|</t>
        </is>
      </c>
      <c r="N89" s="60" t="inlineStr">
        <is>
          <t xml:space="preserve">|b − M other|</t>
        </is>
      </c>
    </row>
    <row r="90">
      <c r="A90" s="64" t="inlineStr">
        <is>
          <t xml:space="preserve">b₁</t>
        </is>
      </c>
      <c r="B90" s="72">
        <f>$J$5</f>
        <v>-0.00853863373958766</v>
      </c>
      <c r="C90" s="79" t="inlineStr">
        <is>
          <t xml:space="preserve">+</t>
        </is>
      </c>
      <c r="D90" s="72">
        <f>INDEX('Ψ(r) Contribution &amp; Weight'!$B$18:$G$18,6)</f>
        <v>0.166666666666667</v>
      </c>
      <c r="E90" s="79" t="inlineStr">
        <is>
          <t xml:space="preserve">=</t>
        </is>
      </c>
      <c r="F90" s="72">
        <f>SUM(B90,D90)</f>
        <v>0.158128032927079</v>
      </c>
      <c r="G90" s="68">
        <f>Dataset!O3</f>
        <v>2</v>
      </c>
      <c r="H90" s="72">
        <f>IF(OR(G90=1,G90=2),F90+IF(G90=1,1,-1)*'Parameters'!$B$19*EXP(-F90)/(1+EXP(-F90)),"—")</f>
        <v>0.0199629851039498</v>
      </c>
      <c r="I90" s="102">
        <f>IF(G90=1,H90,0)</f>
        <v>0</v>
      </c>
      <c r="J90" s="102">
        <f>IF(G90=2,H90,0)</f>
        <v>0.0199629851039498</v>
      </c>
      <c r="K90" s="102">
        <f>IF('Parameters'!$B$24=1,I90/'Parameters'!$B$6,SUMIF($G$90:$G$99,1,$H$90:$H$99)/'Parameters'!$B$6)</f>
        <v>0</v>
      </c>
      <c r="L90" s="102">
        <f>IF('Parameters'!$B$24=1,J90/'Parameters'!$B$7,SUMIF($G$90:$G$99,2,$H$90:$H$99)/'Parameters'!$B$7)</f>
        <v>0.00332716418399163</v>
      </c>
      <c r="M90" s="72">
        <f>ABS(H90-IF(G90=1,K90,L90))</f>
        <v>0.0166358209199582</v>
      </c>
      <c r="N90" s="72">
        <f>ABS(H90-IF(G90=1,L90,K90))</f>
        <v>0.0199629851039498</v>
      </c>
    </row>
    <row r="91">
      <c r="A91" s="64" t="inlineStr">
        <is>
          <t xml:space="preserve">b₂</t>
        </is>
      </c>
      <c r="B91" s="72">
        <f>$J$6</f>
        <v>0.641058270440647</v>
      </c>
      <c r="C91" s="79" t="inlineStr">
        <is>
          <t xml:space="preserve">+</t>
        </is>
      </c>
      <c r="D91" s="72">
        <f>INDEX('Ψ(r) Contribution &amp; Weight'!$B$19:$G$19,6)</f>
        <v>0.166666666666667</v>
      </c>
      <c r="E91" s="79" t="inlineStr">
        <is>
          <t xml:space="preserve">=</t>
        </is>
      </c>
      <c r="F91" s="72">
        <f>SUM(B91,D91)</f>
        <v>0.807724937107314</v>
      </c>
      <c r="G91" s="68">
        <f>Dataset!O4</f>
        <v>1</v>
      </c>
      <c r="H91" s="72">
        <f>IF(OR(G91=1,G91=2),F91+IF(G91=1,1,-1)*'Parameters'!$B$19*EXP(-F91)/(1+EXP(-F91)),"—")</f>
        <v>0.900237589981787</v>
      </c>
      <c r="I91" s="102">
        <f>I90+IF(G91=1,H91,0)</f>
        <v>0.900237589981787</v>
      </c>
      <c r="J91" s="102">
        <f>J90+IF(G91=2,H91,0)</f>
        <v>0.0199629851039498</v>
      </c>
      <c r="K91" s="102">
        <f>IF('Parameters'!$B$24=1,I91/'Parameters'!$B$6,SUMIF($G$90:$G$99,1,$H$90:$H$99)/'Parameters'!$B$6)</f>
        <v>0.225059397495447</v>
      </c>
      <c r="L91" s="102">
        <f>IF('Parameters'!$B$24=1,J91/'Parameters'!$B$7,SUMIF($G$90:$G$99,2,$H$90:$H$99)/'Parameters'!$B$7)</f>
        <v>0.00332716418399163</v>
      </c>
      <c r="M91" s="72">
        <f>ABS(H91-IF(G91=1,K91,L91))</f>
        <v>0.67517819248634</v>
      </c>
      <c r="N91" s="72">
        <f>ABS(H91-IF(G91=1,L91,K91))</f>
        <v>0.896910425797795</v>
      </c>
    </row>
    <row r="92">
      <c r="A92" s="64" t="inlineStr">
        <is>
          <t xml:space="preserve">b₃</t>
        </is>
      </c>
      <c r="B92" s="72">
        <f>$J$7</f>
        <v>-1.32080100458638</v>
      </c>
      <c r="C92" s="79" t="inlineStr">
        <is>
          <t xml:space="preserve">+</t>
        </is>
      </c>
      <c r="D92" s="72">
        <f>INDEX('Ψ(r) Contribution &amp; Weight'!$B$20:$G$20,6)</f>
        <v>-0.166666666666667</v>
      </c>
      <c r="E92" s="79" t="inlineStr">
        <is>
          <t xml:space="preserve">=</t>
        </is>
      </c>
      <c r="F92" s="72">
        <f>SUM(B92,D92)</f>
        <v>-1.48746767125304</v>
      </c>
      <c r="G92" s="68">
        <f>Dataset!O5</f>
        <v>2</v>
      </c>
      <c r="H92" s="72">
        <f>IF(OR(G92=1,G92=2),F92+IF(G92=1,1,-1)*'Parameters'!$B$19*EXP(-F92)/(1+EXP(-F92)),"—")</f>
        <v>-1.73217703514203</v>
      </c>
      <c r="I92" s="102">
        <f>I91+IF(G92=1,H92,0)</f>
        <v>0.900237589981787</v>
      </c>
      <c r="J92" s="102">
        <f>J91+IF(G92=2,H92,0)</f>
        <v>-1.71221405003808</v>
      </c>
      <c r="K92" s="102">
        <f>IF('Parameters'!$B$24=1,I92/'Parameters'!$B$6,SUMIF($G$90:$G$99,1,$H$90:$H$99)/'Parameters'!$B$6)</f>
        <v>0.225059397495447</v>
      </c>
      <c r="L92" s="102">
        <f>IF('Parameters'!$B$24=1,J92/'Parameters'!$B$7,SUMIF($G$90:$G$99,2,$H$90:$H$99)/'Parameters'!$B$7)</f>
        <v>-0.28536900833968</v>
      </c>
      <c r="M92" s="72">
        <f>ABS(H92-IF(G92=1,K92,L92))</f>
        <v>1.44680802680235</v>
      </c>
      <c r="N92" s="72">
        <f>ABS(H92-IF(G92=1,L92,K92))</f>
        <v>1.95723643263748</v>
      </c>
    </row>
    <row r="93">
      <c r="A93" s="64" t="inlineStr">
        <is>
          <t xml:space="preserve">b₄</t>
        </is>
      </c>
      <c r="B93" s="72">
        <f>$J$8</f>
        <v>0.939357074977029</v>
      </c>
      <c r="C93" s="79" t="inlineStr">
        <is>
          <t xml:space="preserve">+</t>
        </is>
      </c>
      <c r="D93" s="72">
        <f>INDEX('Ψ(r) Contribution &amp; Weight'!$B$21:$G$21,6)</f>
        <v>0.166666666666667</v>
      </c>
      <c r="E93" s="79" t="inlineStr">
        <is>
          <t xml:space="preserve">=</t>
        </is>
      </c>
      <c r="F93" s="72">
        <f>SUM(B93,D93)</f>
        <v>1.1060237416437</v>
      </c>
      <c r="G93" s="68">
        <f>Dataset!O6</f>
        <v>1</v>
      </c>
      <c r="H93" s="72">
        <f>IF(OR(G93=1,G93=2),F93+IF(G93=1,1,-1)*'Parameters'!$B$19*EXP(-F93)/(1+EXP(-F93)),"—")</f>
        <v>1.18060762033448</v>
      </c>
      <c r="I93" s="102">
        <f>I92+IF(G93=1,H93,0)</f>
        <v>2.08084521031627</v>
      </c>
      <c r="J93" s="102">
        <f>J92+IF(G93=2,H93,0)</f>
        <v>-1.71221405003808</v>
      </c>
      <c r="K93" s="102">
        <f>IF('Parameters'!$B$24=1,I93/'Parameters'!$B$6,SUMIF($G$90:$G$99,1,$H$90:$H$99)/'Parameters'!$B$6)</f>
        <v>0.520211302579066</v>
      </c>
      <c r="L93" s="102">
        <f>IF('Parameters'!$B$24=1,J93/'Parameters'!$B$7,SUMIF($G$90:$G$99,2,$H$90:$H$99)/'Parameters'!$B$7)</f>
        <v>-0.28536900833968</v>
      </c>
      <c r="M93" s="72">
        <f>ABS(H93-IF(G93=1,K93,L93))</f>
        <v>0.660396317755412</v>
      </c>
      <c r="N93" s="72">
        <f>ABS(H93-IF(G93=1,L93,K93))</f>
        <v>1.46597662867416</v>
      </c>
    </row>
    <row r="94">
      <c r="A94" s="64" t="inlineStr">
        <is>
          <t xml:space="preserve">b₅</t>
        </is>
      </c>
      <c r="B94" s="72">
        <f>$J$9</f>
        <v>0.939357074977029</v>
      </c>
      <c r="C94" s="79" t="inlineStr">
        <is>
          <t xml:space="preserve">+</t>
        </is>
      </c>
      <c r="D94" s="72">
        <f>INDEX('Ψ(r) Contribution &amp; Weight'!$B$22:$G$22,6)</f>
        <v>0.166666666666667</v>
      </c>
      <c r="E94" s="79" t="inlineStr">
        <is>
          <t xml:space="preserve">=</t>
        </is>
      </c>
      <c r="F94" s="72">
        <f>SUM(B94,D94)</f>
        <v>1.1060237416437</v>
      </c>
      <c r="G94" s="68">
        <f>Dataset!O7</f>
        <v>1</v>
      </c>
      <c r="H94" s="72">
        <f>IF(OR(G94=1,G94=2),F94+IF(G94=1,1,-1)*'Parameters'!$B$19*EXP(-F94)/(1+EXP(-F94)),"—")</f>
        <v>1.18060762033448</v>
      </c>
      <c r="I94" s="102">
        <f>I93+IF(G94=1,H94,0)</f>
        <v>3.26145283065075</v>
      </c>
      <c r="J94" s="102">
        <f>J93+IF(G94=2,H94,0)</f>
        <v>-1.71221405003808</v>
      </c>
      <c r="K94" s="102">
        <f>IF('Parameters'!$B$24=1,I94/'Parameters'!$B$6,SUMIF($G$90:$G$99,1,$H$90:$H$99)/'Parameters'!$B$6)</f>
        <v>0.815363207662686</v>
      </c>
      <c r="L94" s="102">
        <f>IF('Parameters'!$B$24=1,J94/'Parameters'!$B$7,SUMIF($G$90:$G$99,2,$H$90:$H$99)/'Parameters'!$B$7)</f>
        <v>-0.28536900833968</v>
      </c>
      <c r="M94" s="72">
        <f>ABS(H94-IF(G94=1,K94,L94))</f>
        <v>0.365244412671793</v>
      </c>
      <c r="N94" s="72">
        <f>ABS(H94-IF(G94=1,L94,K94))</f>
        <v>1.46597662867416</v>
      </c>
    </row>
    <row r="95">
      <c r="A95" s="64" t="inlineStr">
        <is>
          <t xml:space="preserve">b₆</t>
        </is>
      </c>
      <c r="B95" s="72">
        <f>$J$10</f>
        <v>0.641058270440647</v>
      </c>
      <c r="C95" s="79" t="inlineStr">
        <is>
          <t xml:space="preserve">+</t>
        </is>
      </c>
      <c r="D95" s="72">
        <f>INDEX('Ψ(r) Contribution &amp; Weight'!$B$23:$G$23,6)</f>
        <v>0.166666666666667</v>
      </c>
      <c r="E95" s="79" t="inlineStr">
        <is>
          <t xml:space="preserve">=</t>
        </is>
      </c>
      <c r="F95" s="72">
        <f>SUM(B95,D95)</f>
        <v>0.807724937107314</v>
      </c>
      <c r="G95" s="68">
        <f>Dataset!O8</f>
        <v>1</v>
      </c>
      <c r="H95" s="72">
        <f>IF(OR(G95=1,G95=2),F95+IF(G95=1,1,-1)*'Parameters'!$B$19*EXP(-F95)/(1+EXP(-F95)),"—")</f>
        <v>0.900237589981787</v>
      </c>
      <c r="I95" s="102">
        <f>I94+IF(G95=1,H95,0)</f>
        <v>4.16169042063253</v>
      </c>
      <c r="J95" s="102">
        <f>J94+IF(G95=2,H95,0)</f>
        <v>-1.71221405003808</v>
      </c>
      <c r="K95" s="102">
        <f>IF('Parameters'!$B$24=1,I95/'Parameters'!$B$6,SUMIF($G$90:$G$99,1,$H$90:$H$99)/'Parameters'!$B$6)</f>
        <v>1.04042260515813</v>
      </c>
      <c r="L95" s="102">
        <f>IF('Parameters'!$B$24=1,J95/'Parameters'!$B$7,SUMIF($G$90:$G$99,2,$H$90:$H$99)/'Parameters'!$B$7)</f>
        <v>-0.28536900833968</v>
      </c>
      <c r="M95" s="72">
        <f>ABS(H95-IF(G95=1,K95,L95))</f>
        <v>0.140185015176346</v>
      </c>
      <c r="N95" s="72">
        <f>ABS(H95-IF(G95=1,L95,K95))</f>
        <v>1.18560659832147</v>
      </c>
    </row>
    <row r="96">
      <c r="A96" s="64" t="inlineStr">
        <is>
          <t xml:space="preserve">b₇</t>
        </is>
      </c>
      <c r="B96" s="72">
        <f>$J$11</f>
        <v>-0.541711272743112</v>
      </c>
      <c r="C96" s="79" t="inlineStr">
        <is>
          <t xml:space="preserve">+</t>
        </is>
      </c>
      <c r="D96" s="72">
        <f>INDEX('Ψ(r) Contribution &amp; Weight'!$B$24:$G$24,6)</f>
        <v>0.166666666666667</v>
      </c>
      <c r="E96" s="79" t="inlineStr">
        <is>
          <t xml:space="preserve">=</t>
        </is>
      </c>
      <c r="F96" s="72">
        <f>SUM(B96,D96)</f>
        <v>-0.375044606076446</v>
      </c>
      <c r="G96" s="68">
        <f>Dataset!O9</f>
        <v>2</v>
      </c>
      <c r="H96" s="72">
        <f>IF(OR(G96=1,G96=2),F96+IF(G96=1,1,-1)*'Parameters'!$B$19*EXP(-F96)/(1+EXP(-F96)),"—")</f>
        <v>-0.552847816594011</v>
      </c>
      <c r="I96" s="102">
        <f>I95+IF(G96=1,H96,0)</f>
        <v>4.16169042063253</v>
      </c>
      <c r="J96" s="102">
        <f>J95+IF(G96=2,H96,0)</f>
        <v>-2.26506186663209</v>
      </c>
      <c r="K96" s="102">
        <f>IF('Parameters'!$B$24=1,I96/'Parameters'!$B$6,SUMIF($G$90:$G$99,1,$H$90:$H$99)/'Parameters'!$B$6)</f>
        <v>1.04042260515813</v>
      </c>
      <c r="L96" s="102">
        <f>IF('Parameters'!$B$24=1,J96/'Parameters'!$B$7,SUMIF($G$90:$G$99,2,$H$90:$H$99)/'Parameters'!$B$7)</f>
        <v>-0.377510311105349</v>
      </c>
      <c r="M96" s="72">
        <f>ABS(H96-IF(G96=1,K96,L96))</f>
        <v>0.175337505488663</v>
      </c>
      <c r="N96" s="72">
        <f>ABS(H96-IF(G96=1,L96,K96))</f>
        <v>1.59327042175214</v>
      </c>
    </row>
    <row r="97">
      <c r="A97" s="64" t="inlineStr">
        <is>
          <t xml:space="preserve">b₈</t>
        </is>
      </c>
      <c r="B97" s="72">
        <f>$J$12</f>
        <v>-0.541711272743112</v>
      </c>
      <c r="C97" s="79" t="inlineStr">
        <is>
          <t xml:space="preserve">+</t>
        </is>
      </c>
      <c r="D97" s="72">
        <f>INDEX('Ψ(r) Contribution &amp; Weight'!$B$25:$G$25,6)</f>
        <v>0.166666666666667</v>
      </c>
      <c r="E97" s="79" t="inlineStr">
        <is>
          <t xml:space="preserve">=</t>
        </is>
      </c>
      <c r="F97" s="72">
        <f>SUM(B97,D97)</f>
        <v>-0.375044606076446</v>
      </c>
      <c r="G97" s="68">
        <f>Dataset!O10</f>
        <v>2</v>
      </c>
      <c r="H97" s="72">
        <f>IF(OR(G97=1,G97=2),F97+IF(G97=1,1,-1)*'Parameters'!$B$19*EXP(-F97)/(1+EXP(-F97)),"—")</f>
        <v>-0.552847816594011</v>
      </c>
      <c r="I97" s="102">
        <f>I96+IF(G97=1,H97,0)</f>
        <v>4.16169042063253</v>
      </c>
      <c r="J97" s="102">
        <f>J96+IF(G97=2,H97,0)</f>
        <v>-2.8179096832261</v>
      </c>
      <c r="K97" s="102">
        <f>IF('Parameters'!$B$24=1,I97/'Parameters'!$B$6,SUMIF($G$90:$G$99,1,$H$90:$H$99)/'Parameters'!$B$6)</f>
        <v>1.04042260515813</v>
      </c>
      <c r="L97" s="102">
        <f>IF('Parameters'!$B$24=1,J97/'Parameters'!$B$7,SUMIF($G$90:$G$99,2,$H$90:$H$99)/'Parameters'!$B$7)</f>
        <v>-0.469651613871017</v>
      </c>
      <c r="M97" s="72">
        <f>ABS(H97-IF(G97=1,K97,L97))</f>
        <v>0.0831962027229941</v>
      </c>
      <c r="N97" s="72">
        <f>ABS(H97-IF(G97=1,L97,K97))</f>
        <v>1.59327042175214</v>
      </c>
    </row>
    <row r="98">
      <c r="A98" s="64" t="inlineStr">
        <is>
          <t xml:space="preserve">b₉</t>
        </is>
      </c>
      <c r="B98" s="72">
        <f>$J$13</f>
        <v>-0.541711272743112</v>
      </c>
      <c r="C98" s="79" t="inlineStr">
        <is>
          <t xml:space="preserve">+</t>
        </is>
      </c>
      <c r="D98" s="72">
        <f>INDEX('Ψ(r) Contribution &amp; Weight'!$B$26:$G$26,6)</f>
        <v>0.166666666666667</v>
      </c>
      <c r="E98" s="79" t="inlineStr">
        <is>
          <t xml:space="preserve">=</t>
        </is>
      </c>
      <c r="F98" s="72">
        <f>SUM(B98,D98)</f>
        <v>-0.375044606076446</v>
      </c>
      <c r="G98" s="68">
        <f>Dataset!O11</f>
        <v>2</v>
      </c>
      <c r="H98" s="72">
        <f>IF(OR(G98=1,G98=2),F98+IF(G98=1,1,-1)*'Parameters'!$B$19*EXP(-F98)/(1+EXP(-F98)),"—")</f>
        <v>-0.552847816594011</v>
      </c>
      <c r="I98" s="102">
        <f>I97+IF(G98=1,H98,0)</f>
        <v>4.16169042063253</v>
      </c>
      <c r="J98" s="102">
        <f>J97+IF(G98=2,H98,0)</f>
        <v>-3.37075749982011</v>
      </c>
      <c r="K98" s="102">
        <f>IF('Parameters'!$B$24=1,I98/'Parameters'!$B$6,SUMIF($G$90:$G$99,1,$H$90:$H$99)/'Parameters'!$B$6)</f>
        <v>1.04042260515813</v>
      </c>
      <c r="L98" s="102">
        <f>IF('Parameters'!$B$24=1,J98/'Parameters'!$B$7,SUMIF($G$90:$G$99,2,$H$90:$H$99)/'Parameters'!$B$7)</f>
        <v>-0.561792916636686</v>
      </c>
      <c r="M98" s="72">
        <f>ABS(H98-IF(G98=1,K98,L98))</f>
        <v>0.00894510004267446</v>
      </c>
      <c r="N98" s="72">
        <f>ABS(H98-IF(G98=1,L98,K98))</f>
        <v>1.59327042175214</v>
      </c>
    </row>
    <row r="99">
      <c r="A99" s="64" t="inlineStr">
        <is>
          <t xml:space="preserve">b₁₀</t>
        </is>
      </c>
      <c r="B99" s="72">
        <f>$J$14</f>
        <v>-0.541711272743112</v>
      </c>
      <c r="C99" s="79" t="inlineStr">
        <is>
          <t xml:space="preserve">+</t>
        </is>
      </c>
      <c r="D99" s="72">
        <f>INDEX('Ψ(r) Contribution &amp; Weight'!$B$27:$G$27,6)</f>
        <v>0.166666666666667</v>
      </c>
      <c r="E99" s="79" t="inlineStr">
        <is>
          <t xml:space="preserve">=</t>
        </is>
      </c>
      <c r="F99" s="72">
        <f>SUM(B99,D99)</f>
        <v>-0.375044606076446</v>
      </c>
      <c r="G99" s="68">
        <f>Dataset!O12</f>
        <v>2</v>
      </c>
      <c r="H99" s="72">
        <f>IF(OR(G99=1,G99=2),F99+IF(G99=1,1,-1)*'Parameters'!$B$19*EXP(-F99)/(1+EXP(-F99)),"—")</f>
        <v>-0.552847816594011</v>
      </c>
      <c r="I99" s="102">
        <f>I98+IF(G99=1,H99,0)</f>
        <v>4.16169042063253</v>
      </c>
      <c r="J99" s="102">
        <f>J98+IF(G99=2,H99,0)</f>
        <v>-3.92360531641412</v>
      </c>
      <c r="K99" s="102">
        <f>IF('Parameters'!$B$24=1,I99/'Parameters'!$B$6,SUMIF($G$90:$G$99,1,$H$90:$H$99)/'Parameters'!$B$6)</f>
        <v>1.04042260515813</v>
      </c>
      <c r="L99" s="102">
        <f>IF('Parameters'!$B$24=1,J99/'Parameters'!$B$7,SUMIF($G$90:$G$99,2,$H$90:$H$99)/'Parameters'!$B$7)</f>
        <v>-0.653934219402354</v>
      </c>
      <c r="M99" s="72">
        <f>ABS(H99-IF(G99=1,K99,L99))</f>
        <v>0.101086402808343</v>
      </c>
      <c r="N99" s="72">
        <f>ABS(H99-IF(G99=1,L99,K99))</f>
        <v>1.59327042175214</v>
      </c>
    </row>
    <row r="100">
      <c r="K100" s="82" t="inlineStr">
        <is>
          <t xml:space="preserve">θ, γ  →</t>
        </is>
      </c>
      <c r="L100" s="82"/>
      <c r="M100" s="85">
        <f>SUM(M90:M99)</f>
        <v>3.67301299687487</v>
      </c>
      <c r="N100" s="85">
        <f>SUM(N90:N99)</f>
        <v>13.3647513862176</v>
      </c>
      <c r="O100" s="82" t="inlineStr">
        <is>
          <t xml:space="preserve">θ / γ</t>
        </is>
      </c>
      <c r="P100" s="92" t="str">
        <f>IF(G$14=1,M100/N100,"—")</f>
        <v>—</v>
      </c>
    </row>
    <row r="101"/>
    <row r="102">
      <c r="H102" s="58" t="inlineStr">
        <is>
          <t xml:space="preserve">STEP 3 · summary  —  cr1 = min θ/γ,  q = argmin θ/γ</t>
        </is>
      </c>
      <c r="I102" s="58"/>
      <c r="J102" s="58"/>
      <c r="K102" s="58"/>
      <c r="L102" s="58"/>
    </row>
    <row r="103">
      <c r="H103" s="60" t="inlineStr">
        <is>
          <t xml:space="preserve">Feature</t>
        </is>
      </c>
      <c r="I103" s="60" t="inlineStr">
        <is>
          <t xml:space="preserve">Available</t>
        </is>
      </c>
      <c r="J103" s="60" t="inlineStr">
        <is>
          <t xml:space="preserve">θ</t>
        </is>
      </c>
      <c r="K103" s="60" t="inlineStr">
        <is>
          <t xml:space="preserve">γ</t>
        </is>
      </c>
      <c r="L103" s="60" t="inlineStr">
        <is>
          <t xml:space="preserve">θ / γ</t>
        </is>
      </c>
    </row>
    <row r="104">
      <c r="H104" s="64" t="inlineStr">
        <is>
          <t xml:space="preserve">a₁</t>
        </is>
      </c>
      <c r="I104" s="89">
        <f>B$14</f>
        <v>0</v>
      </c>
      <c r="J104" s="72" t="str">
        <f>IF(I104=1,M30,"—")</f>
        <v>—</v>
      </c>
      <c r="K104" s="72" t="str">
        <f>IF(I104=1,N30,"—")</f>
        <v>—</v>
      </c>
      <c r="L104" s="92" t="str">
        <f>P30</f>
        <v>—</v>
      </c>
    </row>
    <row r="105">
      <c r="H105" s="64" t="inlineStr">
        <is>
          <t xml:space="preserve">a₂</t>
        </is>
      </c>
      <c r="I105" s="89">
        <f>C$14</f>
        <v>1</v>
      </c>
      <c r="J105" s="72">
        <f>IF(I105=1,M44,"—")</f>
        <v>3.62887322565901</v>
      </c>
      <c r="K105" s="72">
        <f>IF(I105=1,N44,"—")</f>
        <v>13.2749337126532</v>
      </c>
      <c r="L105" s="92">
        <f>P44</f>
        <v>0.27336281326965</v>
      </c>
    </row>
    <row r="106">
      <c r="H106" s="64" t="inlineStr">
        <is>
          <t xml:space="preserve">a₃</t>
        </is>
      </c>
      <c r="I106" s="89">
        <f>D$14</f>
        <v>0</v>
      </c>
      <c r="J106" s="72" t="str">
        <f>IF(I106=1,M58,"—")</f>
        <v>—</v>
      </c>
      <c r="K106" s="72" t="str">
        <f>IF(I106=1,N58,"—")</f>
        <v>—</v>
      </c>
      <c r="L106" s="92" t="str">
        <f>P58</f>
        <v>—</v>
      </c>
    </row>
    <row r="107">
      <c r="H107" s="64" t="inlineStr">
        <is>
          <t xml:space="preserve">a₄</t>
        </is>
      </c>
      <c r="I107" s="89">
        <f>E$14</f>
        <v>1</v>
      </c>
      <c r="J107" s="72">
        <f>IF(I107=1,M72,"—")</f>
        <v>3.62887322565901</v>
      </c>
      <c r="K107" s="72">
        <f>IF(I107=1,N72,"—")</f>
        <v>13.2749337126532</v>
      </c>
      <c r="L107" s="92">
        <f>P72</f>
        <v>0.27336281326965</v>
      </c>
    </row>
    <row r="108">
      <c r="H108" s="64" t="inlineStr">
        <is>
          <t xml:space="preserve">a₅</t>
        </is>
      </c>
      <c r="I108" s="89">
        <f>F$14</f>
        <v>1</v>
      </c>
      <c r="J108" s="72">
        <f>IF(I108=1,M86,"—")</f>
        <v>3.62887322565901</v>
      </c>
      <c r="K108" s="72">
        <f>IF(I108=1,N86,"—")</f>
        <v>13.2749337126532</v>
      </c>
      <c r="L108" s="92">
        <f>P86</f>
        <v>0.27336281326965</v>
      </c>
    </row>
    <row r="109">
      <c r="H109" s="64" t="inlineStr">
        <is>
          <t xml:space="preserve">a₆</t>
        </is>
      </c>
      <c r="I109" s="89">
        <f>G$14</f>
        <v>0</v>
      </c>
      <c r="J109" s="72" t="str">
        <f>IF(I109=1,M100,"—")</f>
        <v>—</v>
      </c>
      <c r="K109" s="72" t="str">
        <f>IF(I109=1,N100,"—")</f>
        <v>—</v>
      </c>
      <c r="L109" s="92" t="str">
        <f>P100</f>
        <v>—</v>
      </c>
    </row>
    <row r="110"/>
    <row r="111">
      <c r="H111" s="82" t="inlineStr">
        <is>
          <t xml:space="preserve">cr1 = min θ/γ</t>
        </is>
      </c>
      <c r="I111" s="82"/>
      <c r="J111" s="85">
        <f>IF(COUNT($L$104:$L$109)=0,"—",IF(MIN($L$104:$L$109)&lt;'Parameters'!$B$22,MIN($L$104:$L$109),'Parameters'!$B$22))</f>
        <v>0.27336281326965</v>
      </c>
    </row>
    <row r="112">
      <c r="H112" s="82" t="inlineStr">
        <is>
          <t xml:space="preserve">q = argmin θ/γ</t>
        </is>
      </c>
      <c r="I112" s="82"/>
      <c r="J112" s="83">
        <f>IF(ISNUMBER(J111),IF(J111&lt;'Parameters'!$B$22,MATCH(J111,$L$104:$L$109,0),"—"),"—")</f>
        <v>2</v>
      </c>
      <c r="K112" s="83" t="str">
        <f>IF(ISNUMBER(J112),"a"&amp;MID("₀₁₂₃₄₅₆₇₈₉",J112+1,1),"—")</f>
        <v>a₂</v>
      </c>
    </row>
    <row r="113"/>
    <row r="114"/>
    <row r="115">
      <c r="A115" s="58" t="inlineStr">
        <is>
          <t xml:space="preserve">STEP 4 — R(Sₜ) ← R(Sₜ) + η_q(a_tq), majorizer  ⇒  latent (additional) feature r₃</t>
        </is>
      </c>
      <c r="B115" s="58"/>
      <c r="C115" s="58"/>
      <c r="D115" s="58"/>
      <c r="E115" s="58"/>
      <c r="F115" s="58"/>
      <c r="G115" s="58"/>
      <c r="H115" s="58"/>
      <c r="I115" s="58"/>
      <c r="K115" s="58" t="inlineStr">
        <is>
          <t xml:space="preserve">STEP 4 · update and stopping rule</t>
        </is>
      </c>
      <c r="L115" s="58"/>
      <c r="M115" s="58"/>
      <c r="N115" s="58"/>
      <c r="O115" s="58"/>
      <c r="P115" s="58"/>
    </row>
    <row r="116">
      <c r="A116" s="60" t="inlineStr">
        <is>
          <t xml:space="preserve">№</t>
        </is>
      </c>
      <c r="B116" s="60" t="inlineStr">
        <is>
          <t xml:space="preserve">R(Sₜ)</t>
        </is>
      </c>
      <c r="C116" s="60" t="inlineStr">
        <is>
          <t xml:space="preserve">+</t>
        </is>
      </c>
      <c r="D116" s="60" t="inlineStr">
        <is>
          <t xml:space="preserve">η_q(a_tq)</t>
        </is>
      </c>
      <c r="E116" s="60" t="inlineStr">
        <is>
          <t xml:space="preserve">=</t>
        </is>
      </c>
      <c r="F116" s="60" t="inlineStr">
        <is>
          <t xml:space="preserve">bₜ = R + η_q</t>
        </is>
      </c>
      <c r="G116" s="60" t="inlineStr">
        <is>
          <t xml:space="preserve">Class</t>
        </is>
      </c>
      <c r="H116" s="111" t="inlineStr">
        <is>
          <t xml:space="preserve">⚠2 bₜ majorized once</t>
        </is>
      </c>
      <c r="I116" s="111" t="inlineStr">
        <is>
          <t xml:space="preserve">⚠2 r₃ = R(Sₜ) new</t>
        </is>
      </c>
      <c r="K116" s="82" t="inlineStr">
        <is>
          <t xml:space="preserve">crit = cr1</t>
        </is>
      </c>
      <c r="L116" s="82"/>
      <c r="M116" s="85">
        <f>IF(AND($D$4=1,ISNUMBER($J$112)),$J$111,$D$8)</f>
        <v>0.27336281326965</v>
      </c>
      <c r="N116" s="85"/>
      <c r="O116" s="85"/>
      <c r="P116" s="85"/>
      <c r="R116" s="112" t="inlineStr">
        <is>
          <t xml:space="preserve">⚠2  STEP 4 (pink columns H–I).  With Parameters!B25 = 2 (default = template) r is the majorizer applied to column H, which is already majorized — twice in total, as in the template cells I222 = H222 ± α·σ(−H222).  The article applies it once to R + η_q (column F) (B25 = 1).  See sheet “Template Deviations”.</t>
        </is>
      </c>
      <c r="S116" s="112"/>
      <c r="T116" s="112"/>
    </row>
    <row r="117">
      <c r="A117" s="64" t="inlineStr">
        <is>
          <t xml:space="preserve">b₁</t>
        </is>
      </c>
      <c r="B117" s="72">
        <f>$J$5</f>
        <v>-0.00853863373958766</v>
      </c>
      <c r="C117" s="79" t="inlineStr">
        <is>
          <t xml:space="preserve">+</t>
        </is>
      </c>
      <c r="D117" s="72">
        <f>IF(ISNUMBER($J$112),INDEX('Ψ(r) Contribution &amp; Weight'!$B$18:$G$18,$J$112),0)</f>
        <v>0.15</v>
      </c>
      <c r="E117" s="79" t="inlineStr">
        <is>
          <t xml:space="preserve">=</t>
        </is>
      </c>
      <c r="F117" s="72">
        <f>SUM(B117,D117)</f>
        <v>0.141461366260412</v>
      </c>
      <c r="G117" s="68">
        <f>Dataset!O3</f>
        <v>2</v>
      </c>
      <c r="H117" s="109">
        <f>IF(ISNUMBER($J$112),CHOOSE($J$112,H20,H34,H48,H62,H76,H90),"—")</f>
        <v>0.0020533113862404</v>
      </c>
      <c r="I117" s="110">
        <f>IF(AND($D$4=1,ISNUMBER($J$112)),IF('Parameters'!$B$25=2,H117+IF(G117=1,1,-1)*'Parameters'!$B$19*EXP(-H117)/(1+EXP(-H117)),F117+IF(G117=1,1,-1)*'Parameters'!$B$19*EXP(-F117)/(1+EXP(-F117))),"—")</f>
        <v>-0.147792690313897</v>
      </c>
      <c r="K117" s="82" t="inlineStr">
        <is>
          <t xml:space="preserve">Feature added q</t>
        </is>
      </c>
      <c r="L117" s="82"/>
      <c r="M117" s="83">
        <f>IF(AND($D$4=1,ISNUMBER($J$112)),$J$112,"—")</f>
        <v>2</v>
      </c>
      <c r="N117" s="83"/>
      <c r="O117" s="83"/>
      <c r="P117" s="83"/>
      <c r="R117" s="112"/>
      <c r="S117" s="112"/>
      <c r="T117" s="112"/>
    </row>
    <row r="118">
      <c r="A118" s="64" t="inlineStr">
        <is>
          <t xml:space="preserve">b₂</t>
        </is>
      </c>
      <c r="B118" s="72">
        <f>$J$6</f>
        <v>0.641058270440647</v>
      </c>
      <c r="C118" s="79" t="inlineStr">
        <is>
          <t xml:space="preserve">+</t>
        </is>
      </c>
      <c r="D118" s="72">
        <f>IF(ISNUMBER($J$112),INDEX('Ψ(r) Contribution &amp; Weight'!$B$19:$G$19,$J$112),0)</f>
        <v>0.15</v>
      </c>
      <c r="E118" s="79" t="inlineStr">
        <is>
          <t xml:space="preserve">=</t>
        </is>
      </c>
      <c r="F118" s="72">
        <f>SUM(B118,D118)</f>
        <v>0.791058270440647</v>
      </c>
      <c r="G118" s="68">
        <f>Dataset!O4</f>
        <v>1</v>
      </c>
      <c r="H118" s="109">
        <f>IF(ISNUMBER($J$112),CHOOSE($J$112,H21,H35,H49,H63,H77,H91),"—")</f>
        <v>0.884640715464478</v>
      </c>
      <c r="I118" s="110">
        <f>IF(AND($D$4=1,ISNUMBER($J$112)),IF('Parameters'!$B$25=2,H118+IF(G118=1,1,-1)*'Parameters'!$B$19*EXP(-H118)/(1+EXP(-H118)),F118+IF(G118=1,1,-1)*'Parameters'!$B$19*EXP(-F118)/(1+EXP(-F118))),"—")</f>
        <v>0.972305825213487</v>
      </c>
      <c r="K118" s="82" t="inlineStr">
        <is>
          <t xml:space="preserve">|TUPLAM| after</t>
        </is>
      </c>
      <c r="L118" s="82"/>
      <c r="M118" s="83">
        <f>$D$7+IF(AND($D$4=1,ISNUMBER($J$112)),1,0)</f>
        <v>4</v>
      </c>
      <c r="N118" s="83"/>
      <c r="O118" s="83"/>
      <c r="P118" s="83"/>
      <c r="R118" s="112"/>
      <c r="S118" s="112"/>
      <c r="T118" s="112"/>
    </row>
    <row r="119">
      <c r="A119" s="64" t="inlineStr">
        <is>
          <t xml:space="preserve">b₃</t>
        </is>
      </c>
      <c r="B119" s="72">
        <f>$J$7</f>
        <v>-1.32080100458638</v>
      </c>
      <c r="C119" s="79" t="inlineStr">
        <is>
          <t xml:space="preserve">+</t>
        </is>
      </c>
      <c r="D119" s="72">
        <f>IF(ISNUMBER($J$112),INDEX('Ψ(r) Contribution &amp; Weight'!$B$20:$G$20,$J$112),0)</f>
        <v>-0.15</v>
      </c>
      <c r="E119" s="79" t="inlineStr">
        <is>
          <t xml:space="preserve">=</t>
        </is>
      </c>
      <c r="F119" s="72">
        <f>SUM(B119,D119)</f>
        <v>-1.47080100458638</v>
      </c>
      <c r="G119" s="68">
        <f>Dataset!O5</f>
        <v>2</v>
      </c>
      <c r="H119" s="109">
        <f>IF(ISNUMBER($J$112),CHOOSE($J$112,H22,H36,H50,H64,H78,H92),"—")</f>
        <v>-1.71475473586256</v>
      </c>
      <c r="I119" s="110">
        <f>IF(AND($D$4=1,ISNUMBER($J$112)),IF('Parameters'!$B$25=2,H119+IF(G119=1,1,-1)*'Parameters'!$B$19*EXP(-H119)/(1+EXP(-H119)),F119+IF(G119=1,1,-1)*'Parameters'!$B$19*EXP(-F119)/(1+EXP(-F119))),"—")</f>
        <v>-1.96899032950218</v>
      </c>
      <c r="K119" s="82" t="inlineStr">
        <is>
          <t xml:space="preserve">TUPLAM after</t>
        </is>
      </c>
      <c r="L119" s="82"/>
      <c r="M119" s="84" t="str">
        <f>IF(AND($D$4=1,ISNUMBER($J$112)),LEFT($D$6,LEN($D$6)-1)&amp;", "&amp;"a"&amp;MID("₀₁₂₃₄₅₆₇₈₉",$J$112+1,1)&amp;"}",$D$6)</f>
        <v>{a₆, a₃, a₁, a₂}</v>
      </c>
      <c r="N119" s="84"/>
      <c r="O119" s="84"/>
      <c r="P119" s="84"/>
      <c r="R119" s="112"/>
      <c r="S119" s="112"/>
      <c r="T119" s="112"/>
    </row>
    <row r="120">
      <c r="A120" s="64" t="inlineStr">
        <is>
          <t xml:space="preserve">b₄</t>
        </is>
      </c>
      <c r="B120" s="72">
        <f>$J$8</f>
        <v>0.939357074977029</v>
      </c>
      <c r="C120" s="79" t="inlineStr">
        <is>
          <t xml:space="preserve">+</t>
        </is>
      </c>
      <c r="D120" s="72">
        <f>IF(ISNUMBER($J$112),INDEX('Ψ(r) Contribution &amp; Weight'!$B$21:$G$21,$J$112),0)</f>
        <v>0.15</v>
      </c>
      <c r="E120" s="79" t="inlineStr">
        <is>
          <t xml:space="preserve">=</t>
        </is>
      </c>
      <c r="F120" s="72">
        <f>SUM(B120,D120)</f>
        <v>1.08935707497703</v>
      </c>
      <c r="G120" s="68">
        <f>Dataset!O6</f>
        <v>1</v>
      </c>
      <c r="H120" s="109">
        <f>IF(ISNUMBER($J$112),CHOOSE($J$112,H23,H37,H51,H65,H79,H93),"—")</f>
        <v>1.16487888438675</v>
      </c>
      <c r="I120" s="110">
        <f>IF(AND($D$4=1,ISNUMBER($J$112)),IF('Parameters'!$B$25=2,H120+IF(G120=1,1,-1)*'Parameters'!$B$19*EXP(-H120)/(1+EXP(-H120)),F120+IF(G120=1,1,-1)*'Parameters'!$B$19*EXP(-F120)/(1+EXP(-F120))),"—")</f>
        <v>1.23621345350815</v>
      </c>
      <c r="K120" s="82" t="inlineStr">
        <is>
          <t xml:space="preserve">|P| after</t>
        </is>
      </c>
      <c r="L120" s="82"/>
      <c r="M120" s="83">
        <f>$D$10-IF(AND($D$4=1,ISNUMBER($J$112)),1,0)</f>
        <v>2</v>
      </c>
      <c r="N120" s="83"/>
      <c r="O120" s="83"/>
      <c r="P120" s="83"/>
      <c r="R120" s="112"/>
      <c r="S120" s="112"/>
      <c r="T120" s="112"/>
    </row>
    <row r="121">
      <c r="A121" s="64" t="inlineStr">
        <is>
          <t xml:space="preserve">b₅</t>
        </is>
      </c>
      <c r="B121" s="72">
        <f>$J$9</f>
        <v>0.939357074977029</v>
      </c>
      <c r="C121" s="79" t="inlineStr">
        <is>
          <t xml:space="preserve">+</t>
        </is>
      </c>
      <c r="D121" s="72">
        <f>IF(ISNUMBER($J$112),INDEX('Ψ(r) Contribution &amp; Weight'!$B$22:$G$22,$J$112),0)</f>
        <v>0.15</v>
      </c>
      <c r="E121" s="79" t="inlineStr">
        <is>
          <t xml:space="preserve">=</t>
        </is>
      </c>
      <c r="F121" s="72">
        <f>SUM(B121,D121)</f>
        <v>1.08935707497703</v>
      </c>
      <c r="G121" s="68">
        <f>Dataset!O7</f>
        <v>1</v>
      </c>
      <c r="H121" s="109">
        <f>IF(ISNUMBER($J$112),CHOOSE($J$112,H24,H38,H52,H66,H80,H94),"—")</f>
        <v>1.16487888438675</v>
      </c>
      <c r="I121" s="110">
        <f>IF(AND($D$4=1,ISNUMBER($J$112)),IF('Parameters'!$B$25=2,H121+IF(G121=1,1,-1)*'Parameters'!$B$19*EXP(-H121)/(1+EXP(-H121)),F121+IF(G121=1,1,-1)*'Parameters'!$B$19*EXP(-F121)/(1+EXP(-F121))),"—")</f>
        <v>1.23621345350815</v>
      </c>
      <c r="K121" s="82" t="inlineStr">
        <is>
          <t xml:space="preserve">δ</t>
        </is>
      </c>
      <c r="L121" s="82"/>
      <c r="M121" s="83">
        <f>'Parameters'!$B$20</f>
        <v>0.1</v>
      </c>
      <c r="N121" s="83"/>
      <c r="O121" s="83"/>
      <c r="P121" s="83"/>
      <c r="R121" s="112"/>
      <c r="S121" s="112"/>
      <c r="T121" s="112"/>
    </row>
    <row r="122">
      <c r="A122" s="64" t="inlineStr">
        <is>
          <t xml:space="preserve">b₆</t>
        </is>
      </c>
      <c r="B122" s="72">
        <f>$J$10</f>
        <v>0.641058270440647</v>
      </c>
      <c r="C122" s="79" t="inlineStr">
        <is>
          <t xml:space="preserve">+</t>
        </is>
      </c>
      <c r="D122" s="72">
        <f>IF(ISNUMBER($J$112),INDEX('Ψ(r) Contribution &amp; Weight'!$B$23:$G$23,$J$112),0)</f>
        <v>0.15</v>
      </c>
      <c r="E122" s="79" t="inlineStr">
        <is>
          <t xml:space="preserve">=</t>
        </is>
      </c>
      <c r="F122" s="72">
        <f>SUM(B122,D122)</f>
        <v>0.791058270440647</v>
      </c>
      <c r="G122" s="68">
        <f>Dataset!O8</f>
        <v>1</v>
      </c>
      <c r="H122" s="109">
        <f>IF(ISNUMBER($J$112),CHOOSE($J$112,H25,H39,H53,H67,H81,H95),"—")</f>
        <v>0.884640715464478</v>
      </c>
      <c r="I122" s="110">
        <f>IF(AND($D$4=1,ISNUMBER($J$112)),IF('Parameters'!$B$25=2,H122+IF(G122=1,1,-1)*'Parameters'!$B$19*EXP(-H122)/(1+EXP(-H122)),F122+IF(G122=1,1,-1)*'Parameters'!$B$19*EXP(-F122)/(1+EXP(-F122))),"—")</f>
        <v>0.972305825213487</v>
      </c>
      <c r="K122" s="82" t="inlineStr">
        <is>
          <t xml:space="preserve">ϰ</t>
        </is>
      </c>
      <c r="L122" s="82"/>
      <c r="M122" s="83">
        <f>'Parameters'!$B$21</f>
        <v>5</v>
      </c>
      <c r="N122" s="83"/>
      <c r="O122" s="83"/>
      <c r="P122" s="83"/>
      <c r="R122" s="112"/>
      <c r="S122" s="112"/>
      <c r="T122" s="112"/>
    </row>
    <row r="123">
      <c r="A123" s="64" t="inlineStr">
        <is>
          <t xml:space="preserve">b₇</t>
        </is>
      </c>
      <c r="B123" s="72">
        <f>$J$11</f>
        <v>-0.541711272743112</v>
      </c>
      <c r="C123" s="79" t="inlineStr">
        <is>
          <t xml:space="preserve">+</t>
        </is>
      </c>
      <c r="D123" s="72">
        <f>IF(ISNUMBER($J$112),INDEX('Ψ(r) Contribution &amp; Weight'!$B$24:$G$24,$J$112),0)</f>
        <v>0.15</v>
      </c>
      <c r="E123" s="79" t="inlineStr">
        <is>
          <t xml:space="preserve">=</t>
        </is>
      </c>
      <c r="F123" s="72">
        <f>SUM(B123,D123)</f>
        <v>-0.391711272743112</v>
      </c>
      <c r="G123" s="68">
        <f>Dataset!O9</f>
        <v>2</v>
      </c>
      <c r="H123" s="109">
        <f>IF(ISNUMBER($J$112),CHOOSE($J$112,H26,H40,H54,H68,H82,H96),"—")</f>
        <v>-0.570719648364901</v>
      </c>
      <c r="I123" s="110">
        <f>IF(AND($D$4=1,ISNUMBER($J$112)),IF('Parameters'!$B$25=2,H123+IF(G123=1,1,-1)*'Parameters'!$B$19*EXP(-H123)/(1+EXP(-H123)),F123+IF(G123=1,1,-1)*'Parameters'!$B$19*EXP(-F123)/(1+EXP(-F123))),"—")</f>
        <v>-0.762398412464542</v>
      </c>
      <c r="K123" s="82" t="inlineStr">
        <is>
          <t xml:space="preserve">if (|TUPLAM| &lt; ϰ) &amp; (crit &gt; δ)</t>
        </is>
      </c>
      <c r="L123" s="82"/>
      <c r="M123" s="88">
        <f>IF(AND(AND($D$4=1,ISNUMBER($J$112)),$M$118&lt;'Parameters'!$B$21,$M$116&gt;'Parameters'!$B$20,$M$120&gt;0),1,0)</f>
        <v>1</v>
      </c>
      <c r="N123" s="88"/>
      <c r="O123" s="88"/>
      <c r="P123" s="88"/>
      <c r="R123" s="112"/>
      <c r="S123" s="112"/>
      <c r="T123" s="112"/>
    </row>
    <row r="124">
      <c r="A124" s="64" t="inlineStr">
        <is>
          <t xml:space="preserve">b₈</t>
        </is>
      </c>
      <c r="B124" s="72">
        <f>$J$12</f>
        <v>-0.541711272743112</v>
      </c>
      <c r="C124" s="79" t="inlineStr">
        <is>
          <t xml:space="preserve">+</t>
        </is>
      </c>
      <c r="D124" s="72">
        <f>IF(ISNUMBER($J$112),INDEX('Ψ(r) Contribution &amp; Weight'!$B$25:$G$25,$J$112),0)</f>
        <v>0.15</v>
      </c>
      <c r="E124" s="79" t="inlineStr">
        <is>
          <t xml:space="preserve">=</t>
        </is>
      </c>
      <c r="F124" s="72">
        <f>SUM(B124,D124)</f>
        <v>-0.391711272743112</v>
      </c>
      <c r="G124" s="68">
        <f>Dataset!O10</f>
        <v>2</v>
      </c>
      <c r="H124" s="109">
        <f>IF(ISNUMBER($J$112),CHOOSE($J$112,H27,H41,H55,H69,H83,H97),"—")</f>
        <v>-0.570719648364901</v>
      </c>
      <c r="I124" s="110">
        <f>IF(AND($D$4=1,ISNUMBER($J$112)),IF('Parameters'!$B$25=2,H124+IF(G124=1,1,-1)*'Parameters'!$B$19*EXP(-H124)/(1+EXP(-H124)),F124+IF(G124=1,1,-1)*'Parameters'!$B$19*EXP(-F124)/(1+EXP(-F124))),"—")</f>
        <v>-0.762398412464542</v>
      </c>
      <c r="K124" s="96" t="str">
        <f>IF($D$4=0,"Iteration not executed",IF($M$123=1,"Go back to Step 3","Output TUPLAM and stop"))</f>
        <v>Go back to Step 3</v>
      </c>
      <c r="L124" s="96"/>
      <c r="M124" s="96"/>
      <c r="N124" s="96"/>
      <c r="O124" s="96"/>
      <c r="P124" s="96"/>
      <c r="R124" s="112"/>
      <c r="S124" s="112"/>
      <c r="T124" s="112"/>
    </row>
    <row r="125">
      <c r="A125" s="64" t="inlineStr">
        <is>
          <t xml:space="preserve">b₉</t>
        </is>
      </c>
      <c r="B125" s="72">
        <f>$J$13</f>
        <v>-0.541711272743112</v>
      </c>
      <c r="C125" s="79" t="inlineStr">
        <is>
          <t xml:space="preserve">+</t>
        </is>
      </c>
      <c r="D125" s="72">
        <f>IF(ISNUMBER($J$112),INDEX('Ψ(r) Contribution &amp; Weight'!$B$26:$G$26,$J$112),0)</f>
        <v>0.15</v>
      </c>
      <c r="E125" s="79" t="inlineStr">
        <is>
          <t xml:space="preserve">=</t>
        </is>
      </c>
      <c r="F125" s="72">
        <f>SUM(B125,D125)</f>
        <v>-0.391711272743112</v>
      </c>
      <c r="G125" s="68">
        <f>Dataset!O11</f>
        <v>2</v>
      </c>
      <c r="H125" s="109">
        <f>IF(ISNUMBER($J$112),CHOOSE($J$112,H28,H42,H56,H70,H84,H98),"—")</f>
        <v>-0.570719648364901</v>
      </c>
      <c r="I125" s="110">
        <f>IF(AND($D$4=1,ISNUMBER($J$112)),IF('Parameters'!$B$25=2,H125+IF(G125=1,1,-1)*'Parameters'!$B$19*EXP(-H125)/(1+EXP(-H125)),F125+IF(G125=1,1,-1)*'Parameters'!$B$19*EXP(-F125)/(1+EXP(-F125))),"—")</f>
        <v>-0.762398412464542</v>
      </c>
      <c r="R125" s="112"/>
      <c r="S125" s="112"/>
      <c r="T125" s="112"/>
    </row>
    <row r="126">
      <c r="A126" s="64" t="inlineStr">
        <is>
          <t xml:space="preserve">b₁₀</t>
        </is>
      </c>
      <c r="B126" s="72">
        <f>$J$14</f>
        <v>-0.541711272743112</v>
      </c>
      <c r="C126" s="79" t="inlineStr">
        <is>
          <t xml:space="preserve">+</t>
        </is>
      </c>
      <c r="D126" s="72">
        <f>IF(ISNUMBER($J$112),INDEX('Ψ(r) Contribution &amp; Weight'!$B$27:$G$27,$J$112),0)</f>
        <v>0.15</v>
      </c>
      <c r="E126" s="79" t="inlineStr">
        <is>
          <t xml:space="preserve">=</t>
        </is>
      </c>
      <c r="F126" s="72">
        <f>SUM(B126,D126)</f>
        <v>-0.391711272743112</v>
      </c>
      <c r="G126" s="68">
        <f>Dataset!O12</f>
        <v>2</v>
      </c>
      <c r="H126" s="109">
        <f>IF(ISNUMBER($J$112),CHOOSE($J$112,H29,H43,H57,H71,H85,H99),"—")</f>
        <v>-0.570719648364901</v>
      </c>
      <c r="I126" s="110">
        <f>IF(AND($D$4=1,ISNUMBER($J$112)),IF('Parameters'!$B$25=2,H126+IF(G126=1,1,-1)*'Parameters'!$B$19*EXP(-H126)/(1+EXP(-H126)),F126+IF(G126=1,1,-1)*'Parameters'!$B$19*EXP(-F126)/(1+EXP(-F126))),"—")</f>
        <v>-0.762398412464542</v>
      </c>
      <c r="K126" s="61" t="inlineStr">
        <is>
          <t xml:space="preserve">Feature</t>
        </is>
      </c>
      <c r="L126" s="60" t="inlineStr">
        <is>
          <t xml:space="preserve">a₁</t>
        </is>
      </c>
      <c r="M126" s="60" t="inlineStr">
        <is>
          <t xml:space="preserve">a₂</t>
        </is>
      </c>
      <c r="N126" s="60" t="inlineStr">
        <is>
          <t xml:space="preserve">a₃</t>
        </is>
      </c>
      <c r="O126" s="60" t="inlineStr">
        <is>
          <t xml:space="preserve">a₄</t>
        </is>
      </c>
      <c r="P126" s="60" t="inlineStr">
        <is>
          <t xml:space="preserve">a₅</t>
        </is>
      </c>
      <c r="Q126" s="60" t="inlineStr">
        <is>
          <t xml:space="preserve">a₆</t>
        </is>
      </c>
      <c r="R126" s="112"/>
      <c r="S126" s="112"/>
      <c r="T126" s="112"/>
    </row>
    <row r="127">
      <c r="K127" s="65" t="inlineStr">
        <is>
          <t xml:space="preserve">In TUPLAM</t>
        </is>
      </c>
      <c r="L127" s="74">
        <f>IF(OR(B$13=1,AND(AND($D$4=1,ISNUMBER($J$112)),$J$112=1)),1,0)</f>
        <v>1</v>
      </c>
      <c r="M127" s="74">
        <f>IF(OR(C$13=1,AND(AND($D$4=1,ISNUMBER($J$112)),$J$112=2)),1,0)</f>
        <v>1</v>
      </c>
      <c r="N127" s="74">
        <f>IF(OR(D$13=1,AND(AND($D$4=1,ISNUMBER($J$112)),$J$112=3)),1,0)</f>
        <v>1</v>
      </c>
      <c r="O127" s="74">
        <f>IF(OR(E$13=1,AND(AND($D$4=1,ISNUMBER($J$112)),$J$112=4)),1,0)</f>
        <v>0</v>
      </c>
      <c r="P127" s="74">
        <f>IF(OR(F$13=1,AND(AND($D$4=1,ISNUMBER($J$112)),$J$112=5)),1,0)</f>
        <v>0</v>
      </c>
      <c r="Q127" s="74">
        <f>IF(OR(G$13=1,AND(AND($D$4=1,ISNUMBER($J$112)),$J$112=6)),1,0)</f>
        <v>1</v>
      </c>
    </row>
    <row r="128">
      <c r="A128" s="99" t="inlineStr">
        <is>
          <t xml:space="preserve">Each candidate block recomputes bₜ with the candidate feature; the one with the smallest θ/γ is added to TUPLAM and its values become the latent feature r₃.</t>
        </is>
      </c>
    </row>
    <row r="129">
      <c r="A129" s="99" t="inlineStr">
        <is>
          <t xml:space="preserve">Parameters α, δ, ϰ, cr1 and the two calculation switches (class centres, STEP 4 passes) are read from the Parameters sheet; the defaults reproduce the template exactly.</t>
        </is>
      </c>
    </row>
  </sheetData>
  <mergeCells count="69">
    <mergeCell ref="A1:T1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I3:K3"/>
    <mergeCell ref="M3:S3"/>
    <mergeCell ref="N4:S4"/>
    <mergeCell ref="N5:S5"/>
    <mergeCell ref="N6:S6"/>
    <mergeCell ref="N7:S7"/>
    <mergeCell ref="N8:S8"/>
    <mergeCell ref="N9:S9"/>
    <mergeCell ref="N10:S10"/>
    <mergeCell ref="N11:S11"/>
    <mergeCell ref="A16:P16"/>
    <mergeCell ref="A18:N18"/>
    <mergeCell ref="O18:P18"/>
    <mergeCell ref="K30:L30"/>
    <mergeCell ref="A32:N32"/>
    <mergeCell ref="O32:P32"/>
    <mergeCell ref="K44:L44"/>
    <mergeCell ref="A46:N46"/>
    <mergeCell ref="O46:P46"/>
    <mergeCell ref="K58:L58"/>
    <mergeCell ref="A60:N60"/>
    <mergeCell ref="O60:P60"/>
    <mergeCell ref="K72:L72"/>
    <mergeCell ref="A74:N74"/>
    <mergeCell ref="O74:P74"/>
    <mergeCell ref="K86:L86"/>
    <mergeCell ref="A88:N88"/>
    <mergeCell ref="O88:P88"/>
    <mergeCell ref="K100:L100"/>
    <mergeCell ref="R18:T29"/>
    <mergeCell ref="H102:L102"/>
    <mergeCell ref="H111:I111"/>
    <mergeCell ref="H112:I112"/>
    <mergeCell ref="A115:I115"/>
    <mergeCell ref="R116:T126"/>
    <mergeCell ref="K115:P115"/>
    <mergeCell ref="K116:L116"/>
    <mergeCell ref="M116:P116"/>
    <mergeCell ref="K117:L117"/>
    <mergeCell ref="M117:P117"/>
    <mergeCell ref="K118:L118"/>
    <mergeCell ref="M118:P118"/>
    <mergeCell ref="K119:L119"/>
    <mergeCell ref="M119:P119"/>
    <mergeCell ref="K120:L120"/>
    <mergeCell ref="M120:P120"/>
    <mergeCell ref="K121:L121"/>
    <mergeCell ref="M121:P121"/>
    <mergeCell ref="K122:L122"/>
    <mergeCell ref="M122:P122"/>
    <mergeCell ref="K123:L123"/>
    <mergeCell ref="M123:P123"/>
    <mergeCell ref="K124:P124"/>
  </mergeCells>
  <conditionalFormatting sqref="B13:G13">
    <cfRule type="cellIs" dxfId="0" priority="1" operator="equal">
      <formula>1</formula>
    </cfRule>
  </conditionalFormatting>
  <conditionalFormatting sqref="H104:L109">
    <cfRule type="expression" dxfId="0" priority="2">
      <formula>ROW()-103=$J$112</formula>
    </cfRule>
  </conditionalFormatting>
  <conditionalFormatting sqref="L127:Q127">
    <cfRule type="cellIs" dxfId="0" priority="3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548235"/>
    <pageSetUpPr fitToPage="1"/>
  </sheetPr>
  <dimension ref="A1:T1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8.77734375" customWidth="1"/>
    <col min="2" max="2" width="13.77734375" customWidth="1"/>
    <col min="3" max="3" width="4.77734375" customWidth="1"/>
    <col min="4" max="4" width="13.77734375" customWidth="1"/>
    <col min="5" max="5" width="4.77734375" customWidth="1"/>
    <col min="6" max="6" width="13.77734375" customWidth="1"/>
    <col min="7" max="7" width="9.77734375" customWidth="1"/>
    <col min="8" max="17" width="14.77734375" customWidth="1"/>
    <col min="18" max="20" width="16.77734375" customWidth="1"/>
  </cols>
  <sheetData>
    <row r="1" ht="20" customHeight="1">
      <c r="A1" s="57" t="inlineStr">
        <is>
          <t xml:space="preserve">Step 9.4 · Hierarchical agglomerative grouping — greedy search upon weight  →  latent (additional) feature r₄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</row>
    <row r="2"/>
    <row r="3">
      <c r="A3" s="58" t="inlineStr">
        <is>
          <t xml:space="preserve">State before iteration 4</t>
        </is>
      </c>
      <c r="B3" s="58"/>
      <c r="C3" s="58"/>
      <c r="D3" s="58"/>
      <c r="E3" s="58"/>
      <c r="F3" s="58"/>
      <c r="G3" s="58"/>
      <c r="I3" s="58" t="inlineStr">
        <is>
          <t xml:space="preserve">R(Sₜ) entering this iteration</t>
        </is>
      </c>
      <c r="J3" s="58"/>
      <c r="K3" s="58"/>
      <c r="M3" s="58" t="inlineStr">
        <is>
          <t xml:space="preserve">Definitions  ·  parameters (Parameters sheet)</t>
        </is>
      </c>
      <c r="N3" s="58"/>
      <c r="O3" s="58"/>
      <c r="P3" s="58"/>
      <c r="Q3" s="58"/>
      <c r="R3" s="58"/>
      <c r="S3" s="58"/>
    </row>
    <row r="4">
      <c r="A4" s="82" t="inlineStr">
        <is>
          <t xml:space="preserve">Iteration executed</t>
        </is>
      </c>
      <c r="B4" s="82"/>
      <c r="C4" s="82"/>
      <c r="D4" s="88">
        <f>'Greedy upon Weight (3-Latent)'!$M$123</f>
        <v>1</v>
      </c>
      <c r="E4" s="88"/>
      <c r="F4" s="88"/>
      <c r="G4" s="88"/>
      <c r="I4" s="60" t="inlineStr">
        <is>
          <t xml:space="preserve">№</t>
        </is>
      </c>
      <c r="J4" s="60" t="inlineStr">
        <is>
          <t xml:space="preserve">R(Sₜ)</t>
        </is>
      </c>
      <c r="K4" s="60" t="inlineStr">
        <is>
          <t xml:space="preserve">Class</t>
        </is>
      </c>
      <c r="M4" s="82" t="inlineStr">
        <is>
          <t xml:space="preserve">R(Sₜ)</t>
        </is>
      </c>
      <c r="N4" s="100" t="inlineStr">
        <is>
          <t xml:space="preserve">η_u(a_tu) of the first feature (STEP 2), then the latent feature of the previous iteration</t>
        </is>
      </c>
      <c r="O4" s="100"/>
      <c r="P4" s="100"/>
      <c r="Q4" s="100"/>
      <c r="R4" s="100"/>
      <c r="S4" s="100"/>
    </row>
    <row r="5">
      <c r="A5" s="82" t="inlineStr">
        <is>
          <t xml:space="preserve">Feature added in the previous iteration</t>
        </is>
      </c>
      <c r="B5" s="82"/>
      <c r="C5" s="82"/>
      <c r="D5" s="83">
        <f>'Greedy upon Weight (3-Latent)'!$M$117</f>
        <v>2</v>
      </c>
      <c r="E5" s="83"/>
      <c r="F5" s="83"/>
      <c r="G5" s="83"/>
      <c r="I5" s="64" t="inlineStr">
        <is>
          <t xml:space="preserve">S₁</t>
        </is>
      </c>
      <c r="J5" s="72">
        <f>IF($D$4=1,'Greedy upon Weight (3-Latent)'!$I$117,0)</f>
        <v>-0.147792690313897</v>
      </c>
      <c r="K5" s="68">
        <f>Dataset!O3</f>
        <v>2</v>
      </c>
      <c r="M5" s="82" t="inlineStr">
        <is>
          <t xml:space="preserve">bₜ</t>
        </is>
      </c>
      <c r="N5" s="100" t="inlineStr">
        <is>
          <t xml:space="preserve">R(Sₜ) + η_u(a_tu) for a candidate u ∈ P  (STEP 3)</t>
        </is>
      </c>
      <c r="O5" s="100"/>
      <c r="P5" s="100"/>
      <c r="Q5" s="100"/>
      <c r="R5" s="100"/>
      <c r="S5" s="100"/>
    </row>
    <row r="6">
      <c r="A6" s="82" t="inlineStr">
        <is>
          <t xml:space="preserve">TUPLAM before</t>
        </is>
      </c>
      <c r="B6" s="82"/>
      <c r="C6" s="82"/>
      <c r="D6" s="83" t="str">
        <f>'Greedy upon Weight (3-Latent)'!$M$119</f>
        <v>{a₆, a₃, a₁, a₂}</v>
      </c>
      <c r="E6" s="83"/>
      <c r="F6" s="83"/>
      <c r="G6" s="83"/>
      <c r="I6" s="64" t="inlineStr">
        <is>
          <t xml:space="preserve">S₂</t>
        </is>
      </c>
      <c r="J6" s="72">
        <f>IF($D$4=1,'Greedy upon Weight (3-Latent)'!$I$118,0)</f>
        <v>0.972305825213487</v>
      </c>
      <c r="K6" s="68">
        <f>Dataset!O4</f>
        <v>1</v>
      </c>
      <c r="M6" s="82" t="inlineStr">
        <is>
          <t xml:space="preserve">majorizer</t>
        </is>
      </c>
      <c r="N6" s="100" t="inlineStr">
        <is>
          <t xml:space="preserve">bₜ ← bₜ + α·σ(−bₜ) if Sₜ ∈ K1,  bₜ ← bₜ − α·σ(−bₜ) if Sₜ ∈ K2,  σ(x) = 1/(1 + e^(−x))</t>
        </is>
      </c>
      <c r="O6" s="100"/>
      <c r="P6" s="100"/>
      <c r="Q6" s="100"/>
      <c r="R6" s="100"/>
      <c r="S6" s="100"/>
    </row>
    <row r="7">
      <c r="A7" s="82" t="inlineStr">
        <is>
          <t xml:space="preserve">|TUPLAM| before</t>
        </is>
      </c>
      <c r="B7" s="82"/>
      <c r="C7" s="82"/>
      <c r="D7" s="83">
        <f>'Greedy upon Weight (3-Latent)'!$M$118</f>
        <v>4</v>
      </c>
      <c r="E7" s="83"/>
      <c r="F7" s="83"/>
      <c r="G7" s="83"/>
      <c r="I7" s="64" t="inlineStr">
        <is>
          <t xml:space="preserve">S₃</t>
        </is>
      </c>
      <c r="J7" s="72">
        <f>IF($D$4=1,'Greedy upon Weight (3-Latent)'!$I$119,0)</f>
        <v>-1.96899032950218</v>
      </c>
      <c r="K7" s="68">
        <f>Dataset!O5</f>
        <v>2</v>
      </c>
      <c r="M7" s="82" t="inlineStr">
        <is>
          <t xml:space="preserve">M₁, M₂</t>
        </is>
      </c>
      <c r="N7" s="100" t="inlineStr">
        <is>
          <t xml:space="preserve">class centres: running partial means (mode 1, template cells) or final means Σbₜ/|Kᵢ| (mode 2, article)</t>
        </is>
      </c>
      <c r="O7" s="100"/>
      <c r="P7" s="100"/>
      <c r="Q7" s="100"/>
      <c r="R7" s="100"/>
      <c r="S7" s="100"/>
    </row>
    <row r="8">
      <c r="A8" s="82" t="inlineStr">
        <is>
          <t xml:space="preserve">crit before</t>
        </is>
      </c>
      <c r="B8" s="82"/>
      <c r="C8" s="82"/>
      <c r="D8" s="85">
        <f>'Greedy upon Weight (3-Latent)'!$M$116</f>
        <v>0.27336281326965</v>
      </c>
      <c r="E8" s="85"/>
      <c r="F8" s="85"/>
      <c r="G8" s="85"/>
      <c r="I8" s="64" t="inlineStr">
        <is>
          <t xml:space="preserve">S₄</t>
        </is>
      </c>
      <c r="J8" s="72">
        <f>IF($D$4=1,'Greedy upon Weight (3-Latent)'!$I$120,0)</f>
        <v>1.23621345350815</v>
      </c>
      <c r="K8" s="68">
        <f>Dataset!O6</f>
        <v>1</v>
      </c>
      <c r="M8" s="82" t="inlineStr">
        <is>
          <t xml:space="preserve">θ</t>
        </is>
      </c>
      <c r="N8" s="100" t="inlineStr">
        <is>
          <t xml:space="preserve">intra-class similarity Σ |bₜ − M(own class)|</t>
        </is>
      </c>
      <c r="O8" s="100"/>
      <c r="P8" s="100"/>
      <c r="Q8" s="100"/>
      <c r="R8" s="100"/>
      <c r="S8" s="100"/>
    </row>
    <row r="9">
      <c r="A9" s="82" t="inlineStr">
        <is>
          <t xml:space="preserve">Candidates |P| before</t>
        </is>
      </c>
      <c r="B9" s="82"/>
      <c r="C9" s="82"/>
      <c r="D9" s="83">
        <f>'Greedy upon Weight (3-Latent)'!$M$120</f>
        <v>2</v>
      </c>
      <c r="E9" s="83"/>
      <c r="F9" s="83"/>
      <c r="G9" s="83"/>
      <c r="I9" s="64" t="inlineStr">
        <is>
          <t xml:space="preserve">S₅</t>
        </is>
      </c>
      <c r="J9" s="72">
        <f>IF($D$4=1,'Greedy upon Weight (3-Latent)'!$I$121,0)</f>
        <v>1.23621345350815</v>
      </c>
      <c r="K9" s="68">
        <f>Dataset!O7</f>
        <v>1</v>
      </c>
      <c r="M9" s="82" t="inlineStr">
        <is>
          <t xml:space="preserve">γ</t>
        </is>
      </c>
      <c r="N9" s="100" t="inlineStr">
        <is>
          <t xml:space="preserve">inter-class difference Σ |bₜ − M(other class)|</t>
        </is>
      </c>
      <c r="O9" s="100"/>
      <c r="P9" s="100"/>
      <c r="Q9" s="100"/>
      <c r="R9" s="100"/>
      <c r="S9" s="100"/>
    </row>
    <row r="10">
      <c r="A10" s="82" t="inlineStr">
        <is>
          <t xml:space="preserve">Candidates available now |P|</t>
        </is>
      </c>
      <c r="B10" s="82"/>
      <c r="C10" s="82"/>
      <c r="D10" s="83">
        <f>SUM(B14:G14)</f>
        <v>2</v>
      </c>
      <c r="E10" s="83"/>
      <c r="F10" s="83"/>
      <c r="G10" s="83"/>
      <c r="I10" s="64" t="inlineStr">
        <is>
          <t xml:space="preserve">S₆</t>
        </is>
      </c>
      <c r="J10" s="72">
        <f>IF($D$4=1,'Greedy upon Weight (3-Latent)'!$I$122,0)</f>
        <v>0.972305825213487</v>
      </c>
      <c r="K10" s="68">
        <f>Dataset!O8</f>
        <v>1</v>
      </c>
      <c r="M10" s="82" t="inlineStr">
        <is>
          <t xml:space="preserve">q</t>
        </is>
      </c>
      <c r="N10" s="100" t="inlineStr">
        <is>
          <t xml:space="preserve">argmin θ/γ over the available candidates (first one on ties);  crit = min θ/γ</t>
        </is>
      </c>
      <c r="O10" s="100"/>
      <c r="P10" s="100"/>
      <c r="Q10" s="100"/>
      <c r="R10" s="100"/>
      <c r="S10" s="100"/>
    </row>
    <row r="11">
      <c r="I11" s="64" t="inlineStr">
        <is>
          <t xml:space="preserve">S₇</t>
        </is>
      </c>
      <c r="J11" s="72">
        <f>IF($D$4=1,'Greedy upon Weight (3-Latent)'!$I$123,0)</f>
        <v>-0.762398412464542</v>
      </c>
      <c r="K11" s="68">
        <f>Dataset!O9</f>
        <v>2</v>
      </c>
      <c r="M11" s="82" t="inlineStr">
        <is>
          <t xml:space="preserve">stop</t>
        </is>
      </c>
      <c r="N11" s="100" t="inlineStr">
        <is>
          <t xml:space="preserve">continue while |TUPLAM| &lt; ϰ and crit &gt; δ (and P is not empty)</t>
        </is>
      </c>
      <c r="O11" s="100"/>
      <c r="P11" s="100"/>
      <c r="Q11" s="100"/>
      <c r="R11" s="100"/>
      <c r="S11" s="100"/>
    </row>
    <row r="12">
      <c r="A12" s="61" t="inlineStr">
        <is>
          <t xml:space="preserve">Feature</t>
        </is>
      </c>
      <c r="B12" s="60" t="inlineStr">
        <is>
          <t xml:space="preserve">a₁</t>
        </is>
      </c>
      <c r="C12" s="60" t="inlineStr">
        <is>
          <t xml:space="preserve">a₂</t>
        </is>
      </c>
      <c r="D12" s="60" t="inlineStr">
        <is>
          <t xml:space="preserve">a₃</t>
        </is>
      </c>
      <c r="E12" s="60" t="inlineStr">
        <is>
          <t xml:space="preserve">a₄</t>
        </is>
      </c>
      <c r="F12" s="60" t="inlineStr">
        <is>
          <t xml:space="preserve">a₅</t>
        </is>
      </c>
      <c r="G12" s="60" t="inlineStr">
        <is>
          <t xml:space="preserve">a₆</t>
        </is>
      </c>
      <c r="I12" s="64" t="inlineStr">
        <is>
          <t xml:space="preserve">S₈</t>
        </is>
      </c>
      <c r="J12" s="72">
        <f>IF($D$4=1,'Greedy upon Weight (3-Latent)'!$I$124,0)</f>
        <v>-0.762398412464542</v>
      </c>
      <c r="K12" s="68">
        <f>Dataset!O10</f>
        <v>2</v>
      </c>
      <c r="M12" s="82" t="inlineStr">
        <is>
          <t xml:space="preserve">α</t>
        </is>
      </c>
      <c r="N12" s="83">
        <f>'Parameters'!$B$19</f>
        <v>0.3</v>
      </c>
      <c r="O12" s="82" t="inlineStr">
        <is>
          <t xml:space="preserve">δ</t>
        </is>
      </c>
      <c r="P12" s="83">
        <f>'Parameters'!$B$20</f>
        <v>0.1</v>
      </c>
      <c r="Q12" s="82" t="inlineStr">
        <is>
          <t xml:space="preserve">ϰ</t>
        </is>
      </c>
      <c r="R12" s="83">
        <f>'Parameters'!$B$21</f>
        <v>5</v>
      </c>
    </row>
    <row r="13">
      <c r="A13" s="65" t="inlineStr">
        <is>
          <t xml:space="preserve">In TUPLAM before</t>
        </is>
      </c>
      <c r="B13" s="74">
        <f>'Greedy upon Weight (3-Latent)'!L127</f>
        <v>1</v>
      </c>
      <c r="C13" s="74">
        <f>'Greedy upon Weight (3-Latent)'!M127</f>
        <v>1</v>
      </c>
      <c r="D13" s="74">
        <f>'Greedy upon Weight (3-Latent)'!N127</f>
        <v>1</v>
      </c>
      <c r="E13" s="74">
        <f>'Greedy upon Weight (3-Latent)'!O127</f>
        <v>0</v>
      </c>
      <c r="F13" s="74">
        <f>'Greedy upon Weight (3-Latent)'!P127</f>
        <v>0</v>
      </c>
      <c r="G13" s="74">
        <f>'Greedy upon Weight (3-Latent)'!Q127</f>
        <v>1</v>
      </c>
      <c r="I13" s="64" t="inlineStr">
        <is>
          <t xml:space="preserve">S₉</t>
        </is>
      </c>
      <c r="J13" s="72">
        <f>IF($D$4=1,'Greedy upon Weight (3-Latent)'!$I$125,0)</f>
        <v>-0.762398412464542</v>
      </c>
      <c r="K13" s="68">
        <f>Dataset!O11</f>
        <v>2</v>
      </c>
      <c r="M13" s="82" t="inlineStr">
        <is>
          <t xml:space="preserve">centres</t>
        </is>
      </c>
      <c r="N13" s="83">
        <f>'Parameters'!$B$24</f>
        <v>1</v>
      </c>
      <c r="O13" s="82" t="inlineStr">
        <is>
          <t xml:space="preserve">passes</t>
        </is>
      </c>
      <c r="P13" s="83">
        <f>'Parameters'!$B$25</f>
        <v>2</v>
      </c>
      <c r="Q13" s="82" t="inlineStr">
        <is>
          <t xml:space="preserve">cr1₀</t>
        </is>
      </c>
      <c r="R13" s="83">
        <f>'Parameters'!$B$22</f>
        <v>10</v>
      </c>
    </row>
    <row r="14">
      <c r="A14" s="65" t="inlineStr">
        <is>
          <t xml:space="preserve">Available in P</t>
        </is>
      </c>
      <c r="B14" s="74">
        <f>IF(AND($D$4=1,B13=0),1,0)</f>
        <v>0</v>
      </c>
      <c r="C14" s="74">
        <f>IF(AND($D$4=1,C13=0),1,0)</f>
        <v>0</v>
      </c>
      <c r="D14" s="74">
        <f>IF(AND($D$4=1,D13=0),1,0)</f>
        <v>0</v>
      </c>
      <c r="E14" s="74">
        <f>IF(AND($D$4=1,E13=0),1,0)</f>
        <v>1</v>
      </c>
      <c r="F14" s="74">
        <f>IF(AND($D$4=1,F13=0),1,0)</f>
        <v>1</v>
      </c>
      <c r="G14" s="74">
        <f>IF(AND($D$4=1,G13=0),1,0)</f>
        <v>0</v>
      </c>
      <c r="I14" s="64" t="inlineStr">
        <is>
          <t xml:space="preserve">S₁₀</t>
        </is>
      </c>
      <c r="J14" s="72">
        <f>IF($D$4=1,'Greedy upon Weight (3-Latent)'!$I$126,0)</f>
        <v>-0.762398412464542</v>
      </c>
      <c r="K14" s="68">
        <f>Dataset!O12</f>
        <v>2</v>
      </c>
    </row>
    <row r="15"/>
    <row r="16">
      <c r="A16" s="58" t="inlineStr">
        <is>
          <t xml:space="preserve">STEP 3 — try adding each remaining feature:  bₜ = R(Sₜ) + ηᵤ(a_tu),  majorizer,  θ / γ</t>
        </is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</row>
    <row r="17"/>
    <row r="18">
      <c r="A18" s="59" t="str">
        <f>"Candidate a₁  ·  operator ρ  ·  k = "&amp;'Synthetic Features (k-NN)'!$B$4&amp;"   —   bₜ = R(Sₜ) + η₁(a_t₁)"</f>
        <v>Candidate a₁  ·  operator ρ  ·  k = 3   —   bₜ = R(Sₜ) + η₁(a_t₁)</v>
      </c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84" t="str">
        <f>IF(B$14=1,"available",IF($D$4=1,"in TUPLAM — skipped","iteration not executed"))</f>
        <v>in TUPLAM — skipped</v>
      </c>
      <c r="P18" s="84"/>
      <c r="R18" s="104" t="inlineStr">
        <is>
          <t xml:space="preserve">⚠1  Class centres (orange columns I–L).  With Parameters!B24 = 1 (default = template) M₁ and M₂ in each row are running partial means of the rows above, as in the template cells K32 = I32/COUNTIF($G$32:$G$41,1).  The article uses the final means M = Σbₜ/|K| (B24 = 2).  See sheet “Template Deviations”.</t>
        </is>
      </c>
      <c r="S18" s="104"/>
      <c r="T18" s="104"/>
    </row>
    <row r="19">
      <c r="A19" s="60" t="inlineStr">
        <is>
          <t xml:space="preserve">№</t>
        </is>
      </c>
      <c r="B19" s="60" t="inlineStr">
        <is>
          <t xml:space="preserve">R(Sₜ)</t>
        </is>
      </c>
      <c r="C19" s="60" t="inlineStr">
        <is>
          <t xml:space="preserve">+</t>
        </is>
      </c>
      <c r="D19" s="60" t="inlineStr">
        <is>
          <t xml:space="preserve">ηᵤ(a_tu)</t>
        </is>
      </c>
      <c r="E19" s="60" t="inlineStr">
        <is>
          <t xml:space="preserve">=</t>
        </is>
      </c>
      <c r="F19" s="60" t="inlineStr">
        <is>
          <t xml:space="preserve">bₜ</t>
        </is>
      </c>
      <c r="G19" s="60" t="inlineStr">
        <is>
          <t xml:space="preserve">Class</t>
        </is>
      </c>
      <c r="H19" s="60" t="inlineStr">
        <is>
          <t xml:space="preserve">bₜ (majorized)</t>
        </is>
      </c>
      <c r="I19" s="103" t="inlineStr">
        <is>
          <t xml:space="preserve">⚠1 Σ K1 (running)</t>
        </is>
      </c>
      <c r="J19" s="103" t="inlineStr">
        <is>
          <t xml:space="preserve">⚠1 Σ K2 (running)</t>
        </is>
      </c>
      <c r="K19" s="103" t="inlineStr">
        <is>
          <t xml:space="preserve">⚠1 M₁ used</t>
        </is>
      </c>
      <c r="L19" s="103" t="inlineStr">
        <is>
          <t xml:space="preserve">⚠1 M₂ used</t>
        </is>
      </c>
      <c r="M19" s="60" t="inlineStr">
        <is>
          <t xml:space="preserve">|b − M own|</t>
        </is>
      </c>
      <c r="N19" s="60" t="inlineStr">
        <is>
          <t xml:space="preserve">|b − M other|</t>
        </is>
      </c>
      <c r="R19" s="104"/>
      <c r="S19" s="104"/>
      <c r="T19" s="104"/>
    </row>
    <row r="20">
      <c r="A20" s="64" t="inlineStr">
        <is>
          <t xml:space="preserve">b₁</t>
        </is>
      </c>
      <c r="B20" s="72">
        <f>$J$5</f>
        <v>-0.147792690313897</v>
      </c>
      <c r="C20" s="79" t="inlineStr">
        <is>
          <t xml:space="preserve">+</t>
        </is>
      </c>
      <c r="D20" s="72">
        <f>INDEX('Ψ(r) Contribution &amp; Weight'!$B$18:$G$18,1)</f>
        <v>0.15</v>
      </c>
      <c r="E20" s="79" t="inlineStr">
        <is>
          <t xml:space="preserve">=</t>
        </is>
      </c>
      <c r="F20" s="72">
        <f>SUM(B20,D20)</f>
        <v>0.00220730968610255</v>
      </c>
      <c r="G20" s="68">
        <f>Dataset!O3</f>
        <v>2</v>
      </c>
      <c r="H20" s="72">
        <f>IF(OR(G20=1,G20=2),F20+IF(G20=1,1,-1)*'Parameters'!$B$19*EXP(-F20)/(1+EXP(-F20)),"—")</f>
        <v>-0.147627142154655</v>
      </c>
      <c r="I20" s="102">
        <f>IF(G20=1,H20,0)</f>
        <v>0</v>
      </c>
      <c r="J20" s="102">
        <f>IF(G20=2,H20,0)</f>
        <v>-0.147627142154655</v>
      </c>
      <c r="K20" s="102">
        <f>IF('Parameters'!$B$24=1,I20/'Parameters'!$B$6,SUMIF($G$20:$G$29,1,$H$20:$H$29)/'Parameters'!$B$6)</f>
        <v>0</v>
      </c>
      <c r="L20" s="102">
        <f>IF('Parameters'!$B$24=1,J20/'Parameters'!$B$7,SUMIF($G$20:$G$29,2,$H$20:$H$29)/'Parameters'!$B$7)</f>
        <v>-0.0246045236924425</v>
      </c>
      <c r="M20" s="72">
        <f>ABS(H20-IF(G20=1,K20,L20))</f>
        <v>0.123022618462213</v>
      </c>
      <c r="N20" s="72">
        <f>ABS(H20-IF(G20=1,L20,K20))</f>
        <v>0.147627142154655</v>
      </c>
      <c r="R20" s="104"/>
      <c r="S20" s="104"/>
      <c r="T20" s="104"/>
    </row>
    <row r="21">
      <c r="A21" s="64" t="inlineStr">
        <is>
          <t xml:space="preserve">b₂</t>
        </is>
      </c>
      <c r="B21" s="72">
        <f>$J$6</f>
        <v>0.972305825213487</v>
      </c>
      <c r="C21" s="79" t="inlineStr">
        <is>
          <t xml:space="preserve">+</t>
        </is>
      </c>
      <c r="D21" s="72">
        <f>INDEX('Ψ(r) Contribution &amp; Weight'!$B$19:$G$19,1)</f>
        <v>0.15</v>
      </c>
      <c r="E21" s="79" t="inlineStr">
        <is>
          <t xml:space="preserve">=</t>
        </is>
      </c>
      <c r="F21" s="72">
        <f>SUM(B21,D21)</f>
        <v>1.12230582521349</v>
      </c>
      <c r="G21" s="68">
        <f>Dataset!O4</f>
        <v>1</v>
      </c>
      <c r="H21" s="72">
        <f>IF(OR(G21=1,G21=2),F21+IF(G21=1,1,-1)*'Parameters'!$B$19*EXP(-F21)/(1+EXP(-F21)),"—")</f>
        <v>1.19598097336782</v>
      </c>
      <c r="I21" s="102">
        <f>I20+IF(G21=1,H21,0)</f>
        <v>1.19598097336782</v>
      </c>
      <c r="J21" s="102">
        <f>J20+IF(G21=2,H21,0)</f>
        <v>-0.147627142154655</v>
      </c>
      <c r="K21" s="102">
        <f>IF('Parameters'!$B$24=1,I21/'Parameters'!$B$6,SUMIF($G$20:$G$29,1,$H$20:$H$29)/'Parameters'!$B$6)</f>
        <v>0.298995243341955</v>
      </c>
      <c r="L21" s="102">
        <f>IF('Parameters'!$B$24=1,J21/'Parameters'!$B$7,SUMIF($G$20:$G$29,2,$H$20:$H$29)/'Parameters'!$B$7)</f>
        <v>-0.0246045236924425</v>
      </c>
      <c r="M21" s="72">
        <f>ABS(H21-IF(G21=1,K21,L21))</f>
        <v>0.896985730025864</v>
      </c>
      <c r="N21" s="72">
        <f>ABS(H21-IF(G21=1,L21,K21))</f>
        <v>1.22058549706026</v>
      </c>
      <c r="R21" s="104"/>
      <c r="S21" s="104"/>
      <c r="T21" s="104"/>
    </row>
    <row r="22">
      <c r="A22" s="64" t="inlineStr">
        <is>
          <t xml:space="preserve">b₃</t>
        </is>
      </c>
      <c r="B22" s="72">
        <f>$J$7</f>
        <v>-1.96899032950218</v>
      </c>
      <c r="C22" s="79" t="inlineStr">
        <is>
          <t xml:space="preserve">+</t>
        </is>
      </c>
      <c r="D22" s="72">
        <f>INDEX('Ψ(r) Contribution &amp; Weight'!$B$20:$G$20,1)</f>
        <v>-0.15</v>
      </c>
      <c r="E22" s="79" t="inlineStr">
        <is>
          <t xml:space="preserve">=</t>
        </is>
      </c>
      <c r="F22" s="72">
        <f>SUM(B22,D22)</f>
        <v>-2.11899032950218</v>
      </c>
      <c r="G22" s="68">
        <f>Dataset!O5</f>
        <v>2</v>
      </c>
      <c r="H22" s="72">
        <f>IF(OR(G22=1,G22=2),F22+IF(G22=1,1,-1)*'Parameters'!$B$19*EXP(-F22)/(1+EXP(-F22)),"—")</f>
        <v>-2.38681091434533</v>
      </c>
      <c r="I22" s="102">
        <f>I21+IF(G22=1,H22,0)</f>
        <v>1.19598097336782</v>
      </c>
      <c r="J22" s="102">
        <f>J21+IF(G22=2,H22,0)</f>
        <v>-2.53443805649998</v>
      </c>
      <c r="K22" s="102">
        <f>IF('Parameters'!$B$24=1,I22/'Parameters'!$B$6,SUMIF($G$20:$G$29,1,$H$20:$H$29)/'Parameters'!$B$6)</f>
        <v>0.298995243341955</v>
      </c>
      <c r="L22" s="102">
        <f>IF('Parameters'!$B$24=1,J22/'Parameters'!$B$7,SUMIF($G$20:$G$29,2,$H$20:$H$29)/'Parameters'!$B$7)</f>
        <v>-0.422406342749997</v>
      </c>
      <c r="M22" s="72">
        <f>ABS(H22-IF(G22=1,K22,L22))</f>
        <v>1.96440457159533</v>
      </c>
      <c r="N22" s="72">
        <f>ABS(H22-IF(G22=1,L22,K22))</f>
        <v>2.68580615768728</v>
      </c>
      <c r="R22" s="104"/>
      <c r="S22" s="104"/>
      <c r="T22" s="104"/>
    </row>
    <row r="23">
      <c r="A23" s="64" t="inlineStr">
        <is>
          <t xml:space="preserve">b₄</t>
        </is>
      </c>
      <c r="B23" s="72">
        <f>$J$8</f>
        <v>1.23621345350815</v>
      </c>
      <c r="C23" s="79" t="inlineStr">
        <is>
          <t xml:space="preserve">+</t>
        </is>
      </c>
      <c r="D23" s="72">
        <f>INDEX('Ψ(r) Contribution &amp; Weight'!$B$21:$G$21,1)</f>
        <v>0.15</v>
      </c>
      <c r="E23" s="79" t="inlineStr">
        <is>
          <t xml:space="preserve">=</t>
        </is>
      </c>
      <c r="F23" s="72">
        <f>SUM(B23,D23)</f>
        <v>1.38621345350815</v>
      </c>
      <c r="G23" s="68">
        <f>Dataset!O6</f>
        <v>1</v>
      </c>
      <c r="H23" s="72">
        <f>IF(OR(G23=1,G23=2),F23+IF(G23=1,1,-1)*'Parameters'!$B$19*EXP(-F23)/(1+EXP(-F23)),"—")</f>
        <v>1.44621733716778</v>
      </c>
      <c r="I23" s="102">
        <f>I22+IF(G23=1,H23,0)</f>
        <v>2.64219831053559</v>
      </c>
      <c r="J23" s="102">
        <f>J22+IF(G23=2,H23,0)</f>
        <v>-2.53443805649998</v>
      </c>
      <c r="K23" s="102">
        <f>IF('Parameters'!$B$24=1,I23/'Parameters'!$B$6,SUMIF($G$20:$G$29,1,$H$20:$H$29)/'Parameters'!$B$6)</f>
        <v>0.660549577633899</v>
      </c>
      <c r="L23" s="102">
        <f>IF('Parameters'!$B$24=1,J23/'Parameters'!$B$7,SUMIF($G$20:$G$29,2,$H$20:$H$29)/'Parameters'!$B$7)</f>
        <v>-0.422406342749997</v>
      </c>
      <c r="M23" s="72">
        <f>ABS(H23-IF(G23=1,K23,L23))</f>
        <v>0.785667759533878</v>
      </c>
      <c r="N23" s="72">
        <f>ABS(H23-IF(G23=1,L23,K23))</f>
        <v>1.86862367991777</v>
      </c>
      <c r="R23" s="104"/>
      <c r="S23" s="104"/>
      <c r="T23" s="104"/>
    </row>
    <row r="24">
      <c r="A24" s="64" t="inlineStr">
        <is>
          <t xml:space="preserve">b₅</t>
        </is>
      </c>
      <c r="B24" s="72">
        <f>$J$9</f>
        <v>1.23621345350815</v>
      </c>
      <c r="C24" s="79" t="inlineStr">
        <is>
          <t xml:space="preserve">+</t>
        </is>
      </c>
      <c r="D24" s="72">
        <f>INDEX('Ψ(r) Contribution &amp; Weight'!$B$22:$G$22,1)</f>
        <v>0.15</v>
      </c>
      <c r="E24" s="79" t="inlineStr">
        <is>
          <t xml:space="preserve">=</t>
        </is>
      </c>
      <c r="F24" s="72">
        <f>SUM(B24,D24)</f>
        <v>1.38621345350815</v>
      </c>
      <c r="G24" s="68">
        <f>Dataset!O7</f>
        <v>1</v>
      </c>
      <c r="H24" s="72">
        <f>IF(OR(G24=1,G24=2),F24+IF(G24=1,1,-1)*'Parameters'!$B$19*EXP(-F24)/(1+EXP(-F24)),"—")</f>
        <v>1.44621733716778</v>
      </c>
      <c r="I24" s="102">
        <f>I23+IF(G24=1,H24,0)</f>
        <v>4.08841564770337</v>
      </c>
      <c r="J24" s="102">
        <f>J23+IF(G24=2,H24,0)</f>
        <v>-2.53443805649998</v>
      </c>
      <c r="K24" s="102">
        <f>IF('Parameters'!$B$24=1,I24/'Parameters'!$B$6,SUMIF($G$20:$G$29,1,$H$20:$H$29)/'Parameters'!$B$6)</f>
        <v>1.02210391192584</v>
      </c>
      <c r="L24" s="102">
        <f>IF('Parameters'!$B$24=1,J24/'Parameters'!$B$7,SUMIF($G$20:$G$29,2,$H$20:$H$29)/'Parameters'!$B$7)</f>
        <v>-0.422406342749997</v>
      </c>
      <c r="M24" s="72">
        <f>ABS(H24-IF(G24=1,K24,L24))</f>
        <v>0.424113425241933</v>
      </c>
      <c r="N24" s="72">
        <f>ABS(H24-IF(G24=1,L24,K24))</f>
        <v>1.86862367991777</v>
      </c>
      <c r="R24" s="104"/>
      <c r="S24" s="104"/>
      <c r="T24" s="104"/>
    </row>
    <row r="25">
      <c r="A25" s="64" t="inlineStr">
        <is>
          <t xml:space="preserve">b₆</t>
        </is>
      </c>
      <c r="B25" s="72">
        <f>$J$10</f>
        <v>0.972305825213487</v>
      </c>
      <c r="C25" s="79" t="inlineStr">
        <is>
          <t xml:space="preserve">+</t>
        </is>
      </c>
      <c r="D25" s="72">
        <f>INDEX('Ψ(r) Contribution &amp; Weight'!$B$23:$G$23,1)</f>
        <v>0.15</v>
      </c>
      <c r="E25" s="79" t="inlineStr">
        <is>
          <t xml:space="preserve">=</t>
        </is>
      </c>
      <c r="F25" s="72">
        <f>SUM(B25,D25)</f>
        <v>1.12230582521349</v>
      </c>
      <c r="G25" s="68">
        <f>Dataset!O8</f>
        <v>1</v>
      </c>
      <c r="H25" s="72">
        <f>IF(OR(G25=1,G25=2),F25+IF(G25=1,1,-1)*'Parameters'!$B$19*EXP(-F25)/(1+EXP(-F25)),"—")</f>
        <v>1.19598097336782</v>
      </c>
      <c r="I25" s="102">
        <f>I24+IF(G25=1,H25,0)</f>
        <v>5.28439662107119</v>
      </c>
      <c r="J25" s="102">
        <f>J24+IF(G25=2,H25,0)</f>
        <v>-2.53443805649998</v>
      </c>
      <c r="K25" s="102">
        <f>IF('Parameters'!$B$24=1,I25/'Parameters'!$B$6,SUMIF($G$20:$G$29,1,$H$20:$H$29)/'Parameters'!$B$6)</f>
        <v>1.3210991552678</v>
      </c>
      <c r="L25" s="102">
        <f>IF('Parameters'!$B$24=1,J25/'Parameters'!$B$7,SUMIF($G$20:$G$29,2,$H$20:$H$29)/'Parameters'!$B$7)</f>
        <v>-0.422406342749997</v>
      </c>
      <c r="M25" s="72">
        <f>ABS(H25-IF(G25=1,K25,L25))</f>
        <v>0.125118181899979</v>
      </c>
      <c r="N25" s="72">
        <f>ABS(H25-IF(G25=1,L25,K25))</f>
        <v>1.61838731611782</v>
      </c>
      <c r="R25" s="104"/>
      <c r="S25" s="104"/>
      <c r="T25" s="104"/>
    </row>
    <row r="26">
      <c r="A26" s="64" t="inlineStr">
        <is>
          <t xml:space="preserve">b₇</t>
        </is>
      </c>
      <c r="B26" s="72">
        <f>$J$11</f>
        <v>-0.762398412464542</v>
      </c>
      <c r="C26" s="79" t="inlineStr">
        <is>
          <t xml:space="preserve">+</t>
        </is>
      </c>
      <c r="D26" s="72">
        <f>INDEX('Ψ(r) Contribution &amp; Weight'!$B$24:$G$24,1)</f>
        <v>0.15</v>
      </c>
      <c r="E26" s="79" t="inlineStr">
        <is>
          <t xml:space="preserve">=</t>
        </is>
      </c>
      <c r="F26" s="72">
        <f>SUM(B26,D26)</f>
        <v>-0.612398412464542</v>
      </c>
      <c r="G26" s="68">
        <f>Dataset!O9</f>
        <v>2</v>
      </c>
      <c r="H26" s="72">
        <f>IF(OR(G26=1,G26=2),F26+IF(G26=1,1,-1)*'Parameters'!$B$19*EXP(-F26)/(1+EXP(-F26)),"—")</f>
        <v>-0.806944727884811</v>
      </c>
      <c r="I26" s="102">
        <f>I25+IF(G26=1,H26,0)</f>
        <v>5.28439662107119</v>
      </c>
      <c r="J26" s="102">
        <f>J25+IF(G26=2,H26,0)</f>
        <v>-3.34138278438479</v>
      </c>
      <c r="K26" s="102">
        <f>IF('Parameters'!$B$24=1,I26/'Parameters'!$B$6,SUMIF($G$20:$G$29,1,$H$20:$H$29)/'Parameters'!$B$6)</f>
        <v>1.3210991552678</v>
      </c>
      <c r="L26" s="102">
        <f>IF('Parameters'!$B$24=1,J26/'Parameters'!$B$7,SUMIF($G$20:$G$29,2,$H$20:$H$29)/'Parameters'!$B$7)</f>
        <v>-0.556897130730799</v>
      </c>
      <c r="M26" s="72">
        <f>ABS(H26-IF(G26=1,K26,L26))</f>
        <v>0.250047597154013</v>
      </c>
      <c r="N26" s="72">
        <f>ABS(H26-IF(G26=1,L26,K26))</f>
        <v>2.12804388315261</v>
      </c>
      <c r="R26" s="104"/>
      <c r="S26" s="104"/>
      <c r="T26" s="104"/>
    </row>
    <row r="27">
      <c r="A27" s="64" t="inlineStr">
        <is>
          <t xml:space="preserve">b₈</t>
        </is>
      </c>
      <c r="B27" s="72">
        <f>$J$12</f>
        <v>-0.762398412464542</v>
      </c>
      <c r="C27" s="79" t="inlineStr">
        <is>
          <t xml:space="preserve">+</t>
        </is>
      </c>
      <c r="D27" s="72">
        <f>INDEX('Ψ(r) Contribution &amp; Weight'!$B$25:$G$25,1)</f>
        <v>0.15</v>
      </c>
      <c r="E27" s="79" t="inlineStr">
        <is>
          <t xml:space="preserve">=</t>
        </is>
      </c>
      <c r="F27" s="72">
        <f>SUM(B27,D27)</f>
        <v>-0.612398412464542</v>
      </c>
      <c r="G27" s="68">
        <f>Dataset!O10</f>
        <v>2</v>
      </c>
      <c r="H27" s="72">
        <f>IF(OR(G27=1,G27=2),F27+IF(G27=1,1,-1)*'Parameters'!$B$19*EXP(-F27)/(1+EXP(-F27)),"—")</f>
        <v>-0.806944727884811</v>
      </c>
      <c r="I27" s="102">
        <f>I26+IF(G27=1,H27,0)</f>
        <v>5.28439662107119</v>
      </c>
      <c r="J27" s="102">
        <f>J26+IF(G27=2,H27,0)</f>
        <v>-4.1483275122696</v>
      </c>
      <c r="K27" s="102">
        <f>IF('Parameters'!$B$24=1,I27/'Parameters'!$B$6,SUMIF($G$20:$G$29,1,$H$20:$H$29)/'Parameters'!$B$6)</f>
        <v>1.3210991552678</v>
      </c>
      <c r="L27" s="102">
        <f>IF('Parameters'!$B$24=1,J27/'Parameters'!$B$7,SUMIF($G$20:$G$29,2,$H$20:$H$29)/'Parameters'!$B$7)</f>
        <v>-0.691387918711601</v>
      </c>
      <c r="M27" s="72">
        <f>ABS(H27-IF(G27=1,K27,L27))</f>
        <v>0.115556809173211</v>
      </c>
      <c r="N27" s="72">
        <f>ABS(H27-IF(G27=1,L27,K27))</f>
        <v>2.12804388315261</v>
      </c>
      <c r="R27" s="104"/>
      <c r="S27" s="104"/>
      <c r="T27" s="104"/>
    </row>
    <row r="28">
      <c r="A28" s="64" t="inlineStr">
        <is>
          <t xml:space="preserve">b₉</t>
        </is>
      </c>
      <c r="B28" s="72">
        <f>$J$13</f>
        <v>-0.762398412464542</v>
      </c>
      <c r="C28" s="79" t="inlineStr">
        <is>
          <t xml:space="preserve">+</t>
        </is>
      </c>
      <c r="D28" s="72">
        <f>INDEX('Ψ(r) Contribution &amp; Weight'!$B$26:$G$26,1)</f>
        <v>0.15</v>
      </c>
      <c r="E28" s="79" t="inlineStr">
        <is>
          <t xml:space="preserve">=</t>
        </is>
      </c>
      <c r="F28" s="72">
        <f>SUM(B28,D28)</f>
        <v>-0.612398412464542</v>
      </c>
      <c r="G28" s="68">
        <f>Dataset!O11</f>
        <v>2</v>
      </c>
      <c r="H28" s="72">
        <f>IF(OR(G28=1,G28=2),F28+IF(G28=1,1,-1)*'Parameters'!$B$19*EXP(-F28)/(1+EXP(-F28)),"—")</f>
        <v>-0.806944727884811</v>
      </c>
      <c r="I28" s="102">
        <f>I27+IF(G28=1,H28,0)</f>
        <v>5.28439662107119</v>
      </c>
      <c r="J28" s="102">
        <f>J27+IF(G28=2,H28,0)</f>
        <v>-4.95527224015441</v>
      </c>
      <c r="K28" s="102">
        <f>IF('Parameters'!$B$24=1,I28/'Parameters'!$B$6,SUMIF($G$20:$G$29,1,$H$20:$H$29)/'Parameters'!$B$6)</f>
        <v>1.3210991552678</v>
      </c>
      <c r="L28" s="102">
        <f>IF('Parameters'!$B$24=1,J28/'Parameters'!$B$7,SUMIF($G$20:$G$29,2,$H$20:$H$29)/'Parameters'!$B$7)</f>
        <v>-0.825878706692402</v>
      </c>
      <c r="M28" s="72">
        <f>ABS(H28-IF(G28=1,K28,L28))</f>
        <v>0.0189339788075912</v>
      </c>
      <c r="N28" s="72">
        <f>ABS(H28-IF(G28=1,L28,K28))</f>
        <v>2.12804388315261</v>
      </c>
      <c r="R28" s="104"/>
      <c r="S28" s="104"/>
      <c r="T28" s="104"/>
    </row>
    <row r="29">
      <c r="A29" s="64" t="inlineStr">
        <is>
          <t xml:space="preserve">b₁₀</t>
        </is>
      </c>
      <c r="B29" s="72">
        <f>$J$14</f>
        <v>-0.762398412464542</v>
      </c>
      <c r="C29" s="79" t="inlineStr">
        <is>
          <t xml:space="preserve">+</t>
        </is>
      </c>
      <c r="D29" s="72">
        <f>INDEX('Ψ(r) Contribution &amp; Weight'!$B$27:$G$27,1)</f>
        <v>0.15</v>
      </c>
      <c r="E29" s="79" t="inlineStr">
        <is>
          <t xml:space="preserve">=</t>
        </is>
      </c>
      <c r="F29" s="72">
        <f>SUM(B29,D29)</f>
        <v>-0.612398412464542</v>
      </c>
      <c r="G29" s="68">
        <f>Dataset!O12</f>
        <v>2</v>
      </c>
      <c r="H29" s="72">
        <f>IF(OR(G29=1,G29=2),F29+IF(G29=1,1,-1)*'Parameters'!$B$19*EXP(-F29)/(1+EXP(-F29)),"—")</f>
        <v>-0.806944727884811</v>
      </c>
      <c r="I29" s="102">
        <f>I28+IF(G29=1,H29,0)</f>
        <v>5.28439662107119</v>
      </c>
      <c r="J29" s="102">
        <f>J28+IF(G29=2,H29,0)</f>
        <v>-5.76221696803923</v>
      </c>
      <c r="K29" s="102">
        <f>IF('Parameters'!$B$24=1,I29/'Parameters'!$B$6,SUMIF($G$20:$G$29,1,$H$20:$H$29)/'Parameters'!$B$6)</f>
        <v>1.3210991552678</v>
      </c>
      <c r="L29" s="102">
        <f>IF('Parameters'!$B$24=1,J29/'Parameters'!$B$7,SUMIF($G$20:$G$29,2,$H$20:$H$29)/'Parameters'!$B$7)</f>
        <v>-0.960369494673204</v>
      </c>
      <c r="M29" s="72">
        <f>ABS(H29-IF(G29=1,K29,L29))</f>
        <v>0.153424766788393</v>
      </c>
      <c r="N29" s="72">
        <f>ABS(H29-IF(G29=1,L29,K29))</f>
        <v>2.12804388315261</v>
      </c>
      <c r="R29" s="104"/>
      <c r="S29" s="104"/>
      <c r="T29" s="104"/>
    </row>
    <row r="30">
      <c r="K30" s="82" t="inlineStr">
        <is>
          <t xml:space="preserve">θ, γ  →</t>
        </is>
      </c>
      <c r="L30" s="82"/>
      <c r="M30" s="85">
        <f>SUM(M20:M29)</f>
        <v>4.8572754386824</v>
      </c>
      <c r="N30" s="85">
        <f>SUM(N20:N29)</f>
        <v>17.921829005466</v>
      </c>
      <c r="O30" s="82" t="inlineStr">
        <is>
          <t xml:space="preserve">θ / γ</t>
        </is>
      </c>
      <c r="P30" s="92" t="str">
        <f>IF(B$14=1,M30/N30,"—")</f>
        <v>—</v>
      </c>
    </row>
    <row r="31"/>
    <row r="32">
      <c r="A32" s="59" t="str">
        <f>"Candidate a₂  ·  operator ρ  ·  k = "&amp;'Synthetic Features (k-NN)'!$C$4&amp;"   —   bₜ = R(Sₜ) + η₂(a_t₂)"</f>
        <v>Candidate a₂  ·  operator ρ  ·  k = 5   —   bₜ = R(Sₜ) + η₂(a_t₂)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84" t="str">
        <f>IF(C$14=1,"available",IF($D$4=1,"in TUPLAM — skipped","iteration not executed"))</f>
        <v>in TUPLAM — skipped</v>
      </c>
      <c r="P32" s="84"/>
    </row>
    <row r="33">
      <c r="A33" s="60" t="inlineStr">
        <is>
          <t xml:space="preserve">№</t>
        </is>
      </c>
      <c r="B33" s="60" t="inlineStr">
        <is>
          <t xml:space="preserve">R(Sₜ)</t>
        </is>
      </c>
      <c r="C33" s="60" t="inlineStr">
        <is>
          <t xml:space="preserve">+</t>
        </is>
      </c>
      <c r="D33" s="60" t="inlineStr">
        <is>
          <t xml:space="preserve">ηᵤ(a_tu)</t>
        </is>
      </c>
      <c r="E33" s="60" t="inlineStr">
        <is>
          <t xml:space="preserve">=</t>
        </is>
      </c>
      <c r="F33" s="60" t="inlineStr">
        <is>
          <t xml:space="preserve">bₜ</t>
        </is>
      </c>
      <c r="G33" s="60" t="inlineStr">
        <is>
          <t xml:space="preserve">Class</t>
        </is>
      </c>
      <c r="H33" s="60" t="inlineStr">
        <is>
          <t xml:space="preserve">bₜ (majorized)</t>
        </is>
      </c>
      <c r="I33" s="103" t="inlineStr">
        <is>
          <t xml:space="preserve">⚠1 Σ K1 (running)</t>
        </is>
      </c>
      <c r="J33" s="103" t="inlineStr">
        <is>
          <t xml:space="preserve">⚠1 Σ K2 (running)</t>
        </is>
      </c>
      <c r="K33" s="103" t="inlineStr">
        <is>
          <t xml:space="preserve">⚠1 M₁ used</t>
        </is>
      </c>
      <c r="L33" s="103" t="inlineStr">
        <is>
          <t xml:space="preserve">⚠1 M₂ used</t>
        </is>
      </c>
      <c r="M33" s="60" t="inlineStr">
        <is>
          <t xml:space="preserve">|b − M own|</t>
        </is>
      </c>
      <c r="N33" s="60" t="inlineStr">
        <is>
          <t xml:space="preserve">|b − M other|</t>
        </is>
      </c>
    </row>
    <row r="34">
      <c r="A34" s="64" t="inlineStr">
        <is>
          <t xml:space="preserve">b₁</t>
        </is>
      </c>
      <c r="B34" s="72">
        <f>$J$5</f>
        <v>-0.147792690313897</v>
      </c>
      <c r="C34" s="79" t="inlineStr">
        <is>
          <t xml:space="preserve">+</t>
        </is>
      </c>
      <c r="D34" s="72">
        <f>INDEX('Ψ(r) Contribution &amp; Weight'!$B$18:$G$18,2)</f>
        <v>0.15</v>
      </c>
      <c r="E34" s="79" t="inlineStr">
        <is>
          <t xml:space="preserve">=</t>
        </is>
      </c>
      <c r="F34" s="72">
        <f>SUM(B34,D34)</f>
        <v>0.00220730968610255</v>
      </c>
      <c r="G34" s="68">
        <f>Dataset!O3</f>
        <v>2</v>
      </c>
      <c r="H34" s="72">
        <f>IF(OR(G34=1,G34=2),F34+IF(G34=1,1,-1)*'Parameters'!$B$19*EXP(-F34)/(1+EXP(-F34)),"—")</f>
        <v>-0.147627142154655</v>
      </c>
      <c r="I34" s="102">
        <f>IF(G34=1,H34,0)</f>
        <v>0</v>
      </c>
      <c r="J34" s="102">
        <f>IF(G34=2,H34,0)</f>
        <v>-0.147627142154655</v>
      </c>
      <c r="K34" s="102">
        <f>IF('Parameters'!$B$24=1,I34/'Parameters'!$B$6,SUMIF($G$34:$G$43,1,$H$34:$H$43)/'Parameters'!$B$6)</f>
        <v>0</v>
      </c>
      <c r="L34" s="102">
        <f>IF('Parameters'!$B$24=1,J34/'Parameters'!$B$7,SUMIF($G$34:$G$43,2,$H$34:$H$43)/'Parameters'!$B$7)</f>
        <v>-0.0246045236924425</v>
      </c>
      <c r="M34" s="72">
        <f>ABS(H34-IF(G34=1,K34,L34))</f>
        <v>0.123022618462213</v>
      </c>
      <c r="N34" s="72">
        <f>ABS(H34-IF(G34=1,L34,K34))</f>
        <v>0.147627142154655</v>
      </c>
    </row>
    <row r="35">
      <c r="A35" s="64" t="inlineStr">
        <is>
          <t xml:space="preserve">b₂</t>
        </is>
      </c>
      <c r="B35" s="72">
        <f>$J$6</f>
        <v>0.972305825213487</v>
      </c>
      <c r="C35" s="79" t="inlineStr">
        <is>
          <t xml:space="preserve">+</t>
        </is>
      </c>
      <c r="D35" s="72">
        <f>INDEX('Ψ(r) Contribution &amp; Weight'!$B$19:$G$19,2)</f>
        <v>0.15</v>
      </c>
      <c r="E35" s="79" t="inlineStr">
        <is>
          <t xml:space="preserve">=</t>
        </is>
      </c>
      <c r="F35" s="72">
        <f>SUM(B35,D35)</f>
        <v>1.12230582521349</v>
      </c>
      <c r="G35" s="68">
        <f>Dataset!O4</f>
        <v>1</v>
      </c>
      <c r="H35" s="72">
        <f>IF(OR(G35=1,G35=2),F35+IF(G35=1,1,-1)*'Parameters'!$B$19*EXP(-F35)/(1+EXP(-F35)),"—")</f>
        <v>1.19598097336782</v>
      </c>
      <c r="I35" s="102">
        <f>I34+IF(G35=1,H35,0)</f>
        <v>1.19598097336782</v>
      </c>
      <c r="J35" s="102">
        <f>J34+IF(G35=2,H35,0)</f>
        <v>-0.147627142154655</v>
      </c>
      <c r="K35" s="102">
        <f>IF('Parameters'!$B$24=1,I35/'Parameters'!$B$6,SUMIF($G$34:$G$43,1,$H$34:$H$43)/'Parameters'!$B$6)</f>
        <v>0.298995243341955</v>
      </c>
      <c r="L35" s="102">
        <f>IF('Parameters'!$B$24=1,J35/'Parameters'!$B$7,SUMIF($G$34:$G$43,2,$H$34:$H$43)/'Parameters'!$B$7)</f>
        <v>-0.0246045236924425</v>
      </c>
      <c r="M35" s="72">
        <f>ABS(H35-IF(G35=1,K35,L35))</f>
        <v>0.896985730025864</v>
      </c>
      <c r="N35" s="72">
        <f>ABS(H35-IF(G35=1,L35,K35))</f>
        <v>1.22058549706026</v>
      </c>
    </row>
    <row r="36">
      <c r="A36" s="64" t="inlineStr">
        <is>
          <t xml:space="preserve">b₃</t>
        </is>
      </c>
      <c r="B36" s="72">
        <f>$J$7</f>
        <v>-1.96899032950218</v>
      </c>
      <c r="C36" s="79" t="inlineStr">
        <is>
          <t xml:space="preserve">+</t>
        </is>
      </c>
      <c r="D36" s="72">
        <f>INDEX('Ψ(r) Contribution &amp; Weight'!$B$20:$G$20,2)</f>
        <v>-0.15</v>
      </c>
      <c r="E36" s="79" t="inlineStr">
        <is>
          <t xml:space="preserve">=</t>
        </is>
      </c>
      <c r="F36" s="72">
        <f>SUM(B36,D36)</f>
        <v>-2.11899032950218</v>
      </c>
      <c r="G36" s="68">
        <f>Dataset!O5</f>
        <v>2</v>
      </c>
      <c r="H36" s="72">
        <f>IF(OR(G36=1,G36=2),F36+IF(G36=1,1,-1)*'Parameters'!$B$19*EXP(-F36)/(1+EXP(-F36)),"—")</f>
        <v>-2.38681091434533</v>
      </c>
      <c r="I36" s="102">
        <f>I35+IF(G36=1,H36,0)</f>
        <v>1.19598097336782</v>
      </c>
      <c r="J36" s="102">
        <f>J35+IF(G36=2,H36,0)</f>
        <v>-2.53443805649998</v>
      </c>
      <c r="K36" s="102">
        <f>IF('Parameters'!$B$24=1,I36/'Parameters'!$B$6,SUMIF($G$34:$G$43,1,$H$34:$H$43)/'Parameters'!$B$6)</f>
        <v>0.298995243341955</v>
      </c>
      <c r="L36" s="102">
        <f>IF('Parameters'!$B$24=1,J36/'Parameters'!$B$7,SUMIF($G$34:$G$43,2,$H$34:$H$43)/'Parameters'!$B$7)</f>
        <v>-0.422406342749997</v>
      </c>
      <c r="M36" s="72">
        <f>ABS(H36-IF(G36=1,K36,L36))</f>
        <v>1.96440457159533</v>
      </c>
      <c r="N36" s="72">
        <f>ABS(H36-IF(G36=1,L36,K36))</f>
        <v>2.68580615768728</v>
      </c>
    </row>
    <row r="37">
      <c r="A37" s="64" t="inlineStr">
        <is>
          <t xml:space="preserve">b₄</t>
        </is>
      </c>
      <c r="B37" s="72">
        <f>$J$8</f>
        <v>1.23621345350815</v>
      </c>
      <c r="C37" s="79" t="inlineStr">
        <is>
          <t xml:space="preserve">+</t>
        </is>
      </c>
      <c r="D37" s="72">
        <f>INDEX('Ψ(r) Contribution &amp; Weight'!$B$21:$G$21,2)</f>
        <v>0.15</v>
      </c>
      <c r="E37" s="79" t="inlineStr">
        <is>
          <t xml:space="preserve">=</t>
        </is>
      </c>
      <c r="F37" s="72">
        <f>SUM(B37,D37)</f>
        <v>1.38621345350815</v>
      </c>
      <c r="G37" s="68">
        <f>Dataset!O6</f>
        <v>1</v>
      </c>
      <c r="H37" s="72">
        <f>IF(OR(G37=1,G37=2),F37+IF(G37=1,1,-1)*'Parameters'!$B$19*EXP(-F37)/(1+EXP(-F37)),"—")</f>
        <v>1.44621733716778</v>
      </c>
      <c r="I37" s="102">
        <f>I36+IF(G37=1,H37,0)</f>
        <v>2.64219831053559</v>
      </c>
      <c r="J37" s="102">
        <f>J36+IF(G37=2,H37,0)</f>
        <v>-2.53443805649998</v>
      </c>
      <c r="K37" s="102">
        <f>IF('Parameters'!$B$24=1,I37/'Parameters'!$B$6,SUMIF($G$34:$G$43,1,$H$34:$H$43)/'Parameters'!$B$6)</f>
        <v>0.660549577633899</v>
      </c>
      <c r="L37" s="102">
        <f>IF('Parameters'!$B$24=1,J37/'Parameters'!$B$7,SUMIF($G$34:$G$43,2,$H$34:$H$43)/'Parameters'!$B$7)</f>
        <v>-0.422406342749997</v>
      </c>
      <c r="M37" s="72">
        <f>ABS(H37-IF(G37=1,K37,L37))</f>
        <v>0.785667759533878</v>
      </c>
      <c r="N37" s="72">
        <f>ABS(H37-IF(G37=1,L37,K37))</f>
        <v>1.86862367991777</v>
      </c>
    </row>
    <row r="38">
      <c r="A38" s="64" t="inlineStr">
        <is>
          <t xml:space="preserve">b₅</t>
        </is>
      </c>
      <c r="B38" s="72">
        <f>$J$9</f>
        <v>1.23621345350815</v>
      </c>
      <c r="C38" s="79" t="inlineStr">
        <is>
          <t xml:space="preserve">+</t>
        </is>
      </c>
      <c r="D38" s="72">
        <f>INDEX('Ψ(r) Contribution &amp; Weight'!$B$22:$G$22,2)</f>
        <v>0.15</v>
      </c>
      <c r="E38" s="79" t="inlineStr">
        <is>
          <t xml:space="preserve">=</t>
        </is>
      </c>
      <c r="F38" s="72">
        <f>SUM(B38,D38)</f>
        <v>1.38621345350815</v>
      </c>
      <c r="G38" s="68">
        <f>Dataset!O7</f>
        <v>1</v>
      </c>
      <c r="H38" s="72">
        <f>IF(OR(G38=1,G38=2),F38+IF(G38=1,1,-1)*'Parameters'!$B$19*EXP(-F38)/(1+EXP(-F38)),"—")</f>
        <v>1.44621733716778</v>
      </c>
      <c r="I38" s="102">
        <f>I37+IF(G38=1,H38,0)</f>
        <v>4.08841564770337</v>
      </c>
      <c r="J38" s="102">
        <f>J37+IF(G38=2,H38,0)</f>
        <v>-2.53443805649998</v>
      </c>
      <c r="K38" s="102">
        <f>IF('Parameters'!$B$24=1,I38/'Parameters'!$B$6,SUMIF($G$34:$G$43,1,$H$34:$H$43)/'Parameters'!$B$6)</f>
        <v>1.02210391192584</v>
      </c>
      <c r="L38" s="102">
        <f>IF('Parameters'!$B$24=1,J38/'Parameters'!$B$7,SUMIF($G$34:$G$43,2,$H$34:$H$43)/'Parameters'!$B$7)</f>
        <v>-0.422406342749997</v>
      </c>
      <c r="M38" s="72">
        <f>ABS(H38-IF(G38=1,K38,L38))</f>
        <v>0.424113425241933</v>
      </c>
      <c r="N38" s="72">
        <f>ABS(H38-IF(G38=1,L38,K38))</f>
        <v>1.86862367991777</v>
      </c>
    </row>
    <row r="39">
      <c r="A39" s="64" t="inlineStr">
        <is>
          <t xml:space="preserve">b₆</t>
        </is>
      </c>
      <c r="B39" s="72">
        <f>$J$10</f>
        <v>0.972305825213487</v>
      </c>
      <c r="C39" s="79" t="inlineStr">
        <is>
          <t xml:space="preserve">+</t>
        </is>
      </c>
      <c r="D39" s="72">
        <f>INDEX('Ψ(r) Contribution &amp; Weight'!$B$23:$G$23,2)</f>
        <v>0.15</v>
      </c>
      <c r="E39" s="79" t="inlineStr">
        <is>
          <t xml:space="preserve">=</t>
        </is>
      </c>
      <c r="F39" s="72">
        <f>SUM(B39,D39)</f>
        <v>1.12230582521349</v>
      </c>
      <c r="G39" s="68">
        <f>Dataset!O8</f>
        <v>1</v>
      </c>
      <c r="H39" s="72">
        <f>IF(OR(G39=1,G39=2),F39+IF(G39=1,1,-1)*'Parameters'!$B$19*EXP(-F39)/(1+EXP(-F39)),"—")</f>
        <v>1.19598097336782</v>
      </c>
      <c r="I39" s="102">
        <f>I38+IF(G39=1,H39,0)</f>
        <v>5.28439662107119</v>
      </c>
      <c r="J39" s="102">
        <f>J38+IF(G39=2,H39,0)</f>
        <v>-2.53443805649998</v>
      </c>
      <c r="K39" s="102">
        <f>IF('Parameters'!$B$24=1,I39/'Parameters'!$B$6,SUMIF($G$34:$G$43,1,$H$34:$H$43)/'Parameters'!$B$6)</f>
        <v>1.3210991552678</v>
      </c>
      <c r="L39" s="102">
        <f>IF('Parameters'!$B$24=1,J39/'Parameters'!$B$7,SUMIF($G$34:$G$43,2,$H$34:$H$43)/'Parameters'!$B$7)</f>
        <v>-0.422406342749997</v>
      </c>
      <c r="M39" s="72">
        <f>ABS(H39-IF(G39=1,K39,L39))</f>
        <v>0.125118181899979</v>
      </c>
      <c r="N39" s="72">
        <f>ABS(H39-IF(G39=1,L39,K39))</f>
        <v>1.61838731611782</v>
      </c>
    </row>
    <row r="40">
      <c r="A40" s="64" t="inlineStr">
        <is>
          <t xml:space="preserve">b₇</t>
        </is>
      </c>
      <c r="B40" s="72">
        <f>$J$11</f>
        <v>-0.762398412464542</v>
      </c>
      <c r="C40" s="79" t="inlineStr">
        <is>
          <t xml:space="preserve">+</t>
        </is>
      </c>
      <c r="D40" s="72">
        <f>INDEX('Ψ(r) Contribution &amp; Weight'!$B$24:$G$24,2)</f>
        <v>0.15</v>
      </c>
      <c r="E40" s="79" t="inlineStr">
        <is>
          <t xml:space="preserve">=</t>
        </is>
      </c>
      <c r="F40" s="72">
        <f>SUM(B40,D40)</f>
        <v>-0.612398412464542</v>
      </c>
      <c r="G40" s="68">
        <f>Dataset!O9</f>
        <v>2</v>
      </c>
      <c r="H40" s="72">
        <f>IF(OR(G40=1,G40=2),F40+IF(G40=1,1,-1)*'Parameters'!$B$19*EXP(-F40)/(1+EXP(-F40)),"—")</f>
        <v>-0.806944727884811</v>
      </c>
      <c r="I40" s="102">
        <f>I39+IF(G40=1,H40,0)</f>
        <v>5.28439662107119</v>
      </c>
      <c r="J40" s="102">
        <f>J39+IF(G40=2,H40,0)</f>
        <v>-3.34138278438479</v>
      </c>
      <c r="K40" s="102">
        <f>IF('Parameters'!$B$24=1,I40/'Parameters'!$B$6,SUMIF($G$34:$G$43,1,$H$34:$H$43)/'Parameters'!$B$6)</f>
        <v>1.3210991552678</v>
      </c>
      <c r="L40" s="102">
        <f>IF('Parameters'!$B$24=1,J40/'Parameters'!$B$7,SUMIF($G$34:$G$43,2,$H$34:$H$43)/'Parameters'!$B$7)</f>
        <v>-0.556897130730799</v>
      </c>
      <c r="M40" s="72">
        <f>ABS(H40-IF(G40=1,K40,L40))</f>
        <v>0.250047597154013</v>
      </c>
      <c r="N40" s="72">
        <f>ABS(H40-IF(G40=1,L40,K40))</f>
        <v>2.12804388315261</v>
      </c>
    </row>
    <row r="41">
      <c r="A41" s="64" t="inlineStr">
        <is>
          <t xml:space="preserve">b₈</t>
        </is>
      </c>
      <c r="B41" s="72">
        <f>$J$12</f>
        <v>-0.762398412464542</v>
      </c>
      <c r="C41" s="79" t="inlineStr">
        <is>
          <t xml:space="preserve">+</t>
        </is>
      </c>
      <c r="D41" s="72">
        <f>INDEX('Ψ(r) Contribution &amp; Weight'!$B$25:$G$25,2)</f>
        <v>0.15</v>
      </c>
      <c r="E41" s="79" t="inlineStr">
        <is>
          <t xml:space="preserve">=</t>
        </is>
      </c>
      <c r="F41" s="72">
        <f>SUM(B41,D41)</f>
        <v>-0.612398412464542</v>
      </c>
      <c r="G41" s="68">
        <f>Dataset!O10</f>
        <v>2</v>
      </c>
      <c r="H41" s="72">
        <f>IF(OR(G41=1,G41=2),F41+IF(G41=1,1,-1)*'Parameters'!$B$19*EXP(-F41)/(1+EXP(-F41)),"—")</f>
        <v>-0.806944727884811</v>
      </c>
      <c r="I41" s="102">
        <f>I40+IF(G41=1,H41,0)</f>
        <v>5.28439662107119</v>
      </c>
      <c r="J41" s="102">
        <f>J40+IF(G41=2,H41,0)</f>
        <v>-4.1483275122696</v>
      </c>
      <c r="K41" s="102">
        <f>IF('Parameters'!$B$24=1,I41/'Parameters'!$B$6,SUMIF($G$34:$G$43,1,$H$34:$H$43)/'Parameters'!$B$6)</f>
        <v>1.3210991552678</v>
      </c>
      <c r="L41" s="102">
        <f>IF('Parameters'!$B$24=1,J41/'Parameters'!$B$7,SUMIF($G$34:$G$43,2,$H$34:$H$43)/'Parameters'!$B$7)</f>
        <v>-0.691387918711601</v>
      </c>
      <c r="M41" s="72">
        <f>ABS(H41-IF(G41=1,K41,L41))</f>
        <v>0.115556809173211</v>
      </c>
      <c r="N41" s="72">
        <f>ABS(H41-IF(G41=1,L41,K41))</f>
        <v>2.12804388315261</v>
      </c>
    </row>
    <row r="42">
      <c r="A42" s="64" t="inlineStr">
        <is>
          <t xml:space="preserve">b₉</t>
        </is>
      </c>
      <c r="B42" s="72">
        <f>$J$13</f>
        <v>-0.762398412464542</v>
      </c>
      <c r="C42" s="79" t="inlineStr">
        <is>
          <t xml:space="preserve">+</t>
        </is>
      </c>
      <c r="D42" s="72">
        <f>INDEX('Ψ(r) Contribution &amp; Weight'!$B$26:$G$26,2)</f>
        <v>0.15</v>
      </c>
      <c r="E42" s="79" t="inlineStr">
        <is>
          <t xml:space="preserve">=</t>
        </is>
      </c>
      <c r="F42" s="72">
        <f>SUM(B42,D42)</f>
        <v>-0.612398412464542</v>
      </c>
      <c r="G42" s="68">
        <f>Dataset!O11</f>
        <v>2</v>
      </c>
      <c r="H42" s="72">
        <f>IF(OR(G42=1,G42=2),F42+IF(G42=1,1,-1)*'Parameters'!$B$19*EXP(-F42)/(1+EXP(-F42)),"—")</f>
        <v>-0.806944727884811</v>
      </c>
      <c r="I42" s="102">
        <f>I41+IF(G42=1,H42,0)</f>
        <v>5.28439662107119</v>
      </c>
      <c r="J42" s="102">
        <f>J41+IF(G42=2,H42,0)</f>
        <v>-4.95527224015441</v>
      </c>
      <c r="K42" s="102">
        <f>IF('Parameters'!$B$24=1,I42/'Parameters'!$B$6,SUMIF($G$34:$G$43,1,$H$34:$H$43)/'Parameters'!$B$6)</f>
        <v>1.3210991552678</v>
      </c>
      <c r="L42" s="102">
        <f>IF('Parameters'!$B$24=1,J42/'Parameters'!$B$7,SUMIF($G$34:$G$43,2,$H$34:$H$43)/'Parameters'!$B$7)</f>
        <v>-0.825878706692402</v>
      </c>
      <c r="M42" s="72">
        <f>ABS(H42-IF(G42=1,K42,L42))</f>
        <v>0.0189339788075912</v>
      </c>
      <c r="N42" s="72">
        <f>ABS(H42-IF(G42=1,L42,K42))</f>
        <v>2.12804388315261</v>
      </c>
    </row>
    <row r="43">
      <c r="A43" s="64" t="inlineStr">
        <is>
          <t xml:space="preserve">b₁₀</t>
        </is>
      </c>
      <c r="B43" s="72">
        <f>$J$14</f>
        <v>-0.762398412464542</v>
      </c>
      <c r="C43" s="79" t="inlineStr">
        <is>
          <t xml:space="preserve">+</t>
        </is>
      </c>
      <c r="D43" s="72">
        <f>INDEX('Ψ(r) Contribution &amp; Weight'!$B$27:$G$27,2)</f>
        <v>0.15</v>
      </c>
      <c r="E43" s="79" t="inlineStr">
        <is>
          <t xml:space="preserve">=</t>
        </is>
      </c>
      <c r="F43" s="72">
        <f>SUM(B43,D43)</f>
        <v>-0.612398412464542</v>
      </c>
      <c r="G43" s="68">
        <f>Dataset!O12</f>
        <v>2</v>
      </c>
      <c r="H43" s="72">
        <f>IF(OR(G43=1,G43=2),F43+IF(G43=1,1,-1)*'Parameters'!$B$19*EXP(-F43)/(1+EXP(-F43)),"—")</f>
        <v>-0.806944727884811</v>
      </c>
      <c r="I43" s="102">
        <f>I42+IF(G43=1,H43,0)</f>
        <v>5.28439662107119</v>
      </c>
      <c r="J43" s="102">
        <f>J42+IF(G43=2,H43,0)</f>
        <v>-5.76221696803923</v>
      </c>
      <c r="K43" s="102">
        <f>IF('Parameters'!$B$24=1,I43/'Parameters'!$B$6,SUMIF($G$34:$G$43,1,$H$34:$H$43)/'Parameters'!$B$6)</f>
        <v>1.3210991552678</v>
      </c>
      <c r="L43" s="102">
        <f>IF('Parameters'!$B$24=1,J43/'Parameters'!$B$7,SUMIF($G$34:$G$43,2,$H$34:$H$43)/'Parameters'!$B$7)</f>
        <v>-0.960369494673204</v>
      </c>
      <c r="M43" s="72">
        <f>ABS(H43-IF(G43=1,K43,L43))</f>
        <v>0.153424766788393</v>
      </c>
      <c r="N43" s="72">
        <f>ABS(H43-IF(G43=1,L43,K43))</f>
        <v>2.12804388315261</v>
      </c>
    </row>
    <row r="44">
      <c r="K44" s="82" t="inlineStr">
        <is>
          <t xml:space="preserve">θ, γ  →</t>
        </is>
      </c>
      <c r="L44" s="82"/>
      <c r="M44" s="85">
        <f>SUM(M34:M43)</f>
        <v>4.8572754386824</v>
      </c>
      <c r="N44" s="85">
        <f>SUM(N34:N43)</f>
        <v>17.921829005466</v>
      </c>
      <c r="O44" s="82" t="inlineStr">
        <is>
          <t xml:space="preserve">θ / γ</t>
        </is>
      </c>
      <c r="P44" s="92" t="str">
        <f>IF(C$14=1,M44/N44,"—")</f>
        <v>—</v>
      </c>
    </row>
    <row r="45"/>
    <row r="46">
      <c r="A46" s="59" t="str">
        <f>"Candidate a₃  ·  operator ρ_I  ·  k = "&amp;'Synthetic Features (k-NN)'!$B$18&amp;"   —   bₜ = R(Sₜ) + η₃(a_t₃)"</f>
        <v>Candidate a₃  ·  operator ρ_I  ·  k = 3   —   bₜ = R(Sₜ) + η₃(a_t₃)</v>
      </c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84" t="str">
        <f>IF(D$14=1,"available",IF($D$4=1,"in TUPLAM — skipped","iteration not executed"))</f>
        <v>in TUPLAM — skipped</v>
      </c>
      <c r="P46" s="84"/>
    </row>
    <row r="47">
      <c r="A47" s="60" t="inlineStr">
        <is>
          <t xml:space="preserve">№</t>
        </is>
      </c>
      <c r="B47" s="60" t="inlineStr">
        <is>
          <t xml:space="preserve">R(Sₜ)</t>
        </is>
      </c>
      <c r="C47" s="60" t="inlineStr">
        <is>
          <t xml:space="preserve">+</t>
        </is>
      </c>
      <c r="D47" s="60" t="inlineStr">
        <is>
          <t xml:space="preserve">ηᵤ(a_tu)</t>
        </is>
      </c>
      <c r="E47" s="60" t="inlineStr">
        <is>
          <t xml:space="preserve">=</t>
        </is>
      </c>
      <c r="F47" s="60" t="inlineStr">
        <is>
          <t xml:space="preserve">bₜ</t>
        </is>
      </c>
      <c r="G47" s="60" t="inlineStr">
        <is>
          <t xml:space="preserve">Class</t>
        </is>
      </c>
      <c r="H47" s="60" t="inlineStr">
        <is>
          <t xml:space="preserve">bₜ (majorized)</t>
        </is>
      </c>
      <c r="I47" s="103" t="inlineStr">
        <is>
          <t xml:space="preserve">⚠1 Σ K1 (running)</t>
        </is>
      </c>
      <c r="J47" s="103" t="inlineStr">
        <is>
          <t xml:space="preserve">⚠1 Σ K2 (running)</t>
        </is>
      </c>
      <c r="K47" s="103" t="inlineStr">
        <is>
          <t xml:space="preserve">⚠1 M₁ used</t>
        </is>
      </c>
      <c r="L47" s="103" t="inlineStr">
        <is>
          <t xml:space="preserve">⚠1 M₂ used</t>
        </is>
      </c>
      <c r="M47" s="60" t="inlineStr">
        <is>
          <t xml:space="preserve">|b − M own|</t>
        </is>
      </c>
      <c r="N47" s="60" t="inlineStr">
        <is>
          <t xml:space="preserve">|b − M other|</t>
        </is>
      </c>
    </row>
    <row r="48">
      <c r="A48" s="64" t="inlineStr">
        <is>
          <t xml:space="preserve">b₁</t>
        </is>
      </c>
      <c r="B48" s="72">
        <f>$J$5</f>
        <v>-0.147792690313897</v>
      </c>
      <c r="C48" s="79" t="inlineStr">
        <is>
          <t xml:space="preserve">+</t>
        </is>
      </c>
      <c r="D48" s="72">
        <f>INDEX('Ψ(r) Contribution &amp; Weight'!$B$18:$G$18,3)</f>
        <v>0.2</v>
      </c>
      <c r="E48" s="79" t="inlineStr">
        <is>
          <t xml:space="preserve">=</t>
        </is>
      </c>
      <c r="F48" s="72">
        <f>SUM(B48,D48)</f>
        <v>0.0522073096861026</v>
      </c>
      <c r="G48" s="68">
        <f>Dataset!O3</f>
        <v>2</v>
      </c>
      <c r="H48" s="72">
        <f>IF(OR(G48=1,G48=2),F48+IF(G48=1,1,-1)*'Parameters'!$B$19*EXP(-F48)/(1+EXP(-F48)),"—")</f>
        <v>-0.093878031197664</v>
      </c>
      <c r="I48" s="102">
        <f>IF(G48=1,H48,0)</f>
        <v>0</v>
      </c>
      <c r="J48" s="102">
        <f>IF(G48=2,H48,0)</f>
        <v>-0.093878031197664</v>
      </c>
      <c r="K48" s="102">
        <f>IF('Parameters'!$B$24=1,I48/'Parameters'!$B$6,SUMIF($G$48:$G$57,1,$H$48:$H$57)/'Parameters'!$B$6)</f>
        <v>0</v>
      </c>
      <c r="L48" s="102">
        <f>IF('Parameters'!$B$24=1,J48/'Parameters'!$B$7,SUMIF($G$48:$G$57,2,$H$48:$H$57)/'Parameters'!$B$7)</f>
        <v>-0.015646338532944</v>
      </c>
      <c r="M48" s="72">
        <f>ABS(H48-IF(G48=1,K48,L48))</f>
        <v>0.07823169266472</v>
      </c>
      <c r="N48" s="72">
        <f>ABS(H48-IF(G48=1,L48,K48))</f>
        <v>0.093878031197664</v>
      </c>
    </row>
    <row r="49">
      <c r="A49" s="64" t="inlineStr">
        <is>
          <t xml:space="preserve">b₂</t>
        </is>
      </c>
      <c r="B49" s="72">
        <f>$J$6</f>
        <v>0.972305825213487</v>
      </c>
      <c r="C49" s="79" t="inlineStr">
        <is>
          <t xml:space="preserve">+</t>
        </is>
      </c>
      <c r="D49" s="72">
        <f>INDEX('Ψ(r) Contribution &amp; Weight'!$B$19:$G$19,3)</f>
        <v>-0.2</v>
      </c>
      <c r="E49" s="79" t="inlineStr">
        <is>
          <t xml:space="preserve">=</t>
        </is>
      </c>
      <c r="F49" s="72">
        <f>SUM(B49,D49)</f>
        <v>0.772305825213487</v>
      </c>
      <c r="G49" s="68">
        <f>Dataset!O4</f>
        <v>1</v>
      </c>
      <c r="H49" s="72">
        <f>IF(OR(G49=1,G49=2),F49+IF(G49=1,1,-1)*'Parameters'!$B$19*EXP(-F49)/(1+EXP(-F49)),"—")</f>
        <v>0.867099981564833</v>
      </c>
      <c r="I49" s="102">
        <f>I48+IF(G49=1,H49,0)</f>
        <v>0.867099981564833</v>
      </c>
      <c r="J49" s="102">
        <f>J48+IF(G49=2,H49,0)</f>
        <v>-0.093878031197664</v>
      </c>
      <c r="K49" s="102">
        <f>IF('Parameters'!$B$24=1,I49/'Parameters'!$B$6,SUMIF($G$48:$G$57,1,$H$48:$H$57)/'Parameters'!$B$6)</f>
        <v>0.216774995391208</v>
      </c>
      <c r="L49" s="102">
        <f>IF('Parameters'!$B$24=1,J49/'Parameters'!$B$7,SUMIF($G$48:$G$57,2,$H$48:$H$57)/'Parameters'!$B$7)</f>
        <v>-0.015646338532944</v>
      </c>
      <c r="M49" s="72">
        <f>ABS(H49-IF(G49=1,K49,L49))</f>
        <v>0.650324986173624</v>
      </c>
      <c r="N49" s="72">
        <f>ABS(H49-IF(G49=1,L49,K49))</f>
        <v>0.882746320097776</v>
      </c>
    </row>
    <row r="50">
      <c r="A50" s="64" t="inlineStr">
        <is>
          <t xml:space="preserve">b₃</t>
        </is>
      </c>
      <c r="B50" s="72">
        <f>$J$7</f>
        <v>-1.96899032950218</v>
      </c>
      <c r="C50" s="79" t="inlineStr">
        <is>
          <t xml:space="preserve">+</t>
        </is>
      </c>
      <c r="D50" s="72">
        <f>INDEX('Ψ(r) Contribution &amp; Weight'!$B$20:$G$20,3)</f>
        <v>-0.2</v>
      </c>
      <c r="E50" s="79" t="inlineStr">
        <is>
          <t xml:space="preserve">=</t>
        </is>
      </c>
      <c r="F50" s="72">
        <f>SUM(B50,D50)</f>
        <v>-2.16899032950218</v>
      </c>
      <c r="G50" s="68">
        <f>Dataset!O5</f>
        <v>2</v>
      </c>
      <c r="H50" s="72">
        <f>IF(OR(G50=1,G50=2),F50+IF(G50=1,1,-1)*'Parameters'!$B$19*EXP(-F50)/(1+EXP(-F50)),"—")</f>
        <v>-2.43821934880299</v>
      </c>
      <c r="I50" s="102">
        <f>I49+IF(G50=1,H50,0)</f>
        <v>0.867099981564833</v>
      </c>
      <c r="J50" s="102">
        <f>J49+IF(G50=2,H50,0)</f>
        <v>-2.53209738000065</v>
      </c>
      <c r="K50" s="102">
        <f>IF('Parameters'!$B$24=1,I50/'Parameters'!$B$6,SUMIF($G$48:$G$57,1,$H$48:$H$57)/'Parameters'!$B$6)</f>
        <v>0.216774995391208</v>
      </c>
      <c r="L50" s="102">
        <f>IF('Parameters'!$B$24=1,J50/'Parameters'!$B$7,SUMIF($G$48:$G$57,2,$H$48:$H$57)/'Parameters'!$B$7)</f>
        <v>-0.422016230000109</v>
      </c>
      <c r="M50" s="72">
        <f>ABS(H50-IF(G50=1,K50,L50))</f>
        <v>2.01620311880288</v>
      </c>
      <c r="N50" s="72">
        <f>ABS(H50-IF(G50=1,L50,K50))</f>
        <v>2.6549943441942</v>
      </c>
    </row>
    <row r="51">
      <c r="A51" s="64" t="inlineStr">
        <is>
          <t xml:space="preserve">b₄</t>
        </is>
      </c>
      <c r="B51" s="72">
        <f>$J$8</f>
        <v>1.23621345350815</v>
      </c>
      <c r="C51" s="79" t="inlineStr">
        <is>
          <t xml:space="preserve">+</t>
        </is>
      </c>
      <c r="D51" s="72">
        <f>INDEX('Ψ(r) Contribution &amp; Weight'!$B$21:$G$21,3)</f>
        <v>0.2</v>
      </c>
      <c r="E51" s="79" t="inlineStr">
        <is>
          <t xml:space="preserve">=</t>
        </is>
      </c>
      <c r="F51" s="72">
        <f>SUM(B51,D51)</f>
        <v>1.43621345350815</v>
      </c>
      <c r="G51" s="68">
        <f>Dataset!O6</f>
        <v>1</v>
      </c>
      <c r="H51" s="72">
        <f>IF(OR(G51=1,G51=2),F51+IF(G51=1,1,-1)*'Parameters'!$B$19*EXP(-F51)/(1+EXP(-F51)),"—")</f>
        <v>1.49385317408986</v>
      </c>
      <c r="I51" s="102">
        <f>I50+IF(G51=1,H51,0)</f>
        <v>2.36095315565469</v>
      </c>
      <c r="J51" s="102">
        <f>J50+IF(G51=2,H51,0)</f>
        <v>-2.53209738000065</v>
      </c>
      <c r="K51" s="102">
        <f>IF('Parameters'!$B$24=1,I51/'Parameters'!$B$6,SUMIF($G$48:$G$57,1,$H$48:$H$57)/'Parameters'!$B$6)</f>
        <v>0.590238288913672</v>
      </c>
      <c r="L51" s="102">
        <f>IF('Parameters'!$B$24=1,J51/'Parameters'!$B$7,SUMIF($G$48:$G$57,2,$H$48:$H$57)/'Parameters'!$B$7)</f>
        <v>-0.422016230000109</v>
      </c>
      <c r="M51" s="72">
        <f>ABS(H51-IF(G51=1,K51,L51))</f>
        <v>0.903614885176184</v>
      </c>
      <c r="N51" s="72">
        <f>ABS(H51-IF(G51=1,L51,K51))</f>
        <v>1.91586940408997</v>
      </c>
    </row>
    <row r="52">
      <c r="A52" s="64" t="inlineStr">
        <is>
          <t xml:space="preserve">b₅</t>
        </is>
      </c>
      <c r="B52" s="72">
        <f>$J$9</f>
        <v>1.23621345350815</v>
      </c>
      <c r="C52" s="79" t="inlineStr">
        <is>
          <t xml:space="preserve">+</t>
        </is>
      </c>
      <c r="D52" s="72">
        <f>INDEX('Ψ(r) Contribution &amp; Weight'!$B$22:$G$22,3)</f>
        <v>0.2</v>
      </c>
      <c r="E52" s="79" t="inlineStr">
        <is>
          <t xml:space="preserve">=</t>
        </is>
      </c>
      <c r="F52" s="72">
        <f>SUM(B52,D52)</f>
        <v>1.43621345350815</v>
      </c>
      <c r="G52" s="68">
        <f>Dataset!O7</f>
        <v>1</v>
      </c>
      <c r="H52" s="72">
        <f>IF(OR(G52=1,G52=2),F52+IF(G52=1,1,-1)*'Parameters'!$B$19*EXP(-F52)/(1+EXP(-F52)),"—")</f>
        <v>1.49385317408986</v>
      </c>
      <c r="I52" s="102">
        <f>I51+IF(G52=1,H52,0)</f>
        <v>3.85480632974454</v>
      </c>
      <c r="J52" s="102">
        <f>J51+IF(G52=2,H52,0)</f>
        <v>-2.53209738000065</v>
      </c>
      <c r="K52" s="102">
        <f>IF('Parameters'!$B$24=1,I52/'Parameters'!$B$6,SUMIF($G$48:$G$57,1,$H$48:$H$57)/'Parameters'!$B$6)</f>
        <v>0.963701582436136</v>
      </c>
      <c r="L52" s="102">
        <f>IF('Parameters'!$B$24=1,J52/'Parameters'!$B$7,SUMIF($G$48:$G$57,2,$H$48:$H$57)/'Parameters'!$B$7)</f>
        <v>-0.422016230000109</v>
      </c>
      <c r="M52" s="72">
        <f>ABS(H52-IF(G52=1,K52,L52))</f>
        <v>0.53015159165372</v>
      </c>
      <c r="N52" s="72">
        <f>ABS(H52-IF(G52=1,L52,K52))</f>
        <v>1.91586940408997</v>
      </c>
    </row>
    <row r="53">
      <c r="A53" s="64" t="inlineStr">
        <is>
          <t xml:space="preserve">b₆</t>
        </is>
      </c>
      <c r="B53" s="72">
        <f>$J$10</f>
        <v>0.972305825213487</v>
      </c>
      <c r="C53" s="79" t="inlineStr">
        <is>
          <t xml:space="preserve">+</t>
        </is>
      </c>
      <c r="D53" s="72">
        <f>INDEX('Ψ(r) Contribution &amp; Weight'!$B$23:$G$23,3)</f>
        <v>-0.2</v>
      </c>
      <c r="E53" s="79" t="inlineStr">
        <is>
          <t xml:space="preserve">=</t>
        </is>
      </c>
      <c r="F53" s="72">
        <f>SUM(B53,D53)</f>
        <v>0.772305825213487</v>
      </c>
      <c r="G53" s="68">
        <f>Dataset!O8</f>
        <v>1</v>
      </c>
      <c r="H53" s="72">
        <f>IF(OR(G53=1,G53=2),F53+IF(G53=1,1,-1)*'Parameters'!$B$19*EXP(-F53)/(1+EXP(-F53)),"—")</f>
        <v>0.867099981564833</v>
      </c>
      <c r="I53" s="102">
        <f>I52+IF(G53=1,H53,0)</f>
        <v>4.72190631130938</v>
      </c>
      <c r="J53" s="102">
        <f>J52+IF(G53=2,H53,0)</f>
        <v>-2.53209738000065</v>
      </c>
      <c r="K53" s="102">
        <f>IF('Parameters'!$B$24=1,I53/'Parameters'!$B$6,SUMIF($G$48:$G$57,1,$H$48:$H$57)/'Parameters'!$B$6)</f>
        <v>1.18047657782734</v>
      </c>
      <c r="L53" s="102">
        <f>IF('Parameters'!$B$24=1,J53/'Parameters'!$B$7,SUMIF($G$48:$G$57,2,$H$48:$H$57)/'Parameters'!$B$7)</f>
        <v>-0.422016230000109</v>
      </c>
      <c r="M53" s="72">
        <f>ABS(H53-IF(G53=1,K53,L53))</f>
        <v>0.313376596262512</v>
      </c>
      <c r="N53" s="72">
        <f>ABS(H53-IF(G53=1,L53,K53))</f>
        <v>1.28911621156494</v>
      </c>
    </row>
    <row r="54">
      <c r="A54" s="64" t="inlineStr">
        <is>
          <t xml:space="preserve">b₇</t>
        </is>
      </c>
      <c r="B54" s="72">
        <f>$J$11</f>
        <v>-0.762398412464542</v>
      </c>
      <c r="C54" s="79" t="inlineStr">
        <is>
          <t xml:space="preserve">+</t>
        </is>
      </c>
      <c r="D54" s="72">
        <f>INDEX('Ψ(r) Contribution &amp; Weight'!$B$24:$G$24,3)</f>
        <v>-0.2</v>
      </c>
      <c r="E54" s="79" t="inlineStr">
        <is>
          <t xml:space="preserve">=</t>
        </is>
      </c>
      <c r="F54" s="72">
        <f>SUM(B54,D54)</f>
        <v>-0.962398412464542</v>
      </c>
      <c r="G54" s="68">
        <f>Dataset!O9</f>
        <v>2</v>
      </c>
      <c r="H54" s="72">
        <f>IF(OR(G54=1,G54=2),F54+IF(G54=1,1,-1)*'Parameters'!$B$19*EXP(-F54)/(1+EXP(-F54)),"—")</f>
        <v>-1.17947893752171</v>
      </c>
      <c r="I54" s="102">
        <f>I53+IF(G54=1,H54,0)</f>
        <v>4.72190631130938</v>
      </c>
      <c r="J54" s="102">
        <f>J53+IF(G54=2,H54,0)</f>
        <v>-3.71157631752237</v>
      </c>
      <c r="K54" s="102">
        <f>IF('Parameters'!$B$24=1,I54/'Parameters'!$B$6,SUMIF($G$48:$G$57,1,$H$48:$H$57)/'Parameters'!$B$6)</f>
        <v>1.18047657782734</v>
      </c>
      <c r="L54" s="102">
        <f>IF('Parameters'!$B$24=1,J54/'Parameters'!$B$7,SUMIF($G$48:$G$57,2,$H$48:$H$57)/'Parameters'!$B$7)</f>
        <v>-0.618596052920394</v>
      </c>
      <c r="M54" s="72">
        <f>ABS(H54-IF(G54=1,K54,L54))</f>
        <v>0.560882884601316</v>
      </c>
      <c r="N54" s="72">
        <f>ABS(H54-IF(G54=1,L54,K54))</f>
        <v>2.35995551534906</v>
      </c>
    </row>
    <row r="55">
      <c r="A55" s="64" t="inlineStr">
        <is>
          <t xml:space="preserve">b₈</t>
        </is>
      </c>
      <c r="B55" s="72">
        <f>$J$12</f>
        <v>-0.762398412464542</v>
      </c>
      <c r="C55" s="79" t="inlineStr">
        <is>
          <t xml:space="preserve">+</t>
        </is>
      </c>
      <c r="D55" s="72">
        <f>INDEX('Ψ(r) Contribution &amp; Weight'!$B$25:$G$25,3)</f>
        <v>-0.2</v>
      </c>
      <c r="E55" s="79" t="inlineStr">
        <is>
          <t xml:space="preserve">=</t>
        </is>
      </c>
      <c r="F55" s="72">
        <f>SUM(B55,D55)</f>
        <v>-0.962398412464542</v>
      </c>
      <c r="G55" s="68">
        <f>Dataset!O10</f>
        <v>2</v>
      </c>
      <c r="H55" s="72">
        <f>IF(OR(G55=1,G55=2),F55+IF(G55=1,1,-1)*'Parameters'!$B$19*EXP(-F55)/(1+EXP(-F55)),"—")</f>
        <v>-1.17947893752171</v>
      </c>
      <c r="I55" s="102">
        <f>I54+IF(G55=1,H55,0)</f>
        <v>4.72190631130938</v>
      </c>
      <c r="J55" s="102">
        <f>J54+IF(G55=2,H55,0)</f>
        <v>-4.89105525504408</v>
      </c>
      <c r="K55" s="102">
        <f>IF('Parameters'!$B$24=1,I55/'Parameters'!$B$6,SUMIF($G$48:$G$57,1,$H$48:$H$57)/'Parameters'!$B$6)</f>
        <v>1.18047657782734</v>
      </c>
      <c r="L55" s="102">
        <f>IF('Parameters'!$B$24=1,J55/'Parameters'!$B$7,SUMIF($G$48:$G$57,2,$H$48:$H$57)/'Parameters'!$B$7)</f>
        <v>-0.815175875840679</v>
      </c>
      <c r="M55" s="72">
        <f>ABS(H55-IF(G55=1,K55,L55))</f>
        <v>0.364303061681031</v>
      </c>
      <c r="N55" s="72">
        <f>ABS(H55-IF(G55=1,L55,K55))</f>
        <v>2.35995551534906</v>
      </c>
    </row>
    <row r="56">
      <c r="A56" s="64" t="inlineStr">
        <is>
          <t xml:space="preserve">b₉</t>
        </is>
      </c>
      <c r="B56" s="72">
        <f>$J$13</f>
        <v>-0.762398412464542</v>
      </c>
      <c r="C56" s="79" t="inlineStr">
        <is>
          <t xml:space="preserve">+</t>
        </is>
      </c>
      <c r="D56" s="72">
        <f>INDEX('Ψ(r) Contribution &amp; Weight'!$B$26:$G$26,3)</f>
        <v>-0.2</v>
      </c>
      <c r="E56" s="79" t="inlineStr">
        <is>
          <t xml:space="preserve">=</t>
        </is>
      </c>
      <c r="F56" s="72">
        <f>SUM(B56,D56)</f>
        <v>-0.962398412464542</v>
      </c>
      <c r="G56" s="68">
        <f>Dataset!O11</f>
        <v>2</v>
      </c>
      <c r="H56" s="72">
        <f>IF(OR(G56=1,G56=2),F56+IF(G56=1,1,-1)*'Parameters'!$B$19*EXP(-F56)/(1+EXP(-F56)),"—")</f>
        <v>-1.17947893752171</v>
      </c>
      <c r="I56" s="102">
        <f>I55+IF(G56=1,H56,0)</f>
        <v>4.72190631130938</v>
      </c>
      <c r="J56" s="102">
        <f>J55+IF(G56=2,H56,0)</f>
        <v>-6.07053419256579</v>
      </c>
      <c r="K56" s="102">
        <f>IF('Parameters'!$B$24=1,I56/'Parameters'!$B$6,SUMIF($G$48:$G$57,1,$H$48:$H$57)/'Parameters'!$B$6)</f>
        <v>1.18047657782734</v>
      </c>
      <c r="L56" s="102">
        <f>IF('Parameters'!$B$24=1,J56/'Parameters'!$B$7,SUMIF($G$48:$G$57,2,$H$48:$H$57)/'Parameters'!$B$7)</f>
        <v>-1.01175569876096</v>
      </c>
      <c r="M56" s="72">
        <f>ABS(H56-IF(G56=1,K56,L56))</f>
        <v>0.167723238760746</v>
      </c>
      <c r="N56" s="72">
        <f>ABS(H56-IF(G56=1,L56,K56))</f>
        <v>2.35995551534906</v>
      </c>
    </row>
    <row r="57">
      <c r="A57" s="64" t="inlineStr">
        <is>
          <t xml:space="preserve">b₁₀</t>
        </is>
      </c>
      <c r="B57" s="72">
        <f>$J$14</f>
        <v>-0.762398412464542</v>
      </c>
      <c r="C57" s="79" t="inlineStr">
        <is>
          <t xml:space="preserve">+</t>
        </is>
      </c>
      <c r="D57" s="72">
        <f>INDEX('Ψ(r) Contribution &amp; Weight'!$B$27:$G$27,3)</f>
        <v>-0.2</v>
      </c>
      <c r="E57" s="79" t="inlineStr">
        <is>
          <t xml:space="preserve">=</t>
        </is>
      </c>
      <c r="F57" s="72">
        <f>SUM(B57,D57)</f>
        <v>-0.962398412464542</v>
      </c>
      <c r="G57" s="68">
        <f>Dataset!O12</f>
        <v>2</v>
      </c>
      <c r="H57" s="72">
        <f>IF(OR(G57=1,G57=2),F57+IF(G57=1,1,-1)*'Parameters'!$B$19*EXP(-F57)/(1+EXP(-F57)),"—")</f>
        <v>-1.17947893752171</v>
      </c>
      <c r="I57" s="102">
        <f>I56+IF(G57=1,H57,0)</f>
        <v>4.72190631130938</v>
      </c>
      <c r="J57" s="102">
        <f>J56+IF(G57=2,H57,0)</f>
        <v>-7.2500131300875</v>
      </c>
      <c r="K57" s="102">
        <f>IF('Parameters'!$B$24=1,I57/'Parameters'!$B$6,SUMIF($G$48:$G$57,1,$H$48:$H$57)/'Parameters'!$B$6)</f>
        <v>1.18047657782734</v>
      </c>
      <c r="L57" s="102">
        <f>IF('Parameters'!$B$24=1,J57/'Parameters'!$B$7,SUMIF($G$48:$G$57,2,$H$48:$H$57)/'Parameters'!$B$7)</f>
        <v>-1.20833552168125</v>
      </c>
      <c r="M57" s="72">
        <f>ABS(H57-IF(G57=1,K57,L57))</f>
        <v>0.028856584159539</v>
      </c>
      <c r="N57" s="72">
        <f>ABS(H57-IF(G57=1,L57,K57))</f>
        <v>2.35995551534906</v>
      </c>
    </row>
    <row r="58">
      <c r="K58" s="82" t="inlineStr">
        <is>
          <t xml:space="preserve">θ, γ  →</t>
        </is>
      </c>
      <c r="L58" s="82"/>
      <c r="M58" s="85">
        <f>SUM(M48:M57)</f>
        <v>5.61366863993627</v>
      </c>
      <c r="N58" s="85">
        <f>SUM(N48:N57)</f>
        <v>18.1922957766307</v>
      </c>
      <c r="O58" s="82" t="inlineStr">
        <is>
          <t xml:space="preserve">θ / γ</t>
        </is>
      </c>
      <c r="P58" s="92" t="str">
        <f>IF(D$14=1,M58/N58,"—")</f>
        <v>—</v>
      </c>
    </row>
    <row r="59"/>
    <row r="60">
      <c r="A60" s="59" t="str">
        <f>"Candidate a₄  ·  operator ρ_I  ·  k = "&amp;'Synthetic Features (k-NN)'!$C$18&amp;"   —   bₜ = R(Sₜ) + η₄(a_t₄)"</f>
        <v>Candidate a₄  ·  operator ρ_I  ·  k = 5   —   bₜ = R(Sₜ) + η₄(a_t₄)</v>
      </c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84" t="str">
        <f>IF(E$14=1,"available",IF($D$4=1,"in TUPLAM — skipped","iteration not executed"))</f>
        <v>available</v>
      </c>
      <c r="P60" s="84"/>
    </row>
    <row r="61">
      <c r="A61" s="60" t="inlineStr">
        <is>
          <t xml:space="preserve">№</t>
        </is>
      </c>
      <c r="B61" s="60" t="inlineStr">
        <is>
          <t xml:space="preserve">R(Sₜ)</t>
        </is>
      </c>
      <c r="C61" s="60" t="inlineStr">
        <is>
          <t xml:space="preserve">+</t>
        </is>
      </c>
      <c r="D61" s="60" t="inlineStr">
        <is>
          <t xml:space="preserve">ηᵤ(a_tu)</t>
        </is>
      </c>
      <c r="E61" s="60" t="inlineStr">
        <is>
          <t xml:space="preserve">=</t>
        </is>
      </c>
      <c r="F61" s="60" t="inlineStr">
        <is>
          <t xml:space="preserve">bₜ</t>
        </is>
      </c>
      <c r="G61" s="60" t="inlineStr">
        <is>
          <t xml:space="preserve">Class</t>
        </is>
      </c>
      <c r="H61" s="60" t="inlineStr">
        <is>
          <t xml:space="preserve">bₜ (majorized)</t>
        </is>
      </c>
      <c r="I61" s="103" t="inlineStr">
        <is>
          <t xml:space="preserve">⚠1 Σ K1 (running)</t>
        </is>
      </c>
      <c r="J61" s="103" t="inlineStr">
        <is>
          <t xml:space="preserve">⚠1 Σ K2 (running)</t>
        </is>
      </c>
      <c r="K61" s="103" t="inlineStr">
        <is>
          <t xml:space="preserve">⚠1 M₁ used</t>
        </is>
      </c>
      <c r="L61" s="103" t="inlineStr">
        <is>
          <t xml:space="preserve">⚠1 M₂ used</t>
        </is>
      </c>
      <c r="M61" s="60" t="inlineStr">
        <is>
          <t xml:space="preserve">|b − M own|</t>
        </is>
      </c>
      <c r="N61" s="60" t="inlineStr">
        <is>
          <t xml:space="preserve">|b − M other|</t>
        </is>
      </c>
    </row>
    <row r="62">
      <c r="A62" s="64" t="inlineStr">
        <is>
          <t xml:space="preserve">b₁</t>
        </is>
      </c>
      <c r="B62" s="72">
        <f>$J$5</f>
        <v>-0.147792690313897</v>
      </c>
      <c r="C62" s="79" t="inlineStr">
        <is>
          <t xml:space="preserve">+</t>
        </is>
      </c>
      <c r="D62" s="72">
        <f>INDEX('Ψ(r) Contribution &amp; Weight'!$B$18:$G$18,4)</f>
        <v>0.15</v>
      </c>
      <c r="E62" s="79" t="inlineStr">
        <is>
          <t xml:space="preserve">=</t>
        </is>
      </c>
      <c r="F62" s="72">
        <f>SUM(B62,D62)</f>
        <v>0.00220730968610255</v>
      </c>
      <c r="G62" s="68">
        <f>Dataset!O3</f>
        <v>2</v>
      </c>
      <c r="H62" s="72">
        <f>IF(OR(G62=1,G62=2),F62+IF(G62=1,1,-1)*'Parameters'!$B$19*EXP(-F62)/(1+EXP(-F62)),"—")</f>
        <v>-0.147627142154655</v>
      </c>
      <c r="I62" s="102">
        <f>IF(G62=1,H62,0)</f>
        <v>0</v>
      </c>
      <c r="J62" s="102">
        <f>IF(G62=2,H62,0)</f>
        <v>-0.147627142154655</v>
      </c>
      <c r="K62" s="102">
        <f>IF('Parameters'!$B$24=1,I62/'Parameters'!$B$6,SUMIF($G$62:$G$71,1,$H$62:$H$71)/'Parameters'!$B$6)</f>
        <v>0</v>
      </c>
      <c r="L62" s="102">
        <f>IF('Parameters'!$B$24=1,J62/'Parameters'!$B$7,SUMIF($G$62:$G$71,2,$H$62:$H$71)/'Parameters'!$B$7)</f>
        <v>-0.0246045236924425</v>
      </c>
      <c r="M62" s="72">
        <f>ABS(H62-IF(G62=1,K62,L62))</f>
        <v>0.123022618462213</v>
      </c>
      <c r="N62" s="72">
        <f>ABS(H62-IF(G62=1,L62,K62))</f>
        <v>0.147627142154655</v>
      </c>
    </row>
    <row r="63">
      <c r="A63" s="64" t="inlineStr">
        <is>
          <t xml:space="preserve">b₂</t>
        </is>
      </c>
      <c r="B63" s="72">
        <f>$J$6</f>
        <v>0.972305825213487</v>
      </c>
      <c r="C63" s="79" t="inlineStr">
        <is>
          <t xml:space="preserve">+</t>
        </is>
      </c>
      <c r="D63" s="72">
        <f>INDEX('Ψ(r) Contribution &amp; Weight'!$B$19:$G$19,4)</f>
        <v>0.15</v>
      </c>
      <c r="E63" s="79" t="inlineStr">
        <is>
          <t xml:space="preserve">=</t>
        </is>
      </c>
      <c r="F63" s="72">
        <f>SUM(B63,D63)</f>
        <v>1.12230582521349</v>
      </c>
      <c r="G63" s="68">
        <f>Dataset!O4</f>
        <v>1</v>
      </c>
      <c r="H63" s="72">
        <f>IF(OR(G63=1,G63=2),F63+IF(G63=1,1,-1)*'Parameters'!$B$19*EXP(-F63)/(1+EXP(-F63)),"—")</f>
        <v>1.19598097336782</v>
      </c>
      <c r="I63" s="102">
        <f>I62+IF(G63=1,H63,0)</f>
        <v>1.19598097336782</v>
      </c>
      <c r="J63" s="102">
        <f>J62+IF(G63=2,H63,0)</f>
        <v>-0.147627142154655</v>
      </c>
      <c r="K63" s="102">
        <f>IF('Parameters'!$B$24=1,I63/'Parameters'!$B$6,SUMIF($G$62:$G$71,1,$H$62:$H$71)/'Parameters'!$B$6)</f>
        <v>0.298995243341955</v>
      </c>
      <c r="L63" s="102">
        <f>IF('Parameters'!$B$24=1,J63/'Parameters'!$B$7,SUMIF($G$62:$G$71,2,$H$62:$H$71)/'Parameters'!$B$7)</f>
        <v>-0.0246045236924425</v>
      </c>
      <c r="M63" s="72">
        <f>ABS(H63-IF(G63=1,K63,L63))</f>
        <v>0.896985730025864</v>
      </c>
      <c r="N63" s="72">
        <f>ABS(H63-IF(G63=1,L63,K63))</f>
        <v>1.22058549706026</v>
      </c>
    </row>
    <row r="64">
      <c r="A64" s="64" t="inlineStr">
        <is>
          <t xml:space="preserve">b₃</t>
        </is>
      </c>
      <c r="B64" s="72">
        <f>$J$7</f>
        <v>-1.96899032950218</v>
      </c>
      <c r="C64" s="79" t="inlineStr">
        <is>
          <t xml:space="preserve">+</t>
        </is>
      </c>
      <c r="D64" s="72">
        <f>INDEX('Ψ(r) Contribution &amp; Weight'!$B$20:$G$20,4)</f>
        <v>-0.15</v>
      </c>
      <c r="E64" s="79" t="inlineStr">
        <is>
          <t xml:space="preserve">=</t>
        </is>
      </c>
      <c r="F64" s="72">
        <f>SUM(B64,D64)</f>
        <v>-2.11899032950218</v>
      </c>
      <c r="G64" s="68">
        <f>Dataset!O5</f>
        <v>2</v>
      </c>
      <c r="H64" s="72">
        <f>IF(OR(G64=1,G64=2),F64+IF(G64=1,1,-1)*'Parameters'!$B$19*EXP(-F64)/(1+EXP(-F64)),"—")</f>
        <v>-2.38681091434533</v>
      </c>
      <c r="I64" s="102">
        <f>I63+IF(G64=1,H64,0)</f>
        <v>1.19598097336782</v>
      </c>
      <c r="J64" s="102">
        <f>J63+IF(G64=2,H64,0)</f>
        <v>-2.53443805649998</v>
      </c>
      <c r="K64" s="102">
        <f>IF('Parameters'!$B$24=1,I64/'Parameters'!$B$6,SUMIF($G$62:$G$71,1,$H$62:$H$71)/'Parameters'!$B$6)</f>
        <v>0.298995243341955</v>
      </c>
      <c r="L64" s="102">
        <f>IF('Parameters'!$B$24=1,J64/'Parameters'!$B$7,SUMIF($G$62:$G$71,2,$H$62:$H$71)/'Parameters'!$B$7)</f>
        <v>-0.422406342749997</v>
      </c>
      <c r="M64" s="72">
        <f>ABS(H64-IF(G64=1,K64,L64))</f>
        <v>1.96440457159533</v>
      </c>
      <c r="N64" s="72">
        <f>ABS(H64-IF(G64=1,L64,K64))</f>
        <v>2.68580615768728</v>
      </c>
    </row>
    <row r="65">
      <c r="A65" s="64" t="inlineStr">
        <is>
          <t xml:space="preserve">b₄</t>
        </is>
      </c>
      <c r="B65" s="72">
        <f>$J$8</f>
        <v>1.23621345350815</v>
      </c>
      <c r="C65" s="79" t="inlineStr">
        <is>
          <t xml:space="preserve">+</t>
        </is>
      </c>
      <c r="D65" s="72">
        <f>INDEX('Ψ(r) Contribution &amp; Weight'!$B$21:$G$21,4)</f>
        <v>0.15</v>
      </c>
      <c r="E65" s="79" t="inlineStr">
        <is>
          <t xml:space="preserve">=</t>
        </is>
      </c>
      <c r="F65" s="72">
        <f>SUM(B65,D65)</f>
        <v>1.38621345350815</v>
      </c>
      <c r="G65" s="68">
        <f>Dataset!O6</f>
        <v>1</v>
      </c>
      <c r="H65" s="72">
        <f>IF(OR(G65=1,G65=2),F65+IF(G65=1,1,-1)*'Parameters'!$B$19*EXP(-F65)/(1+EXP(-F65)),"—")</f>
        <v>1.44621733716778</v>
      </c>
      <c r="I65" s="102">
        <f>I64+IF(G65=1,H65,0)</f>
        <v>2.64219831053559</v>
      </c>
      <c r="J65" s="102">
        <f>J64+IF(G65=2,H65,0)</f>
        <v>-2.53443805649998</v>
      </c>
      <c r="K65" s="102">
        <f>IF('Parameters'!$B$24=1,I65/'Parameters'!$B$6,SUMIF($G$62:$G$71,1,$H$62:$H$71)/'Parameters'!$B$6)</f>
        <v>0.660549577633899</v>
      </c>
      <c r="L65" s="102">
        <f>IF('Parameters'!$B$24=1,J65/'Parameters'!$B$7,SUMIF($G$62:$G$71,2,$H$62:$H$71)/'Parameters'!$B$7)</f>
        <v>-0.422406342749997</v>
      </c>
      <c r="M65" s="72">
        <f>ABS(H65-IF(G65=1,K65,L65))</f>
        <v>0.785667759533878</v>
      </c>
      <c r="N65" s="72">
        <f>ABS(H65-IF(G65=1,L65,K65))</f>
        <v>1.86862367991777</v>
      </c>
    </row>
    <row r="66">
      <c r="A66" s="64" t="inlineStr">
        <is>
          <t xml:space="preserve">b₅</t>
        </is>
      </c>
      <c r="B66" s="72">
        <f>$J$9</f>
        <v>1.23621345350815</v>
      </c>
      <c r="C66" s="79" t="inlineStr">
        <is>
          <t xml:space="preserve">+</t>
        </is>
      </c>
      <c r="D66" s="72">
        <f>INDEX('Ψ(r) Contribution &amp; Weight'!$B$22:$G$22,4)</f>
        <v>0.15</v>
      </c>
      <c r="E66" s="79" t="inlineStr">
        <is>
          <t xml:space="preserve">=</t>
        </is>
      </c>
      <c r="F66" s="72">
        <f>SUM(B66,D66)</f>
        <v>1.38621345350815</v>
      </c>
      <c r="G66" s="68">
        <f>Dataset!O7</f>
        <v>1</v>
      </c>
      <c r="H66" s="72">
        <f>IF(OR(G66=1,G66=2),F66+IF(G66=1,1,-1)*'Parameters'!$B$19*EXP(-F66)/(1+EXP(-F66)),"—")</f>
        <v>1.44621733716778</v>
      </c>
      <c r="I66" s="102">
        <f>I65+IF(G66=1,H66,0)</f>
        <v>4.08841564770337</v>
      </c>
      <c r="J66" s="102">
        <f>J65+IF(G66=2,H66,0)</f>
        <v>-2.53443805649998</v>
      </c>
      <c r="K66" s="102">
        <f>IF('Parameters'!$B$24=1,I66/'Parameters'!$B$6,SUMIF($G$62:$G$71,1,$H$62:$H$71)/'Parameters'!$B$6)</f>
        <v>1.02210391192584</v>
      </c>
      <c r="L66" s="102">
        <f>IF('Parameters'!$B$24=1,J66/'Parameters'!$B$7,SUMIF($G$62:$G$71,2,$H$62:$H$71)/'Parameters'!$B$7)</f>
        <v>-0.422406342749997</v>
      </c>
      <c r="M66" s="72">
        <f>ABS(H66-IF(G66=1,K66,L66))</f>
        <v>0.424113425241933</v>
      </c>
      <c r="N66" s="72">
        <f>ABS(H66-IF(G66=1,L66,K66))</f>
        <v>1.86862367991777</v>
      </c>
    </row>
    <row r="67">
      <c r="A67" s="64" t="inlineStr">
        <is>
          <t xml:space="preserve">b₆</t>
        </is>
      </c>
      <c r="B67" s="72">
        <f>$J$10</f>
        <v>0.972305825213487</v>
      </c>
      <c r="C67" s="79" t="inlineStr">
        <is>
          <t xml:space="preserve">+</t>
        </is>
      </c>
      <c r="D67" s="72">
        <f>INDEX('Ψ(r) Contribution &amp; Weight'!$B$23:$G$23,4)</f>
        <v>0.15</v>
      </c>
      <c r="E67" s="79" t="inlineStr">
        <is>
          <t xml:space="preserve">=</t>
        </is>
      </c>
      <c r="F67" s="72">
        <f>SUM(B67,D67)</f>
        <v>1.12230582521349</v>
      </c>
      <c r="G67" s="68">
        <f>Dataset!O8</f>
        <v>1</v>
      </c>
      <c r="H67" s="72">
        <f>IF(OR(G67=1,G67=2),F67+IF(G67=1,1,-1)*'Parameters'!$B$19*EXP(-F67)/(1+EXP(-F67)),"—")</f>
        <v>1.19598097336782</v>
      </c>
      <c r="I67" s="102">
        <f>I66+IF(G67=1,H67,0)</f>
        <v>5.28439662107119</v>
      </c>
      <c r="J67" s="102">
        <f>J66+IF(G67=2,H67,0)</f>
        <v>-2.53443805649998</v>
      </c>
      <c r="K67" s="102">
        <f>IF('Parameters'!$B$24=1,I67/'Parameters'!$B$6,SUMIF($G$62:$G$71,1,$H$62:$H$71)/'Parameters'!$B$6)</f>
        <v>1.3210991552678</v>
      </c>
      <c r="L67" s="102">
        <f>IF('Parameters'!$B$24=1,J67/'Parameters'!$B$7,SUMIF($G$62:$G$71,2,$H$62:$H$71)/'Parameters'!$B$7)</f>
        <v>-0.422406342749997</v>
      </c>
      <c r="M67" s="72">
        <f>ABS(H67-IF(G67=1,K67,L67))</f>
        <v>0.125118181899979</v>
      </c>
      <c r="N67" s="72">
        <f>ABS(H67-IF(G67=1,L67,K67))</f>
        <v>1.61838731611782</v>
      </c>
    </row>
    <row r="68">
      <c r="A68" s="64" t="inlineStr">
        <is>
          <t xml:space="preserve">b₇</t>
        </is>
      </c>
      <c r="B68" s="72">
        <f>$J$11</f>
        <v>-0.762398412464542</v>
      </c>
      <c r="C68" s="79" t="inlineStr">
        <is>
          <t xml:space="preserve">+</t>
        </is>
      </c>
      <c r="D68" s="72">
        <f>INDEX('Ψ(r) Contribution &amp; Weight'!$B$24:$G$24,4)</f>
        <v>0.15</v>
      </c>
      <c r="E68" s="79" t="inlineStr">
        <is>
          <t xml:space="preserve">=</t>
        </is>
      </c>
      <c r="F68" s="72">
        <f>SUM(B68,D68)</f>
        <v>-0.612398412464542</v>
      </c>
      <c r="G68" s="68">
        <f>Dataset!O9</f>
        <v>2</v>
      </c>
      <c r="H68" s="72">
        <f>IF(OR(G68=1,G68=2),F68+IF(G68=1,1,-1)*'Parameters'!$B$19*EXP(-F68)/(1+EXP(-F68)),"—")</f>
        <v>-0.806944727884811</v>
      </c>
      <c r="I68" s="102">
        <f>I67+IF(G68=1,H68,0)</f>
        <v>5.28439662107119</v>
      </c>
      <c r="J68" s="102">
        <f>J67+IF(G68=2,H68,0)</f>
        <v>-3.34138278438479</v>
      </c>
      <c r="K68" s="102">
        <f>IF('Parameters'!$B$24=1,I68/'Parameters'!$B$6,SUMIF($G$62:$G$71,1,$H$62:$H$71)/'Parameters'!$B$6)</f>
        <v>1.3210991552678</v>
      </c>
      <c r="L68" s="102">
        <f>IF('Parameters'!$B$24=1,J68/'Parameters'!$B$7,SUMIF($G$62:$G$71,2,$H$62:$H$71)/'Parameters'!$B$7)</f>
        <v>-0.556897130730799</v>
      </c>
      <c r="M68" s="72">
        <f>ABS(H68-IF(G68=1,K68,L68))</f>
        <v>0.250047597154013</v>
      </c>
      <c r="N68" s="72">
        <f>ABS(H68-IF(G68=1,L68,K68))</f>
        <v>2.12804388315261</v>
      </c>
    </row>
    <row r="69">
      <c r="A69" s="64" t="inlineStr">
        <is>
          <t xml:space="preserve">b₈</t>
        </is>
      </c>
      <c r="B69" s="72">
        <f>$J$12</f>
        <v>-0.762398412464542</v>
      </c>
      <c r="C69" s="79" t="inlineStr">
        <is>
          <t xml:space="preserve">+</t>
        </is>
      </c>
      <c r="D69" s="72">
        <f>INDEX('Ψ(r) Contribution &amp; Weight'!$B$25:$G$25,4)</f>
        <v>0.15</v>
      </c>
      <c r="E69" s="79" t="inlineStr">
        <is>
          <t xml:space="preserve">=</t>
        </is>
      </c>
      <c r="F69" s="72">
        <f>SUM(B69,D69)</f>
        <v>-0.612398412464542</v>
      </c>
      <c r="G69" s="68">
        <f>Dataset!O10</f>
        <v>2</v>
      </c>
      <c r="H69" s="72">
        <f>IF(OR(G69=1,G69=2),F69+IF(G69=1,1,-1)*'Parameters'!$B$19*EXP(-F69)/(1+EXP(-F69)),"—")</f>
        <v>-0.806944727884811</v>
      </c>
      <c r="I69" s="102">
        <f>I68+IF(G69=1,H69,0)</f>
        <v>5.28439662107119</v>
      </c>
      <c r="J69" s="102">
        <f>J68+IF(G69=2,H69,0)</f>
        <v>-4.1483275122696</v>
      </c>
      <c r="K69" s="102">
        <f>IF('Parameters'!$B$24=1,I69/'Parameters'!$B$6,SUMIF($G$62:$G$71,1,$H$62:$H$71)/'Parameters'!$B$6)</f>
        <v>1.3210991552678</v>
      </c>
      <c r="L69" s="102">
        <f>IF('Parameters'!$B$24=1,J69/'Parameters'!$B$7,SUMIF($G$62:$G$71,2,$H$62:$H$71)/'Parameters'!$B$7)</f>
        <v>-0.691387918711601</v>
      </c>
      <c r="M69" s="72">
        <f>ABS(H69-IF(G69=1,K69,L69))</f>
        <v>0.115556809173211</v>
      </c>
      <c r="N69" s="72">
        <f>ABS(H69-IF(G69=1,L69,K69))</f>
        <v>2.12804388315261</v>
      </c>
    </row>
    <row r="70">
      <c r="A70" s="64" t="inlineStr">
        <is>
          <t xml:space="preserve">b₉</t>
        </is>
      </c>
      <c r="B70" s="72">
        <f>$J$13</f>
        <v>-0.762398412464542</v>
      </c>
      <c r="C70" s="79" t="inlineStr">
        <is>
          <t xml:space="preserve">+</t>
        </is>
      </c>
      <c r="D70" s="72">
        <f>INDEX('Ψ(r) Contribution &amp; Weight'!$B$26:$G$26,4)</f>
        <v>0.15</v>
      </c>
      <c r="E70" s="79" t="inlineStr">
        <is>
          <t xml:space="preserve">=</t>
        </is>
      </c>
      <c r="F70" s="72">
        <f>SUM(B70,D70)</f>
        <v>-0.612398412464542</v>
      </c>
      <c r="G70" s="68">
        <f>Dataset!O11</f>
        <v>2</v>
      </c>
      <c r="H70" s="72">
        <f>IF(OR(G70=1,G70=2),F70+IF(G70=1,1,-1)*'Parameters'!$B$19*EXP(-F70)/(1+EXP(-F70)),"—")</f>
        <v>-0.806944727884811</v>
      </c>
      <c r="I70" s="102">
        <f>I69+IF(G70=1,H70,0)</f>
        <v>5.28439662107119</v>
      </c>
      <c r="J70" s="102">
        <f>J69+IF(G70=2,H70,0)</f>
        <v>-4.95527224015441</v>
      </c>
      <c r="K70" s="102">
        <f>IF('Parameters'!$B$24=1,I70/'Parameters'!$B$6,SUMIF($G$62:$G$71,1,$H$62:$H$71)/'Parameters'!$B$6)</f>
        <v>1.3210991552678</v>
      </c>
      <c r="L70" s="102">
        <f>IF('Parameters'!$B$24=1,J70/'Parameters'!$B$7,SUMIF($G$62:$G$71,2,$H$62:$H$71)/'Parameters'!$B$7)</f>
        <v>-0.825878706692402</v>
      </c>
      <c r="M70" s="72">
        <f>ABS(H70-IF(G70=1,K70,L70))</f>
        <v>0.0189339788075912</v>
      </c>
      <c r="N70" s="72">
        <f>ABS(H70-IF(G70=1,L70,K70))</f>
        <v>2.12804388315261</v>
      </c>
    </row>
    <row r="71">
      <c r="A71" s="64" t="inlineStr">
        <is>
          <t xml:space="preserve">b₁₀</t>
        </is>
      </c>
      <c r="B71" s="72">
        <f>$J$14</f>
        <v>-0.762398412464542</v>
      </c>
      <c r="C71" s="79" t="inlineStr">
        <is>
          <t xml:space="preserve">+</t>
        </is>
      </c>
      <c r="D71" s="72">
        <f>INDEX('Ψ(r) Contribution &amp; Weight'!$B$27:$G$27,4)</f>
        <v>0.15</v>
      </c>
      <c r="E71" s="79" t="inlineStr">
        <is>
          <t xml:space="preserve">=</t>
        </is>
      </c>
      <c r="F71" s="72">
        <f>SUM(B71,D71)</f>
        <v>-0.612398412464542</v>
      </c>
      <c r="G71" s="68">
        <f>Dataset!O12</f>
        <v>2</v>
      </c>
      <c r="H71" s="72">
        <f>IF(OR(G71=1,G71=2),F71+IF(G71=1,1,-1)*'Parameters'!$B$19*EXP(-F71)/(1+EXP(-F71)),"—")</f>
        <v>-0.806944727884811</v>
      </c>
      <c r="I71" s="102">
        <f>I70+IF(G71=1,H71,0)</f>
        <v>5.28439662107119</v>
      </c>
      <c r="J71" s="102">
        <f>J70+IF(G71=2,H71,0)</f>
        <v>-5.76221696803923</v>
      </c>
      <c r="K71" s="102">
        <f>IF('Parameters'!$B$24=1,I71/'Parameters'!$B$6,SUMIF($G$62:$G$71,1,$H$62:$H$71)/'Parameters'!$B$6)</f>
        <v>1.3210991552678</v>
      </c>
      <c r="L71" s="102">
        <f>IF('Parameters'!$B$24=1,J71/'Parameters'!$B$7,SUMIF($G$62:$G$71,2,$H$62:$H$71)/'Parameters'!$B$7)</f>
        <v>-0.960369494673204</v>
      </c>
      <c r="M71" s="72">
        <f>ABS(H71-IF(G71=1,K71,L71))</f>
        <v>0.153424766788393</v>
      </c>
      <c r="N71" s="72">
        <f>ABS(H71-IF(G71=1,L71,K71))</f>
        <v>2.12804388315261</v>
      </c>
    </row>
    <row r="72">
      <c r="K72" s="82" t="inlineStr">
        <is>
          <t xml:space="preserve">θ, γ  →</t>
        </is>
      </c>
      <c r="L72" s="82"/>
      <c r="M72" s="85">
        <f>SUM(M62:M71)</f>
        <v>4.8572754386824</v>
      </c>
      <c r="N72" s="85">
        <f>SUM(N62:N71)</f>
        <v>17.921829005466</v>
      </c>
      <c r="O72" s="82" t="inlineStr">
        <is>
          <t xml:space="preserve">θ / γ</t>
        </is>
      </c>
      <c r="P72" s="92">
        <f>IF(E$14=1,M72/N72,"—")</f>
        <v>0.271025654647245</v>
      </c>
    </row>
    <row r="73"/>
    <row r="74">
      <c r="A74" s="59" t="str">
        <f>"Candidate a₅  ·  operator ρ_J  ·  k = "&amp;'Synthetic Features (k-NN)'!$B$32&amp;"   —   bₜ = R(Sₜ) + η₅(a_t₅)"</f>
        <v>Candidate a₅  ·  operator ρ_J  ·  k = 3   —   bₜ = R(Sₜ) + η₅(a_t₅)</v>
      </c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84" t="str">
        <f>IF(F$14=1,"available",IF($D$4=1,"in TUPLAM — skipped","iteration not executed"))</f>
        <v>available</v>
      </c>
      <c r="P74" s="84"/>
    </row>
    <row r="75">
      <c r="A75" s="60" t="inlineStr">
        <is>
          <t xml:space="preserve">№</t>
        </is>
      </c>
      <c r="B75" s="60" t="inlineStr">
        <is>
          <t xml:space="preserve">R(Sₜ)</t>
        </is>
      </c>
      <c r="C75" s="60" t="inlineStr">
        <is>
          <t xml:space="preserve">+</t>
        </is>
      </c>
      <c r="D75" s="60" t="inlineStr">
        <is>
          <t xml:space="preserve">ηᵤ(a_tu)</t>
        </is>
      </c>
      <c r="E75" s="60" t="inlineStr">
        <is>
          <t xml:space="preserve">=</t>
        </is>
      </c>
      <c r="F75" s="60" t="inlineStr">
        <is>
          <t xml:space="preserve">bₜ</t>
        </is>
      </c>
      <c r="G75" s="60" t="inlineStr">
        <is>
          <t xml:space="preserve">Class</t>
        </is>
      </c>
      <c r="H75" s="60" t="inlineStr">
        <is>
          <t xml:space="preserve">bₜ (majorized)</t>
        </is>
      </c>
      <c r="I75" s="103" t="inlineStr">
        <is>
          <t xml:space="preserve">⚠1 Σ K1 (running)</t>
        </is>
      </c>
      <c r="J75" s="103" t="inlineStr">
        <is>
          <t xml:space="preserve">⚠1 Σ K2 (running)</t>
        </is>
      </c>
      <c r="K75" s="103" t="inlineStr">
        <is>
          <t xml:space="preserve">⚠1 M₁ used</t>
        </is>
      </c>
      <c r="L75" s="103" t="inlineStr">
        <is>
          <t xml:space="preserve">⚠1 M₂ used</t>
        </is>
      </c>
      <c r="M75" s="60" t="inlineStr">
        <is>
          <t xml:space="preserve">|b − M own|</t>
        </is>
      </c>
      <c r="N75" s="60" t="inlineStr">
        <is>
          <t xml:space="preserve">|b − M other|</t>
        </is>
      </c>
    </row>
    <row r="76">
      <c r="A76" s="64" t="inlineStr">
        <is>
          <t xml:space="preserve">b₁</t>
        </is>
      </c>
      <c r="B76" s="72">
        <f>$J$5</f>
        <v>-0.147792690313897</v>
      </c>
      <c r="C76" s="79" t="inlineStr">
        <is>
          <t xml:space="preserve">+</t>
        </is>
      </c>
      <c r="D76" s="72">
        <f>INDEX('Ψ(r) Contribution &amp; Weight'!$B$18:$G$18,5)</f>
        <v>0.15</v>
      </c>
      <c r="E76" s="79" t="inlineStr">
        <is>
          <t xml:space="preserve">=</t>
        </is>
      </c>
      <c r="F76" s="72">
        <f>SUM(B76,D76)</f>
        <v>0.00220730968610255</v>
      </c>
      <c r="G76" s="68">
        <f>Dataset!O3</f>
        <v>2</v>
      </c>
      <c r="H76" s="72">
        <f>IF(OR(G76=1,G76=2),F76+IF(G76=1,1,-1)*'Parameters'!$B$19*EXP(-F76)/(1+EXP(-F76)),"—")</f>
        <v>-0.147627142154655</v>
      </c>
      <c r="I76" s="102">
        <f>IF(G76=1,H76,0)</f>
        <v>0</v>
      </c>
      <c r="J76" s="102">
        <f>IF(G76=2,H76,0)</f>
        <v>-0.147627142154655</v>
      </c>
      <c r="K76" s="102">
        <f>IF('Parameters'!$B$24=1,I76/'Parameters'!$B$6,SUMIF($G$76:$G$85,1,$H$76:$H$85)/'Parameters'!$B$6)</f>
        <v>0</v>
      </c>
      <c r="L76" s="102">
        <f>IF('Parameters'!$B$24=1,J76/'Parameters'!$B$7,SUMIF($G$76:$G$85,2,$H$76:$H$85)/'Parameters'!$B$7)</f>
        <v>-0.0246045236924425</v>
      </c>
      <c r="M76" s="72">
        <f>ABS(H76-IF(G76=1,K76,L76))</f>
        <v>0.123022618462213</v>
      </c>
      <c r="N76" s="72">
        <f>ABS(H76-IF(G76=1,L76,K76))</f>
        <v>0.147627142154655</v>
      </c>
    </row>
    <row r="77">
      <c r="A77" s="64" t="inlineStr">
        <is>
          <t xml:space="preserve">b₂</t>
        </is>
      </c>
      <c r="B77" s="72">
        <f>$J$6</f>
        <v>0.972305825213487</v>
      </c>
      <c r="C77" s="79" t="inlineStr">
        <is>
          <t xml:space="preserve">+</t>
        </is>
      </c>
      <c r="D77" s="72">
        <f>INDEX('Ψ(r) Contribution &amp; Weight'!$B$19:$G$19,5)</f>
        <v>0.15</v>
      </c>
      <c r="E77" s="79" t="inlineStr">
        <is>
          <t xml:space="preserve">=</t>
        </is>
      </c>
      <c r="F77" s="72">
        <f>SUM(B77,D77)</f>
        <v>1.12230582521349</v>
      </c>
      <c r="G77" s="68">
        <f>Dataset!O4</f>
        <v>1</v>
      </c>
      <c r="H77" s="72">
        <f>IF(OR(G77=1,G77=2),F77+IF(G77=1,1,-1)*'Parameters'!$B$19*EXP(-F77)/(1+EXP(-F77)),"—")</f>
        <v>1.19598097336782</v>
      </c>
      <c r="I77" s="102">
        <f>I76+IF(G77=1,H77,0)</f>
        <v>1.19598097336782</v>
      </c>
      <c r="J77" s="102">
        <f>J76+IF(G77=2,H77,0)</f>
        <v>-0.147627142154655</v>
      </c>
      <c r="K77" s="102">
        <f>IF('Parameters'!$B$24=1,I77/'Parameters'!$B$6,SUMIF($G$76:$G$85,1,$H$76:$H$85)/'Parameters'!$B$6)</f>
        <v>0.298995243341955</v>
      </c>
      <c r="L77" s="102">
        <f>IF('Parameters'!$B$24=1,J77/'Parameters'!$B$7,SUMIF($G$76:$G$85,2,$H$76:$H$85)/'Parameters'!$B$7)</f>
        <v>-0.0246045236924425</v>
      </c>
      <c r="M77" s="72">
        <f>ABS(H77-IF(G77=1,K77,L77))</f>
        <v>0.896985730025864</v>
      </c>
      <c r="N77" s="72">
        <f>ABS(H77-IF(G77=1,L77,K77))</f>
        <v>1.22058549706026</v>
      </c>
    </row>
    <row r="78">
      <c r="A78" s="64" t="inlineStr">
        <is>
          <t xml:space="preserve">b₃</t>
        </is>
      </c>
      <c r="B78" s="72">
        <f>$J$7</f>
        <v>-1.96899032950218</v>
      </c>
      <c r="C78" s="79" t="inlineStr">
        <is>
          <t xml:space="preserve">+</t>
        </is>
      </c>
      <c r="D78" s="72">
        <f>INDEX('Ψ(r) Contribution &amp; Weight'!$B$20:$G$20,5)</f>
        <v>-0.15</v>
      </c>
      <c r="E78" s="79" t="inlineStr">
        <is>
          <t xml:space="preserve">=</t>
        </is>
      </c>
      <c r="F78" s="72">
        <f>SUM(B78,D78)</f>
        <v>-2.11899032950218</v>
      </c>
      <c r="G78" s="68">
        <f>Dataset!O5</f>
        <v>2</v>
      </c>
      <c r="H78" s="72">
        <f>IF(OR(G78=1,G78=2),F78+IF(G78=1,1,-1)*'Parameters'!$B$19*EXP(-F78)/(1+EXP(-F78)),"—")</f>
        <v>-2.38681091434533</v>
      </c>
      <c r="I78" s="102">
        <f>I77+IF(G78=1,H78,0)</f>
        <v>1.19598097336782</v>
      </c>
      <c r="J78" s="102">
        <f>J77+IF(G78=2,H78,0)</f>
        <v>-2.53443805649998</v>
      </c>
      <c r="K78" s="102">
        <f>IF('Parameters'!$B$24=1,I78/'Parameters'!$B$6,SUMIF($G$76:$G$85,1,$H$76:$H$85)/'Parameters'!$B$6)</f>
        <v>0.298995243341955</v>
      </c>
      <c r="L78" s="102">
        <f>IF('Parameters'!$B$24=1,J78/'Parameters'!$B$7,SUMIF($G$76:$G$85,2,$H$76:$H$85)/'Parameters'!$B$7)</f>
        <v>-0.422406342749997</v>
      </c>
      <c r="M78" s="72">
        <f>ABS(H78-IF(G78=1,K78,L78))</f>
        <v>1.96440457159533</v>
      </c>
      <c r="N78" s="72">
        <f>ABS(H78-IF(G78=1,L78,K78))</f>
        <v>2.68580615768728</v>
      </c>
    </row>
    <row r="79">
      <c r="A79" s="64" t="inlineStr">
        <is>
          <t xml:space="preserve">b₄</t>
        </is>
      </c>
      <c r="B79" s="72">
        <f>$J$8</f>
        <v>1.23621345350815</v>
      </c>
      <c r="C79" s="79" t="inlineStr">
        <is>
          <t xml:space="preserve">+</t>
        </is>
      </c>
      <c r="D79" s="72">
        <f>INDEX('Ψ(r) Contribution &amp; Weight'!$B$21:$G$21,5)</f>
        <v>0.15</v>
      </c>
      <c r="E79" s="79" t="inlineStr">
        <is>
          <t xml:space="preserve">=</t>
        </is>
      </c>
      <c r="F79" s="72">
        <f>SUM(B79,D79)</f>
        <v>1.38621345350815</v>
      </c>
      <c r="G79" s="68">
        <f>Dataset!O6</f>
        <v>1</v>
      </c>
      <c r="H79" s="72">
        <f>IF(OR(G79=1,G79=2),F79+IF(G79=1,1,-1)*'Parameters'!$B$19*EXP(-F79)/(1+EXP(-F79)),"—")</f>
        <v>1.44621733716778</v>
      </c>
      <c r="I79" s="102">
        <f>I78+IF(G79=1,H79,0)</f>
        <v>2.64219831053559</v>
      </c>
      <c r="J79" s="102">
        <f>J78+IF(G79=2,H79,0)</f>
        <v>-2.53443805649998</v>
      </c>
      <c r="K79" s="102">
        <f>IF('Parameters'!$B$24=1,I79/'Parameters'!$B$6,SUMIF($G$76:$G$85,1,$H$76:$H$85)/'Parameters'!$B$6)</f>
        <v>0.660549577633899</v>
      </c>
      <c r="L79" s="102">
        <f>IF('Parameters'!$B$24=1,J79/'Parameters'!$B$7,SUMIF($G$76:$G$85,2,$H$76:$H$85)/'Parameters'!$B$7)</f>
        <v>-0.422406342749997</v>
      </c>
      <c r="M79" s="72">
        <f>ABS(H79-IF(G79=1,K79,L79))</f>
        <v>0.785667759533878</v>
      </c>
      <c r="N79" s="72">
        <f>ABS(H79-IF(G79=1,L79,K79))</f>
        <v>1.86862367991777</v>
      </c>
    </row>
    <row r="80">
      <c r="A80" s="64" t="inlineStr">
        <is>
          <t xml:space="preserve">b₅</t>
        </is>
      </c>
      <c r="B80" s="72">
        <f>$J$9</f>
        <v>1.23621345350815</v>
      </c>
      <c r="C80" s="79" t="inlineStr">
        <is>
          <t xml:space="preserve">+</t>
        </is>
      </c>
      <c r="D80" s="72">
        <f>INDEX('Ψ(r) Contribution &amp; Weight'!$B$22:$G$22,5)</f>
        <v>0.15</v>
      </c>
      <c r="E80" s="79" t="inlineStr">
        <is>
          <t xml:space="preserve">=</t>
        </is>
      </c>
      <c r="F80" s="72">
        <f>SUM(B80,D80)</f>
        <v>1.38621345350815</v>
      </c>
      <c r="G80" s="68">
        <f>Dataset!O7</f>
        <v>1</v>
      </c>
      <c r="H80" s="72">
        <f>IF(OR(G80=1,G80=2),F80+IF(G80=1,1,-1)*'Parameters'!$B$19*EXP(-F80)/(1+EXP(-F80)),"—")</f>
        <v>1.44621733716778</v>
      </c>
      <c r="I80" s="102">
        <f>I79+IF(G80=1,H80,0)</f>
        <v>4.08841564770337</v>
      </c>
      <c r="J80" s="102">
        <f>J79+IF(G80=2,H80,0)</f>
        <v>-2.53443805649998</v>
      </c>
      <c r="K80" s="102">
        <f>IF('Parameters'!$B$24=1,I80/'Parameters'!$B$6,SUMIF($G$76:$G$85,1,$H$76:$H$85)/'Parameters'!$B$6)</f>
        <v>1.02210391192584</v>
      </c>
      <c r="L80" s="102">
        <f>IF('Parameters'!$B$24=1,J80/'Parameters'!$B$7,SUMIF($G$76:$G$85,2,$H$76:$H$85)/'Parameters'!$B$7)</f>
        <v>-0.422406342749997</v>
      </c>
      <c r="M80" s="72">
        <f>ABS(H80-IF(G80=1,K80,L80))</f>
        <v>0.424113425241933</v>
      </c>
      <c r="N80" s="72">
        <f>ABS(H80-IF(G80=1,L80,K80))</f>
        <v>1.86862367991777</v>
      </c>
    </row>
    <row r="81">
      <c r="A81" s="64" t="inlineStr">
        <is>
          <t xml:space="preserve">b₆</t>
        </is>
      </c>
      <c r="B81" s="72">
        <f>$J$10</f>
        <v>0.972305825213487</v>
      </c>
      <c r="C81" s="79" t="inlineStr">
        <is>
          <t xml:space="preserve">+</t>
        </is>
      </c>
      <c r="D81" s="72">
        <f>INDEX('Ψ(r) Contribution &amp; Weight'!$B$23:$G$23,5)</f>
        <v>0.15</v>
      </c>
      <c r="E81" s="79" t="inlineStr">
        <is>
          <t xml:space="preserve">=</t>
        </is>
      </c>
      <c r="F81" s="72">
        <f>SUM(B81,D81)</f>
        <v>1.12230582521349</v>
      </c>
      <c r="G81" s="68">
        <f>Dataset!O8</f>
        <v>1</v>
      </c>
      <c r="H81" s="72">
        <f>IF(OR(G81=1,G81=2),F81+IF(G81=1,1,-1)*'Parameters'!$B$19*EXP(-F81)/(1+EXP(-F81)),"—")</f>
        <v>1.19598097336782</v>
      </c>
      <c r="I81" s="102">
        <f>I80+IF(G81=1,H81,0)</f>
        <v>5.28439662107119</v>
      </c>
      <c r="J81" s="102">
        <f>J80+IF(G81=2,H81,0)</f>
        <v>-2.53443805649998</v>
      </c>
      <c r="K81" s="102">
        <f>IF('Parameters'!$B$24=1,I81/'Parameters'!$B$6,SUMIF($G$76:$G$85,1,$H$76:$H$85)/'Parameters'!$B$6)</f>
        <v>1.3210991552678</v>
      </c>
      <c r="L81" s="102">
        <f>IF('Parameters'!$B$24=1,J81/'Parameters'!$B$7,SUMIF($G$76:$G$85,2,$H$76:$H$85)/'Parameters'!$B$7)</f>
        <v>-0.422406342749997</v>
      </c>
      <c r="M81" s="72">
        <f>ABS(H81-IF(G81=1,K81,L81))</f>
        <v>0.125118181899979</v>
      </c>
      <c r="N81" s="72">
        <f>ABS(H81-IF(G81=1,L81,K81))</f>
        <v>1.61838731611782</v>
      </c>
    </row>
    <row r="82">
      <c r="A82" s="64" t="inlineStr">
        <is>
          <t xml:space="preserve">b₇</t>
        </is>
      </c>
      <c r="B82" s="72">
        <f>$J$11</f>
        <v>-0.762398412464542</v>
      </c>
      <c r="C82" s="79" t="inlineStr">
        <is>
          <t xml:space="preserve">+</t>
        </is>
      </c>
      <c r="D82" s="72">
        <f>INDEX('Ψ(r) Contribution &amp; Weight'!$B$24:$G$24,5)</f>
        <v>0.15</v>
      </c>
      <c r="E82" s="79" t="inlineStr">
        <is>
          <t xml:space="preserve">=</t>
        </is>
      </c>
      <c r="F82" s="72">
        <f>SUM(B82,D82)</f>
        <v>-0.612398412464542</v>
      </c>
      <c r="G82" s="68">
        <f>Dataset!O9</f>
        <v>2</v>
      </c>
      <c r="H82" s="72">
        <f>IF(OR(G82=1,G82=2),F82+IF(G82=1,1,-1)*'Parameters'!$B$19*EXP(-F82)/(1+EXP(-F82)),"—")</f>
        <v>-0.806944727884811</v>
      </c>
      <c r="I82" s="102">
        <f>I81+IF(G82=1,H82,0)</f>
        <v>5.28439662107119</v>
      </c>
      <c r="J82" s="102">
        <f>J81+IF(G82=2,H82,0)</f>
        <v>-3.34138278438479</v>
      </c>
      <c r="K82" s="102">
        <f>IF('Parameters'!$B$24=1,I82/'Parameters'!$B$6,SUMIF($G$76:$G$85,1,$H$76:$H$85)/'Parameters'!$B$6)</f>
        <v>1.3210991552678</v>
      </c>
      <c r="L82" s="102">
        <f>IF('Parameters'!$B$24=1,J82/'Parameters'!$B$7,SUMIF($G$76:$G$85,2,$H$76:$H$85)/'Parameters'!$B$7)</f>
        <v>-0.556897130730799</v>
      </c>
      <c r="M82" s="72">
        <f>ABS(H82-IF(G82=1,K82,L82))</f>
        <v>0.250047597154013</v>
      </c>
      <c r="N82" s="72">
        <f>ABS(H82-IF(G82=1,L82,K82))</f>
        <v>2.12804388315261</v>
      </c>
    </row>
    <row r="83">
      <c r="A83" s="64" t="inlineStr">
        <is>
          <t xml:space="preserve">b₈</t>
        </is>
      </c>
      <c r="B83" s="72">
        <f>$J$12</f>
        <v>-0.762398412464542</v>
      </c>
      <c r="C83" s="79" t="inlineStr">
        <is>
          <t xml:space="preserve">+</t>
        </is>
      </c>
      <c r="D83" s="72">
        <f>INDEX('Ψ(r) Contribution &amp; Weight'!$B$25:$G$25,5)</f>
        <v>0.15</v>
      </c>
      <c r="E83" s="79" t="inlineStr">
        <is>
          <t xml:space="preserve">=</t>
        </is>
      </c>
      <c r="F83" s="72">
        <f>SUM(B83,D83)</f>
        <v>-0.612398412464542</v>
      </c>
      <c r="G83" s="68">
        <f>Dataset!O10</f>
        <v>2</v>
      </c>
      <c r="H83" s="72">
        <f>IF(OR(G83=1,G83=2),F83+IF(G83=1,1,-1)*'Parameters'!$B$19*EXP(-F83)/(1+EXP(-F83)),"—")</f>
        <v>-0.806944727884811</v>
      </c>
      <c r="I83" s="102">
        <f>I82+IF(G83=1,H83,0)</f>
        <v>5.28439662107119</v>
      </c>
      <c r="J83" s="102">
        <f>J82+IF(G83=2,H83,0)</f>
        <v>-4.1483275122696</v>
      </c>
      <c r="K83" s="102">
        <f>IF('Parameters'!$B$24=1,I83/'Parameters'!$B$6,SUMIF($G$76:$G$85,1,$H$76:$H$85)/'Parameters'!$B$6)</f>
        <v>1.3210991552678</v>
      </c>
      <c r="L83" s="102">
        <f>IF('Parameters'!$B$24=1,J83/'Parameters'!$B$7,SUMIF($G$76:$G$85,2,$H$76:$H$85)/'Parameters'!$B$7)</f>
        <v>-0.691387918711601</v>
      </c>
      <c r="M83" s="72">
        <f>ABS(H83-IF(G83=1,K83,L83))</f>
        <v>0.115556809173211</v>
      </c>
      <c r="N83" s="72">
        <f>ABS(H83-IF(G83=1,L83,K83))</f>
        <v>2.12804388315261</v>
      </c>
    </row>
    <row r="84">
      <c r="A84" s="64" t="inlineStr">
        <is>
          <t xml:space="preserve">b₉</t>
        </is>
      </c>
      <c r="B84" s="72">
        <f>$J$13</f>
        <v>-0.762398412464542</v>
      </c>
      <c r="C84" s="79" t="inlineStr">
        <is>
          <t xml:space="preserve">+</t>
        </is>
      </c>
      <c r="D84" s="72">
        <f>INDEX('Ψ(r) Contribution &amp; Weight'!$B$26:$G$26,5)</f>
        <v>0.15</v>
      </c>
      <c r="E84" s="79" t="inlineStr">
        <is>
          <t xml:space="preserve">=</t>
        </is>
      </c>
      <c r="F84" s="72">
        <f>SUM(B84,D84)</f>
        <v>-0.612398412464542</v>
      </c>
      <c r="G84" s="68">
        <f>Dataset!O11</f>
        <v>2</v>
      </c>
      <c r="H84" s="72">
        <f>IF(OR(G84=1,G84=2),F84+IF(G84=1,1,-1)*'Parameters'!$B$19*EXP(-F84)/(1+EXP(-F84)),"—")</f>
        <v>-0.806944727884811</v>
      </c>
      <c r="I84" s="102">
        <f>I83+IF(G84=1,H84,0)</f>
        <v>5.28439662107119</v>
      </c>
      <c r="J84" s="102">
        <f>J83+IF(G84=2,H84,0)</f>
        <v>-4.95527224015441</v>
      </c>
      <c r="K84" s="102">
        <f>IF('Parameters'!$B$24=1,I84/'Parameters'!$B$6,SUMIF($G$76:$G$85,1,$H$76:$H$85)/'Parameters'!$B$6)</f>
        <v>1.3210991552678</v>
      </c>
      <c r="L84" s="102">
        <f>IF('Parameters'!$B$24=1,J84/'Parameters'!$B$7,SUMIF($G$76:$G$85,2,$H$76:$H$85)/'Parameters'!$B$7)</f>
        <v>-0.825878706692402</v>
      </c>
      <c r="M84" s="72">
        <f>ABS(H84-IF(G84=1,K84,L84))</f>
        <v>0.0189339788075912</v>
      </c>
      <c r="N84" s="72">
        <f>ABS(H84-IF(G84=1,L84,K84))</f>
        <v>2.12804388315261</v>
      </c>
    </row>
    <row r="85">
      <c r="A85" s="64" t="inlineStr">
        <is>
          <t xml:space="preserve">b₁₀</t>
        </is>
      </c>
      <c r="B85" s="72">
        <f>$J$14</f>
        <v>-0.762398412464542</v>
      </c>
      <c r="C85" s="79" t="inlineStr">
        <is>
          <t xml:space="preserve">+</t>
        </is>
      </c>
      <c r="D85" s="72">
        <f>INDEX('Ψ(r) Contribution &amp; Weight'!$B$27:$G$27,5)</f>
        <v>0.15</v>
      </c>
      <c r="E85" s="79" t="inlineStr">
        <is>
          <t xml:space="preserve">=</t>
        </is>
      </c>
      <c r="F85" s="72">
        <f>SUM(B85,D85)</f>
        <v>-0.612398412464542</v>
      </c>
      <c r="G85" s="68">
        <f>Dataset!O12</f>
        <v>2</v>
      </c>
      <c r="H85" s="72">
        <f>IF(OR(G85=1,G85=2),F85+IF(G85=1,1,-1)*'Parameters'!$B$19*EXP(-F85)/(1+EXP(-F85)),"—")</f>
        <v>-0.806944727884811</v>
      </c>
      <c r="I85" s="102">
        <f>I84+IF(G85=1,H85,0)</f>
        <v>5.28439662107119</v>
      </c>
      <c r="J85" s="102">
        <f>J84+IF(G85=2,H85,0)</f>
        <v>-5.76221696803923</v>
      </c>
      <c r="K85" s="102">
        <f>IF('Parameters'!$B$24=1,I85/'Parameters'!$B$6,SUMIF($G$76:$G$85,1,$H$76:$H$85)/'Parameters'!$B$6)</f>
        <v>1.3210991552678</v>
      </c>
      <c r="L85" s="102">
        <f>IF('Parameters'!$B$24=1,J85/'Parameters'!$B$7,SUMIF($G$76:$G$85,2,$H$76:$H$85)/'Parameters'!$B$7)</f>
        <v>-0.960369494673204</v>
      </c>
      <c r="M85" s="72">
        <f>ABS(H85-IF(G85=1,K85,L85))</f>
        <v>0.153424766788393</v>
      </c>
      <c r="N85" s="72">
        <f>ABS(H85-IF(G85=1,L85,K85))</f>
        <v>2.12804388315261</v>
      </c>
    </row>
    <row r="86">
      <c r="K86" s="82" t="inlineStr">
        <is>
          <t xml:space="preserve">θ, γ  →</t>
        </is>
      </c>
      <c r="L86" s="82"/>
      <c r="M86" s="85">
        <f>SUM(M76:M85)</f>
        <v>4.8572754386824</v>
      </c>
      <c r="N86" s="85">
        <f>SUM(N76:N85)</f>
        <v>17.921829005466</v>
      </c>
      <c r="O86" s="82" t="inlineStr">
        <is>
          <t xml:space="preserve">θ / γ</t>
        </is>
      </c>
      <c r="P86" s="92">
        <f>IF(F$14=1,M86/N86,"—")</f>
        <v>0.271025654647245</v>
      </c>
    </row>
    <row r="87"/>
    <row r="88">
      <c r="A88" s="59" t="str">
        <f>"Candidate a₆  ·  operator ρ_J  ·  k = "&amp;'Synthetic Features (k-NN)'!$C$32&amp;"   —   bₜ = R(Sₜ) + η₆(a_t₆)"</f>
        <v>Candidate a₆  ·  operator ρ_J  ·  k = 5   —   bₜ = R(Sₜ) + η₆(a_t₆)</v>
      </c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84" t="str">
        <f>IF(G$14=1,"available",IF($D$4=1,"in TUPLAM — skipped","iteration not executed"))</f>
        <v>in TUPLAM — skipped</v>
      </c>
      <c r="P88" s="84"/>
    </row>
    <row r="89">
      <c r="A89" s="60" t="inlineStr">
        <is>
          <t xml:space="preserve">№</t>
        </is>
      </c>
      <c r="B89" s="60" t="inlineStr">
        <is>
          <t xml:space="preserve">R(Sₜ)</t>
        </is>
      </c>
      <c r="C89" s="60" t="inlineStr">
        <is>
          <t xml:space="preserve">+</t>
        </is>
      </c>
      <c r="D89" s="60" t="inlineStr">
        <is>
          <t xml:space="preserve">ηᵤ(a_tu)</t>
        </is>
      </c>
      <c r="E89" s="60" t="inlineStr">
        <is>
          <t xml:space="preserve">=</t>
        </is>
      </c>
      <c r="F89" s="60" t="inlineStr">
        <is>
          <t xml:space="preserve">bₜ</t>
        </is>
      </c>
      <c r="G89" s="60" t="inlineStr">
        <is>
          <t xml:space="preserve">Class</t>
        </is>
      </c>
      <c r="H89" s="60" t="inlineStr">
        <is>
          <t xml:space="preserve">bₜ (majorized)</t>
        </is>
      </c>
      <c r="I89" s="103" t="inlineStr">
        <is>
          <t xml:space="preserve">⚠1 Σ K1 (running)</t>
        </is>
      </c>
      <c r="J89" s="103" t="inlineStr">
        <is>
          <t xml:space="preserve">⚠1 Σ K2 (running)</t>
        </is>
      </c>
      <c r="K89" s="103" t="inlineStr">
        <is>
          <t xml:space="preserve">⚠1 M₁ used</t>
        </is>
      </c>
      <c r="L89" s="103" t="inlineStr">
        <is>
          <t xml:space="preserve">⚠1 M₂ used</t>
        </is>
      </c>
      <c r="M89" s="60" t="inlineStr">
        <is>
          <t xml:space="preserve">|b − M own|</t>
        </is>
      </c>
      <c r="N89" s="60" t="inlineStr">
        <is>
          <t xml:space="preserve">|b − M other|</t>
        </is>
      </c>
    </row>
    <row r="90">
      <c r="A90" s="64" t="inlineStr">
        <is>
          <t xml:space="preserve">b₁</t>
        </is>
      </c>
      <c r="B90" s="72">
        <f>$J$5</f>
        <v>-0.147792690313897</v>
      </c>
      <c r="C90" s="79" t="inlineStr">
        <is>
          <t xml:space="preserve">+</t>
        </is>
      </c>
      <c r="D90" s="72">
        <f>INDEX('Ψ(r) Contribution &amp; Weight'!$B$18:$G$18,6)</f>
        <v>0.166666666666667</v>
      </c>
      <c r="E90" s="79" t="inlineStr">
        <is>
          <t xml:space="preserve">=</t>
        </is>
      </c>
      <c r="F90" s="72">
        <f>SUM(B90,D90)</f>
        <v>0.0188739763527692</v>
      </c>
      <c r="G90" s="68">
        <f>Dataset!O3</f>
        <v>2</v>
      </c>
      <c r="H90" s="72">
        <f>IF(OR(G90=1,G90=2),F90+IF(G90=1,1,-1)*'Parameters'!$B$19*EXP(-F90)/(1+EXP(-F90)),"—")</f>
        <v>-0.129710517440649</v>
      </c>
      <c r="I90" s="102">
        <f>IF(G90=1,H90,0)</f>
        <v>0</v>
      </c>
      <c r="J90" s="102">
        <f>IF(G90=2,H90,0)</f>
        <v>-0.129710517440649</v>
      </c>
      <c r="K90" s="102">
        <f>IF('Parameters'!$B$24=1,I90/'Parameters'!$B$6,SUMIF($G$90:$G$99,1,$H$90:$H$99)/'Parameters'!$B$6)</f>
        <v>0</v>
      </c>
      <c r="L90" s="102">
        <f>IF('Parameters'!$B$24=1,J90/'Parameters'!$B$7,SUMIF($G$90:$G$99,2,$H$90:$H$99)/'Parameters'!$B$7)</f>
        <v>-0.0216184195734415</v>
      </c>
      <c r="M90" s="72">
        <f>ABS(H90-IF(G90=1,K90,L90))</f>
        <v>0.108092097867208</v>
      </c>
      <c r="N90" s="72">
        <f>ABS(H90-IF(G90=1,L90,K90))</f>
        <v>0.129710517440649</v>
      </c>
    </row>
    <row r="91">
      <c r="A91" s="64" t="inlineStr">
        <is>
          <t xml:space="preserve">b₂</t>
        </is>
      </c>
      <c r="B91" s="72">
        <f>$J$6</f>
        <v>0.972305825213487</v>
      </c>
      <c r="C91" s="79" t="inlineStr">
        <is>
          <t xml:space="preserve">+</t>
        </is>
      </c>
      <c r="D91" s="72">
        <f>INDEX('Ψ(r) Contribution &amp; Weight'!$B$19:$G$19,6)</f>
        <v>0.166666666666667</v>
      </c>
      <c r="E91" s="79" t="inlineStr">
        <is>
          <t xml:space="preserve">=</t>
        </is>
      </c>
      <c r="F91" s="72">
        <f>SUM(B91,D91)</f>
        <v>1.13897249188015</v>
      </c>
      <c r="G91" s="68">
        <f>Dataset!O4</f>
        <v>1</v>
      </c>
      <c r="H91" s="72">
        <f>IF(OR(G91=1,G91=2),F91+IF(G91=1,1,-1)*'Parameters'!$B$19*EXP(-F91)/(1+EXP(-F91)),"—")</f>
        <v>1.21172521068097</v>
      </c>
      <c r="I91" s="102">
        <f>I90+IF(G91=1,H91,0)</f>
        <v>1.21172521068097</v>
      </c>
      <c r="J91" s="102">
        <f>J90+IF(G91=2,H91,0)</f>
        <v>-0.129710517440649</v>
      </c>
      <c r="K91" s="102">
        <f>IF('Parameters'!$B$24=1,I91/'Parameters'!$B$6,SUMIF($G$90:$G$99,1,$H$90:$H$99)/'Parameters'!$B$6)</f>
        <v>0.302931302670243</v>
      </c>
      <c r="L91" s="102">
        <f>IF('Parameters'!$B$24=1,J91/'Parameters'!$B$7,SUMIF($G$90:$G$99,2,$H$90:$H$99)/'Parameters'!$B$7)</f>
        <v>-0.0216184195734415</v>
      </c>
      <c r="M91" s="72">
        <f>ABS(H91-IF(G91=1,K91,L91))</f>
        <v>0.90879390801073</v>
      </c>
      <c r="N91" s="72">
        <f>ABS(H91-IF(G91=1,L91,K91))</f>
        <v>1.23334363025442</v>
      </c>
    </row>
    <row r="92">
      <c r="A92" s="64" t="inlineStr">
        <is>
          <t xml:space="preserve">b₃</t>
        </is>
      </c>
      <c r="B92" s="72">
        <f>$J$7</f>
        <v>-1.96899032950218</v>
      </c>
      <c r="C92" s="79" t="inlineStr">
        <is>
          <t xml:space="preserve">+</t>
        </is>
      </c>
      <c r="D92" s="72">
        <f>INDEX('Ψ(r) Contribution &amp; Weight'!$B$20:$G$20,6)</f>
        <v>-0.166666666666667</v>
      </c>
      <c r="E92" s="79" t="inlineStr">
        <is>
          <t xml:space="preserve">=</t>
        </is>
      </c>
      <c r="F92" s="72">
        <f>SUM(B92,D92)</f>
        <v>-2.13565699616884</v>
      </c>
      <c r="G92" s="68">
        <f>Dataset!O5</f>
        <v>2</v>
      </c>
      <c r="H92" s="72">
        <f>IF(OR(G92=1,G92=2),F92+IF(G92=1,1,-1)*'Parameters'!$B$19*EXP(-F92)/(1+EXP(-F92)),"—")</f>
        <v>-2.40395325144662</v>
      </c>
      <c r="I92" s="102">
        <f>I91+IF(G92=1,H92,0)</f>
        <v>1.21172521068097</v>
      </c>
      <c r="J92" s="102">
        <f>J91+IF(G92=2,H92,0)</f>
        <v>-2.53366376888727</v>
      </c>
      <c r="K92" s="102">
        <f>IF('Parameters'!$B$24=1,I92/'Parameters'!$B$6,SUMIF($G$90:$G$99,1,$H$90:$H$99)/'Parameters'!$B$6)</f>
        <v>0.302931302670243</v>
      </c>
      <c r="L92" s="102">
        <f>IF('Parameters'!$B$24=1,J92/'Parameters'!$B$7,SUMIF($G$90:$G$99,2,$H$90:$H$99)/'Parameters'!$B$7)</f>
        <v>-0.422277294814545</v>
      </c>
      <c r="M92" s="72">
        <f>ABS(H92-IF(G92=1,K92,L92))</f>
        <v>1.98167595663208</v>
      </c>
      <c r="N92" s="72">
        <f>ABS(H92-IF(G92=1,L92,K92))</f>
        <v>2.70688455411687</v>
      </c>
    </row>
    <row r="93">
      <c r="A93" s="64" t="inlineStr">
        <is>
          <t xml:space="preserve">b₄</t>
        </is>
      </c>
      <c r="B93" s="72">
        <f>$J$8</f>
        <v>1.23621345350815</v>
      </c>
      <c r="C93" s="79" t="inlineStr">
        <is>
          <t xml:space="preserve">+</t>
        </is>
      </c>
      <c r="D93" s="72">
        <f>INDEX('Ψ(r) Contribution &amp; Weight'!$B$21:$G$21,6)</f>
        <v>0.166666666666667</v>
      </c>
      <c r="E93" s="79" t="inlineStr">
        <is>
          <t xml:space="preserve">=</t>
        </is>
      </c>
      <c r="F93" s="72">
        <f>SUM(B93,D93)</f>
        <v>1.40288012017482</v>
      </c>
      <c r="G93" s="68">
        <f>Dataset!O6</f>
        <v>1</v>
      </c>
      <c r="H93" s="72">
        <f>IF(OR(G93=1,G93=2),F93+IF(G93=1,1,-1)*'Parameters'!$B$19*EXP(-F93)/(1+EXP(-F93)),"—")</f>
        <v>1.4620879634556</v>
      </c>
      <c r="I93" s="102">
        <f>I92+IF(G93=1,H93,0)</f>
        <v>2.67381317413657</v>
      </c>
      <c r="J93" s="102">
        <f>J92+IF(G93=2,H93,0)</f>
        <v>-2.53366376888727</v>
      </c>
      <c r="K93" s="102">
        <f>IF('Parameters'!$B$24=1,I93/'Parameters'!$B$6,SUMIF($G$90:$G$99,1,$H$90:$H$99)/'Parameters'!$B$6)</f>
        <v>0.668453293534144</v>
      </c>
      <c r="L93" s="102">
        <f>IF('Parameters'!$B$24=1,J93/'Parameters'!$B$7,SUMIF($G$90:$G$99,2,$H$90:$H$99)/'Parameters'!$B$7)</f>
        <v>-0.422277294814545</v>
      </c>
      <c r="M93" s="72">
        <f>ABS(H93-IF(G93=1,K93,L93))</f>
        <v>0.793634669921458</v>
      </c>
      <c r="N93" s="72">
        <f>ABS(H93-IF(G93=1,L93,K93))</f>
        <v>1.88436525827015</v>
      </c>
    </row>
    <row r="94">
      <c r="A94" s="64" t="inlineStr">
        <is>
          <t xml:space="preserve">b₅</t>
        </is>
      </c>
      <c r="B94" s="72">
        <f>$J$9</f>
        <v>1.23621345350815</v>
      </c>
      <c r="C94" s="79" t="inlineStr">
        <is>
          <t xml:space="preserve">+</t>
        </is>
      </c>
      <c r="D94" s="72">
        <f>INDEX('Ψ(r) Contribution &amp; Weight'!$B$22:$G$22,6)</f>
        <v>0.166666666666667</v>
      </c>
      <c r="E94" s="79" t="inlineStr">
        <is>
          <t xml:space="preserve">=</t>
        </is>
      </c>
      <c r="F94" s="72">
        <f>SUM(B94,D94)</f>
        <v>1.40288012017482</v>
      </c>
      <c r="G94" s="68">
        <f>Dataset!O7</f>
        <v>1</v>
      </c>
      <c r="H94" s="72">
        <f>IF(OR(G94=1,G94=2),F94+IF(G94=1,1,-1)*'Parameters'!$B$19*EXP(-F94)/(1+EXP(-F94)),"—")</f>
        <v>1.4620879634556</v>
      </c>
      <c r="I94" s="102">
        <f>I93+IF(G94=1,H94,0)</f>
        <v>4.13590113759218</v>
      </c>
      <c r="J94" s="102">
        <f>J93+IF(G94=2,H94,0)</f>
        <v>-2.53366376888727</v>
      </c>
      <c r="K94" s="102">
        <f>IF('Parameters'!$B$24=1,I94/'Parameters'!$B$6,SUMIF($G$90:$G$99,1,$H$90:$H$99)/'Parameters'!$B$6)</f>
        <v>1.03397528439804</v>
      </c>
      <c r="L94" s="102">
        <f>IF('Parameters'!$B$24=1,J94/'Parameters'!$B$7,SUMIF($G$90:$G$99,2,$H$90:$H$99)/'Parameters'!$B$7)</f>
        <v>-0.422277294814545</v>
      </c>
      <c r="M94" s="72">
        <f>ABS(H94-IF(G94=1,K94,L94))</f>
        <v>0.428112679057557</v>
      </c>
      <c r="N94" s="72">
        <f>ABS(H94-IF(G94=1,L94,K94))</f>
        <v>1.88436525827015</v>
      </c>
    </row>
    <row r="95">
      <c r="A95" s="64" t="inlineStr">
        <is>
          <t xml:space="preserve">b₆</t>
        </is>
      </c>
      <c r="B95" s="72">
        <f>$J$10</f>
        <v>0.972305825213487</v>
      </c>
      <c r="C95" s="79" t="inlineStr">
        <is>
          <t xml:space="preserve">+</t>
        </is>
      </c>
      <c r="D95" s="72">
        <f>INDEX('Ψ(r) Contribution &amp; Weight'!$B$23:$G$23,6)</f>
        <v>0.166666666666667</v>
      </c>
      <c r="E95" s="79" t="inlineStr">
        <is>
          <t xml:space="preserve">=</t>
        </is>
      </c>
      <c r="F95" s="72">
        <f>SUM(B95,D95)</f>
        <v>1.13897249188015</v>
      </c>
      <c r="G95" s="68">
        <f>Dataset!O8</f>
        <v>1</v>
      </c>
      <c r="H95" s="72">
        <f>IF(OR(G95=1,G95=2),F95+IF(G95=1,1,-1)*'Parameters'!$B$19*EXP(-F95)/(1+EXP(-F95)),"—")</f>
        <v>1.21172521068097</v>
      </c>
      <c r="I95" s="102">
        <f>I94+IF(G95=1,H95,0)</f>
        <v>5.34762634827315</v>
      </c>
      <c r="J95" s="102">
        <f>J94+IF(G95=2,H95,0)</f>
        <v>-2.53366376888727</v>
      </c>
      <c r="K95" s="102">
        <f>IF('Parameters'!$B$24=1,I95/'Parameters'!$B$6,SUMIF($G$90:$G$99,1,$H$90:$H$99)/'Parameters'!$B$6)</f>
        <v>1.33690658706829</v>
      </c>
      <c r="L95" s="102">
        <f>IF('Parameters'!$B$24=1,J95/'Parameters'!$B$7,SUMIF($G$90:$G$99,2,$H$90:$H$99)/'Parameters'!$B$7)</f>
        <v>-0.422277294814545</v>
      </c>
      <c r="M95" s="72">
        <f>ABS(H95-IF(G95=1,K95,L95))</f>
        <v>0.125181376387314</v>
      </c>
      <c r="N95" s="72">
        <f>ABS(H95-IF(G95=1,L95,K95))</f>
        <v>1.63400250549552</v>
      </c>
    </row>
    <row r="96">
      <c r="A96" s="64" t="inlineStr">
        <is>
          <t xml:space="preserve">b₇</t>
        </is>
      </c>
      <c r="B96" s="72">
        <f>$J$11</f>
        <v>-0.762398412464542</v>
      </c>
      <c r="C96" s="79" t="inlineStr">
        <is>
          <t xml:space="preserve">+</t>
        </is>
      </c>
      <c r="D96" s="72">
        <f>INDEX('Ψ(r) Contribution &amp; Weight'!$B$24:$G$24,6)</f>
        <v>0.166666666666667</v>
      </c>
      <c r="E96" s="79" t="inlineStr">
        <is>
          <t xml:space="preserve">=</t>
        </is>
      </c>
      <c r="F96" s="72">
        <f>SUM(B96,D96)</f>
        <v>-0.595731745797876</v>
      </c>
      <c r="G96" s="68">
        <f>Dataset!O9</f>
        <v>2</v>
      </c>
      <c r="H96" s="72">
        <f>IF(OR(G96=1,G96=2),F96+IF(G96=1,1,-1)*'Parameters'!$B$19*EXP(-F96)/(1+EXP(-F96)),"—")</f>
        <v>-0.789135503080702</v>
      </c>
      <c r="I96" s="102">
        <f>I95+IF(G96=1,H96,0)</f>
        <v>5.34762634827315</v>
      </c>
      <c r="J96" s="102">
        <f>J95+IF(G96=2,H96,0)</f>
        <v>-3.32279927196797</v>
      </c>
      <c r="K96" s="102">
        <f>IF('Parameters'!$B$24=1,I96/'Parameters'!$B$6,SUMIF($G$90:$G$99,1,$H$90:$H$99)/'Parameters'!$B$6)</f>
        <v>1.33690658706829</v>
      </c>
      <c r="L96" s="102">
        <f>IF('Parameters'!$B$24=1,J96/'Parameters'!$B$7,SUMIF($G$90:$G$99,2,$H$90:$H$99)/'Parameters'!$B$7)</f>
        <v>-0.553799878661329</v>
      </c>
      <c r="M96" s="72">
        <f>ABS(H96-IF(G96=1,K96,L96))</f>
        <v>0.235335624419373</v>
      </c>
      <c r="N96" s="72">
        <f>ABS(H96-IF(G96=1,L96,K96))</f>
        <v>2.12604209014899</v>
      </c>
    </row>
    <row r="97">
      <c r="A97" s="64" t="inlineStr">
        <is>
          <t xml:space="preserve">b₈</t>
        </is>
      </c>
      <c r="B97" s="72">
        <f>$J$12</f>
        <v>-0.762398412464542</v>
      </c>
      <c r="C97" s="79" t="inlineStr">
        <is>
          <t xml:space="preserve">+</t>
        </is>
      </c>
      <c r="D97" s="72">
        <f>INDEX('Ψ(r) Contribution &amp; Weight'!$B$25:$G$25,6)</f>
        <v>0.166666666666667</v>
      </c>
      <c r="E97" s="79" t="inlineStr">
        <is>
          <t xml:space="preserve">=</t>
        </is>
      </c>
      <c r="F97" s="72">
        <f>SUM(B97,D97)</f>
        <v>-0.595731745797876</v>
      </c>
      <c r="G97" s="68">
        <f>Dataset!O10</f>
        <v>2</v>
      </c>
      <c r="H97" s="72">
        <f>IF(OR(G97=1,G97=2),F97+IF(G97=1,1,-1)*'Parameters'!$B$19*EXP(-F97)/(1+EXP(-F97)),"—")</f>
        <v>-0.789135503080702</v>
      </c>
      <c r="I97" s="102">
        <f>I96+IF(G97=1,H97,0)</f>
        <v>5.34762634827315</v>
      </c>
      <c r="J97" s="102">
        <f>J96+IF(G97=2,H97,0)</f>
        <v>-4.11193477504867</v>
      </c>
      <c r="K97" s="102">
        <f>IF('Parameters'!$B$24=1,I97/'Parameters'!$B$6,SUMIF($G$90:$G$99,1,$H$90:$H$99)/'Parameters'!$B$6)</f>
        <v>1.33690658706829</v>
      </c>
      <c r="L97" s="102">
        <f>IF('Parameters'!$B$24=1,J97/'Parameters'!$B$7,SUMIF($G$90:$G$99,2,$H$90:$H$99)/'Parameters'!$B$7)</f>
        <v>-0.685322462508112</v>
      </c>
      <c r="M97" s="72">
        <f>ABS(H97-IF(G97=1,K97,L97))</f>
        <v>0.10381304057259</v>
      </c>
      <c r="N97" s="72">
        <f>ABS(H97-IF(G97=1,L97,K97))</f>
        <v>2.12604209014899</v>
      </c>
    </row>
    <row r="98">
      <c r="A98" s="64" t="inlineStr">
        <is>
          <t xml:space="preserve">b₉</t>
        </is>
      </c>
      <c r="B98" s="72">
        <f>$J$13</f>
        <v>-0.762398412464542</v>
      </c>
      <c r="C98" s="79" t="inlineStr">
        <is>
          <t xml:space="preserve">+</t>
        </is>
      </c>
      <c r="D98" s="72">
        <f>INDEX('Ψ(r) Contribution &amp; Weight'!$B$26:$G$26,6)</f>
        <v>0.166666666666667</v>
      </c>
      <c r="E98" s="79" t="inlineStr">
        <is>
          <t xml:space="preserve">=</t>
        </is>
      </c>
      <c r="F98" s="72">
        <f>SUM(B98,D98)</f>
        <v>-0.595731745797876</v>
      </c>
      <c r="G98" s="68">
        <f>Dataset!O11</f>
        <v>2</v>
      </c>
      <c r="H98" s="72">
        <f>IF(OR(G98=1,G98=2),F98+IF(G98=1,1,-1)*'Parameters'!$B$19*EXP(-F98)/(1+EXP(-F98)),"—")</f>
        <v>-0.789135503080702</v>
      </c>
      <c r="I98" s="102">
        <f>I97+IF(G98=1,H98,0)</f>
        <v>5.34762634827315</v>
      </c>
      <c r="J98" s="102">
        <f>J97+IF(G98=2,H98,0)</f>
        <v>-4.90107027812938</v>
      </c>
      <c r="K98" s="102">
        <f>IF('Parameters'!$B$24=1,I98/'Parameters'!$B$6,SUMIF($G$90:$G$99,1,$H$90:$H$99)/'Parameters'!$B$6)</f>
        <v>1.33690658706829</v>
      </c>
      <c r="L98" s="102">
        <f>IF('Parameters'!$B$24=1,J98/'Parameters'!$B$7,SUMIF($G$90:$G$99,2,$H$90:$H$99)/'Parameters'!$B$7)</f>
        <v>-0.816845046354896</v>
      </c>
      <c r="M98" s="72">
        <f>ABS(H98-IF(G98=1,K98,L98))</f>
        <v>0.0277095432741942</v>
      </c>
      <c r="N98" s="72">
        <f>ABS(H98-IF(G98=1,L98,K98))</f>
        <v>2.12604209014899</v>
      </c>
    </row>
    <row r="99">
      <c r="A99" s="64" t="inlineStr">
        <is>
          <t xml:space="preserve">b₁₀</t>
        </is>
      </c>
      <c r="B99" s="72">
        <f>$J$14</f>
        <v>-0.762398412464542</v>
      </c>
      <c r="C99" s="79" t="inlineStr">
        <is>
          <t xml:space="preserve">+</t>
        </is>
      </c>
      <c r="D99" s="72">
        <f>INDEX('Ψ(r) Contribution &amp; Weight'!$B$27:$G$27,6)</f>
        <v>0.166666666666667</v>
      </c>
      <c r="E99" s="79" t="inlineStr">
        <is>
          <t xml:space="preserve">=</t>
        </is>
      </c>
      <c r="F99" s="72">
        <f>SUM(B99,D99)</f>
        <v>-0.595731745797876</v>
      </c>
      <c r="G99" s="68">
        <f>Dataset!O12</f>
        <v>2</v>
      </c>
      <c r="H99" s="72">
        <f>IF(OR(G99=1,G99=2),F99+IF(G99=1,1,-1)*'Parameters'!$B$19*EXP(-F99)/(1+EXP(-F99)),"—")</f>
        <v>-0.789135503080702</v>
      </c>
      <c r="I99" s="102">
        <f>I98+IF(G99=1,H99,0)</f>
        <v>5.34762634827315</v>
      </c>
      <c r="J99" s="102">
        <f>J98+IF(G99=2,H99,0)</f>
        <v>-5.69020578121008</v>
      </c>
      <c r="K99" s="102">
        <f>IF('Parameters'!$B$24=1,I99/'Parameters'!$B$6,SUMIF($G$90:$G$99,1,$H$90:$H$99)/'Parameters'!$B$6)</f>
        <v>1.33690658706829</v>
      </c>
      <c r="L99" s="102">
        <f>IF('Parameters'!$B$24=1,J99/'Parameters'!$B$7,SUMIF($G$90:$G$99,2,$H$90:$H$99)/'Parameters'!$B$7)</f>
        <v>-0.94836763020168</v>
      </c>
      <c r="M99" s="72">
        <f>ABS(H99-IF(G99=1,K99,L99))</f>
        <v>0.159232127120978</v>
      </c>
      <c r="N99" s="72">
        <f>ABS(H99-IF(G99=1,L99,K99))</f>
        <v>2.12604209014899</v>
      </c>
    </row>
    <row r="100">
      <c r="K100" s="82" t="inlineStr">
        <is>
          <t xml:space="preserve">θ, γ  →</t>
        </is>
      </c>
      <c r="L100" s="82"/>
      <c r="M100" s="85">
        <f>SUM(M90:M99)</f>
        <v>4.87158102326348</v>
      </c>
      <c r="N100" s="85">
        <f>SUM(N90:N99)</f>
        <v>17.9768400844437</v>
      </c>
      <c r="O100" s="82" t="inlineStr">
        <is>
          <t xml:space="preserve">θ / γ</t>
        </is>
      </c>
      <c r="P100" s="92" t="str">
        <f>IF(G$14=1,M100/N100,"—")</f>
        <v>—</v>
      </c>
    </row>
    <row r="101"/>
    <row r="102">
      <c r="H102" s="58" t="inlineStr">
        <is>
          <t xml:space="preserve">STEP 3 · summary  —  cr1 = min θ/γ,  q = argmin θ/γ</t>
        </is>
      </c>
      <c r="I102" s="58"/>
      <c r="J102" s="58"/>
      <c r="K102" s="58"/>
      <c r="L102" s="58"/>
    </row>
    <row r="103">
      <c r="H103" s="60" t="inlineStr">
        <is>
          <t xml:space="preserve">Feature</t>
        </is>
      </c>
      <c r="I103" s="60" t="inlineStr">
        <is>
          <t xml:space="preserve">Available</t>
        </is>
      </c>
      <c r="J103" s="60" t="inlineStr">
        <is>
          <t xml:space="preserve">θ</t>
        </is>
      </c>
      <c r="K103" s="60" t="inlineStr">
        <is>
          <t xml:space="preserve">γ</t>
        </is>
      </c>
      <c r="L103" s="60" t="inlineStr">
        <is>
          <t xml:space="preserve">θ / γ</t>
        </is>
      </c>
    </row>
    <row r="104">
      <c r="H104" s="64" t="inlineStr">
        <is>
          <t xml:space="preserve">a₁</t>
        </is>
      </c>
      <c r="I104" s="89">
        <f>B$14</f>
        <v>0</v>
      </c>
      <c r="J104" s="72" t="str">
        <f>IF(I104=1,M30,"—")</f>
        <v>—</v>
      </c>
      <c r="K104" s="72" t="str">
        <f>IF(I104=1,N30,"—")</f>
        <v>—</v>
      </c>
      <c r="L104" s="92" t="str">
        <f>P30</f>
        <v>—</v>
      </c>
    </row>
    <row r="105">
      <c r="H105" s="64" t="inlineStr">
        <is>
          <t xml:space="preserve">a₂</t>
        </is>
      </c>
      <c r="I105" s="89">
        <f>C$14</f>
        <v>0</v>
      </c>
      <c r="J105" s="72" t="str">
        <f>IF(I105=1,M44,"—")</f>
        <v>—</v>
      </c>
      <c r="K105" s="72" t="str">
        <f>IF(I105=1,N44,"—")</f>
        <v>—</v>
      </c>
      <c r="L105" s="92" t="str">
        <f>P44</f>
        <v>—</v>
      </c>
    </row>
    <row r="106">
      <c r="H106" s="64" t="inlineStr">
        <is>
          <t xml:space="preserve">a₃</t>
        </is>
      </c>
      <c r="I106" s="89">
        <f>D$14</f>
        <v>0</v>
      </c>
      <c r="J106" s="72" t="str">
        <f>IF(I106=1,M58,"—")</f>
        <v>—</v>
      </c>
      <c r="K106" s="72" t="str">
        <f>IF(I106=1,N58,"—")</f>
        <v>—</v>
      </c>
      <c r="L106" s="92" t="str">
        <f>P58</f>
        <v>—</v>
      </c>
    </row>
    <row r="107">
      <c r="H107" s="64" t="inlineStr">
        <is>
          <t xml:space="preserve">a₄</t>
        </is>
      </c>
      <c r="I107" s="89">
        <f>E$14</f>
        <v>1</v>
      </c>
      <c r="J107" s="72">
        <f>IF(I107=1,M72,"—")</f>
        <v>4.8572754386824</v>
      </c>
      <c r="K107" s="72">
        <f>IF(I107=1,N72,"—")</f>
        <v>17.921829005466</v>
      </c>
      <c r="L107" s="92">
        <f>P72</f>
        <v>0.271025654647245</v>
      </c>
    </row>
    <row r="108">
      <c r="H108" s="64" t="inlineStr">
        <is>
          <t xml:space="preserve">a₅</t>
        </is>
      </c>
      <c r="I108" s="89">
        <f>F$14</f>
        <v>1</v>
      </c>
      <c r="J108" s="72">
        <f>IF(I108=1,M86,"—")</f>
        <v>4.8572754386824</v>
      </c>
      <c r="K108" s="72">
        <f>IF(I108=1,N86,"—")</f>
        <v>17.921829005466</v>
      </c>
      <c r="L108" s="92">
        <f>P86</f>
        <v>0.271025654647245</v>
      </c>
    </row>
    <row r="109">
      <c r="H109" s="64" t="inlineStr">
        <is>
          <t xml:space="preserve">a₆</t>
        </is>
      </c>
      <c r="I109" s="89">
        <f>G$14</f>
        <v>0</v>
      </c>
      <c r="J109" s="72" t="str">
        <f>IF(I109=1,M100,"—")</f>
        <v>—</v>
      </c>
      <c r="K109" s="72" t="str">
        <f>IF(I109=1,N100,"—")</f>
        <v>—</v>
      </c>
      <c r="L109" s="92" t="str">
        <f>P100</f>
        <v>—</v>
      </c>
    </row>
    <row r="110"/>
    <row r="111">
      <c r="H111" s="82" t="inlineStr">
        <is>
          <t xml:space="preserve">cr1 = min θ/γ</t>
        </is>
      </c>
      <c r="I111" s="82"/>
      <c r="J111" s="85">
        <f>IF(COUNT($L$104:$L$109)=0,"—",IF(MIN($L$104:$L$109)&lt;'Parameters'!$B$22,MIN($L$104:$L$109),'Parameters'!$B$22))</f>
        <v>0.271025654647245</v>
      </c>
    </row>
    <row r="112">
      <c r="H112" s="82" t="inlineStr">
        <is>
          <t xml:space="preserve">q = argmin θ/γ</t>
        </is>
      </c>
      <c r="I112" s="82"/>
      <c r="J112" s="83">
        <f>IF(ISNUMBER(J111),IF(J111&lt;'Parameters'!$B$22,MATCH(J111,$L$104:$L$109,0),"—"),"—")</f>
        <v>4</v>
      </c>
      <c r="K112" s="83" t="str">
        <f>IF(ISNUMBER(J112),"a"&amp;MID("₀₁₂₃₄₅₆₇₈₉",J112+1,1),"—")</f>
        <v>a₄</v>
      </c>
    </row>
    <row r="113"/>
    <row r="114"/>
    <row r="115">
      <c r="A115" s="58" t="inlineStr">
        <is>
          <t xml:space="preserve">STEP 4 — R(Sₜ) ← R(Sₜ) + η_q(a_tq), majorizer  ⇒  latent (additional) feature r₄</t>
        </is>
      </c>
      <c r="B115" s="58"/>
      <c r="C115" s="58"/>
      <c r="D115" s="58"/>
      <c r="E115" s="58"/>
      <c r="F115" s="58"/>
      <c r="G115" s="58"/>
      <c r="H115" s="58"/>
      <c r="I115" s="58"/>
      <c r="K115" s="58" t="inlineStr">
        <is>
          <t xml:space="preserve">STEP 4 · update and stopping rule</t>
        </is>
      </c>
      <c r="L115" s="58"/>
      <c r="M115" s="58"/>
      <c r="N115" s="58"/>
      <c r="O115" s="58"/>
      <c r="P115" s="58"/>
    </row>
    <row r="116">
      <c r="A116" s="60" t="inlineStr">
        <is>
          <t xml:space="preserve">№</t>
        </is>
      </c>
      <c r="B116" s="60" t="inlineStr">
        <is>
          <t xml:space="preserve">R(Sₜ)</t>
        </is>
      </c>
      <c r="C116" s="60" t="inlineStr">
        <is>
          <t xml:space="preserve">+</t>
        </is>
      </c>
      <c r="D116" s="60" t="inlineStr">
        <is>
          <t xml:space="preserve">η_q(a_tq)</t>
        </is>
      </c>
      <c r="E116" s="60" t="inlineStr">
        <is>
          <t xml:space="preserve">=</t>
        </is>
      </c>
      <c r="F116" s="60" t="inlineStr">
        <is>
          <t xml:space="preserve">bₜ = R + η_q</t>
        </is>
      </c>
      <c r="G116" s="60" t="inlineStr">
        <is>
          <t xml:space="preserve">Class</t>
        </is>
      </c>
      <c r="H116" s="111" t="inlineStr">
        <is>
          <t xml:space="preserve">⚠2 bₜ majorized once</t>
        </is>
      </c>
      <c r="I116" s="111" t="inlineStr">
        <is>
          <t xml:space="preserve">⚠2 r₄ = R(Sₜ) new</t>
        </is>
      </c>
      <c r="K116" s="82" t="inlineStr">
        <is>
          <t xml:space="preserve">crit = cr1</t>
        </is>
      </c>
      <c r="L116" s="82"/>
      <c r="M116" s="85">
        <f>IF(AND($D$4=1,ISNUMBER($J$112)),$J$111,$D$8)</f>
        <v>0.271025654647245</v>
      </c>
      <c r="N116" s="85"/>
      <c r="O116" s="85"/>
      <c r="P116" s="85"/>
      <c r="R116" s="112" t="inlineStr">
        <is>
          <t xml:space="preserve">⚠2  STEP 4 (pink columns H–I).  With Parameters!B25 = 2 (default = template) r is the majorizer applied to column H, which is already majorized — twice in total, as in the template cells I222 = H222 ± α·σ(−H222).  The article applies it once to R + η_q (column F) (B25 = 1).  See sheet “Template Deviations”.</t>
        </is>
      </c>
      <c r="S116" s="112"/>
      <c r="T116" s="112"/>
    </row>
    <row r="117">
      <c r="A117" s="64" t="inlineStr">
        <is>
          <t xml:space="preserve">b₁</t>
        </is>
      </c>
      <c r="B117" s="72">
        <f>$J$5</f>
        <v>-0.147792690313897</v>
      </c>
      <c r="C117" s="79" t="inlineStr">
        <is>
          <t xml:space="preserve">+</t>
        </is>
      </c>
      <c r="D117" s="72">
        <f>IF(ISNUMBER($J$112),INDEX('Ψ(r) Contribution &amp; Weight'!$B$18:$G$18,$J$112),0)</f>
        <v>0.15</v>
      </c>
      <c r="E117" s="79" t="inlineStr">
        <is>
          <t xml:space="preserve">=</t>
        </is>
      </c>
      <c r="F117" s="72">
        <f>SUM(B117,D117)</f>
        <v>0.00220730968610255</v>
      </c>
      <c r="G117" s="68">
        <f>Dataset!O3</f>
        <v>2</v>
      </c>
      <c r="H117" s="109">
        <f>IF(ISNUMBER($J$112),CHOOSE($J$112,H20,H34,H48,H62,H76,H90),"—")</f>
        <v>-0.147627142154655</v>
      </c>
      <c r="I117" s="110">
        <f>IF(AND($D$4=1,ISNUMBER($J$112)),IF('Parameters'!$B$25=2,H117+IF(G117=1,1,-1)*'Parameters'!$B$19*EXP(-H117)/(1+EXP(-H117)),F117+IF(G117=1,1,-1)*'Parameters'!$B$19*EXP(-F117)/(1+EXP(-F117))),"—")</f>
        <v>-0.30867911309098</v>
      </c>
      <c r="K117" s="82" t="inlineStr">
        <is>
          <t xml:space="preserve">Feature added q</t>
        </is>
      </c>
      <c r="L117" s="82"/>
      <c r="M117" s="83">
        <f>IF(AND($D$4=1,ISNUMBER($J$112)),$J$112,"—")</f>
        <v>4</v>
      </c>
      <c r="N117" s="83"/>
      <c r="O117" s="83"/>
      <c r="P117" s="83"/>
      <c r="R117" s="112"/>
      <c r="S117" s="112"/>
      <c r="T117" s="112"/>
    </row>
    <row r="118">
      <c r="A118" s="64" t="inlineStr">
        <is>
          <t xml:space="preserve">b₂</t>
        </is>
      </c>
      <c r="B118" s="72">
        <f>$J$6</f>
        <v>0.972305825213487</v>
      </c>
      <c r="C118" s="79" t="inlineStr">
        <is>
          <t xml:space="preserve">+</t>
        </is>
      </c>
      <c r="D118" s="72">
        <f>IF(ISNUMBER($J$112),INDEX('Ψ(r) Contribution &amp; Weight'!$B$19:$G$19,$J$112),0)</f>
        <v>0.15</v>
      </c>
      <c r="E118" s="79" t="inlineStr">
        <is>
          <t xml:space="preserve">=</t>
        </is>
      </c>
      <c r="F118" s="72">
        <f>SUM(B118,D118)</f>
        <v>1.12230582521349</v>
      </c>
      <c r="G118" s="68">
        <f>Dataset!O4</f>
        <v>1</v>
      </c>
      <c r="H118" s="109">
        <f>IF(ISNUMBER($J$112),CHOOSE($J$112,H21,H35,H49,H63,H77,H91),"—")</f>
        <v>1.19598097336782</v>
      </c>
      <c r="I118" s="110">
        <f>IF(AND($D$4=1,ISNUMBER($J$112)),IF('Parameters'!$B$25=2,H118+IF(G118=1,1,-1)*'Parameters'!$B$19*EXP(-H118)/(1+EXP(-H118)),F118+IF(G118=1,1,-1)*'Parameters'!$B$19*EXP(-F118)/(1+EXP(-F118))),"—")</f>
        <v>1.26563825850529</v>
      </c>
      <c r="K118" s="82" t="inlineStr">
        <is>
          <t xml:space="preserve">|TUPLAM| after</t>
        </is>
      </c>
      <c r="L118" s="82"/>
      <c r="M118" s="83">
        <f>$D$7+IF(AND($D$4=1,ISNUMBER($J$112)),1,0)</f>
        <v>5</v>
      </c>
      <c r="N118" s="83"/>
      <c r="O118" s="83"/>
      <c r="P118" s="83"/>
      <c r="R118" s="112"/>
      <c r="S118" s="112"/>
      <c r="T118" s="112"/>
    </row>
    <row r="119">
      <c r="A119" s="64" t="inlineStr">
        <is>
          <t xml:space="preserve">b₃</t>
        </is>
      </c>
      <c r="B119" s="72">
        <f>$J$7</f>
        <v>-1.96899032950218</v>
      </c>
      <c r="C119" s="79" t="inlineStr">
        <is>
          <t xml:space="preserve">+</t>
        </is>
      </c>
      <c r="D119" s="72">
        <f>IF(ISNUMBER($J$112),INDEX('Ψ(r) Contribution &amp; Weight'!$B$20:$G$20,$J$112),0)</f>
        <v>-0.15</v>
      </c>
      <c r="E119" s="79" t="inlineStr">
        <is>
          <t xml:space="preserve">=</t>
        </is>
      </c>
      <c r="F119" s="72">
        <f>SUM(B119,D119)</f>
        <v>-2.11899032950218</v>
      </c>
      <c r="G119" s="68">
        <f>Dataset!O5</f>
        <v>2</v>
      </c>
      <c r="H119" s="109">
        <f>IF(ISNUMBER($J$112),CHOOSE($J$112,H22,H36,H50,H64,H78,H92),"—")</f>
        <v>-2.38681091434533</v>
      </c>
      <c r="I119" s="110">
        <f>IF(AND($D$4=1,ISNUMBER($J$112)),IF('Parameters'!$B$25=2,H119+IF(G119=1,1,-1)*'Parameters'!$B$19*EXP(-H119)/(1+EXP(-H119)),F119+IF(G119=1,1,-1)*'Parameters'!$B$19*EXP(-F119)/(1+EXP(-F119))),"—")</f>
        <v>-2.66155572180793</v>
      </c>
      <c r="K119" s="82" t="inlineStr">
        <is>
          <t xml:space="preserve">TUPLAM after</t>
        </is>
      </c>
      <c r="L119" s="82"/>
      <c r="M119" s="84" t="str">
        <f>IF(AND($D$4=1,ISNUMBER($J$112)),LEFT($D$6,LEN($D$6)-1)&amp;", "&amp;"a"&amp;MID("₀₁₂₃₄₅₆₇₈₉",$J$112+1,1)&amp;"}",$D$6)</f>
        <v>{a₆, a₃, a₁, a₂, a₄}</v>
      </c>
      <c r="N119" s="84"/>
      <c r="O119" s="84"/>
      <c r="P119" s="84"/>
      <c r="R119" s="112"/>
      <c r="S119" s="112"/>
      <c r="T119" s="112"/>
    </row>
    <row r="120">
      <c r="A120" s="64" t="inlineStr">
        <is>
          <t xml:space="preserve">b₄</t>
        </is>
      </c>
      <c r="B120" s="72">
        <f>$J$8</f>
        <v>1.23621345350815</v>
      </c>
      <c r="C120" s="79" t="inlineStr">
        <is>
          <t xml:space="preserve">+</t>
        </is>
      </c>
      <c r="D120" s="72">
        <f>IF(ISNUMBER($J$112),INDEX('Ψ(r) Contribution &amp; Weight'!$B$21:$G$21,$J$112),0)</f>
        <v>0.15</v>
      </c>
      <c r="E120" s="79" t="inlineStr">
        <is>
          <t xml:space="preserve">=</t>
        </is>
      </c>
      <c r="F120" s="72">
        <f>SUM(B120,D120)</f>
        <v>1.38621345350815</v>
      </c>
      <c r="G120" s="68">
        <f>Dataset!O6</f>
        <v>1</v>
      </c>
      <c r="H120" s="109">
        <f>IF(ISNUMBER($J$112),CHOOSE($J$112,H23,H37,H51,H65,H79,H93),"—")</f>
        <v>1.44621733716778</v>
      </c>
      <c r="I120" s="110">
        <f>IF(AND($D$4=1,ISNUMBER($J$112)),IF('Parameters'!$B$25=2,H120+IF(G120=1,1,-1)*'Parameters'!$B$19*EXP(-H120)/(1+EXP(-H120)),F120+IF(G120=1,1,-1)*'Parameters'!$B$19*EXP(-F120)/(1+EXP(-F120))),"—")</f>
        <v>1.50339265844291</v>
      </c>
      <c r="K120" s="82" t="inlineStr">
        <is>
          <t xml:space="preserve">|P| after</t>
        </is>
      </c>
      <c r="L120" s="82"/>
      <c r="M120" s="83">
        <f>$D$10-IF(AND($D$4=1,ISNUMBER($J$112)),1,0)</f>
        <v>1</v>
      </c>
      <c r="N120" s="83"/>
      <c r="O120" s="83"/>
      <c r="P120" s="83"/>
      <c r="R120" s="112"/>
      <c r="S120" s="112"/>
      <c r="T120" s="112"/>
    </row>
    <row r="121">
      <c r="A121" s="64" t="inlineStr">
        <is>
          <t xml:space="preserve">b₅</t>
        </is>
      </c>
      <c r="B121" s="72">
        <f>$J$9</f>
        <v>1.23621345350815</v>
      </c>
      <c r="C121" s="79" t="inlineStr">
        <is>
          <t xml:space="preserve">+</t>
        </is>
      </c>
      <c r="D121" s="72">
        <f>IF(ISNUMBER($J$112),INDEX('Ψ(r) Contribution &amp; Weight'!$B$22:$G$22,$J$112),0)</f>
        <v>0.15</v>
      </c>
      <c r="E121" s="79" t="inlineStr">
        <is>
          <t xml:space="preserve">=</t>
        </is>
      </c>
      <c r="F121" s="72">
        <f>SUM(B121,D121)</f>
        <v>1.38621345350815</v>
      </c>
      <c r="G121" s="68">
        <f>Dataset!O7</f>
        <v>1</v>
      </c>
      <c r="H121" s="109">
        <f>IF(ISNUMBER($J$112),CHOOSE($J$112,H24,H38,H52,H66,H80,H94),"—")</f>
        <v>1.44621733716778</v>
      </c>
      <c r="I121" s="110">
        <f>IF(AND($D$4=1,ISNUMBER($J$112)),IF('Parameters'!$B$25=2,H121+IF(G121=1,1,-1)*'Parameters'!$B$19*EXP(-H121)/(1+EXP(-H121)),F121+IF(G121=1,1,-1)*'Parameters'!$B$19*EXP(-F121)/(1+EXP(-F121))),"—")</f>
        <v>1.50339265844291</v>
      </c>
      <c r="K121" s="82" t="inlineStr">
        <is>
          <t xml:space="preserve">δ</t>
        </is>
      </c>
      <c r="L121" s="82"/>
      <c r="M121" s="83">
        <f>'Parameters'!$B$20</f>
        <v>0.1</v>
      </c>
      <c r="N121" s="83"/>
      <c r="O121" s="83"/>
      <c r="P121" s="83"/>
      <c r="R121" s="112"/>
      <c r="S121" s="112"/>
      <c r="T121" s="112"/>
    </row>
    <row r="122">
      <c r="A122" s="64" t="inlineStr">
        <is>
          <t xml:space="preserve">b₆</t>
        </is>
      </c>
      <c r="B122" s="72">
        <f>$J$10</f>
        <v>0.972305825213487</v>
      </c>
      <c r="C122" s="79" t="inlineStr">
        <is>
          <t xml:space="preserve">+</t>
        </is>
      </c>
      <c r="D122" s="72">
        <f>IF(ISNUMBER($J$112),INDEX('Ψ(r) Contribution &amp; Weight'!$B$23:$G$23,$J$112),0)</f>
        <v>0.15</v>
      </c>
      <c r="E122" s="79" t="inlineStr">
        <is>
          <t xml:space="preserve">=</t>
        </is>
      </c>
      <c r="F122" s="72">
        <f>SUM(B122,D122)</f>
        <v>1.12230582521349</v>
      </c>
      <c r="G122" s="68">
        <f>Dataset!O8</f>
        <v>1</v>
      </c>
      <c r="H122" s="109">
        <f>IF(ISNUMBER($J$112),CHOOSE($J$112,H25,H39,H53,H67,H81,H95),"—")</f>
        <v>1.19598097336782</v>
      </c>
      <c r="I122" s="110">
        <f>IF(AND($D$4=1,ISNUMBER($J$112)),IF('Parameters'!$B$25=2,H122+IF(G122=1,1,-1)*'Parameters'!$B$19*EXP(-H122)/(1+EXP(-H122)),F122+IF(G122=1,1,-1)*'Parameters'!$B$19*EXP(-F122)/(1+EXP(-F122))),"—")</f>
        <v>1.26563825850529</v>
      </c>
      <c r="K122" s="82" t="inlineStr">
        <is>
          <t xml:space="preserve">ϰ</t>
        </is>
      </c>
      <c r="L122" s="82"/>
      <c r="M122" s="83">
        <f>'Parameters'!$B$21</f>
        <v>5</v>
      </c>
      <c r="N122" s="83"/>
      <c r="O122" s="83"/>
      <c r="P122" s="83"/>
      <c r="R122" s="112"/>
      <c r="S122" s="112"/>
      <c r="T122" s="112"/>
    </row>
    <row r="123">
      <c r="A123" s="64" t="inlineStr">
        <is>
          <t xml:space="preserve">b₇</t>
        </is>
      </c>
      <c r="B123" s="72">
        <f>$J$11</f>
        <v>-0.762398412464542</v>
      </c>
      <c r="C123" s="79" t="inlineStr">
        <is>
          <t xml:space="preserve">+</t>
        </is>
      </c>
      <c r="D123" s="72">
        <f>IF(ISNUMBER($J$112),INDEX('Ψ(r) Contribution &amp; Weight'!$B$24:$G$24,$J$112),0)</f>
        <v>0.15</v>
      </c>
      <c r="E123" s="79" t="inlineStr">
        <is>
          <t xml:space="preserve">=</t>
        </is>
      </c>
      <c r="F123" s="72">
        <f>SUM(B123,D123)</f>
        <v>-0.612398412464542</v>
      </c>
      <c r="G123" s="68">
        <f>Dataset!O9</f>
        <v>2</v>
      </c>
      <c r="H123" s="109">
        <f>IF(ISNUMBER($J$112),CHOOSE($J$112,H26,H40,H54,H68,H82,H96),"—")</f>
        <v>-0.806944727884811</v>
      </c>
      <c r="I123" s="110">
        <f>IF(AND($D$4=1,ISNUMBER($J$112)),IF('Parameters'!$B$25=2,H123+IF(G123=1,1,-1)*'Parameters'!$B$19*EXP(-H123)/(1+EXP(-H123)),F123+IF(G123=1,1,-1)*'Parameters'!$B$19*EXP(-F123)/(1+EXP(-F123))),"—")</f>
        <v>-1.01438214662853</v>
      </c>
      <c r="K123" s="82" t="inlineStr">
        <is>
          <t xml:space="preserve">if (|TUPLAM| &lt; ϰ) &amp; (crit &gt; δ)</t>
        </is>
      </c>
      <c r="L123" s="82"/>
      <c r="M123" s="88">
        <f>IF(AND(AND($D$4=1,ISNUMBER($J$112)),$M$118&lt;'Parameters'!$B$21,$M$116&gt;'Parameters'!$B$20,$M$120&gt;0),1,0)</f>
        <v>0</v>
      </c>
      <c r="N123" s="88"/>
      <c r="O123" s="88"/>
      <c r="P123" s="88"/>
      <c r="R123" s="112"/>
      <c r="S123" s="112"/>
      <c r="T123" s="112"/>
    </row>
    <row r="124">
      <c r="A124" s="64" t="inlineStr">
        <is>
          <t xml:space="preserve">b₈</t>
        </is>
      </c>
      <c r="B124" s="72">
        <f>$J$12</f>
        <v>-0.762398412464542</v>
      </c>
      <c r="C124" s="79" t="inlineStr">
        <is>
          <t xml:space="preserve">+</t>
        </is>
      </c>
      <c r="D124" s="72">
        <f>IF(ISNUMBER($J$112),INDEX('Ψ(r) Contribution &amp; Weight'!$B$25:$G$25,$J$112),0)</f>
        <v>0.15</v>
      </c>
      <c r="E124" s="79" t="inlineStr">
        <is>
          <t xml:space="preserve">=</t>
        </is>
      </c>
      <c r="F124" s="72">
        <f>SUM(B124,D124)</f>
        <v>-0.612398412464542</v>
      </c>
      <c r="G124" s="68">
        <f>Dataset!O10</f>
        <v>2</v>
      </c>
      <c r="H124" s="109">
        <f>IF(ISNUMBER($J$112),CHOOSE($J$112,H27,H41,H55,H69,H83,H97),"—")</f>
        <v>-0.806944727884811</v>
      </c>
      <c r="I124" s="110">
        <f>IF(AND($D$4=1,ISNUMBER($J$112)),IF('Parameters'!$B$25=2,H124+IF(G124=1,1,-1)*'Parameters'!$B$19*EXP(-H124)/(1+EXP(-H124)),F124+IF(G124=1,1,-1)*'Parameters'!$B$19*EXP(-F124)/(1+EXP(-F124))),"—")</f>
        <v>-1.01438214662853</v>
      </c>
      <c r="K124" s="96" t="str">
        <f>IF($D$4=0,"Iteration not executed",IF($M$123=1,"Go back to Step 3","Output TUPLAM and stop"))</f>
        <v>Output TUPLAM and stop</v>
      </c>
      <c r="L124" s="96"/>
      <c r="M124" s="96"/>
      <c r="N124" s="96"/>
      <c r="O124" s="96"/>
      <c r="P124" s="96"/>
      <c r="R124" s="112"/>
      <c r="S124" s="112"/>
      <c r="T124" s="112"/>
    </row>
    <row r="125">
      <c r="A125" s="64" t="inlineStr">
        <is>
          <t xml:space="preserve">b₉</t>
        </is>
      </c>
      <c r="B125" s="72">
        <f>$J$13</f>
        <v>-0.762398412464542</v>
      </c>
      <c r="C125" s="79" t="inlineStr">
        <is>
          <t xml:space="preserve">+</t>
        </is>
      </c>
      <c r="D125" s="72">
        <f>IF(ISNUMBER($J$112),INDEX('Ψ(r) Contribution &amp; Weight'!$B$26:$G$26,$J$112),0)</f>
        <v>0.15</v>
      </c>
      <c r="E125" s="79" t="inlineStr">
        <is>
          <t xml:space="preserve">=</t>
        </is>
      </c>
      <c r="F125" s="72">
        <f>SUM(B125,D125)</f>
        <v>-0.612398412464542</v>
      </c>
      <c r="G125" s="68">
        <f>Dataset!O11</f>
        <v>2</v>
      </c>
      <c r="H125" s="109">
        <f>IF(ISNUMBER($J$112),CHOOSE($J$112,H28,H42,H56,H70,H84,H98),"—")</f>
        <v>-0.806944727884811</v>
      </c>
      <c r="I125" s="110">
        <f>IF(AND($D$4=1,ISNUMBER($J$112)),IF('Parameters'!$B$25=2,H125+IF(G125=1,1,-1)*'Parameters'!$B$19*EXP(-H125)/(1+EXP(-H125)),F125+IF(G125=1,1,-1)*'Parameters'!$B$19*EXP(-F125)/(1+EXP(-F125))),"—")</f>
        <v>-1.01438214662853</v>
      </c>
      <c r="R125" s="112"/>
      <c r="S125" s="112"/>
      <c r="T125" s="112"/>
    </row>
    <row r="126">
      <c r="A126" s="64" t="inlineStr">
        <is>
          <t xml:space="preserve">b₁₀</t>
        </is>
      </c>
      <c r="B126" s="72">
        <f>$J$14</f>
        <v>-0.762398412464542</v>
      </c>
      <c r="C126" s="79" t="inlineStr">
        <is>
          <t xml:space="preserve">+</t>
        </is>
      </c>
      <c r="D126" s="72">
        <f>IF(ISNUMBER($J$112),INDEX('Ψ(r) Contribution &amp; Weight'!$B$27:$G$27,$J$112),0)</f>
        <v>0.15</v>
      </c>
      <c r="E126" s="79" t="inlineStr">
        <is>
          <t xml:space="preserve">=</t>
        </is>
      </c>
      <c r="F126" s="72">
        <f>SUM(B126,D126)</f>
        <v>-0.612398412464542</v>
      </c>
      <c r="G126" s="68">
        <f>Dataset!O12</f>
        <v>2</v>
      </c>
      <c r="H126" s="109">
        <f>IF(ISNUMBER($J$112),CHOOSE($J$112,H29,H43,H57,H71,H85,H99),"—")</f>
        <v>-0.806944727884811</v>
      </c>
      <c r="I126" s="110">
        <f>IF(AND($D$4=1,ISNUMBER($J$112)),IF('Parameters'!$B$25=2,H126+IF(G126=1,1,-1)*'Parameters'!$B$19*EXP(-H126)/(1+EXP(-H126)),F126+IF(G126=1,1,-1)*'Parameters'!$B$19*EXP(-F126)/(1+EXP(-F126))),"—")</f>
        <v>-1.01438214662853</v>
      </c>
      <c r="K126" s="61" t="inlineStr">
        <is>
          <t xml:space="preserve">Feature</t>
        </is>
      </c>
      <c r="L126" s="60" t="inlineStr">
        <is>
          <t xml:space="preserve">a₁</t>
        </is>
      </c>
      <c r="M126" s="60" t="inlineStr">
        <is>
          <t xml:space="preserve">a₂</t>
        </is>
      </c>
      <c r="N126" s="60" t="inlineStr">
        <is>
          <t xml:space="preserve">a₃</t>
        </is>
      </c>
      <c r="O126" s="60" t="inlineStr">
        <is>
          <t xml:space="preserve">a₄</t>
        </is>
      </c>
      <c r="P126" s="60" t="inlineStr">
        <is>
          <t xml:space="preserve">a₅</t>
        </is>
      </c>
      <c r="Q126" s="60" t="inlineStr">
        <is>
          <t xml:space="preserve">a₆</t>
        </is>
      </c>
      <c r="R126" s="112"/>
      <c r="S126" s="112"/>
      <c r="T126" s="112"/>
    </row>
    <row r="127">
      <c r="K127" s="65" t="inlineStr">
        <is>
          <t xml:space="preserve">In TUPLAM</t>
        </is>
      </c>
      <c r="L127" s="74">
        <f>IF(OR(B$13=1,AND(AND($D$4=1,ISNUMBER($J$112)),$J$112=1)),1,0)</f>
        <v>1</v>
      </c>
      <c r="M127" s="74">
        <f>IF(OR(C$13=1,AND(AND($D$4=1,ISNUMBER($J$112)),$J$112=2)),1,0)</f>
        <v>1</v>
      </c>
      <c r="N127" s="74">
        <f>IF(OR(D$13=1,AND(AND($D$4=1,ISNUMBER($J$112)),$J$112=3)),1,0)</f>
        <v>1</v>
      </c>
      <c r="O127" s="74">
        <f>IF(OR(E$13=1,AND(AND($D$4=1,ISNUMBER($J$112)),$J$112=4)),1,0)</f>
        <v>1</v>
      </c>
      <c r="P127" s="74">
        <f>IF(OR(F$13=1,AND(AND($D$4=1,ISNUMBER($J$112)),$J$112=5)),1,0)</f>
        <v>0</v>
      </c>
      <c r="Q127" s="74">
        <f>IF(OR(G$13=1,AND(AND($D$4=1,ISNUMBER($J$112)),$J$112=6)),1,0)</f>
        <v>1</v>
      </c>
    </row>
    <row r="128">
      <c r="A128" s="99" t="inlineStr">
        <is>
          <t xml:space="preserve">Each candidate block recomputes bₜ with the candidate feature; the one with the smallest θ/γ is added to TUPLAM and its values become the latent feature r₄.</t>
        </is>
      </c>
    </row>
    <row r="129">
      <c r="A129" s="99" t="inlineStr">
        <is>
          <t xml:space="preserve">Parameters α, δ, ϰ, cr1 and the two calculation switches (class centres, STEP 4 passes) are read from the Parameters sheet; the defaults reproduce the template exactly.</t>
        </is>
      </c>
    </row>
  </sheetData>
  <mergeCells count="69">
    <mergeCell ref="A1:T1"/>
    <mergeCell ref="A3:G3"/>
    <mergeCell ref="A4:C4"/>
    <mergeCell ref="D4:G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I3:K3"/>
    <mergeCell ref="M3:S3"/>
    <mergeCell ref="N4:S4"/>
    <mergeCell ref="N5:S5"/>
    <mergeCell ref="N6:S6"/>
    <mergeCell ref="N7:S7"/>
    <mergeCell ref="N8:S8"/>
    <mergeCell ref="N9:S9"/>
    <mergeCell ref="N10:S10"/>
    <mergeCell ref="N11:S11"/>
    <mergeCell ref="A16:P16"/>
    <mergeCell ref="A18:N18"/>
    <mergeCell ref="O18:P18"/>
    <mergeCell ref="K30:L30"/>
    <mergeCell ref="A32:N32"/>
    <mergeCell ref="O32:P32"/>
    <mergeCell ref="K44:L44"/>
    <mergeCell ref="A46:N46"/>
    <mergeCell ref="O46:P46"/>
    <mergeCell ref="K58:L58"/>
    <mergeCell ref="A60:N60"/>
    <mergeCell ref="O60:P60"/>
    <mergeCell ref="K72:L72"/>
    <mergeCell ref="A74:N74"/>
    <mergeCell ref="O74:P74"/>
    <mergeCell ref="K86:L86"/>
    <mergeCell ref="A88:N88"/>
    <mergeCell ref="O88:P88"/>
    <mergeCell ref="K100:L100"/>
    <mergeCell ref="R18:T29"/>
    <mergeCell ref="H102:L102"/>
    <mergeCell ref="H111:I111"/>
    <mergeCell ref="H112:I112"/>
    <mergeCell ref="A115:I115"/>
    <mergeCell ref="R116:T126"/>
    <mergeCell ref="K115:P115"/>
    <mergeCell ref="K116:L116"/>
    <mergeCell ref="M116:P116"/>
    <mergeCell ref="K117:L117"/>
    <mergeCell ref="M117:P117"/>
    <mergeCell ref="K118:L118"/>
    <mergeCell ref="M118:P118"/>
    <mergeCell ref="K119:L119"/>
    <mergeCell ref="M119:P119"/>
    <mergeCell ref="K120:L120"/>
    <mergeCell ref="M120:P120"/>
    <mergeCell ref="K121:L121"/>
    <mergeCell ref="M121:P121"/>
    <mergeCell ref="K122:L122"/>
    <mergeCell ref="M122:P122"/>
    <mergeCell ref="K123:L123"/>
    <mergeCell ref="M123:P123"/>
    <mergeCell ref="K124:P124"/>
  </mergeCells>
  <conditionalFormatting sqref="B13:G13">
    <cfRule type="cellIs" dxfId="0" priority="1" operator="equal">
      <formula>1</formula>
    </cfRule>
  </conditionalFormatting>
  <conditionalFormatting sqref="H104:L109">
    <cfRule type="expression" dxfId="0" priority="2">
      <formula>ROW()-103=$J$112</formula>
    </cfRule>
  </conditionalFormatting>
  <conditionalFormatting sqref="L127:Q127">
    <cfRule type="cellIs" dxfId="0" priority="3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N42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2.77734375" customWidth="1"/>
    <col min="2" max="14" width="13.77734375" customWidth="1"/>
  </cols>
  <sheetData>
    <row r="1" ht="20" customHeight="1">
      <c r="A1" s="57" t="inlineStr">
        <is>
          <t xml:space="preserve">Step 10 · Dataset for the meta-algorithm — initial features y (TUPLAM order) and additional (latent) features r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/>
    <row r="3">
      <c r="A3" s="58" t="inlineStr">
        <is>
          <t xml:space="preserve">TUPLAM order (from the HAG sheets)</t>
        </is>
      </c>
      <c r="B3" s="58"/>
      <c r="C3" s="58"/>
      <c r="D3" s="58"/>
    </row>
    <row r="4">
      <c r="A4" s="60" t="inlineStr">
        <is>
          <t xml:space="preserve">Position</t>
        </is>
      </c>
      <c r="B4" s="60" t="inlineStr">
        <is>
          <t xml:space="preserve">Feature index</t>
        </is>
      </c>
      <c r="C4" s="60" t="inlineStr">
        <is>
          <t xml:space="preserve">Feature</t>
        </is>
      </c>
      <c r="D4" s="60" t="inlineStr">
        <is>
          <t xml:space="preserve">Selected in</t>
        </is>
      </c>
    </row>
    <row r="5">
      <c r="A5" s="64" t="inlineStr">
        <is>
          <t xml:space="preserve">y₀</t>
        </is>
      </c>
      <c r="B5" s="83">
        <f>'Greedy upon Weight (1-Latent)'!$D$5</f>
        <v>6</v>
      </c>
      <c r="C5" s="83" t="str">
        <f>IF(ISNUMBER(B5),"a"&amp;MID("₀₁₂₃₄₅₆₇₈₉",B5+1,1),"—")</f>
        <v>a₆</v>
      </c>
      <c r="D5" s="65" t="inlineStr">
        <is>
          <t xml:space="preserve">STEP 2 · max ω</t>
        </is>
      </c>
    </row>
    <row r="6">
      <c r="A6" s="64" t="inlineStr">
        <is>
          <t xml:space="preserve">y₁</t>
        </is>
      </c>
      <c r="B6" s="83">
        <f>IF(ISNUMBER('Greedy upon Weight (1-Latent)'!$M$117),'Greedy upon Weight (1-Latent)'!$M$117,"—")</f>
        <v>3</v>
      </c>
      <c r="C6" s="83" t="str">
        <f>IF(ISNUMBER(B6),"a"&amp;MID("₀₁₂₃₄₅₆₇₈₉",B6+1,1),"—")</f>
        <v>a₃</v>
      </c>
      <c r="D6" s="65" t="inlineStr">
        <is>
          <t xml:space="preserve">Iteration 1</t>
        </is>
      </c>
    </row>
    <row r="7">
      <c r="A7" s="64" t="inlineStr">
        <is>
          <t xml:space="preserve">y₂</t>
        </is>
      </c>
      <c r="B7" s="83">
        <f>IF(ISNUMBER('Greedy upon Weight (2-Latent)'!$M$117),'Greedy upon Weight (2-Latent)'!$M$117,"—")</f>
        <v>1</v>
      </c>
      <c r="C7" s="83" t="str">
        <f>IF(ISNUMBER(B7),"a"&amp;MID("₀₁₂₃₄₅₆₇₈₉",B7+1,1),"—")</f>
        <v>a₁</v>
      </c>
      <c r="D7" s="65" t="inlineStr">
        <is>
          <t xml:space="preserve">Iteration 2</t>
        </is>
      </c>
    </row>
    <row r="8">
      <c r="A8" s="64" t="inlineStr">
        <is>
          <t xml:space="preserve">y₃</t>
        </is>
      </c>
      <c r="B8" s="83">
        <f>IF(ISNUMBER('Greedy upon Weight (3-Latent)'!$M$117),'Greedy upon Weight (3-Latent)'!$M$117,"—")</f>
        <v>2</v>
      </c>
      <c r="C8" s="83" t="str">
        <f>IF(ISNUMBER(B8),"a"&amp;MID("₀₁₂₃₄₅₆₇₈₉",B8+1,1),"—")</f>
        <v>a₂</v>
      </c>
      <c r="D8" s="65" t="inlineStr">
        <is>
          <t xml:space="preserve">Iteration 3</t>
        </is>
      </c>
    </row>
    <row r="9">
      <c r="A9" s="64" t="inlineStr">
        <is>
          <t xml:space="preserve">y₄</t>
        </is>
      </c>
      <c r="B9" s="83">
        <f>IF(ISNUMBER('Greedy upon Weight (4-Latent)'!$M$117),'Greedy upon Weight (4-Latent)'!$M$117,"—")</f>
        <v>4</v>
      </c>
      <c r="C9" s="83" t="str">
        <f>IF(ISNUMBER(B9),"a"&amp;MID("₀₁₂₃₄₅₆₇₈₉",B9+1,1),"—")</f>
        <v>a₄</v>
      </c>
      <c r="D9" s="65" t="inlineStr">
        <is>
          <t xml:space="preserve">Iteration 4</t>
        </is>
      </c>
    </row>
    <row r="10"/>
    <row r="11">
      <c r="A11" s="82" t="inlineStr">
        <is>
          <t xml:space="preserve">|TUPLAM| = initial features</t>
        </is>
      </c>
      <c r="B11" s="82"/>
      <c r="C11" s="83">
        <f>'Greedy upon Weight (4-Latent)'!$M$118</f>
        <v>5</v>
      </c>
    </row>
    <row r="12">
      <c r="A12" s="82" t="inlineStr">
        <is>
          <t xml:space="preserve">p = |TUPLAM| − 1 = latent features</t>
        </is>
      </c>
      <c r="B12" s="82"/>
      <c r="C12" s="83">
        <f>C11-1</f>
        <v>4</v>
      </c>
    </row>
    <row r="13">
      <c r="A13" s="82" t="inlineStr">
        <is>
          <t xml:space="preserve">TUPLAM</t>
        </is>
      </c>
      <c r="B13" s="82"/>
      <c r="C13" s="84" t="str">
        <f>'Greedy upon Weight (4-Latent)'!$M$119</f>
        <v>{a₆, a₃, a₁, a₂, a₄}</v>
      </c>
      <c r="D13" s="84"/>
    </row>
    <row r="14"/>
    <row r="15">
      <c r="A15" s="58" t="inlineStr">
        <is>
          <t xml:space="preserve">Initial features y₀ … y_p  (contribution values ηᵤ(a_tu) of the TUPLAM features)</t>
        </is>
      </c>
      <c r="B15" s="58"/>
      <c r="C15" s="58"/>
      <c r="D15" s="58"/>
      <c r="E15" s="58"/>
      <c r="F15" s="58"/>
      <c r="G15" s="58"/>
      <c r="I15" s="58" t="inlineStr">
        <is>
          <t xml:space="preserve">Additional (latent) features r₁ … r_p</t>
        </is>
      </c>
      <c r="J15" s="58"/>
      <c r="K15" s="58"/>
      <c r="L15" s="58"/>
      <c r="M15" s="58"/>
      <c r="N15" s="58"/>
    </row>
    <row r="16">
      <c r="A16" s="60" t="inlineStr">
        <is>
          <t xml:space="preserve">№</t>
        </is>
      </c>
      <c r="B16" s="60" t="str">
        <f>"y₀ ("&amp;C5&amp;")"</f>
        <v>y₀ (a₆)</v>
      </c>
      <c r="C16" s="60" t="str">
        <f>"y₁ ("&amp;C6&amp;")"</f>
        <v>y₁ (a₃)</v>
      </c>
      <c r="D16" s="60" t="str">
        <f>"y₂ ("&amp;C7&amp;")"</f>
        <v>y₂ (a₁)</v>
      </c>
      <c r="E16" s="60" t="str">
        <f>"y₃ ("&amp;C8&amp;")"</f>
        <v>y₃ (a₂)</v>
      </c>
      <c r="F16" s="60" t="str">
        <f>"y₄ ("&amp;C9&amp;")"</f>
        <v>y₄ (a₄)</v>
      </c>
      <c r="G16" s="60" t="inlineStr">
        <is>
          <t xml:space="preserve">Class</t>
        </is>
      </c>
      <c r="I16" s="60" t="inlineStr">
        <is>
          <t xml:space="preserve">№</t>
        </is>
      </c>
      <c r="J16" s="63" t="inlineStr">
        <is>
          <t xml:space="preserve">r₁</t>
        </is>
      </c>
      <c r="K16" s="63" t="inlineStr">
        <is>
          <t xml:space="preserve">r₂</t>
        </is>
      </c>
      <c r="L16" s="63" t="inlineStr">
        <is>
          <t xml:space="preserve">r₃</t>
        </is>
      </c>
      <c r="M16" s="63" t="inlineStr">
        <is>
          <t xml:space="preserve">r₄</t>
        </is>
      </c>
      <c r="N16" s="60" t="inlineStr">
        <is>
          <t xml:space="preserve">Class</t>
        </is>
      </c>
    </row>
    <row r="17">
      <c r="A17" s="64" t="inlineStr">
        <is>
          <t xml:space="preserve">S₁</t>
        </is>
      </c>
      <c r="B17" s="95">
        <f>IF(ISNUMBER($B$5),INDEX('Ψ(r) Contribution &amp; Weight'!$B$18:$G$18,$B$5),"—")</f>
        <v>0.166666666666667</v>
      </c>
      <c r="C17" s="95">
        <f>IF(ISNUMBER($B$6),INDEX('Ψ(r) Contribution &amp; Weight'!$B$18:$G$18,$B$6),"—")</f>
        <v>0.2</v>
      </c>
      <c r="D17" s="95">
        <f>IF(ISNUMBER($B$7),INDEX('Ψ(r) Contribution &amp; Weight'!$B$18:$G$18,$B$7),"—")</f>
        <v>0.15</v>
      </c>
      <c r="E17" s="95">
        <f>IF(ISNUMBER($B$8),INDEX('Ψ(r) Contribution &amp; Weight'!$B$18:$G$18,$B$8),"—")</f>
        <v>0.15</v>
      </c>
      <c r="F17" s="95">
        <f>IF(ISNUMBER($B$9),INDEX('Ψ(r) Contribution &amp; Weight'!$B$18:$G$18,$B$9),"—")</f>
        <v>0.15</v>
      </c>
      <c r="G17" s="68">
        <f>Dataset!O3</f>
        <v>2</v>
      </c>
      <c r="I17" s="64" t="inlineStr">
        <is>
          <t xml:space="preserve">S₁</t>
        </is>
      </c>
      <c r="J17" s="94">
        <f>IF(ISNUMBER('Greedy upon Weight (1-Latent)'!$M$117),'Greedy upon Weight (1-Latent)'!$I$117,"—")</f>
        <v>0.112062246971304</v>
      </c>
      <c r="K17" s="94">
        <f>IF(ISNUMBER('Greedy upon Weight (2-Latent)'!$M$117),'Greedy upon Weight (2-Latent)'!$I$117,"—")</f>
        <v>-0.00853863373958766</v>
      </c>
      <c r="L17" s="94">
        <f>IF(ISNUMBER('Greedy upon Weight (3-Latent)'!$M$117),'Greedy upon Weight (3-Latent)'!$I$117,"—")</f>
        <v>-0.147792690313897</v>
      </c>
      <c r="M17" s="94">
        <f>IF(ISNUMBER('Greedy upon Weight (4-Latent)'!$M$117),'Greedy upon Weight (4-Latent)'!$I$117,"—")</f>
        <v>-0.30867911309098</v>
      </c>
      <c r="N17" s="68">
        <f>Dataset!O3</f>
        <v>2</v>
      </c>
    </row>
    <row r="18">
      <c r="A18" s="64" t="inlineStr">
        <is>
          <t xml:space="preserve">S₂</t>
        </is>
      </c>
      <c r="B18" s="95">
        <f>IF(ISNUMBER($B$5),INDEX('Ψ(r) Contribution &amp; Weight'!$B$19:$G$19,$B$5),"—")</f>
        <v>0.166666666666667</v>
      </c>
      <c r="C18" s="95">
        <f>IF(ISNUMBER($B$6),INDEX('Ψ(r) Contribution &amp; Weight'!$B$19:$G$19,$B$6),"—")</f>
        <v>-0.2</v>
      </c>
      <c r="D18" s="95">
        <f>IF(ISNUMBER($B$7),INDEX('Ψ(r) Contribution &amp; Weight'!$B$19:$G$19,$B$7),"—")</f>
        <v>0.15</v>
      </c>
      <c r="E18" s="95">
        <f>IF(ISNUMBER($B$8),INDEX('Ψ(r) Contribution &amp; Weight'!$B$19:$G$19,$B$8),"—")</f>
        <v>0.15</v>
      </c>
      <c r="F18" s="95">
        <f>IF(ISNUMBER($B$9),INDEX('Ψ(r) Contribution &amp; Weight'!$B$19:$G$19,$B$9),"—")</f>
        <v>0.15</v>
      </c>
      <c r="G18" s="68">
        <f>Dataset!O4</f>
        <v>1</v>
      </c>
      <c r="I18" s="64" t="inlineStr">
        <is>
          <t xml:space="preserve">S₂</t>
        </is>
      </c>
      <c r="J18" s="94">
        <f>IF(ISNUMBER('Greedy upon Weight (1-Latent)'!$M$117),'Greedy upon Weight (1-Latent)'!$I$118,"—")</f>
        <v>0.260239514069589</v>
      </c>
      <c r="K18" s="94">
        <f>IF(ISNUMBER('Greedy upon Weight (2-Latent)'!$M$117),'Greedy upon Weight (2-Latent)'!$I$118,"—")</f>
        <v>0.641058270440647</v>
      </c>
      <c r="L18" s="94">
        <f>IF(ISNUMBER('Greedy upon Weight (3-Latent)'!$M$117),'Greedy upon Weight (3-Latent)'!$I$118,"—")</f>
        <v>0.972305825213487</v>
      </c>
      <c r="M18" s="94">
        <f>IF(ISNUMBER('Greedy upon Weight (4-Latent)'!$M$117),'Greedy upon Weight (4-Latent)'!$I$118,"—")</f>
        <v>1.26563825850529</v>
      </c>
      <c r="N18" s="68">
        <f>Dataset!O4</f>
        <v>1</v>
      </c>
    </row>
    <row r="19">
      <c r="A19" s="64" t="inlineStr">
        <is>
          <t xml:space="preserve">S₃</t>
        </is>
      </c>
      <c r="B19" s="95">
        <f>IF(ISNUMBER($B$5),INDEX('Ψ(r) Contribution &amp; Weight'!$B$20:$G$20,$B$5),"—")</f>
        <v>-0.166666666666667</v>
      </c>
      <c r="C19" s="95">
        <f>IF(ISNUMBER($B$6),INDEX('Ψ(r) Contribution &amp; Weight'!$B$20:$G$20,$B$6),"—")</f>
        <v>-0.2</v>
      </c>
      <c r="D19" s="95">
        <f>IF(ISNUMBER($B$7),INDEX('Ψ(r) Contribution &amp; Weight'!$B$20:$G$20,$B$7),"—")</f>
        <v>-0.15</v>
      </c>
      <c r="E19" s="95">
        <f>IF(ISNUMBER($B$8),INDEX('Ψ(r) Contribution &amp; Weight'!$B$20:$G$20,$B$8),"—")</f>
        <v>-0.15</v>
      </c>
      <c r="F19" s="95">
        <f>IF(ISNUMBER($B$9),INDEX('Ψ(r) Contribution &amp; Weight'!$B$20:$G$20,$B$9),"—")</f>
        <v>-0.15</v>
      </c>
      <c r="G19" s="68">
        <f>Dataset!O5</f>
        <v>2</v>
      </c>
      <c r="I19" s="64" t="inlineStr">
        <is>
          <t xml:space="preserve">S₃</t>
        </is>
      </c>
      <c r="J19" s="94">
        <f>IF(ISNUMBER('Greedy upon Weight (1-Latent)'!$M$117),'Greedy upon Weight (1-Latent)'!$I$119,"—")</f>
        <v>-0.733675804638555</v>
      </c>
      <c r="K19" s="94">
        <f>IF(ISNUMBER('Greedy upon Weight (2-Latent)'!$M$117),'Greedy upon Weight (2-Latent)'!$I$119,"—")</f>
        <v>-1.32080100458638</v>
      </c>
      <c r="L19" s="94">
        <f>IF(ISNUMBER('Greedy upon Weight (3-Latent)'!$M$117),'Greedy upon Weight (3-Latent)'!$I$119,"—")</f>
        <v>-1.96899032950218</v>
      </c>
      <c r="M19" s="94">
        <f>IF(ISNUMBER('Greedy upon Weight (4-Latent)'!$M$117),'Greedy upon Weight (4-Latent)'!$I$119,"—")</f>
        <v>-2.66155572180793</v>
      </c>
      <c r="N19" s="68">
        <f>Dataset!O5</f>
        <v>2</v>
      </c>
    </row>
    <row r="20">
      <c r="A20" s="64" t="inlineStr">
        <is>
          <t xml:space="preserve">S₄</t>
        </is>
      </c>
      <c r="B20" s="95">
        <f>IF(ISNUMBER($B$5),INDEX('Ψ(r) Contribution &amp; Weight'!$B$21:$G$21,$B$5),"—")</f>
        <v>0.166666666666667</v>
      </c>
      <c r="C20" s="95">
        <f>IF(ISNUMBER($B$6),INDEX('Ψ(r) Contribution &amp; Weight'!$B$21:$G$21,$B$6),"—")</f>
        <v>0.2</v>
      </c>
      <c r="D20" s="95">
        <f>IF(ISNUMBER($B$7),INDEX('Ψ(r) Contribution &amp; Weight'!$B$21:$G$21,$B$7),"—")</f>
        <v>0.15</v>
      </c>
      <c r="E20" s="95">
        <f>IF(ISNUMBER($B$8),INDEX('Ψ(r) Contribution &amp; Weight'!$B$21:$G$21,$B$8),"—")</f>
        <v>0.15</v>
      </c>
      <c r="F20" s="95">
        <f>IF(ISNUMBER($B$9),INDEX('Ψ(r) Contribution &amp; Weight'!$B$21:$G$21,$B$9),"—")</f>
        <v>0.15</v>
      </c>
      <c r="G20" s="68">
        <f>Dataset!O6</f>
        <v>1</v>
      </c>
      <c r="I20" s="64" t="inlineStr">
        <is>
          <t xml:space="preserve">S₄</t>
        </is>
      </c>
      <c r="J20" s="94">
        <f>IF(ISNUMBER('Greedy upon Weight (1-Latent)'!$M$117),'Greedy upon Weight (1-Latent)'!$I$120,"—")</f>
        <v>0.603476162679314</v>
      </c>
      <c r="K20" s="94">
        <f>IF(ISNUMBER('Greedy upon Weight (2-Latent)'!$M$117),'Greedy upon Weight (2-Latent)'!$I$120,"—")</f>
        <v>0.939357074977029</v>
      </c>
      <c r="L20" s="94">
        <f>IF(ISNUMBER('Greedy upon Weight (3-Latent)'!$M$117),'Greedy upon Weight (3-Latent)'!$I$120,"—")</f>
        <v>1.23621345350815</v>
      </c>
      <c r="M20" s="94">
        <f>IF(ISNUMBER('Greedy upon Weight (4-Latent)'!$M$117),'Greedy upon Weight (4-Latent)'!$I$120,"—")</f>
        <v>1.50339265844291</v>
      </c>
      <c r="N20" s="68">
        <f>Dataset!O6</f>
        <v>1</v>
      </c>
    </row>
    <row r="21">
      <c r="A21" s="64" t="inlineStr">
        <is>
          <t xml:space="preserve">S₅</t>
        </is>
      </c>
      <c r="B21" s="95">
        <f>IF(ISNUMBER($B$5),INDEX('Ψ(r) Contribution &amp; Weight'!$B$22:$G$22,$B$5),"—")</f>
        <v>0.166666666666667</v>
      </c>
      <c r="C21" s="95">
        <f>IF(ISNUMBER($B$6),INDEX('Ψ(r) Contribution &amp; Weight'!$B$22:$G$22,$B$6),"—")</f>
        <v>0.2</v>
      </c>
      <c r="D21" s="95">
        <f>IF(ISNUMBER($B$7),INDEX('Ψ(r) Contribution &amp; Weight'!$B$22:$G$22,$B$7),"—")</f>
        <v>0.15</v>
      </c>
      <c r="E21" s="95">
        <f>IF(ISNUMBER($B$8),INDEX('Ψ(r) Contribution &amp; Weight'!$B$22:$G$22,$B$8),"—")</f>
        <v>0.15</v>
      </c>
      <c r="F21" s="95">
        <f>IF(ISNUMBER($B$9),INDEX('Ψ(r) Contribution &amp; Weight'!$B$22:$G$22,$B$9),"—")</f>
        <v>0.15</v>
      </c>
      <c r="G21" s="68">
        <f>Dataset!O7</f>
        <v>1</v>
      </c>
      <c r="I21" s="64" t="inlineStr">
        <is>
          <t xml:space="preserve">S₅</t>
        </is>
      </c>
      <c r="J21" s="94">
        <f>IF(ISNUMBER('Greedy upon Weight (1-Latent)'!$M$117),'Greedy upon Weight (1-Latent)'!$I$121,"—")</f>
        <v>0.603476162679314</v>
      </c>
      <c r="K21" s="94">
        <f>IF(ISNUMBER('Greedy upon Weight (2-Latent)'!$M$117),'Greedy upon Weight (2-Latent)'!$I$121,"—")</f>
        <v>0.939357074977029</v>
      </c>
      <c r="L21" s="94">
        <f>IF(ISNUMBER('Greedy upon Weight (3-Latent)'!$M$117),'Greedy upon Weight (3-Latent)'!$I$121,"—")</f>
        <v>1.23621345350815</v>
      </c>
      <c r="M21" s="94">
        <f>IF(ISNUMBER('Greedy upon Weight (4-Latent)'!$M$117),'Greedy upon Weight (4-Latent)'!$I$121,"—")</f>
        <v>1.50339265844291</v>
      </c>
      <c r="N21" s="68">
        <f>Dataset!O7</f>
        <v>1</v>
      </c>
    </row>
    <row r="22">
      <c r="A22" s="64" t="inlineStr">
        <is>
          <t xml:space="preserve">S₆</t>
        </is>
      </c>
      <c r="B22" s="95">
        <f>IF(ISNUMBER($B$5),INDEX('Ψ(r) Contribution &amp; Weight'!$B$23:$G$23,$B$5),"—")</f>
        <v>0.166666666666667</v>
      </c>
      <c r="C22" s="95">
        <f>IF(ISNUMBER($B$6),INDEX('Ψ(r) Contribution &amp; Weight'!$B$23:$G$23,$B$6),"—")</f>
        <v>-0.2</v>
      </c>
      <c r="D22" s="95">
        <f>IF(ISNUMBER($B$7),INDEX('Ψ(r) Contribution &amp; Weight'!$B$23:$G$23,$B$7),"—")</f>
        <v>0.15</v>
      </c>
      <c r="E22" s="95">
        <f>IF(ISNUMBER($B$8),INDEX('Ψ(r) Contribution &amp; Weight'!$B$23:$G$23,$B$8),"—")</f>
        <v>0.15</v>
      </c>
      <c r="F22" s="95">
        <f>IF(ISNUMBER($B$9),INDEX('Ψ(r) Contribution &amp; Weight'!$B$23:$G$23,$B$9),"—")</f>
        <v>0.15</v>
      </c>
      <c r="G22" s="68">
        <f>Dataset!O8</f>
        <v>1</v>
      </c>
      <c r="I22" s="64" t="inlineStr">
        <is>
          <t xml:space="preserve">S₆</t>
        </is>
      </c>
      <c r="J22" s="94">
        <f>IF(ISNUMBER('Greedy upon Weight (1-Latent)'!$M$117),'Greedy upon Weight (1-Latent)'!$I$122,"—")</f>
        <v>0.260239514069589</v>
      </c>
      <c r="K22" s="94">
        <f>IF(ISNUMBER('Greedy upon Weight (2-Latent)'!$M$117),'Greedy upon Weight (2-Latent)'!$I$122,"—")</f>
        <v>0.641058270440647</v>
      </c>
      <c r="L22" s="94">
        <f>IF(ISNUMBER('Greedy upon Weight (3-Latent)'!$M$117),'Greedy upon Weight (3-Latent)'!$I$122,"—")</f>
        <v>0.972305825213487</v>
      </c>
      <c r="M22" s="94">
        <f>IF(ISNUMBER('Greedy upon Weight (4-Latent)'!$M$117),'Greedy upon Weight (4-Latent)'!$I$122,"—")</f>
        <v>1.26563825850529</v>
      </c>
      <c r="N22" s="68">
        <f>Dataset!O8</f>
        <v>1</v>
      </c>
    </row>
    <row r="23">
      <c r="A23" s="64" t="inlineStr">
        <is>
          <t xml:space="preserve">S₇</t>
        </is>
      </c>
      <c r="B23" s="95">
        <f>IF(ISNUMBER($B$5),INDEX('Ψ(r) Contribution &amp; Weight'!$B$24:$G$24,$B$5),"—")</f>
        <v>0.166666666666667</v>
      </c>
      <c r="C23" s="95">
        <f>IF(ISNUMBER($B$6),INDEX('Ψ(r) Contribution &amp; Weight'!$B$24:$G$24,$B$6),"—")</f>
        <v>-0.2</v>
      </c>
      <c r="D23" s="95">
        <f>IF(ISNUMBER($B$7),INDEX('Ψ(r) Contribution &amp; Weight'!$B$24:$G$24,$B$7),"—")</f>
        <v>0.15</v>
      </c>
      <c r="E23" s="95">
        <f>IF(ISNUMBER($B$8),INDEX('Ψ(r) Contribution &amp; Weight'!$B$24:$G$24,$B$8),"—")</f>
        <v>0.15</v>
      </c>
      <c r="F23" s="95">
        <f>IF(ISNUMBER($B$9),INDEX('Ψ(r) Contribution &amp; Weight'!$B$24:$G$24,$B$9),"—")</f>
        <v>0.15</v>
      </c>
      <c r="G23" s="68">
        <f>Dataset!O9</f>
        <v>2</v>
      </c>
      <c r="I23" s="64" t="inlineStr">
        <is>
          <t xml:space="preserve">S₇</t>
        </is>
      </c>
      <c r="J23" s="94">
        <f>IF(ISNUMBER('Greedy upon Weight (1-Latent)'!$M$117),'Greedy upon Weight (1-Latent)'!$I$123,"—")</f>
        <v>-0.34973061286611</v>
      </c>
      <c r="K23" s="94">
        <f>IF(ISNUMBER('Greedy upon Weight (2-Latent)'!$M$117),'Greedy upon Weight (2-Latent)'!$I$123,"—")</f>
        <v>-0.541711272743112</v>
      </c>
      <c r="L23" s="94">
        <f>IF(ISNUMBER('Greedy upon Weight (3-Latent)'!$M$117),'Greedy upon Weight (3-Latent)'!$I$123,"—")</f>
        <v>-0.762398412464542</v>
      </c>
      <c r="M23" s="94">
        <f>IF(ISNUMBER('Greedy upon Weight (4-Latent)'!$M$117),'Greedy upon Weight (4-Latent)'!$I$123,"—")</f>
        <v>-1.01438214662853</v>
      </c>
      <c r="N23" s="68">
        <f>Dataset!O9</f>
        <v>2</v>
      </c>
    </row>
    <row r="24">
      <c r="A24" s="64" t="inlineStr">
        <is>
          <t xml:space="preserve">S₈</t>
        </is>
      </c>
      <c r="B24" s="95">
        <f>IF(ISNUMBER($B$5),INDEX('Ψ(r) Contribution &amp; Weight'!$B$25:$G$25,$B$5),"—")</f>
        <v>0.166666666666667</v>
      </c>
      <c r="C24" s="95">
        <f>IF(ISNUMBER($B$6),INDEX('Ψ(r) Contribution &amp; Weight'!$B$25:$G$25,$B$6),"—")</f>
        <v>-0.2</v>
      </c>
      <c r="D24" s="95">
        <f>IF(ISNUMBER($B$7),INDEX('Ψ(r) Contribution &amp; Weight'!$B$25:$G$25,$B$7),"—")</f>
        <v>0.15</v>
      </c>
      <c r="E24" s="95">
        <f>IF(ISNUMBER($B$8),INDEX('Ψ(r) Contribution &amp; Weight'!$B$25:$G$25,$B$8),"—")</f>
        <v>0.15</v>
      </c>
      <c r="F24" s="95">
        <f>IF(ISNUMBER($B$9),INDEX('Ψ(r) Contribution &amp; Weight'!$B$25:$G$25,$B$9),"—")</f>
        <v>0.15</v>
      </c>
      <c r="G24" s="68">
        <f>Dataset!O10</f>
        <v>2</v>
      </c>
      <c r="I24" s="64" t="inlineStr">
        <is>
          <t xml:space="preserve">S₈</t>
        </is>
      </c>
      <c r="J24" s="94">
        <f>IF(ISNUMBER('Greedy upon Weight (1-Latent)'!$M$117),'Greedy upon Weight (1-Latent)'!$I$124,"—")</f>
        <v>-0.34973061286611</v>
      </c>
      <c r="K24" s="94">
        <f>IF(ISNUMBER('Greedy upon Weight (2-Latent)'!$M$117),'Greedy upon Weight (2-Latent)'!$I$124,"—")</f>
        <v>-0.541711272743112</v>
      </c>
      <c r="L24" s="94">
        <f>IF(ISNUMBER('Greedy upon Weight (3-Latent)'!$M$117),'Greedy upon Weight (3-Latent)'!$I$124,"—")</f>
        <v>-0.762398412464542</v>
      </c>
      <c r="M24" s="94">
        <f>IF(ISNUMBER('Greedy upon Weight (4-Latent)'!$M$117),'Greedy upon Weight (4-Latent)'!$I$124,"—")</f>
        <v>-1.01438214662853</v>
      </c>
      <c r="N24" s="68">
        <f>Dataset!O10</f>
        <v>2</v>
      </c>
    </row>
    <row r="25">
      <c r="A25" s="64" t="inlineStr">
        <is>
          <t xml:space="preserve">S₉</t>
        </is>
      </c>
      <c r="B25" s="95">
        <f>IF(ISNUMBER($B$5),INDEX('Ψ(r) Contribution &amp; Weight'!$B$26:$G$26,$B$5),"—")</f>
        <v>0.166666666666667</v>
      </c>
      <c r="C25" s="95">
        <f>IF(ISNUMBER($B$6),INDEX('Ψ(r) Contribution &amp; Weight'!$B$26:$G$26,$B$6),"—")</f>
        <v>-0.2</v>
      </c>
      <c r="D25" s="95">
        <f>IF(ISNUMBER($B$7),INDEX('Ψ(r) Contribution &amp; Weight'!$B$26:$G$26,$B$7),"—")</f>
        <v>0.15</v>
      </c>
      <c r="E25" s="95">
        <f>IF(ISNUMBER($B$8),INDEX('Ψ(r) Contribution &amp; Weight'!$B$26:$G$26,$B$8),"—")</f>
        <v>0.15</v>
      </c>
      <c r="F25" s="95">
        <f>IF(ISNUMBER($B$9),INDEX('Ψ(r) Contribution &amp; Weight'!$B$26:$G$26,$B$9),"—")</f>
        <v>0.15</v>
      </c>
      <c r="G25" s="68">
        <f>Dataset!O11</f>
        <v>2</v>
      </c>
      <c r="I25" s="64" t="inlineStr">
        <is>
          <t xml:space="preserve">S₉</t>
        </is>
      </c>
      <c r="J25" s="94">
        <f>IF(ISNUMBER('Greedy upon Weight (1-Latent)'!$M$117),'Greedy upon Weight (1-Latent)'!$I$125,"—")</f>
        <v>-0.34973061286611</v>
      </c>
      <c r="K25" s="94">
        <f>IF(ISNUMBER('Greedy upon Weight (2-Latent)'!$M$117),'Greedy upon Weight (2-Latent)'!$I$125,"—")</f>
        <v>-0.541711272743112</v>
      </c>
      <c r="L25" s="94">
        <f>IF(ISNUMBER('Greedy upon Weight (3-Latent)'!$M$117),'Greedy upon Weight (3-Latent)'!$I$125,"—")</f>
        <v>-0.762398412464542</v>
      </c>
      <c r="M25" s="94">
        <f>IF(ISNUMBER('Greedy upon Weight (4-Latent)'!$M$117),'Greedy upon Weight (4-Latent)'!$I$125,"—")</f>
        <v>-1.01438214662853</v>
      </c>
      <c r="N25" s="68">
        <f>Dataset!O11</f>
        <v>2</v>
      </c>
    </row>
    <row r="26">
      <c r="A26" s="64" t="inlineStr">
        <is>
          <t xml:space="preserve">S₁₀</t>
        </is>
      </c>
      <c r="B26" s="95">
        <f>IF(ISNUMBER($B$5),INDEX('Ψ(r) Contribution &amp; Weight'!$B$27:$G$27,$B$5),"—")</f>
        <v>0.166666666666667</v>
      </c>
      <c r="C26" s="95">
        <f>IF(ISNUMBER($B$6),INDEX('Ψ(r) Contribution &amp; Weight'!$B$27:$G$27,$B$6),"—")</f>
        <v>-0.2</v>
      </c>
      <c r="D26" s="95">
        <f>IF(ISNUMBER($B$7),INDEX('Ψ(r) Contribution &amp; Weight'!$B$27:$G$27,$B$7),"—")</f>
        <v>0.15</v>
      </c>
      <c r="E26" s="95">
        <f>IF(ISNUMBER($B$8),INDEX('Ψ(r) Contribution &amp; Weight'!$B$27:$G$27,$B$8),"—")</f>
        <v>0.15</v>
      </c>
      <c r="F26" s="95">
        <f>IF(ISNUMBER($B$9),INDEX('Ψ(r) Contribution &amp; Weight'!$B$27:$G$27,$B$9),"—")</f>
        <v>0.15</v>
      </c>
      <c r="G26" s="68">
        <f>Dataset!O12</f>
        <v>2</v>
      </c>
      <c r="I26" s="64" t="inlineStr">
        <is>
          <t xml:space="preserve">S₁₀</t>
        </is>
      </c>
      <c r="J26" s="94">
        <f>IF(ISNUMBER('Greedy upon Weight (1-Latent)'!$M$117),'Greedy upon Weight (1-Latent)'!$I$126,"—")</f>
        <v>-0.34973061286611</v>
      </c>
      <c r="K26" s="94">
        <f>IF(ISNUMBER('Greedy upon Weight (2-Latent)'!$M$117),'Greedy upon Weight (2-Latent)'!$I$126,"—")</f>
        <v>-0.541711272743112</v>
      </c>
      <c r="L26" s="94">
        <f>IF(ISNUMBER('Greedy upon Weight (3-Latent)'!$M$117),'Greedy upon Weight (3-Latent)'!$I$126,"—")</f>
        <v>-0.762398412464542</v>
      </c>
      <c r="M26" s="94">
        <f>IF(ISNUMBER('Greedy upon Weight (4-Latent)'!$M$117),'Greedy upon Weight (4-Latent)'!$I$126,"—")</f>
        <v>-1.01438214662853</v>
      </c>
      <c r="N26" s="68">
        <f>Dataset!O12</f>
        <v>2</v>
      </c>
    </row>
    <row r="27"/>
    <row r="28">
      <c r="A28" s="58" t="inlineStr">
        <is>
          <t xml:space="preserve">Dataset for Meta-algorithms  Y = (y₀, …, y_p, r₁, …, r_p)  [Heart + Disease (10, 13, 2)]</t>
        </is>
      </c>
      <c r="B28" s="58"/>
      <c r="C28" s="58"/>
      <c r="D28" s="58"/>
      <c r="E28" s="58"/>
      <c r="F28" s="58"/>
      <c r="G28" s="58"/>
      <c r="H28" s="58"/>
      <c r="I28" s="58"/>
      <c r="J28" s="58"/>
      <c r="K28" s="58"/>
    </row>
    <row r="29">
      <c r="A29" s="60" t="inlineStr">
        <is>
          <t xml:space="preserve">№</t>
        </is>
      </c>
      <c r="B29" s="60" t="str">
        <f>B16</f>
        <v>y₀ (a₆)</v>
      </c>
      <c r="C29" s="60" t="str">
        <f>C16</f>
        <v>y₁ (a₃)</v>
      </c>
      <c r="D29" s="60" t="str">
        <f>D16</f>
        <v>y₂ (a₁)</v>
      </c>
      <c r="E29" s="60" t="str">
        <f>E16</f>
        <v>y₃ (a₂)</v>
      </c>
      <c r="F29" s="60" t="str">
        <f>F16</f>
        <v>y₄ (a₄)</v>
      </c>
      <c r="G29" s="63" t="inlineStr">
        <is>
          <t xml:space="preserve">r₁</t>
        </is>
      </c>
      <c r="H29" s="63" t="inlineStr">
        <is>
          <t xml:space="preserve">r₂</t>
        </is>
      </c>
      <c r="I29" s="63" t="inlineStr">
        <is>
          <t xml:space="preserve">r₃</t>
        </is>
      </c>
      <c r="J29" s="63" t="inlineStr">
        <is>
          <t xml:space="preserve">r₄</t>
        </is>
      </c>
      <c r="K29" s="60" t="inlineStr">
        <is>
          <t xml:space="preserve">Class</t>
        </is>
      </c>
    </row>
    <row r="30">
      <c r="A30" s="64" t="inlineStr">
        <is>
          <t xml:space="preserve">S₁</t>
        </is>
      </c>
      <c r="B30" s="95">
        <f>B17</f>
        <v>0.166666666666667</v>
      </c>
      <c r="C30" s="95">
        <f>C17</f>
        <v>0.2</v>
      </c>
      <c r="D30" s="95">
        <f>D17</f>
        <v>0.15</v>
      </c>
      <c r="E30" s="95">
        <f>E17</f>
        <v>0.15</v>
      </c>
      <c r="F30" s="95">
        <f>F17</f>
        <v>0.15</v>
      </c>
      <c r="G30" s="94">
        <f>J17</f>
        <v>0.112062246971304</v>
      </c>
      <c r="H30" s="94">
        <f>K17</f>
        <v>-0.00853863373958766</v>
      </c>
      <c r="I30" s="94">
        <f>L17</f>
        <v>-0.147792690313897</v>
      </c>
      <c r="J30" s="94">
        <f>M17</f>
        <v>-0.30867911309098</v>
      </c>
      <c r="K30" s="68">
        <f>Dataset!O3</f>
        <v>2</v>
      </c>
    </row>
    <row r="31">
      <c r="A31" s="64" t="inlineStr">
        <is>
          <t xml:space="preserve">S₂</t>
        </is>
      </c>
      <c r="B31" s="95">
        <f>B18</f>
        <v>0.166666666666667</v>
      </c>
      <c r="C31" s="95">
        <f>C18</f>
        <v>-0.2</v>
      </c>
      <c r="D31" s="95">
        <f>D18</f>
        <v>0.15</v>
      </c>
      <c r="E31" s="95">
        <f>E18</f>
        <v>0.15</v>
      </c>
      <c r="F31" s="95">
        <f>F18</f>
        <v>0.15</v>
      </c>
      <c r="G31" s="94">
        <f>J18</f>
        <v>0.260239514069589</v>
      </c>
      <c r="H31" s="94">
        <f>K18</f>
        <v>0.641058270440647</v>
      </c>
      <c r="I31" s="94">
        <f>L18</f>
        <v>0.972305825213487</v>
      </c>
      <c r="J31" s="94">
        <f>M18</f>
        <v>1.26563825850529</v>
      </c>
      <c r="K31" s="68">
        <f>Dataset!O4</f>
        <v>1</v>
      </c>
    </row>
    <row r="32">
      <c r="A32" s="64" t="inlineStr">
        <is>
          <t xml:space="preserve">S₃</t>
        </is>
      </c>
      <c r="B32" s="95">
        <f>B19</f>
        <v>-0.166666666666667</v>
      </c>
      <c r="C32" s="95">
        <f>C19</f>
        <v>-0.2</v>
      </c>
      <c r="D32" s="95">
        <f>D19</f>
        <v>-0.15</v>
      </c>
      <c r="E32" s="95">
        <f>E19</f>
        <v>-0.15</v>
      </c>
      <c r="F32" s="95">
        <f>F19</f>
        <v>-0.15</v>
      </c>
      <c r="G32" s="94">
        <f>J19</f>
        <v>-0.733675804638555</v>
      </c>
      <c r="H32" s="94">
        <f>K19</f>
        <v>-1.32080100458638</v>
      </c>
      <c r="I32" s="94">
        <f>L19</f>
        <v>-1.96899032950218</v>
      </c>
      <c r="J32" s="94">
        <f>M19</f>
        <v>-2.66155572180793</v>
      </c>
      <c r="K32" s="68">
        <f>Dataset!O5</f>
        <v>2</v>
      </c>
    </row>
    <row r="33">
      <c r="A33" s="64" t="inlineStr">
        <is>
          <t xml:space="preserve">S₄</t>
        </is>
      </c>
      <c r="B33" s="95">
        <f>B20</f>
        <v>0.166666666666667</v>
      </c>
      <c r="C33" s="95">
        <f>C20</f>
        <v>0.2</v>
      </c>
      <c r="D33" s="95">
        <f>D20</f>
        <v>0.15</v>
      </c>
      <c r="E33" s="95">
        <f>E20</f>
        <v>0.15</v>
      </c>
      <c r="F33" s="95">
        <f>F20</f>
        <v>0.15</v>
      </c>
      <c r="G33" s="94">
        <f>J20</f>
        <v>0.603476162679314</v>
      </c>
      <c r="H33" s="94">
        <f>K20</f>
        <v>0.939357074977029</v>
      </c>
      <c r="I33" s="94">
        <f>L20</f>
        <v>1.23621345350815</v>
      </c>
      <c r="J33" s="94">
        <f>M20</f>
        <v>1.50339265844291</v>
      </c>
      <c r="K33" s="68">
        <f>Dataset!O6</f>
        <v>1</v>
      </c>
    </row>
    <row r="34">
      <c r="A34" s="64" t="inlineStr">
        <is>
          <t xml:space="preserve">S₅</t>
        </is>
      </c>
      <c r="B34" s="95">
        <f>B21</f>
        <v>0.166666666666667</v>
      </c>
      <c r="C34" s="95">
        <f>C21</f>
        <v>0.2</v>
      </c>
      <c r="D34" s="95">
        <f>D21</f>
        <v>0.15</v>
      </c>
      <c r="E34" s="95">
        <f>E21</f>
        <v>0.15</v>
      </c>
      <c r="F34" s="95">
        <f>F21</f>
        <v>0.15</v>
      </c>
      <c r="G34" s="94">
        <f>J21</f>
        <v>0.603476162679314</v>
      </c>
      <c r="H34" s="94">
        <f>K21</f>
        <v>0.939357074977029</v>
      </c>
      <c r="I34" s="94">
        <f>L21</f>
        <v>1.23621345350815</v>
      </c>
      <c r="J34" s="94">
        <f>M21</f>
        <v>1.50339265844291</v>
      </c>
      <c r="K34" s="68">
        <f>Dataset!O7</f>
        <v>1</v>
      </c>
    </row>
    <row r="35">
      <c r="A35" s="64" t="inlineStr">
        <is>
          <t xml:space="preserve">S₆</t>
        </is>
      </c>
      <c r="B35" s="95">
        <f>B22</f>
        <v>0.166666666666667</v>
      </c>
      <c r="C35" s="95">
        <f>C22</f>
        <v>-0.2</v>
      </c>
      <c r="D35" s="95">
        <f>D22</f>
        <v>0.15</v>
      </c>
      <c r="E35" s="95">
        <f>E22</f>
        <v>0.15</v>
      </c>
      <c r="F35" s="95">
        <f>F22</f>
        <v>0.15</v>
      </c>
      <c r="G35" s="94">
        <f>J22</f>
        <v>0.260239514069589</v>
      </c>
      <c r="H35" s="94">
        <f>K22</f>
        <v>0.641058270440647</v>
      </c>
      <c r="I35" s="94">
        <f>L22</f>
        <v>0.972305825213487</v>
      </c>
      <c r="J35" s="94">
        <f>M22</f>
        <v>1.26563825850529</v>
      </c>
      <c r="K35" s="68">
        <f>Dataset!O8</f>
        <v>1</v>
      </c>
    </row>
    <row r="36">
      <c r="A36" s="64" t="inlineStr">
        <is>
          <t xml:space="preserve">S₇</t>
        </is>
      </c>
      <c r="B36" s="95">
        <f>B23</f>
        <v>0.166666666666667</v>
      </c>
      <c r="C36" s="95">
        <f>C23</f>
        <v>-0.2</v>
      </c>
      <c r="D36" s="95">
        <f>D23</f>
        <v>0.15</v>
      </c>
      <c r="E36" s="95">
        <f>E23</f>
        <v>0.15</v>
      </c>
      <c r="F36" s="95">
        <f>F23</f>
        <v>0.15</v>
      </c>
      <c r="G36" s="94">
        <f>J23</f>
        <v>-0.34973061286611</v>
      </c>
      <c r="H36" s="94">
        <f>K23</f>
        <v>-0.541711272743112</v>
      </c>
      <c r="I36" s="94">
        <f>L23</f>
        <v>-0.762398412464542</v>
      </c>
      <c r="J36" s="94">
        <f>M23</f>
        <v>-1.01438214662853</v>
      </c>
      <c r="K36" s="68">
        <f>Dataset!O9</f>
        <v>2</v>
      </c>
    </row>
    <row r="37">
      <c r="A37" s="64" t="inlineStr">
        <is>
          <t xml:space="preserve">S₈</t>
        </is>
      </c>
      <c r="B37" s="95">
        <f>B24</f>
        <v>0.166666666666667</v>
      </c>
      <c r="C37" s="95">
        <f>C24</f>
        <v>-0.2</v>
      </c>
      <c r="D37" s="95">
        <f>D24</f>
        <v>0.15</v>
      </c>
      <c r="E37" s="95">
        <f>E24</f>
        <v>0.15</v>
      </c>
      <c r="F37" s="95">
        <f>F24</f>
        <v>0.15</v>
      </c>
      <c r="G37" s="94">
        <f>J24</f>
        <v>-0.34973061286611</v>
      </c>
      <c r="H37" s="94">
        <f>K24</f>
        <v>-0.541711272743112</v>
      </c>
      <c r="I37" s="94">
        <f>L24</f>
        <v>-0.762398412464542</v>
      </c>
      <c r="J37" s="94">
        <f>M24</f>
        <v>-1.01438214662853</v>
      </c>
      <c r="K37" s="68">
        <f>Dataset!O10</f>
        <v>2</v>
      </c>
    </row>
    <row r="38">
      <c r="A38" s="64" t="inlineStr">
        <is>
          <t xml:space="preserve">S₉</t>
        </is>
      </c>
      <c r="B38" s="95">
        <f>B25</f>
        <v>0.166666666666667</v>
      </c>
      <c r="C38" s="95">
        <f>C25</f>
        <v>-0.2</v>
      </c>
      <c r="D38" s="95">
        <f>D25</f>
        <v>0.15</v>
      </c>
      <c r="E38" s="95">
        <f>E25</f>
        <v>0.15</v>
      </c>
      <c r="F38" s="95">
        <f>F25</f>
        <v>0.15</v>
      </c>
      <c r="G38" s="94">
        <f>J25</f>
        <v>-0.34973061286611</v>
      </c>
      <c r="H38" s="94">
        <f>K25</f>
        <v>-0.541711272743112</v>
      </c>
      <c r="I38" s="94">
        <f>L25</f>
        <v>-0.762398412464542</v>
      </c>
      <c r="J38" s="94">
        <f>M25</f>
        <v>-1.01438214662853</v>
      </c>
      <c r="K38" s="68">
        <f>Dataset!O11</f>
        <v>2</v>
      </c>
    </row>
    <row r="39">
      <c r="A39" s="64" t="inlineStr">
        <is>
          <t xml:space="preserve">S₁₀</t>
        </is>
      </c>
      <c r="B39" s="95">
        <f>B26</f>
        <v>0.166666666666667</v>
      </c>
      <c r="C39" s="95">
        <f>C26</f>
        <v>-0.2</v>
      </c>
      <c r="D39" s="95">
        <f>D26</f>
        <v>0.15</v>
      </c>
      <c r="E39" s="95">
        <f>E26</f>
        <v>0.15</v>
      </c>
      <c r="F39" s="95">
        <f>F26</f>
        <v>0.15</v>
      </c>
      <c r="G39" s="94">
        <f>J26</f>
        <v>-0.34973061286611</v>
      </c>
      <c r="H39" s="94">
        <f>K26</f>
        <v>-0.541711272743112</v>
      </c>
      <c r="I39" s="94">
        <f>L26</f>
        <v>-0.762398412464542</v>
      </c>
      <c r="J39" s="94">
        <f>M26</f>
        <v>-1.01438214662853</v>
      </c>
      <c r="K39" s="68">
        <f>Dataset!O12</f>
        <v>2</v>
      </c>
    </row>
    <row r="40"/>
    <row r="41">
      <c r="A41" s="99" t="inlineStr">
        <is>
          <t xml:space="preserve">y_j is the contribution value of the j-th TUPLAM feature (Step 8); r_j is the value R(Sₜ) after the j-th HAG iteration (Step 9).</t>
        </is>
      </c>
    </row>
    <row r="42">
      <c r="A42" s="99" t="inlineStr">
        <is>
          <t xml:space="preserve">"—" marks positions that the HAG did not fill (the grouping stopped earlier).</t>
        </is>
      </c>
    </row>
  </sheetData>
  <mergeCells count="9">
    <mergeCell ref="A1:N1"/>
    <mergeCell ref="A3:D3"/>
    <mergeCell ref="A11:B11"/>
    <mergeCell ref="A12:B12"/>
    <mergeCell ref="A13:B13"/>
    <mergeCell ref="C13:D13"/>
    <mergeCell ref="A15:G15"/>
    <mergeCell ref="I15:N15"/>
    <mergeCell ref="A28:K28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N64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26.77734375" customWidth="1"/>
    <col min="2" max="14" width="11.77734375" customWidth="1"/>
    <col min="15" max="16" width="9.77734375" customWidth="1"/>
  </cols>
  <sheetData>
    <row r="1" ht="20" customHeight="1">
      <c r="A1" s="57" t="inlineStr">
        <is>
          <t xml:space="preserve">Step 11 · Brace for the meta-algorithm — training description (aᵢ, dᵢ) and a new object encoded without its class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/>
    <row r="3">
      <c r="A3" s="58" t="inlineStr">
        <is>
          <t xml:space="preserve">Training dataset for the meta-algorithm — gradations aᵢⱼ ∈ {1, 2} of the TUPLAM features and latent features dᵢⱼ = r_j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>
      <c r="A4" s="60" t="inlineStr">
        <is>
          <t xml:space="preserve">№</t>
        </is>
      </c>
      <c r="B4" s="60" t="str">
        <f>"aᵢ₀ ("&amp;'Dataset for Meta-algorithm'!C5&amp;")"</f>
        <v>aᵢ₀ (a₆)</v>
      </c>
      <c r="C4" s="60" t="str">
        <f>"aᵢ₁ ("&amp;'Dataset for Meta-algorithm'!C6&amp;")"</f>
        <v>aᵢ₁ (a₃)</v>
      </c>
      <c r="D4" s="60" t="str">
        <f>"aᵢ₂ ("&amp;'Dataset for Meta-algorithm'!C7&amp;")"</f>
        <v>aᵢ₂ (a₁)</v>
      </c>
      <c r="E4" s="60" t="str">
        <f>"aᵢ₃ ("&amp;'Dataset for Meta-algorithm'!C8&amp;")"</f>
        <v>aᵢ₃ (a₂)</v>
      </c>
      <c r="F4" s="60" t="str">
        <f>"aᵢ₄ ("&amp;'Dataset for Meta-algorithm'!C9&amp;")"</f>
        <v>aᵢ₄ (a₄)</v>
      </c>
      <c r="G4" s="63" t="inlineStr">
        <is>
          <t xml:space="preserve">dᵢ₁ (r₁)</t>
        </is>
      </c>
      <c r="H4" s="63" t="inlineStr">
        <is>
          <t xml:space="preserve">dᵢ₂ (r₂)</t>
        </is>
      </c>
      <c r="I4" s="63" t="inlineStr">
        <is>
          <t xml:space="preserve">dᵢ₃ (r₃)</t>
        </is>
      </c>
      <c r="J4" s="63" t="inlineStr">
        <is>
          <t xml:space="preserve">dᵢ₄ (r₄)</t>
        </is>
      </c>
      <c r="K4" s="60" t="inlineStr">
        <is>
          <t xml:space="preserve">Class</t>
        </is>
      </c>
      <c r="L4" s="60" t="inlineStr">
        <is>
          <t xml:space="preserve">sort key</t>
        </is>
      </c>
      <c r="M4" s="60" t="inlineStr">
        <is>
          <t xml:space="preserve">position</t>
        </is>
      </c>
    </row>
    <row r="5">
      <c r="A5" s="64" t="inlineStr">
        <is>
          <t xml:space="preserve">S₁</t>
        </is>
      </c>
      <c r="B5" s="80">
        <f>IF(ISNUMBER('Dataset for Meta-algorithm'!$B$5),INDEX('Ψ(r) Binary Features'!$B$40:$G$40,'Dataset for Meta-algorithm'!$B$5),"—")</f>
        <v>2</v>
      </c>
      <c r="C5" s="80">
        <f>IF(ISNUMBER('Dataset for Meta-algorithm'!$B$6),INDEX('Ψ(r) Binary Features'!$B$40:$G$40,'Dataset for Meta-algorithm'!$B$6),"—")</f>
        <v>1</v>
      </c>
      <c r="D5" s="80">
        <f>IF(ISNUMBER('Dataset for Meta-algorithm'!$B$7),INDEX('Ψ(r) Binary Features'!$B$40:$G$40,'Dataset for Meta-algorithm'!$B$7),"—")</f>
        <v>2</v>
      </c>
      <c r="E5" s="80">
        <f>IF(ISNUMBER('Dataset for Meta-algorithm'!$B$8),INDEX('Ψ(r) Binary Features'!$B$40:$G$40,'Dataset for Meta-algorithm'!$B$8),"—")</f>
        <v>2</v>
      </c>
      <c r="F5" s="80">
        <f>IF(ISNUMBER('Dataset for Meta-algorithm'!$B$9),INDEX('Ψ(r) Binary Features'!$B$40:$G$40,'Dataset for Meta-algorithm'!$B$9),"—")</f>
        <v>2</v>
      </c>
      <c r="G5" s="94">
        <f>'Dataset for Meta-algorithm'!J17</f>
        <v>0.112062246971304</v>
      </c>
      <c r="H5" s="94">
        <f>'Dataset for Meta-algorithm'!K17</f>
        <v>-0.00853863373958766</v>
      </c>
      <c r="I5" s="94">
        <f>'Dataset for Meta-algorithm'!L17</f>
        <v>-0.147792690313897</v>
      </c>
      <c r="J5" s="94">
        <f>'Dataset for Meta-algorithm'!M17</f>
        <v>-0.30867911309098</v>
      </c>
      <c r="K5" s="68">
        <f>Dataset!O3</f>
        <v>2</v>
      </c>
      <c r="L5" s="76">
        <f>K5*100+1</f>
        <v>201</v>
      </c>
      <c r="M5" s="76">
        <f>COUNTIF($L$5:$L$14,"&lt;"&amp;L5)+1</f>
        <v>5</v>
      </c>
    </row>
    <row r="6">
      <c r="A6" s="64" t="inlineStr">
        <is>
          <t xml:space="preserve">S₂</t>
        </is>
      </c>
      <c r="B6" s="80">
        <f>IF(ISNUMBER('Dataset for Meta-algorithm'!$B$5),INDEX('Ψ(r) Binary Features'!$B$41:$G$41,'Dataset for Meta-algorithm'!$B$5),"—")</f>
        <v>2</v>
      </c>
      <c r="C6" s="80">
        <f>IF(ISNUMBER('Dataset for Meta-algorithm'!$B$6),INDEX('Ψ(r) Binary Features'!$B$41:$G$41,'Dataset for Meta-algorithm'!$B$6),"—")</f>
        <v>2</v>
      </c>
      <c r="D6" s="80">
        <f>IF(ISNUMBER('Dataset for Meta-algorithm'!$B$7),INDEX('Ψ(r) Binary Features'!$B$41:$G$41,'Dataset for Meta-algorithm'!$B$7),"—")</f>
        <v>2</v>
      </c>
      <c r="E6" s="80">
        <f>IF(ISNUMBER('Dataset for Meta-algorithm'!$B$8),INDEX('Ψ(r) Binary Features'!$B$41:$G$41,'Dataset for Meta-algorithm'!$B$8),"—")</f>
        <v>2</v>
      </c>
      <c r="F6" s="80">
        <f>IF(ISNUMBER('Dataset for Meta-algorithm'!$B$9),INDEX('Ψ(r) Binary Features'!$B$41:$G$41,'Dataset for Meta-algorithm'!$B$9),"—")</f>
        <v>2</v>
      </c>
      <c r="G6" s="94">
        <f>'Dataset for Meta-algorithm'!J18</f>
        <v>0.260239514069589</v>
      </c>
      <c r="H6" s="94">
        <f>'Dataset for Meta-algorithm'!K18</f>
        <v>0.641058270440647</v>
      </c>
      <c r="I6" s="94">
        <f>'Dataset for Meta-algorithm'!L18</f>
        <v>0.972305825213487</v>
      </c>
      <c r="J6" s="94">
        <f>'Dataset for Meta-algorithm'!M18</f>
        <v>1.26563825850529</v>
      </c>
      <c r="K6" s="68">
        <f>Dataset!O4</f>
        <v>1</v>
      </c>
      <c r="L6" s="76">
        <f>K6*100+2</f>
        <v>102</v>
      </c>
      <c r="M6" s="76">
        <f>COUNTIF($L$5:$L$14,"&lt;"&amp;L6)+1</f>
        <v>1</v>
      </c>
    </row>
    <row r="7">
      <c r="A7" s="64" t="inlineStr">
        <is>
          <t xml:space="preserve">S₃</t>
        </is>
      </c>
      <c r="B7" s="80">
        <f>IF(ISNUMBER('Dataset for Meta-algorithm'!$B$5),INDEX('Ψ(r) Binary Features'!$B$42:$G$42,'Dataset for Meta-algorithm'!$B$5),"—")</f>
        <v>1</v>
      </c>
      <c r="C7" s="80">
        <f>IF(ISNUMBER('Dataset for Meta-algorithm'!$B$6),INDEX('Ψ(r) Binary Features'!$B$42:$G$42,'Dataset for Meta-algorithm'!$B$6),"—")</f>
        <v>2</v>
      </c>
      <c r="D7" s="80">
        <f>IF(ISNUMBER('Dataset for Meta-algorithm'!$B$7),INDEX('Ψ(r) Binary Features'!$B$42:$G$42,'Dataset for Meta-algorithm'!$B$7),"—")</f>
        <v>1</v>
      </c>
      <c r="E7" s="80">
        <f>IF(ISNUMBER('Dataset for Meta-algorithm'!$B$8),INDEX('Ψ(r) Binary Features'!$B$42:$G$42,'Dataset for Meta-algorithm'!$B$8),"—")</f>
        <v>1</v>
      </c>
      <c r="F7" s="80">
        <f>IF(ISNUMBER('Dataset for Meta-algorithm'!$B$9),INDEX('Ψ(r) Binary Features'!$B$42:$G$42,'Dataset for Meta-algorithm'!$B$9),"—")</f>
        <v>1</v>
      </c>
      <c r="G7" s="94">
        <f>'Dataset for Meta-algorithm'!J19</f>
        <v>-0.733675804638555</v>
      </c>
      <c r="H7" s="94">
        <f>'Dataset for Meta-algorithm'!K19</f>
        <v>-1.32080100458638</v>
      </c>
      <c r="I7" s="94">
        <f>'Dataset for Meta-algorithm'!L19</f>
        <v>-1.96899032950218</v>
      </c>
      <c r="J7" s="94">
        <f>'Dataset for Meta-algorithm'!M19</f>
        <v>-2.66155572180793</v>
      </c>
      <c r="K7" s="68">
        <f>Dataset!O5</f>
        <v>2</v>
      </c>
      <c r="L7" s="76">
        <f>K7*100+3</f>
        <v>203</v>
      </c>
      <c r="M7" s="76">
        <f>COUNTIF($L$5:$L$14,"&lt;"&amp;L7)+1</f>
        <v>6</v>
      </c>
    </row>
    <row r="8">
      <c r="A8" s="64" t="inlineStr">
        <is>
          <t xml:space="preserve">S₄</t>
        </is>
      </c>
      <c r="B8" s="80">
        <f>IF(ISNUMBER('Dataset for Meta-algorithm'!$B$5),INDEX('Ψ(r) Binary Features'!$B$43:$G$43,'Dataset for Meta-algorithm'!$B$5),"—")</f>
        <v>2</v>
      </c>
      <c r="C8" s="80">
        <f>IF(ISNUMBER('Dataset for Meta-algorithm'!$B$6),INDEX('Ψ(r) Binary Features'!$B$43:$G$43,'Dataset for Meta-algorithm'!$B$6),"—")</f>
        <v>1</v>
      </c>
      <c r="D8" s="80">
        <f>IF(ISNUMBER('Dataset for Meta-algorithm'!$B$7),INDEX('Ψ(r) Binary Features'!$B$43:$G$43,'Dataset for Meta-algorithm'!$B$7),"—")</f>
        <v>2</v>
      </c>
      <c r="E8" s="80">
        <f>IF(ISNUMBER('Dataset for Meta-algorithm'!$B$8),INDEX('Ψ(r) Binary Features'!$B$43:$G$43,'Dataset for Meta-algorithm'!$B$8),"—")</f>
        <v>2</v>
      </c>
      <c r="F8" s="80">
        <f>IF(ISNUMBER('Dataset for Meta-algorithm'!$B$9),INDEX('Ψ(r) Binary Features'!$B$43:$G$43,'Dataset for Meta-algorithm'!$B$9),"—")</f>
        <v>2</v>
      </c>
      <c r="G8" s="94">
        <f>'Dataset for Meta-algorithm'!J20</f>
        <v>0.603476162679314</v>
      </c>
      <c r="H8" s="94">
        <f>'Dataset for Meta-algorithm'!K20</f>
        <v>0.939357074977029</v>
      </c>
      <c r="I8" s="94">
        <f>'Dataset for Meta-algorithm'!L20</f>
        <v>1.23621345350815</v>
      </c>
      <c r="J8" s="94">
        <f>'Dataset for Meta-algorithm'!M20</f>
        <v>1.50339265844291</v>
      </c>
      <c r="K8" s="68">
        <f>Dataset!O6</f>
        <v>1</v>
      </c>
      <c r="L8" s="76">
        <f>K8*100+4</f>
        <v>104</v>
      </c>
      <c r="M8" s="76">
        <f>COUNTIF($L$5:$L$14,"&lt;"&amp;L8)+1</f>
        <v>2</v>
      </c>
    </row>
    <row r="9">
      <c r="A9" s="64" t="inlineStr">
        <is>
          <t xml:space="preserve">S₅</t>
        </is>
      </c>
      <c r="B9" s="80">
        <f>IF(ISNUMBER('Dataset for Meta-algorithm'!$B$5),INDEX('Ψ(r) Binary Features'!$B$44:$G$44,'Dataset for Meta-algorithm'!$B$5),"—")</f>
        <v>2</v>
      </c>
      <c r="C9" s="80">
        <f>IF(ISNUMBER('Dataset for Meta-algorithm'!$B$6),INDEX('Ψ(r) Binary Features'!$B$44:$G$44,'Dataset for Meta-algorithm'!$B$6),"—")</f>
        <v>1</v>
      </c>
      <c r="D9" s="80">
        <f>IF(ISNUMBER('Dataset for Meta-algorithm'!$B$7),INDEX('Ψ(r) Binary Features'!$B$44:$G$44,'Dataset for Meta-algorithm'!$B$7),"—")</f>
        <v>2</v>
      </c>
      <c r="E9" s="80">
        <f>IF(ISNUMBER('Dataset for Meta-algorithm'!$B$8),INDEX('Ψ(r) Binary Features'!$B$44:$G$44,'Dataset for Meta-algorithm'!$B$8),"—")</f>
        <v>2</v>
      </c>
      <c r="F9" s="80">
        <f>IF(ISNUMBER('Dataset for Meta-algorithm'!$B$9),INDEX('Ψ(r) Binary Features'!$B$44:$G$44,'Dataset for Meta-algorithm'!$B$9),"—")</f>
        <v>2</v>
      </c>
      <c r="G9" s="94">
        <f>'Dataset for Meta-algorithm'!J21</f>
        <v>0.603476162679314</v>
      </c>
      <c r="H9" s="94">
        <f>'Dataset for Meta-algorithm'!K21</f>
        <v>0.939357074977029</v>
      </c>
      <c r="I9" s="94">
        <f>'Dataset for Meta-algorithm'!L21</f>
        <v>1.23621345350815</v>
      </c>
      <c r="J9" s="94">
        <f>'Dataset for Meta-algorithm'!M21</f>
        <v>1.50339265844291</v>
      </c>
      <c r="K9" s="68">
        <f>Dataset!O7</f>
        <v>1</v>
      </c>
      <c r="L9" s="76">
        <f>K9*100+5</f>
        <v>105</v>
      </c>
      <c r="M9" s="76">
        <f>COUNTIF($L$5:$L$14,"&lt;"&amp;L9)+1</f>
        <v>3</v>
      </c>
    </row>
    <row r="10">
      <c r="A10" s="64" t="inlineStr">
        <is>
          <t xml:space="preserve">S₆</t>
        </is>
      </c>
      <c r="B10" s="80">
        <f>IF(ISNUMBER('Dataset for Meta-algorithm'!$B$5),INDEX('Ψ(r) Binary Features'!$B$45:$G$45,'Dataset for Meta-algorithm'!$B$5),"—")</f>
        <v>2</v>
      </c>
      <c r="C10" s="80">
        <f>IF(ISNUMBER('Dataset for Meta-algorithm'!$B$6),INDEX('Ψ(r) Binary Features'!$B$45:$G$45,'Dataset for Meta-algorithm'!$B$6),"—")</f>
        <v>2</v>
      </c>
      <c r="D10" s="80">
        <f>IF(ISNUMBER('Dataset for Meta-algorithm'!$B$7),INDEX('Ψ(r) Binary Features'!$B$45:$G$45,'Dataset for Meta-algorithm'!$B$7),"—")</f>
        <v>2</v>
      </c>
      <c r="E10" s="80">
        <f>IF(ISNUMBER('Dataset for Meta-algorithm'!$B$8),INDEX('Ψ(r) Binary Features'!$B$45:$G$45,'Dataset for Meta-algorithm'!$B$8),"—")</f>
        <v>2</v>
      </c>
      <c r="F10" s="80">
        <f>IF(ISNUMBER('Dataset for Meta-algorithm'!$B$9),INDEX('Ψ(r) Binary Features'!$B$45:$G$45,'Dataset for Meta-algorithm'!$B$9),"—")</f>
        <v>2</v>
      </c>
      <c r="G10" s="94">
        <f>'Dataset for Meta-algorithm'!J22</f>
        <v>0.260239514069589</v>
      </c>
      <c r="H10" s="94">
        <f>'Dataset for Meta-algorithm'!K22</f>
        <v>0.641058270440647</v>
      </c>
      <c r="I10" s="94">
        <f>'Dataset for Meta-algorithm'!L22</f>
        <v>0.972305825213487</v>
      </c>
      <c r="J10" s="94">
        <f>'Dataset for Meta-algorithm'!M22</f>
        <v>1.26563825850529</v>
      </c>
      <c r="K10" s="68">
        <f>Dataset!O8</f>
        <v>1</v>
      </c>
      <c r="L10" s="76">
        <f>K10*100+6</f>
        <v>106</v>
      </c>
      <c r="M10" s="76">
        <f>COUNTIF($L$5:$L$14,"&lt;"&amp;L10)+1</f>
        <v>4</v>
      </c>
    </row>
    <row r="11">
      <c r="A11" s="64" t="inlineStr">
        <is>
          <t xml:space="preserve">S₇</t>
        </is>
      </c>
      <c r="B11" s="80">
        <f>IF(ISNUMBER('Dataset for Meta-algorithm'!$B$5),INDEX('Ψ(r) Binary Features'!$B$46:$G$46,'Dataset for Meta-algorithm'!$B$5),"—")</f>
        <v>2</v>
      </c>
      <c r="C11" s="80">
        <f>IF(ISNUMBER('Dataset for Meta-algorithm'!$B$6),INDEX('Ψ(r) Binary Features'!$B$46:$G$46,'Dataset for Meta-algorithm'!$B$6),"—")</f>
        <v>2</v>
      </c>
      <c r="D11" s="80">
        <f>IF(ISNUMBER('Dataset for Meta-algorithm'!$B$7),INDEX('Ψ(r) Binary Features'!$B$46:$G$46,'Dataset for Meta-algorithm'!$B$7),"—")</f>
        <v>2</v>
      </c>
      <c r="E11" s="80">
        <f>IF(ISNUMBER('Dataset for Meta-algorithm'!$B$8),INDEX('Ψ(r) Binary Features'!$B$46:$G$46,'Dataset for Meta-algorithm'!$B$8),"—")</f>
        <v>2</v>
      </c>
      <c r="F11" s="80">
        <f>IF(ISNUMBER('Dataset for Meta-algorithm'!$B$9),INDEX('Ψ(r) Binary Features'!$B$46:$G$46,'Dataset for Meta-algorithm'!$B$9),"—")</f>
        <v>2</v>
      </c>
      <c r="G11" s="94">
        <f>'Dataset for Meta-algorithm'!J23</f>
        <v>-0.34973061286611</v>
      </c>
      <c r="H11" s="94">
        <f>'Dataset for Meta-algorithm'!K23</f>
        <v>-0.541711272743112</v>
      </c>
      <c r="I11" s="94">
        <f>'Dataset for Meta-algorithm'!L23</f>
        <v>-0.762398412464542</v>
      </c>
      <c r="J11" s="94">
        <f>'Dataset for Meta-algorithm'!M23</f>
        <v>-1.01438214662853</v>
      </c>
      <c r="K11" s="68">
        <f>Dataset!O9</f>
        <v>2</v>
      </c>
      <c r="L11" s="76">
        <f>K11*100+7</f>
        <v>207</v>
      </c>
      <c r="M11" s="76">
        <f>COUNTIF($L$5:$L$14,"&lt;"&amp;L11)+1</f>
        <v>7</v>
      </c>
    </row>
    <row r="12">
      <c r="A12" s="64" t="inlineStr">
        <is>
          <t xml:space="preserve">S₈</t>
        </is>
      </c>
      <c r="B12" s="80">
        <f>IF(ISNUMBER('Dataset for Meta-algorithm'!$B$5),INDEX('Ψ(r) Binary Features'!$B$47:$G$47,'Dataset for Meta-algorithm'!$B$5),"—")</f>
        <v>2</v>
      </c>
      <c r="C12" s="80">
        <f>IF(ISNUMBER('Dataset for Meta-algorithm'!$B$6),INDEX('Ψ(r) Binary Features'!$B$47:$G$47,'Dataset for Meta-algorithm'!$B$6),"—")</f>
        <v>2</v>
      </c>
      <c r="D12" s="80">
        <f>IF(ISNUMBER('Dataset for Meta-algorithm'!$B$7),INDEX('Ψ(r) Binary Features'!$B$47:$G$47,'Dataset for Meta-algorithm'!$B$7),"—")</f>
        <v>2</v>
      </c>
      <c r="E12" s="80">
        <f>IF(ISNUMBER('Dataset for Meta-algorithm'!$B$8),INDEX('Ψ(r) Binary Features'!$B$47:$G$47,'Dataset for Meta-algorithm'!$B$8),"—")</f>
        <v>2</v>
      </c>
      <c r="F12" s="80">
        <f>IF(ISNUMBER('Dataset for Meta-algorithm'!$B$9),INDEX('Ψ(r) Binary Features'!$B$47:$G$47,'Dataset for Meta-algorithm'!$B$9),"—")</f>
        <v>2</v>
      </c>
      <c r="G12" s="94">
        <f>'Dataset for Meta-algorithm'!J24</f>
        <v>-0.34973061286611</v>
      </c>
      <c r="H12" s="94">
        <f>'Dataset for Meta-algorithm'!K24</f>
        <v>-0.541711272743112</v>
      </c>
      <c r="I12" s="94">
        <f>'Dataset for Meta-algorithm'!L24</f>
        <v>-0.762398412464542</v>
      </c>
      <c r="J12" s="94">
        <f>'Dataset for Meta-algorithm'!M24</f>
        <v>-1.01438214662853</v>
      </c>
      <c r="K12" s="68">
        <f>Dataset!O10</f>
        <v>2</v>
      </c>
      <c r="L12" s="76">
        <f>K12*100+8</f>
        <v>208</v>
      </c>
      <c r="M12" s="76">
        <f>COUNTIF($L$5:$L$14,"&lt;"&amp;L12)+1</f>
        <v>8</v>
      </c>
    </row>
    <row r="13">
      <c r="A13" s="64" t="inlineStr">
        <is>
          <t xml:space="preserve">S₉</t>
        </is>
      </c>
      <c r="B13" s="80">
        <f>IF(ISNUMBER('Dataset for Meta-algorithm'!$B$5),INDEX('Ψ(r) Binary Features'!$B$48:$G$48,'Dataset for Meta-algorithm'!$B$5),"—")</f>
        <v>2</v>
      </c>
      <c r="C13" s="80">
        <f>IF(ISNUMBER('Dataset for Meta-algorithm'!$B$6),INDEX('Ψ(r) Binary Features'!$B$48:$G$48,'Dataset for Meta-algorithm'!$B$6),"—")</f>
        <v>2</v>
      </c>
      <c r="D13" s="80">
        <f>IF(ISNUMBER('Dataset for Meta-algorithm'!$B$7),INDEX('Ψ(r) Binary Features'!$B$48:$G$48,'Dataset for Meta-algorithm'!$B$7),"—")</f>
        <v>2</v>
      </c>
      <c r="E13" s="80">
        <f>IF(ISNUMBER('Dataset for Meta-algorithm'!$B$8),INDEX('Ψ(r) Binary Features'!$B$48:$G$48,'Dataset for Meta-algorithm'!$B$8),"—")</f>
        <v>2</v>
      </c>
      <c r="F13" s="80">
        <f>IF(ISNUMBER('Dataset for Meta-algorithm'!$B$9),INDEX('Ψ(r) Binary Features'!$B$48:$G$48,'Dataset for Meta-algorithm'!$B$9),"—")</f>
        <v>2</v>
      </c>
      <c r="G13" s="94">
        <f>'Dataset for Meta-algorithm'!J25</f>
        <v>-0.34973061286611</v>
      </c>
      <c r="H13" s="94">
        <f>'Dataset for Meta-algorithm'!K25</f>
        <v>-0.541711272743112</v>
      </c>
      <c r="I13" s="94">
        <f>'Dataset for Meta-algorithm'!L25</f>
        <v>-0.762398412464542</v>
      </c>
      <c r="J13" s="94">
        <f>'Dataset for Meta-algorithm'!M25</f>
        <v>-1.01438214662853</v>
      </c>
      <c r="K13" s="68">
        <f>Dataset!O11</f>
        <v>2</v>
      </c>
      <c r="L13" s="76">
        <f>K13*100+9</f>
        <v>209</v>
      </c>
      <c r="M13" s="76">
        <f>COUNTIF($L$5:$L$14,"&lt;"&amp;L13)+1</f>
        <v>9</v>
      </c>
    </row>
    <row r="14">
      <c r="A14" s="64" t="inlineStr">
        <is>
          <t xml:space="preserve">S₁₀</t>
        </is>
      </c>
      <c r="B14" s="80">
        <f>IF(ISNUMBER('Dataset for Meta-algorithm'!$B$5),INDEX('Ψ(r) Binary Features'!$B$49:$G$49,'Dataset for Meta-algorithm'!$B$5),"—")</f>
        <v>2</v>
      </c>
      <c r="C14" s="80">
        <f>IF(ISNUMBER('Dataset for Meta-algorithm'!$B$6),INDEX('Ψ(r) Binary Features'!$B$49:$G$49,'Dataset for Meta-algorithm'!$B$6),"—")</f>
        <v>2</v>
      </c>
      <c r="D14" s="80">
        <f>IF(ISNUMBER('Dataset for Meta-algorithm'!$B$7),INDEX('Ψ(r) Binary Features'!$B$49:$G$49,'Dataset for Meta-algorithm'!$B$7),"—")</f>
        <v>2</v>
      </c>
      <c r="E14" s="80">
        <f>IF(ISNUMBER('Dataset for Meta-algorithm'!$B$8),INDEX('Ψ(r) Binary Features'!$B$49:$G$49,'Dataset for Meta-algorithm'!$B$8),"—")</f>
        <v>2</v>
      </c>
      <c r="F14" s="80">
        <f>IF(ISNUMBER('Dataset for Meta-algorithm'!$B$9),INDEX('Ψ(r) Binary Features'!$B$49:$G$49,'Dataset for Meta-algorithm'!$B$9),"—")</f>
        <v>2</v>
      </c>
      <c r="G14" s="94">
        <f>'Dataset for Meta-algorithm'!J26</f>
        <v>-0.34973061286611</v>
      </c>
      <c r="H14" s="94">
        <f>'Dataset for Meta-algorithm'!K26</f>
        <v>-0.541711272743112</v>
      </c>
      <c r="I14" s="94">
        <f>'Dataset for Meta-algorithm'!L26</f>
        <v>-0.762398412464542</v>
      </c>
      <c r="J14" s="94">
        <f>'Dataset for Meta-algorithm'!M26</f>
        <v>-1.01438214662853</v>
      </c>
      <c r="K14" s="68">
        <f>Dataset!O12</f>
        <v>2</v>
      </c>
      <c r="L14" s="76">
        <f>K14*100+10</f>
        <v>210</v>
      </c>
      <c r="M14" s="76">
        <f>COUNTIF($L$5:$L$14,"&lt;"&amp;L14)+1</f>
        <v>10</v>
      </c>
    </row>
    <row r="15"/>
    <row r="16">
      <c r="A16" s="58" t="inlineStr">
        <is>
          <t xml:space="preserve">Sorted training dataset based on classes (K1 first)</t>
        </is>
      </c>
      <c r="B16" s="58"/>
      <c r="C16" s="58"/>
      <c r="D16" s="58"/>
      <c r="E16" s="58"/>
      <c r="F16" s="58"/>
      <c r="G16" s="58"/>
      <c r="H16" s="58"/>
      <c r="I16" s="58"/>
      <c r="J16" s="58"/>
      <c r="K16" s="58"/>
    </row>
    <row r="17">
      <c r="A17" s="60" t="inlineStr">
        <is>
          <t xml:space="preserve">№</t>
        </is>
      </c>
      <c r="B17" s="60" t="str">
        <f>B4</f>
        <v>aᵢ₀ (a₆)</v>
      </c>
      <c r="C17" s="60" t="str">
        <f>C4</f>
        <v>aᵢ₁ (a₃)</v>
      </c>
      <c r="D17" s="60" t="str">
        <f>D4</f>
        <v>aᵢ₂ (a₁)</v>
      </c>
      <c r="E17" s="60" t="str">
        <f>E4</f>
        <v>aᵢ₃ (a₂)</v>
      </c>
      <c r="F17" s="60" t="str">
        <f>F4</f>
        <v>aᵢ₄ (a₄)</v>
      </c>
      <c r="G17" s="63" t="str">
        <f>G4</f>
        <v>dᵢ₁ (r₁)</v>
      </c>
      <c r="H17" s="63" t="str">
        <f>H4</f>
        <v>dᵢ₂ (r₂)</v>
      </c>
      <c r="I17" s="63" t="str">
        <f>I4</f>
        <v>dᵢ₃ (r₃)</v>
      </c>
      <c r="J17" s="63" t="str">
        <f>J4</f>
        <v>dᵢ₄ (r₄)</v>
      </c>
      <c r="K17" s="60" t="str">
        <f>K4</f>
        <v>Class</v>
      </c>
    </row>
    <row r="18">
      <c r="A18" s="64" t="str">
        <f>INDEX($A$5:$A$14,MATCH(1,$M$5:$M$14,0))</f>
        <v>S₂</v>
      </c>
      <c r="B18" s="80">
        <f>INDEX($B$5:$B$14,MATCH(1,$M$5:$M$14,0))</f>
        <v>2</v>
      </c>
      <c r="C18" s="80">
        <f>INDEX($C$5:$C$14,MATCH(1,$M$5:$M$14,0))</f>
        <v>2</v>
      </c>
      <c r="D18" s="80">
        <f>INDEX($D$5:$D$14,MATCH(1,$M$5:$M$14,0))</f>
        <v>2</v>
      </c>
      <c r="E18" s="80">
        <f>INDEX($E$5:$E$14,MATCH(1,$M$5:$M$14,0))</f>
        <v>2</v>
      </c>
      <c r="F18" s="80">
        <f>INDEX($F$5:$F$14,MATCH(1,$M$5:$M$14,0))</f>
        <v>2</v>
      </c>
      <c r="G18" s="94">
        <f>INDEX($G$5:$G$14,MATCH(1,$M$5:$M$14,0))</f>
        <v>0.260239514069589</v>
      </c>
      <c r="H18" s="94">
        <f>INDEX($H$5:$H$14,MATCH(1,$M$5:$M$14,0))</f>
        <v>0.641058270440647</v>
      </c>
      <c r="I18" s="94">
        <f>INDEX($I$5:$I$14,MATCH(1,$M$5:$M$14,0))</f>
        <v>0.972305825213487</v>
      </c>
      <c r="J18" s="94">
        <f>INDEX($J$5:$J$14,MATCH(1,$M$5:$M$14,0))</f>
        <v>1.26563825850529</v>
      </c>
      <c r="K18" s="68">
        <f>INDEX($K$5:$K$14,MATCH(1,$M$5:$M$14,0))</f>
        <v>1</v>
      </c>
    </row>
    <row r="19">
      <c r="A19" s="64" t="str">
        <f>INDEX($A$5:$A$14,MATCH(2,$M$5:$M$14,0))</f>
        <v>S₄</v>
      </c>
      <c r="B19" s="80">
        <f>INDEX($B$5:$B$14,MATCH(2,$M$5:$M$14,0))</f>
        <v>2</v>
      </c>
      <c r="C19" s="80">
        <f>INDEX($C$5:$C$14,MATCH(2,$M$5:$M$14,0))</f>
        <v>1</v>
      </c>
      <c r="D19" s="80">
        <f>INDEX($D$5:$D$14,MATCH(2,$M$5:$M$14,0))</f>
        <v>2</v>
      </c>
      <c r="E19" s="80">
        <f>INDEX($E$5:$E$14,MATCH(2,$M$5:$M$14,0))</f>
        <v>2</v>
      </c>
      <c r="F19" s="80">
        <f>INDEX($F$5:$F$14,MATCH(2,$M$5:$M$14,0))</f>
        <v>2</v>
      </c>
      <c r="G19" s="94">
        <f>INDEX($G$5:$G$14,MATCH(2,$M$5:$M$14,0))</f>
        <v>0.603476162679314</v>
      </c>
      <c r="H19" s="94">
        <f>INDEX($H$5:$H$14,MATCH(2,$M$5:$M$14,0))</f>
        <v>0.939357074977029</v>
      </c>
      <c r="I19" s="94">
        <f>INDEX($I$5:$I$14,MATCH(2,$M$5:$M$14,0))</f>
        <v>1.23621345350815</v>
      </c>
      <c r="J19" s="94">
        <f>INDEX($J$5:$J$14,MATCH(2,$M$5:$M$14,0))</f>
        <v>1.50339265844291</v>
      </c>
      <c r="K19" s="68">
        <f>INDEX($K$5:$K$14,MATCH(2,$M$5:$M$14,0))</f>
        <v>1</v>
      </c>
    </row>
    <row r="20">
      <c r="A20" s="64" t="str">
        <f>INDEX($A$5:$A$14,MATCH(3,$M$5:$M$14,0))</f>
        <v>S₅</v>
      </c>
      <c r="B20" s="80">
        <f>INDEX($B$5:$B$14,MATCH(3,$M$5:$M$14,0))</f>
        <v>2</v>
      </c>
      <c r="C20" s="80">
        <f>INDEX($C$5:$C$14,MATCH(3,$M$5:$M$14,0))</f>
        <v>1</v>
      </c>
      <c r="D20" s="80">
        <f>INDEX($D$5:$D$14,MATCH(3,$M$5:$M$14,0))</f>
        <v>2</v>
      </c>
      <c r="E20" s="80">
        <f>INDEX($E$5:$E$14,MATCH(3,$M$5:$M$14,0))</f>
        <v>2</v>
      </c>
      <c r="F20" s="80">
        <f>INDEX($F$5:$F$14,MATCH(3,$M$5:$M$14,0))</f>
        <v>2</v>
      </c>
      <c r="G20" s="94">
        <f>INDEX($G$5:$G$14,MATCH(3,$M$5:$M$14,0))</f>
        <v>0.603476162679314</v>
      </c>
      <c r="H20" s="94">
        <f>INDEX($H$5:$H$14,MATCH(3,$M$5:$M$14,0))</f>
        <v>0.939357074977029</v>
      </c>
      <c r="I20" s="94">
        <f>INDEX($I$5:$I$14,MATCH(3,$M$5:$M$14,0))</f>
        <v>1.23621345350815</v>
      </c>
      <c r="J20" s="94">
        <f>INDEX($J$5:$J$14,MATCH(3,$M$5:$M$14,0))</f>
        <v>1.50339265844291</v>
      </c>
      <c r="K20" s="68">
        <f>INDEX($K$5:$K$14,MATCH(3,$M$5:$M$14,0))</f>
        <v>1</v>
      </c>
    </row>
    <row r="21">
      <c r="A21" s="64" t="str">
        <f>INDEX($A$5:$A$14,MATCH(4,$M$5:$M$14,0))</f>
        <v>S₆</v>
      </c>
      <c r="B21" s="80">
        <f>INDEX($B$5:$B$14,MATCH(4,$M$5:$M$14,0))</f>
        <v>2</v>
      </c>
      <c r="C21" s="80">
        <f>INDEX($C$5:$C$14,MATCH(4,$M$5:$M$14,0))</f>
        <v>2</v>
      </c>
      <c r="D21" s="80">
        <f>INDEX($D$5:$D$14,MATCH(4,$M$5:$M$14,0))</f>
        <v>2</v>
      </c>
      <c r="E21" s="80">
        <f>INDEX($E$5:$E$14,MATCH(4,$M$5:$M$14,0))</f>
        <v>2</v>
      </c>
      <c r="F21" s="80">
        <f>INDEX($F$5:$F$14,MATCH(4,$M$5:$M$14,0))</f>
        <v>2</v>
      </c>
      <c r="G21" s="94">
        <f>INDEX($G$5:$G$14,MATCH(4,$M$5:$M$14,0))</f>
        <v>0.260239514069589</v>
      </c>
      <c r="H21" s="94">
        <f>INDEX($H$5:$H$14,MATCH(4,$M$5:$M$14,0))</f>
        <v>0.641058270440647</v>
      </c>
      <c r="I21" s="94">
        <f>INDEX($I$5:$I$14,MATCH(4,$M$5:$M$14,0))</f>
        <v>0.972305825213487</v>
      </c>
      <c r="J21" s="94">
        <f>INDEX($J$5:$J$14,MATCH(4,$M$5:$M$14,0))</f>
        <v>1.26563825850529</v>
      </c>
      <c r="K21" s="68">
        <f>INDEX($K$5:$K$14,MATCH(4,$M$5:$M$14,0))</f>
        <v>1</v>
      </c>
    </row>
    <row r="22">
      <c r="A22" s="64" t="str">
        <f>INDEX($A$5:$A$14,MATCH(5,$M$5:$M$14,0))</f>
        <v>S₁</v>
      </c>
      <c r="B22" s="80">
        <f>INDEX($B$5:$B$14,MATCH(5,$M$5:$M$14,0))</f>
        <v>2</v>
      </c>
      <c r="C22" s="80">
        <f>INDEX($C$5:$C$14,MATCH(5,$M$5:$M$14,0))</f>
        <v>1</v>
      </c>
      <c r="D22" s="80">
        <f>INDEX($D$5:$D$14,MATCH(5,$M$5:$M$14,0))</f>
        <v>2</v>
      </c>
      <c r="E22" s="80">
        <f>INDEX($E$5:$E$14,MATCH(5,$M$5:$M$14,0))</f>
        <v>2</v>
      </c>
      <c r="F22" s="80">
        <f>INDEX($F$5:$F$14,MATCH(5,$M$5:$M$14,0))</f>
        <v>2</v>
      </c>
      <c r="G22" s="94">
        <f>INDEX($G$5:$G$14,MATCH(5,$M$5:$M$14,0))</f>
        <v>0.112062246971304</v>
      </c>
      <c r="H22" s="94">
        <f>INDEX($H$5:$H$14,MATCH(5,$M$5:$M$14,0))</f>
        <v>-0.00853863373958766</v>
      </c>
      <c r="I22" s="94">
        <f>INDEX($I$5:$I$14,MATCH(5,$M$5:$M$14,0))</f>
        <v>-0.147792690313897</v>
      </c>
      <c r="J22" s="94">
        <f>INDEX($J$5:$J$14,MATCH(5,$M$5:$M$14,0))</f>
        <v>-0.30867911309098</v>
      </c>
      <c r="K22" s="68">
        <f>INDEX($K$5:$K$14,MATCH(5,$M$5:$M$14,0))</f>
        <v>2</v>
      </c>
    </row>
    <row r="23">
      <c r="A23" s="64" t="str">
        <f>INDEX($A$5:$A$14,MATCH(6,$M$5:$M$14,0))</f>
        <v>S₃</v>
      </c>
      <c r="B23" s="80">
        <f>INDEX($B$5:$B$14,MATCH(6,$M$5:$M$14,0))</f>
        <v>1</v>
      </c>
      <c r="C23" s="80">
        <f>INDEX($C$5:$C$14,MATCH(6,$M$5:$M$14,0))</f>
        <v>2</v>
      </c>
      <c r="D23" s="80">
        <f>INDEX($D$5:$D$14,MATCH(6,$M$5:$M$14,0))</f>
        <v>1</v>
      </c>
      <c r="E23" s="80">
        <f>INDEX($E$5:$E$14,MATCH(6,$M$5:$M$14,0))</f>
        <v>1</v>
      </c>
      <c r="F23" s="80">
        <f>INDEX($F$5:$F$14,MATCH(6,$M$5:$M$14,0))</f>
        <v>1</v>
      </c>
      <c r="G23" s="94">
        <f>INDEX($G$5:$G$14,MATCH(6,$M$5:$M$14,0))</f>
        <v>-0.733675804638555</v>
      </c>
      <c r="H23" s="94">
        <f>INDEX($H$5:$H$14,MATCH(6,$M$5:$M$14,0))</f>
        <v>-1.32080100458638</v>
      </c>
      <c r="I23" s="94">
        <f>INDEX($I$5:$I$14,MATCH(6,$M$5:$M$14,0))</f>
        <v>-1.96899032950218</v>
      </c>
      <c r="J23" s="94">
        <f>INDEX($J$5:$J$14,MATCH(6,$M$5:$M$14,0))</f>
        <v>-2.66155572180793</v>
      </c>
      <c r="K23" s="68">
        <f>INDEX($K$5:$K$14,MATCH(6,$M$5:$M$14,0))</f>
        <v>2</v>
      </c>
    </row>
    <row r="24">
      <c r="A24" s="64" t="str">
        <f>INDEX($A$5:$A$14,MATCH(7,$M$5:$M$14,0))</f>
        <v>S₇</v>
      </c>
      <c r="B24" s="80">
        <f>INDEX($B$5:$B$14,MATCH(7,$M$5:$M$14,0))</f>
        <v>2</v>
      </c>
      <c r="C24" s="80">
        <f>INDEX($C$5:$C$14,MATCH(7,$M$5:$M$14,0))</f>
        <v>2</v>
      </c>
      <c r="D24" s="80">
        <f>INDEX($D$5:$D$14,MATCH(7,$M$5:$M$14,0))</f>
        <v>2</v>
      </c>
      <c r="E24" s="80">
        <f>INDEX($E$5:$E$14,MATCH(7,$M$5:$M$14,0))</f>
        <v>2</v>
      </c>
      <c r="F24" s="80">
        <f>INDEX($F$5:$F$14,MATCH(7,$M$5:$M$14,0))</f>
        <v>2</v>
      </c>
      <c r="G24" s="94">
        <f>INDEX($G$5:$G$14,MATCH(7,$M$5:$M$14,0))</f>
        <v>-0.34973061286611</v>
      </c>
      <c r="H24" s="94">
        <f>INDEX($H$5:$H$14,MATCH(7,$M$5:$M$14,0))</f>
        <v>-0.541711272743112</v>
      </c>
      <c r="I24" s="94">
        <f>INDEX($I$5:$I$14,MATCH(7,$M$5:$M$14,0))</f>
        <v>-0.762398412464542</v>
      </c>
      <c r="J24" s="94">
        <f>INDEX($J$5:$J$14,MATCH(7,$M$5:$M$14,0))</f>
        <v>-1.01438214662853</v>
      </c>
      <c r="K24" s="68">
        <f>INDEX($K$5:$K$14,MATCH(7,$M$5:$M$14,0))</f>
        <v>2</v>
      </c>
    </row>
    <row r="25">
      <c r="A25" s="64" t="str">
        <f>INDEX($A$5:$A$14,MATCH(8,$M$5:$M$14,0))</f>
        <v>S₈</v>
      </c>
      <c r="B25" s="80">
        <f>INDEX($B$5:$B$14,MATCH(8,$M$5:$M$14,0))</f>
        <v>2</v>
      </c>
      <c r="C25" s="80">
        <f>INDEX($C$5:$C$14,MATCH(8,$M$5:$M$14,0))</f>
        <v>2</v>
      </c>
      <c r="D25" s="80">
        <f>INDEX($D$5:$D$14,MATCH(8,$M$5:$M$14,0))</f>
        <v>2</v>
      </c>
      <c r="E25" s="80">
        <f>INDEX($E$5:$E$14,MATCH(8,$M$5:$M$14,0))</f>
        <v>2</v>
      </c>
      <c r="F25" s="80">
        <f>INDEX($F$5:$F$14,MATCH(8,$M$5:$M$14,0))</f>
        <v>2</v>
      </c>
      <c r="G25" s="94">
        <f>INDEX($G$5:$G$14,MATCH(8,$M$5:$M$14,0))</f>
        <v>-0.34973061286611</v>
      </c>
      <c r="H25" s="94">
        <f>INDEX($H$5:$H$14,MATCH(8,$M$5:$M$14,0))</f>
        <v>-0.541711272743112</v>
      </c>
      <c r="I25" s="94">
        <f>INDEX($I$5:$I$14,MATCH(8,$M$5:$M$14,0))</f>
        <v>-0.762398412464542</v>
      </c>
      <c r="J25" s="94">
        <f>INDEX($J$5:$J$14,MATCH(8,$M$5:$M$14,0))</f>
        <v>-1.01438214662853</v>
      </c>
      <c r="K25" s="68">
        <f>INDEX($K$5:$K$14,MATCH(8,$M$5:$M$14,0))</f>
        <v>2</v>
      </c>
    </row>
    <row r="26">
      <c r="A26" s="64" t="str">
        <f>INDEX($A$5:$A$14,MATCH(9,$M$5:$M$14,0))</f>
        <v>S₉</v>
      </c>
      <c r="B26" s="80">
        <f>INDEX($B$5:$B$14,MATCH(9,$M$5:$M$14,0))</f>
        <v>2</v>
      </c>
      <c r="C26" s="80">
        <f>INDEX($C$5:$C$14,MATCH(9,$M$5:$M$14,0))</f>
        <v>2</v>
      </c>
      <c r="D26" s="80">
        <f>INDEX($D$5:$D$14,MATCH(9,$M$5:$M$14,0))</f>
        <v>2</v>
      </c>
      <c r="E26" s="80">
        <f>INDEX($E$5:$E$14,MATCH(9,$M$5:$M$14,0))</f>
        <v>2</v>
      </c>
      <c r="F26" s="80">
        <f>INDEX($F$5:$F$14,MATCH(9,$M$5:$M$14,0))</f>
        <v>2</v>
      </c>
      <c r="G26" s="94">
        <f>INDEX($G$5:$G$14,MATCH(9,$M$5:$M$14,0))</f>
        <v>-0.34973061286611</v>
      </c>
      <c r="H26" s="94">
        <f>INDEX($H$5:$H$14,MATCH(9,$M$5:$M$14,0))</f>
        <v>-0.541711272743112</v>
      </c>
      <c r="I26" s="94">
        <f>INDEX($I$5:$I$14,MATCH(9,$M$5:$M$14,0))</f>
        <v>-0.762398412464542</v>
      </c>
      <c r="J26" s="94">
        <f>INDEX($J$5:$J$14,MATCH(9,$M$5:$M$14,0))</f>
        <v>-1.01438214662853</v>
      </c>
      <c r="K26" s="68">
        <f>INDEX($K$5:$K$14,MATCH(9,$M$5:$M$14,0))</f>
        <v>2</v>
      </c>
    </row>
    <row r="27">
      <c r="A27" s="64" t="str">
        <f>INDEX($A$5:$A$14,MATCH(10,$M$5:$M$14,0))</f>
        <v>S₁₀</v>
      </c>
      <c r="B27" s="80">
        <f>INDEX($B$5:$B$14,MATCH(10,$M$5:$M$14,0))</f>
        <v>2</v>
      </c>
      <c r="C27" s="80">
        <f>INDEX($C$5:$C$14,MATCH(10,$M$5:$M$14,0))</f>
        <v>2</v>
      </c>
      <c r="D27" s="80">
        <f>INDEX($D$5:$D$14,MATCH(10,$M$5:$M$14,0))</f>
        <v>2</v>
      </c>
      <c r="E27" s="80">
        <f>INDEX($E$5:$E$14,MATCH(10,$M$5:$M$14,0))</f>
        <v>2</v>
      </c>
      <c r="F27" s="80">
        <f>INDEX($F$5:$F$14,MATCH(10,$M$5:$M$14,0))</f>
        <v>2</v>
      </c>
      <c r="G27" s="94">
        <f>INDEX($G$5:$G$14,MATCH(10,$M$5:$M$14,0))</f>
        <v>-0.34973061286611</v>
      </c>
      <c r="H27" s="94">
        <f>INDEX($H$5:$H$14,MATCH(10,$M$5:$M$14,0))</f>
        <v>-0.541711272743112</v>
      </c>
      <c r="I27" s="94">
        <f>INDEX($I$5:$I$14,MATCH(10,$M$5:$M$14,0))</f>
        <v>-0.762398412464542</v>
      </c>
      <c r="J27" s="94">
        <f>INDEX($J$5:$J$14,MATCH(10,$M$5:$M$14,0))</f>
        <v>-1.01438214662853</v>
      </c>
      <c r="K27" s="68">
        <f>INDEX($K$5:$K$14,MATCH(10,$M$5:$M$14,0))</f>
        <v>2</v>
      </c>
    </row>
    <row r="28"/>
    <row r="29">
      <c r="A29" s="58" t="inlineStr">
        <is>
          <t xml:space="preserve">New object S — type its 13 feature values (blue); its context is computed relative to the training sample, without its class</t>
        </is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</row>
    <row r="30">
      <c r="A30" s="60" t="inlineStr">
        <is>
          <t xml:space="preserve">Feature</t>
        </is>
      </c>
      <c r="B30" s="60" t="inlineStr">
        <is>
          <t xml:space="preserve">x₁</t>
        </is>
      </c>
      <c r="C30" s="60" t="inlineStr">
        <is>
          <t xml:space="preserve">x₂</t>
        </is>
      </c>
      <c r="D30" s="60" t="inlineStr">
        <is>
          <t xml:space="preserve">x₃</t>
        </is>
      </c>
      <c r="E30" s="60" t="inlineStr">
        <is>
          <t xml:space="preserve">x₄</t>
        </is>
      </c>
      <c r="F30" s="60" t="inlineStr">
        <is>
          <t xml:space="preserve">x₅</t>
        </is>
      </c>
      <c r="G30" s="60" t="inlineStr">
        <is>
          <t xml:space="preserve">x₆</t>
        </is>
      </c>
      <c r="H30" s="60" t="inlineStr">
        <is>
          <t xml:space="preserve">x₇</t>
        </is>
      </c>
      <c r="I30" s="60" t="inlineStr">
        <is>
          <t xml:space="preserve">x₈</t>
        </is>
      </c>
      <c r="J30" s="60" t="inlineStr">
        <is>
          <t xml:space="preserve">x₉</t>
        </is>
      </c>
      <c r="K30" s="60" t="inlineStr">
        <is>
          <t xml:space="preserve">x₁₀</t>
        </is>
      </c>
      <c r="L30" s="60" t="inlineStr">
        <is>
          <t xml:space="preserve">x₁₁</t>
        </is>
      </c>
      <c r="M30" s="60" t="inlineStr">
        <is>
          <t xml:space="preserve">x₁₂</t>
        </is>
      </c>
      <c r="N30" s="60" t="inlineStr">
        <is>
          <t xml:space="preserve">x₁₃</t>
        </is>
      </c>
    </row>
    <row r="31">
      <c r="A31" s="65" t="inlineStr">
        <is>
          <t xml:space="preserve">x  (input)</t>
        </is>
      </c>
      <c r="B31" s="87">
        <v>70</v>
      </c>
      <c r="C31" s="87">
        <v>1</v>
      </c>
      <c r="D31" s="87">
        <v>4</v>
      </c>
      <c r="E31" s="87">
        <v>130</v>
      </c>
      <c r="F31" s="87">
        <v>322</v>
      </c>
      <c r="G31" s="87">
        <v>0</v>
      </c>
      <c r="H31" s="87">
        <v>2</v>
      </c>
      <c r="I31" s="87">
        <v>109</v>
      </c>
      <c r="J31" s="87">
        <v>0</v>
      </c>
      <c r="K31" s="87">
        <v>2.4</v>
      </c>
      <c r="L31" s="87">
        <v>2</v>
      </c>
      <c r="M31" s="87">
        <v>3</v>
      </c>
      <c r="N31" s="87">
        <v>3</v>
      </c>
    </row>
    <row r="32">
      <c r="A32" s="65" t="inlineStr">
        <is>
          <t xml:space="preserve">Type</t>
        </is>
      </c>
      <c r="B32" s="69">
        <f>Dataset!B13</f>
        <v>1</v>
      </c>
      <c r="C32" s="69">
        <f>Dataset!C13</f>
        <v>0</v>
      </c>
      <c r="D32" s="69">
        <f>Dataset!D13</f>
        <v>0</v>
      </c>
      <c r="E32" s="69">
        <f>Dataset!E13</f>
        <v>1</v>
      </c>
      <c r="F32" s="69">
        <f>Dataset!F13</f>
        <v>1</v>
      </c>
      <c r="G32" s="69">
        <f>Dataset!G13</f>
        <v>0</v>
      </c>
      <c r="H32" s="69">
        <f>Dataset!H13</f>
        <v>0</v>
      </c>
      <c r="I32" s="69">
        <f>Dataset!I13</f>
        <v>1</v>
      </c>
      <c r="J32" s="69">
        <f>Dataset!J13</f>
        <v>0</v>
      </c>
      <c r="K32" s="69">
        <f>Dataset!K13</f>
        <v>1</v>
      </c>
      <c r="L32" s="69">
        <f>Dataset!L13</f>
        <v>0</v>
      </c>
      <c r="M32" s="69">
        <f>Dataset!M13</f>
        <v>1</v>
      </c>
      <c r="N32" s="69">
        <f>Dataset!N13</f>
        <v>0</v>
      </c>
    </row>
    <row r="33">
      <c r="A33" s="65" t="inlineStr">
        <is>
          <t xml:space="preserve">x′  (unified)</t>
        </is>
      </c>
      <c r="B33" s="66">
        <f>IF(B32=1,IF('Normalized Dataset'!B$17='Normalized Dataset'!B$16,0,(B31-'Normalized Dataset'!B$16)/('Normalized Dataset'!B$17-'Normalized Dataset'!B$16)),B31)</f>
        <v>0.777777777777778</v>
      </c>
      <c r="C33" s="67">
        <f>IF(C32=1,IF('Normalized Dataset'!C$17='Normalized Dataset'!C$16,0,(C31-'Normalized Dataset'!C$16)/('Normalized Dataset'!C$17-'Normalized Dataset'!C$16)),C31)</f>
        <v>1</v>
      </c>
      <c r="D33" s="67">
        <f>IF(D32=1,IF('Normalized Dataset'!D$17='Normalized Dataset'!D$16,0,(D31-'Normalized Dataset'!D$16)/('Normalized Dataset'!D$17-'Normalized Dataset'!D$16)),D31)</f>
        <v>4</v>
      </c>
      <c r="E33" s="66">
        <f>IF(E32=1,IF('Normalized Dataset'!E$17='Normalized Dataset'!E$16,0,(E31-'Normalized Dataset'!E$16)/('Normalized Dataset'!E$17-'Normalized Dataset'!E$16)),E31)</f>
        <v>0.5</v>
      </c>
      <c r="F33" s="66">
        <f>IF(F32=1,IF('Normalized Dataset'!F$17='Normalized Dataset'!F$16,0,(F31-'Normalized Dataset'!F$16)/('Normalized Dataset'!F$17-'Normalized Dataset'!F$16)),F31)</f>
        <v>0.374677002583979</v>
      </c>
      <c r="G33" s="67">
        <f>IF(G32=1,IF('Normalized Dataset'!G$17='Normalized Dataset'!G$16,0,(G31-'Normalized Dataset'!G$16)/('Normalized Dataset'!G$17-'Normalized Dataset'!G$16)),G31)</f>
        <v>0</v>
      </c>
      <c r="H33" s="67">
        <f>IF(H32=1,IF('Normalized Dataset'!H$17='Normalized Dataset'!H$16,0,(H31-'Normalized Dataset'!H$16)/('Normalized Dataset'!H$17-'Normalized Dataset'!H$16)),H31)</f>
        <v>2</v>
      </c>
      <c r="I33" s="66">
        <f>IF(I32=1,IF('Normalized Dataset'!I$17='Normalized Dataset'!I$16,0,(I31-'Normalized Dataset'!I$16)/('Normalized Dataset'!I$17-'Normalized Dataset'!I$16)),I31)</f>
        <v>0.0615384615384615</v>
      </c>
      <c r="J33" s="67">
        <f>IF(J32=1,IF('Normalized Dataset'!J$17='Normalized Dataset'!J$16,0,(J31-'Normalized Dataset'!J$16)/('Normalized Dataset'!J$17-'Normalized Dataset'!J$16)),J31)</f>
        <v>0</v>
      </c>
      <c r="K33" s="66">
        <f>IF(K32=1,IF('Normalized Dataset'!K$17='Normalized Dataset'!K$16,0,(K31-'Normalized Dataset'!K$16)/('Normalized Dataset'!K$17-'Normalized Dataset'!K$16)),K31)</f>
        <v>0.578947368421053</v>
      </c>
      <c r="L33" s="67">
        <f>IF(L32=1,IF('Normalized Dataset'!L$17='Normalized Dataset'!L$16,0,(L31-'Normalized Dataset'!L$16)/('Normalized Dataset'!L$17-'Normalized Dataset'!L$16)),L31)</f>
        <v>2</v>
      </c>
      <c r="M33" s="66">
        <f>IF(M32=1,IF('Normalized Dataset'!M$17='Normalized Dataset'!M$16,0,(M31-'Normalized Dataset'!M$16)/('Normalized Dataset'!M$17-'Normalized Dataset'!M$16)),M31)</f>
        <v>1</v>
      </c>
      <c r="N33" s="67">
        <f>IF(N32=1,IF('Normalized Dataset'!N$17='Normalized Dataset'!N$16,0,(N31-'Normalized Dataset'!N$16)/('Normalized Dataset'!N$17-'Normalized Dataset'!N$16)),N31)</f>
        <v>3</v>
      </c>
    </row>
    <row r="34"/>
    <row r="35">
      <c r="A35" s="82" t="inlineStr">
        <is>
          <t xml:space="preserve">Exclude training object №</t>
        </is>
      </c>
      <c r="B35" s="87">
        <v>1</v>
      </c>
      <c r="C35" s="100" t="inlineStr">
        <is>
          <t xml:space="preserve">The default input copies S₁, so S₁ is excluded from its own context (leave-self-out): the result must reproduce the S₁ row of "Meta-algorithm (All Objects)". Type 0 for a genuinely new object.</t>
        </is>
      </c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</row>
    <row r="36"/>
    <row r="37">
      <c r="A37" s="58" t="inlineStr">
        <is>
          <t xml:space="preserve">Distances from S to the training objects Sᵢ (same operators as Step 2)</t>
        </is>
      </c>
      <c r="B37" s="58"/>
      <c r="C37" s="58"/>
      <c r="D37" s="58"/>
      <c r="E37" s="58"/>
      <c r="F37" s="58"/>
      <c r="G37" s="58"/>
      <c r="H37" s="58"/>
      <c r="I37" s="58"/>
      <c r="J37" s="58"/>
      <c r="K37" s="58"/>
    </row>
    <row r="38">
      <c r="A38" s="60" t="inlineStr">
        <is>
          <t xml:space="preserve">Operator</t>
        </is>
      </c>
      <c r="B38" s="60" t="inlineStr">
        <is>
          <t xml:space="preserve">S₁</t>
        </is>
      </c>
      <c r="C38" s="60" t="inlineStr">
        <is>
          <t xml:space="preserve">S₂</t>
        </is>
      </c>
      <c r="D38" s="60" t="inlineStr">
        <is>
          <t xml:space="preserve">S₃</t>
        </is>
      </c>
      <c r="E38" s="60" t="inlineStr">
        <is>
          <t xml:space="preserve">S₄</t>
        </is>
      </c>
      <c r="F38" s="60" t="inlineStr">
        <is>
          <t xml:space="preserve">S₅</t>
        </is>
      </c>
      <c r="G38" s="60" t="inlineStr">
        <is>
          <t xml:space="preserve">S₆</t>
        </is>
      </c>
      <c r="H38" s="60" t="inlineStr">
        <is>
          <t xml:space="preserve">S₇</t>
        </is>
      </c>
      <c r="I38" s="60" t="inlineStr">
        <is>
          <t xml:space="preserve">S₈</t>
        </is>
      </c>
      <c r="J38" s="60" t="inlineStr">
        <is>
          <t xml:space="preserve">S₉</t>
        </is>
      </c>
      <c r="K38" s="60" t="inlineStr">
        <is>
          <t xml:space="preserve">S₁₀</t>
        </is>
      </c>
    </row>
    <row r="39">
      <c r="A39" s="65" t="inlineStr">
        <is>
          <t xml:space="preserve">ρ</t>
        </is>
      </c>
      <c r="B39" s="72">
        <f>ROUND(B40+B41,10)</f>
        <v>0</v>
      </c>
      <c r="C39" s="72">
        <f>ROUND(C40+C41,10)</f>
        <v>6.1621313645</v>
      </c>
      <c r="D39" s="72">
        <f>ROUND(D40+D41,10)</f>
        <v>7.0747842325</v>
      </c>
      <c r="E39" s="72">
        <f>ROUND(E40+E41,10)</f>
        <v>4.8429406103</v>
      </c>
      <c r="F39" s="72">
        <f>ROUND(F40+F41,10)</f>
        <v>6.0394025463</v>
      </c>
      <c r="G39" s="72">
        <f>ROUND(G40+G41,10)</f>
        <v>5.9056936468</v>
      </c>
      <c r="H39" s="72">
        <f>ROUND(H40+H41,10)</f>
        <v>6.5963635983</v>
      </c>
      <c r="I39" s="72">
        <f>ROUND(I40+I41,10)</f>
        <v>4.8157298434</v>
      </c>
      <c r="J39" s="72">
        <f>ROUND(J40+J41,10)</f>
        <v>3.4680753016</v>
      </c>
      <c r="K39" s="72">
        <f>ROUND(K40+K41,10)</f>
        <v>4.2218874557</v>
      </c>
    </row>
    <row r="40">
      <c r="A40" s="65" t="inlineStr">
        <is>
          <t xml:space="preserve">ρ_I</t>
        </is>
      </c>
      <c r="B40" s="72">
        <f>ROUND(SUMPRODUCT(Dataset!$B$13:$N$13,ABS($B$33:$N$33-'Normalized Dataset'!$B$5:$N$5)),10)</f>
        <v>0</v>
      </c>
      <c r="C40" s="72">
        <f>ROUND(SUMPRODUCT(Dataset!$B$13:$N$13,ABS($B$33:$N$33-'Normalized Dataset'!$B$6:$N$6)),10)</f>
        <v>3.1621313645</v>
      </c>
      <c r="D40" s="72">
        <f>ROUND(SUMPRODUCT(Dataset!$B$13:$N$13,ABS($B$33:$N$33-'Normalized Dataset'!$B$7:$N$7)),10)</f>
        <v>3.0747842325</v>
      </c>
      <c r="E40" s="72">
        <f>ROUND(SUMPRODUCT(Dataset!$B$13:$N$13,ABS($B$33:$N$33-'Normalized Dataset'!$B$8:$N$8)),10)</f>
        <v>1.8429406103</v>
      </c>
      <c r="F40" s="72">
        <f>ROUND(SUMPRODUCT(Dataset!$B$13:$N$13,ABS($B$33:$N$33-'Normalized Dataset'!$B$9:$N$9)),10)</f>
        <v>2.0394025463</v>
      </c>
      <c r="G40" s="72">
        <f>ROUND(SUMPRODUCT(Dataset!$B$13:$N$13,ABS($B$33:$N$33-'Normalized Dataset'!$B$10:$N$10)),10)</f>
        <v>2.9056936468</v>
      </c>
      <c r="H40" s="72">
        <f>ROUND(SUMPRODUCT(Dataset!$B$13:$N$13,ABS($B$33:$N$33-'Normalized Dataset'!$B$11:$N$11)),10)</f>
        <v>2.5963635983</v>
      </c>
      <c r="I40" s="72">
        <f>ROUND(SUMPRODUCT(Dataset!$B$13:$N$13,ABS($B$33:$N$33-'Normalized Dataset'!$B$12:$N$12)),10)</f>
        <v>2.8157298434</v>
      </c>
      <c r="J40" s="72">
        <f>ROUND(SUMPRODUCT(Dataset!$B$13:$N$13,ABS($B$33:$N$33-'Normalized Dataset'!$B$13:$N$13)),10)</f>
        <v>2.4680753016</v>
      </c>
      <c r="K40" s="72">
        <f>ROUND(SUMPRODUCT(Dataset!$B$13:$N$13,ABS($B$33:$N$33-'Normalized Dataset'!$B$14:$N$14)),10)</f>
        <v>2.2218874557</v>
      </c>
    </row>
    <row r="41">
      <c r="A41" s="65" t="inlineStr">
        <is>
          <t xml:space="preserve">ρ_J</t>
        </is>
      </c>
      <c r="B41" s="74">
        <f>SUMPRODUCT((1-Dataset!$B$13:$N$13)*($B$31:$N$31&lt;&gt;Dataset!$B$3:$N$3))</f>
        <v>0</v>
      </c>
      <c r="C41" s="74">
        <f>SUMPRODUCT((1-Dataset!$B$13:$N$13)*($B$31:$N$31&lt;&gt;Dataset!$B$4:$N$4))</f>
        <v>3</v>
      </c>
      <c r="D41" s="74">
        <f>SUMPRODUCT((1-Dataset!$B$13:$N$13)*($B$31:$N$31&lt;&gt;Dataset!$B$5:$N$5))</f>
        <v>4</v>
      </c>
      <c r="E41" s="74">
        <f>SUMPRODUCT((1-Dataset!$B$13:$N$13)*($B$31:$N$31&lt;&gt;Dataset!$B$6:$N$6))</f>
        <v>3</v>
      </c>
      <c r="F41" s="74">
        <f>SUMPRODUCT((1-Dataset!$B$13:$N$13)*($B$31:$N$31&lt;&gt;Dataset!$B$7:$N$7))</f>
        <v>4</v>
      </c>
      <c r="G41" s="74">
        <f>SUMPRODUCT((1-Dataset!$B$13:$N$13)*($B$31:$N$31&lt;&gt;Dataset!$B$8:$N$8))</f>
        <v>3</v>
      </c>
      <c r="H41" s="74">
        <f>SUMPRODUCT((1-Dataset!$B$13:$N$13)*($B$31:$N$31&lt;&gt;Dataset!$B$9:$N$9))</f>
        <v>4</v>
      </c>
      <c r="I41" s="74">
        <f>SUMPRODUCT((1-Dataset!$B$13:$N$13)*($B$31:$N$31&lt;&gt;Dataset!$B$10:$N$10))</f>
        <v>2</v>
      </c>
      <c r="J41" s="74">
        <f>SUMPRODUCT((1-Dataset!$B$13:$N$13)*($B$31:$N$31&lt;&gt;Dataset!$B$11:$N$11))</f>
        <v>1</v>
      </c>
      <c r="K41" s="74">
        <f>SUMPRODUCT((1-Dataset!$B$13:$N$13)*($B$31:$N$31&lt;&gt;Dataset!$B$12:$N$12))</f>
        <v>2</v>
      </c>
    </row>
    <row r="42"/>
    <row r="43">
      <c r="A43" s="58" t="inlineStr">
        <is>
          <t xml:space="preserve">Rank of Sᵢ among the neighbours of S  (ties → smaller index;  excluded object = —)</t>
        </is>
      </c>
      <c r="B43" s="58"/>
      <c r="C43" s="58"/>
      <c r="D43" s="58"/>
      <c r="E43" s="58"/>
      <c r="F43" s="58"/>
      <c r="G43" s="58"/>
      <c r="H43" s="58"/>
      <c r="I43" s="58"/>
      <c r="J43" s="58"/>
      <c r="K43" s="58"/>
    </row>
    <row r="44">
      <c r="A44" s="60" t="inlineStr">
        <is>
          <t xml:space="preserve">Operator</t>
        </is>
      </c>
      <c r="B44" s="60" t="inlineStr">
        <is>
          <t xml:space="preserve">S₁</t>
        </is>
      </c>
      <c r="C44" s="60" t="inlineStr">
        <is>
          <t xml:space="preserve">S₂</t>
        </is>
      </c>
      <c r="D44" s="60" t="inlineStr">
        <is>
          <t xml:space="preserve">S₃</t>
        </is>
      </c>
      <c r="E44" s="60" t="inlineStr">
        <is>
          <t xml:space="preserve">S₄</t>
        </is>
      </c>
      <c r="F44" s="60" t="inlineStr">
        <is>
          <t xml:space="preserve">S₅</t>
        </is>
      </c>
      <c r="G44" s="60" t="inlineStr">
        <is>
          <t xml:space="preserve">S₆</t>
        </is>
      </c>
      <c r="H44" s="60" t="inlineStr">
        <is>
          <t xml:space="preserve">S₇</t>
        </is>
      </c>
      <c r="I44" s="60" t="inlineStr">
        <is>
          <t xml:space="preserve">S₈</t>
        </is>
      </c>
      <c r="J44" s="60" t="inlineStr">
        <is>
          <t xml:space="preserve">S₉</t>
        </is>
      </c>
      <c r="K44" s="60" t="inlineStr">
        <is>
          <t xml:space="preserve">S₁₀</t>
        </is>
      </c>
    </row>
    <row r="45">
      <c r="A45" s="65" t="inlineStr">
        <is>
          <t xml:space="preserve">ρ</t>
        </is>
      </c>
      <c r="B45" s="77">
        <f>IF(1=$B$35,999,1+SUMPRODUCT(($B$39:$K$39&lt;B$39)*($B$49:$K$49&lt;&gt;$B$35))+SUMPRODUCT(($B$39:$K$39=B$39)*($B$49:$K$49&lt;1)*($B$49:$K$49&lt;&gt;$B$35)))</f>
        <v>999</v>
      </c>
      <c r="C45" s="77">
        <f>IF(2=$B$35,999,1+SUMPRODUCT(($B$39:$K$39&lt;C$39)*($B$49:$K$49&lt;&gt;$B$35))+SUMPRODUCT(($B$39:$K$39=C$39)*($B$49:$K$49&lt;2)*($B$49:$K$49&lt;&gt;$B$35)))</f>
        <v>7</v>
      </c>
      <c r="D45" s="77">
        <f>IF(3=$B$35,999,1+SUMPRODUCT(($B$39:$K$39&lt;D$39)*($B$49:$K$49&lt;&gt;$B$35))+SUMPRODUCT(($B$39:$K$39=D$39)*($B$49:$K$49&lt;3)*($B$49:$K$49&lt;&gt;$B$35)))</f>
        <v>9</v>
      </c>
      <c r="E45" s="77">
        <f>IF(4=$B$35,999,1+SUMPRODUCT(($B$39:$K$39&lt;E$39)*($B$49:$K$49&lt;&gt;$B$35))+SUMPRODUCT(($B$39:$K$39=E$39)*($B$49:$K$49&lt;4)*($B$49:$K$49&lt;&gt;$B$35)))</f>
        <v>4</v>
      </c>
      <c r="F45" s="77">
        <f>IF(5=$B$35,999,1+SUMPRODUCT(($B$39:$K$39&lt;F$39)*($B$49:$K$49&lt;&gt;$B$35))+SUMPRODUCT(($B$39:$K$39=F$39)*($B$49:$K$49&lt;5)*($B$49:$K$49&lt;&gt;$B$35)))</f>
        <v>6</v>
      </c>
      <c r="G45" s="77">
        <f>IF(6=$B$35,999,1+SUMPRODUCT(($B$39:$K$39&lt;G$39)*($B$49:$K$49&lt;&gt;$B$35))+SUMPRODUCT(($B$39:$K$39=G$39)*($B$49:$K$49&lt;6)*($B$49:$K$49&lt;&gt;$B$35)))</f>
        <v>5</v>
      </c>
      <c r="H45" s="77">
        <f>IF(7=$B$35,999,1+SUMPRODUCT(($B$39:$K$39&lt;H$39)*($B$49:$K$49&lt;&gt;$B$35))+SUMPRODUCT(($B$39:$K$39=H$39)*($B$49:$K$49&lt;7)*($B$49:$K$49&lt;&gt;$B$35)))</f>
        <v>8</v>
      </c>
      <c r="I45" s="77">
        <f>IF(8=$B$35,999,1+SUMPRODUCT(($B$39:$K$39&lt;I$39)*($B$49:$K$49&lt;&gt;$B$35))+SUMPRODUCT(($B$39:$K$39=I$39)*($B$49:$K$49&lt;8)*($B$49:$K$49&lt;&gt;$B$35)))</f>
        <v>3</v>
      </c>
      <c r="J45" s="77">
        <f>IF(9=$B$35,999,1+SUMPRODUCT(($B$39:$K$39&lt;J$39)*($B$49:$K$49&lt;&gt;$B$35))+SUMPRODUCT(($B$39:$K$39=J$39)*($B$49:$K$49&lt;9)*($B$49:$K$49&lt;&gt;$B$35)))</f>
        <v>1</v>
      </c>
      <c r="K45" s="77">
        <f>IF(10=$B$35,999,1+SUMPRODUCT(($B$39:$K$39&lt;K$39)*($B$49:$K$49&lt;&gt;$B$35))+SUMPRODUCT(($B$39:$K$39=K$39)*($B$49:$K$49&lt;10)*($B$49:$K$49&lt;&gt;$B$35)))</f>
        <v>2</v>
      </c>
    </row>
    <row r="46">
      <c r="A46" s="65" t="inlineStr">
        <is>
          <t xml:space="preserve">ρ_I</t>
        </is>
      </c>
      <c r="B46" s="77">
        <f>IF(1=$B$35,999,1+SUMPRODUCT(($B$40:$K$40&lt;B$40)*($B$49:$K$49&lt;&gt;$B$35))+SUMPRODUCT(($B$40:$K$40=B$40)*($B$49:$K$49&lt;1)*($B$49:$K$49&lt;&gt;$B$35)))</f>
        <v>999</v>
      </c>
      <c r="C46" s="77">
        <f>IF(2=$B$35,999,1+SUMPRODUCT(($B$40:$K$40&lt;C$40)*($B$49:$K$49&lt;&gt;$B$35))+SUMPRODUCT(($B$40:$K$40=C$40)*($B$49:$K$49&lt;2)*($B$49:$K$49&lt;&gt;$B$35)))</f>
        <v>9</v>
      </c>
      <c r="D46" s="77">
        <f>IF(3=$B$35,999,1+SUMPRODUCT(($B$40:$K$40&lt;D$40)*($B$49:$K$49&lt;&gt;$B$35))+SUMPRODUCT(($B$40:$K$40=D$40)*($B$49:$K$49&lt;3)*($B$49:$K$49&lt;&gt;$B$35)))</f>
        <v>8</v>
      </c>
      <c r="E46" s="77">
        <f>IF(4=$B$35,999,1+SUMPRODUCT(($B$40:$K$40&lt;E$40)*($B$49:$K$49&lt;&gt;$B$35))+SUMPRODUCT(($B$40:$K$40=E$40)*($B$49:$K$49&lt;4)*($B$49:$K$49&lt;&gt;$B$35)))</f>
        <v>1</v>
      </c>
      <c r="F46" s="77">
        <f>IF(5=$B$35,999,1+SUMPRODUCT(($B$40:$K$40&lt;F$40)*($B$49:$K$49&lt;&gt;$B$35))+SUMPRODUCT(($B$40:$K$40=F$40)*($B$49:$K$49&lt;5)*($B$49:$K$49&lt;&gt;$B$35)))</f>
        <v>2</v>
      </c>
      <c r="G46" s="77">
        <f>IF(6=$B$35,999,1+SUMPRODUCT(($B$40:$K$40&lt;G$40)*($B$49:$K$49&lt;&gt;$B$35))+SUMPRODUCT(($B$40:$K$40=G$40)*($B$49:$K$49&lt;6)*($B$49:$K$49&lt;&gt;$B$35)))</f>
        <v>7</v>
      </c>
      <c r="H46" s="77">
        <f>IF(7=$B$35,999,1+SUMPRODUCT(($B$40:$K$40&lt;H$40)*($B$49:$K$49&lt;&gt;$B$35))+SUMPRODUCT(($B$40:$K$40=H$40)*($B$49:$K$49&lt;7)*($B$49:$K$49&lt;&gt;$B$35)))</f>
        <v>5</v>
      </c>
      <c r="I46" s="77">
        <f>IF(8=$B$35,999,1+SUMPRODUCT(($B$40:$K$40&lt;I$40)*($B$49:$K$49&lt;&gt;$B$35))+SUMPRODUCT(($B$40:$K$40=I$40)*($B$49:$K$49&lt;8)*($B$49:$K$49&lt;&gt;$B$35)))</f>
        <v>6</v>
      </c>
      <c r="J46" s="77">
        <f>IF(9=$B$35,999,1+SUMPRODUCT(($B$40:$K$40&lt;J$40)*($B$49:$K$49&lt;&gt;$B$35))+SUMPRODUCT(($B$40:$K$40=J$40)*($B$49:$K$49&lt;9)*($B$49:$K$49&lt;&gt;$B$35)))</f>
        <v>4</v>
      </c>
      <c r="K46" s="77">
        <f>IF(10=$B$35,999,1+SUMPRODUCT(($B$40:$K$40&lt;K$40)*($B$49:$K$49&lt;&gt;$B$35))+SUMPRODUCT(($B$40:$K$40=K$40)*($B$49:$K$49&lt;10)*($B$49:$K$49&lt;&gt;$B$35)))</f>
        <v>3</v>
      </c>
    </row>
    <row r="47">
      <c r="A47" s="65" t="inlineStr">
        <is>
          <t xml:space="preserve">ρ_J</t>
        </is>
      </c>
      <c r="B47" s="77">
        <f>IF(1=$B$35,999,1+SUMPRODUCT(($B$41:$K$41&lt;B$41)*($B$49:$K$49&lt;&gt;$B$35))+SUMPRODUCT(($B$41:$K$41=B$41)*($B$49:$K$49&lt;1)*($B$49:$K$49&lt;&gt;$B$35)))</f>
        <v>999</v>
      </c>
      <c r="C47" s="77">
        <f>IF(2=$B$35,999,1+SUMPRODUCT(($B$41:$K$41&lt;C$41)*($B$49:$K$49&lt;&gt;$B$35))+SUMPRODUCT(($B$41:$K$41=C$41)*($B$49:$K$49&lt;2)*($B$49:$K$49&lt;&gt;$B$35)))</f>
        <v>4</v>
      </c>
      <c r="D47" s="77">
        <f>IF(3=$B$35,999,1+SUMPRODUCT(($B$41:$K$41&lt;D$41)*($B$49:$K$49&lt;&gt;$B$35))+SUMPRODUCT(($B$41:$K$41=D$41)*($B$49:$K$49&lt;3)*($B$49:$K$49&lt;&gt;$B$35)))</f>
        <v>7</v>
      </c>
      <c r="E47" s="77">
        <f>IF(4=$B$35,999,1+SUMPRODUCT(($B$41:$K$41&lt;E$41)*($B$49:$K$49&lt;&gt;$B$35))+SUMPRODUCT(($B$41:$K$41=E$41)*($B$49:$K$49&lt;4)*($B$49:$K$49&lt;&gt;$B$35)))</f>
        <v>5</v>
      </c>
      <c r="F47" s="77">
        <f>IF(5=$B$35,999,1+SUMPRODUCT(($B$41:$K$41&lt;F$41)*($B$49:$K$49&lt;&gt;$B$35))+SUMPRODUCT(($B$41:$K$41=F$41)*($B$49:$K$49&lt;5)*($B$49:$K$49&lt;&gt;$B$35)))</f>
        <v>8</v>
      </c>
      <c r="G47" s="77">
        <f>IF(6=$B$35,999,1+SUMPRODUCT(($B$41:$K$41&lt;G$41)*($B$49:$K$49&lt;&gt;$B$35))+SUMPRODUCT(($B$41:$K$41=G$41)*($B$49:$K$49&lt;6)*($B$49:$K$49&lt;&gt;$B$35)))</f>
        <v>6</v>
      </c>
      <c r="H47" s="77">
        <f>IF(7=$B$35,999,1+SUMPRODUCT(($B$41:$K$41&lt;H$41)*($B$49:$K$49&lt;&gt;$B$35))+SUMPRODUCT(($B$41:$K$41=H$41)*($B$49:$K$49&lt;7)*($B$49:$K$49&lt;&gt;$B$35)))</f>
        <v>9</v>
      </c>
      <c r="I47" s="77">
        <f>IF(8=$B$35,999,1+SUMPRODUCT(($B$41:$K$41&lt;I$41)*($B$49:$K$49&lt;&gt;$B$35))+SUMPRODUCT(($B$41:$K$41=I$41)*($B$49:$K$49&lt;8)*($B$49:$K$49&lt;&gt;$B$35)))</f>
        <v>2</v>
      </c>
      <c r="J47" s="77">
        <f>IF(9=$B$35,999,1+SUMPRODUCT(($B$41:$K$41&lt;J$41)*($B$49:$K$49&lt;&gt;$B$35))+SUMPRODUCT(($B$41:$K$41=J$41)*($B$49:$K$49&lt;9)*($B$49:$K$49&lt;&gt;$B$35)))</f>
        <v>1</v>
      </c>
      <c r="K47" s="77">
        <f>IF(10=$B$35,999,1+SUMPRODUCT(($B$41:$K$41&lt;K$41)*($B$49:$K$49&lt;&gt;$B$35))+SUMPRODUCT(($B$41:$K$41=K$41)*($B$49:$K$49&lt;10)*($B$49:$K$49&lt;&gt;$B$35)))</f>
        <v>3</v>
      </c>
    </row>
    <row r="48">
      <c r="A48" s="65" t="inlineStr">
        <is>
          <t xml:space="preserve">Class of Sᵢ</t>
        </is>
      </c>
      <c r="B48" s="68">
        <f>Dataset!O3</f>
        <v>2</v>
      </c>
      <c r="C48" s="68">
        <f>Dataset!O4</f>
        <v>1</v>
      </c>
      <c r="D48" s="68">
        <f>Dataset!O5</f>
        <v>2</v>
      </c>
      <c r="E48" s="68">
        <f>Dataset!O6</f>
        <v>1</v>
      </c>
      <c r="F48" s="68">
        <f>Dataset!O7</f>
        <v>1</v>
      </c>
      <c r="G48" s="68">
        <f>Dataset!O8</f>
        <v>1</v>
      </c>
      <c r="H48" s="68">
        <f>Dataset!O9</f>
        <v>2</v>
      </c>
      <c r="I48" s="68">
        <f>Dataset!O10</f>
        <v>2</v>
      </c>
      <c r="J48" s="68">
        <f>Dataset!O11</f>
        <v>2</v>
      </c>
      <c r="K48" s="68">
        <f>Dataset!O12</f>
        <v>2</v>
      </c>
    </row>
    <row r="49">
      <c r="A49" s="65" t="inlineStr">
        <is>
          <t xml:space="preserve">Index i</t>
        </is>
      </c>
      <c r="B49" s="76">
        <v>1</v>
      </c>
      <c r="C49" s="76">
        <v>2</v>
      </c>
      <c r="D49" s="76">
        <v>3</v>
      </c>
      <c r="E49" s="76">
        <v>4</v>
      </c>
      <c r="F49" s="76">
        <v>5</v>
      </c>
      <c r="G49" s="76">
        <v>6</v>
      </c>
      <c r="H49" s="76">
        <v>7</v>
      </c>
      <c r="I49" s="76">
        <v>8</v>
      </c>
      <c r="J49" s="76">
        <v>9</v>
      </c>
      <c r="K49" s="76">
        <v>10</v>
      </c>
    </row>
    <row r="50"/>
    <row r="51">
      <c r="A51" s="58" t="inlineStr">
        <is>
          <t xml:space="preserve">Synthetic features of S by formula (5) — Ψ(r) of the new object</t>
        </is>
      </c>
      <c r="B51" s="58"/>
      <c r="C51" s="58"/>
      <c r="D51" s="58"/>
      <c r="E51" s="58"/>
      <c r="F51" s="58"/>
      <c r="G51" s="58"/>
    </row>
    <row r="52">
      <c r="A52" s="61" t="inlineStr">
        <is>
          <t xml:space="preserve">Quantity</t>
        </is>
      </c>
      <c r="B52" s="60" t="inlineStr">
        <is>
          <t xml:space="preserve">a₁</t>
        </is>
      </c>
      <c r="C52" s="60" t="inlineStr">
        <is>
          <t xml:space="preserve">a₂</t>
        </is>
      </c>
      <c r="D52" s="60" t="inlineStr">
        <is>
          <t xml:space="preserve">a₃</t>
        </is>
      </c>
      <c r="E52" s="60" t="inlineStr">
        <is>
          <t xml:space="preserve">a₄</t>
        </is>
      </c>
      <c r="F52" s="60" t="inlineStr">
        <is>
          <t xml:space="preserve">a₅</t>
        </is>
      </c>
      <c r="G52" s="60" t="inlineStr">
        <is>
          <t xml:space="preserve">a₆</t>
        </is>
      </c>
    </row>
    <row r="53">
      <c r="A53" s="65" t="inlineStr">
        <is>
          <t xml:space="preserve">k</t>
        </is>
      </c>
      <c r="B53" s="62">
        <f>'Synthetic Features (k-NN)'!$B$4</f>
        <v>3</v>
      </c>
      <c r="C53" s="62">
        <f>'Synthetic Features (k-NN)'!$C$4</f>
        <v>5</v>
      </c>
      <c r="D53" s="62">
        <f>'Synthetic Features (k-NN)'!$B$18</f>
        <v>3</v>
      </c>
      <c r="E53" s="62">
        <f>'Synthetic Features (k-NN)'!$C$18</f>
        <v>5</v>
      </c>
      <c r="F53" s="62">
        <f>'Synthetic Features (k-NN)'!$B$32</f>
        <v>3</v>
      </c>
      <c r="G53" s="62">
        <f>'Synthetic Features (k-NN)'!$C$32</f>
        <v>5</v>
      </c>
    </row>
    <row r="54">
      <c r="A54" s="65" t="inlineStr">
        <is>
          <t xml:space="preserve">χ₁ (K1 among the k nearest)</t>
        </is>
      </c>
      <c r="B54" s="74">
        <f>IF(ISNUMBER(B53),SUMPRODUCT(($B$45:$K$45&lt;=B53)*($B$48:$K$48=1)),"—")</f>
        <v>0</v>
      </c>
      <c r="C54" s="74">
        <f>IF(ISNUMBER(C53),SUMPRODUCT(($B$45:$K$45&lt;=C53)*($B$48:$K$48=1)),"—")</f>
        <v>2</v>
      </c>
      <c r="D54" s="74">
        <f>IF(ISNUMBER(D53),SUMPRODUCT(($B$46:$K$46&lt;=D53)*($B$48:$K$48=1)),"—")</f>
        <v>2</v>
      </c>
      <c r="E54" s="74">
        <f>IF(ISNUMBER(E53),SUMPRODUCT(($B$46:$K$46&lt;=E53)*($B$48:$K$48=1)),"—")</f>
        <v>2</v>
      </c>
      <c r="F54" s="74">
        <f>IF(ISNUMBER(F53),SUMPRODUCT(($B$47:$K$47&lt;=F53)*($B$48:$K$48=1)),"—")</f>
        <v>0</v>
      </c>
      <c r="G54" s="74">
        <f>IF(ISNUMBER(G53),SUMPRODUCT(($B$47:$K$47&lt;=G53)*($B$48:$K$48=1)),"—")</f>
        <v>2</v>
      </c>
    </row>
    <row r="55">
      <c r="A55" s="65" t="inlineStr">
        <is>
          <t xml:space="preserve">χ₂ = k − χ₁</t>
        </is>
      </c>
      <c r="B55" s="74">
        <f>IF(ISNUMBER(B54),B53-B54,"—")</f>
        <v>3</v>
      </c>
      <c r="C55" s="74">
        <f>IF(ISNUMBER(C54),C53-C54,"—")</f>
        <v>3</v>
      </c>
      <c r="D55" s="74">
        <f>IF(ISNUMBER(D54),D53-D54,"—")</f>
        <v>1</v>
      </c>
      <c r="E55" s="74">
        <f>IF(ISNUMBER(E54),E53-E54,"—")</f>
        <v>3</v>
      </c>
      <c r="F55" s="74">
        <f>IF(ISNUMBER(F54),F53-F54,"—")</f>
        <v>3</v>
      </c>
      <c r="G55" s="74">
        <f>IF(ISNUMBER(G54),G53-G54,"—")</f>
        <v>3</v>
      </c>
    </row>
    <row r="56">
      <c r="A56" s="65" t="inlineStr">
        <is>
          <t xml:space="preserve">aᵤ(S) by (5)</t>
        </is>
      </c>
      <c r="B56" s="80">
        <f>IF(ISNUMBER(B54),IF(B54&gt;INT(B53/2),1,IF(B55&gt;INT(B53/2),2,"—")),"—")</f>
        <v>2</v>
      </c>
      <c r="C56" s="80">
        <f>IF(ISNUMBER(C54),IF(C54&gt;INT(C53/2),1,IF(C55&gt;INT(C53/2),2,"—")),"—")</f>
        <v>2</v>
      </c>
      <c r="D56" s="80">
        <f>IF(ISNUMBER(D54),IF(D54&gt;INT(D53/2),1,IF(D55&gt;INT(D53/2),2,"—")),"—")</f>
        <v>1</v>
      </c>
      <c r="E56" s="80">
        <f>IF(ISNUMBER(E54),IF(E54&gt;INT(E53/2),1,IF(E55&gt;INT(E53/2),2,"—")),"—")</f>
        <v>2</v>
      </c>
      <c r="F56" s="80">
        <f>IF(ISNUMBER(F54),IF(F54&gt;INT(F53/2),1,IF(F55&gt;INT(F53/2),2,"—")),"—")</f>
        <v>2</v>
      </c>
      <c r="G56" s="80">
        <f>IF(ISNUMBER(G54),IF(G54&gt;INT(G53/2),1,IF(G55&gt;INT(G53/2),2,"—")),"—")</f>
        <v>2</v>
      </c>
    </row>
    <row r="57"/>
    <row r="58">
      <c r="A58" s="58" t="inlineStr">
        <is>
          <t xml:space="preserve">Description of S on TUPLAM:  (a₀, …, a_p)  — the input of the meta-algorithm</t>
        </is>
      </c>
      <c r="B58" s="58"/>
      <c r="C58" s="58"/>
      <c r="D58" s="58"/>
      <c r="E58" s="58"/>
      <c r="F58" s="58"/>
    </row>
    <row r="59">
      <c r="A59" s="61" t="inlineStr">
        <is>
          <t xml:space="preserve">Position</t>
        </is>
      </c>
      <c r="B59" s="60" t="inlineStr">
        <is>
          <t xml:space="preserve">a₀</t>
        </is>
      </c>
      <c r="C59" s="60" t="inlineStr">
        <is>
          <t xml:space="preserve">a₁</t>
        </is>
      </c>
      <c r="D59" s="60" t="inlineStr">
        <is>
          <t xml:space="preserve">a₂</t>
        </is>
      </c>
      <c r="E59" s="60" t="inlineStr">
        <is>
          <t xml:space="preserve">a₃</t>
        </is>
      </c>
      <c r="F59" s="60" t="inlineStr">
        <is>
          <t xml:space="preserve">a₄</t>
        </is>
      </c>
    </row>
    <row r="60">
      <c r="A60" s="65" t="inlineStr">
        <is>
          <t xml:space="preserve">Feature</t>
        </is>
      </c>
      <c r="B60" s="83" t="str">
        <f>'Dataset for Meta-algorithm'!C5</f>
        <v>a₆</v>
      </c>
      <c r="C60" s="83" t="str">
        <f>'Dataset for Meta-algorithm'!C6</f>
        <v>a₃</v>
      </c>
      <c r="D60" s="83" t="str">
        <f>'Dataset for Meta-algorithm'!C7</f>
        <v>a₁</v>
      </c>
      <c r="E60" s="83" t="str">
        <f>'Dataset for Meta-algorithm'!C8</f>
        <v>a₂</v>
      </c>
      <c r="F60" s="83" t="str">
        <f>'Dataset for Meta-algorithm'!C9</f>
        <v>a₄</v>
      </c>
    </row>
    <row r="61">
      <c r="A61" s="65" t="inlineStr">
        <is>
          <t xml:space="preserve">Value</t>
        </is>
      </c>
      <c r="B61" s="80">
        <f>IF(ISNUMBER('Dataset for Meta-algorithm'!$B$5),INDEX($B$56:$G$56,'Dataset for Meta-algorithm'!$B$5),"—")</f>
        <v>2</v>
      </c>
      <c r="C61" s="80">
        <f>IF(ISNUMBER('Dataset for Meta-algorithm'!$B$6),INDEX($B$56:$G$56,'Dataset for Meta-algorithm'!$B$6),"—")</f>
        <v>1</v>
      </c>
      <c r="D61" s="80">
        <f>IF(ISNUMBER('Dataset for Meta-algorithm'!$B$7),INDEX($B$56:$G$56,'Dataset for Meta-algorithm'!$B$7),"—")</f>
        <v>2</v>
      </c>
      <c r="E61" s="80">
        <f>IF(ISNUMBER('Dataset for Meta-algorithm'!$B$8),INDEX($B$56:$G$56,'Dataset for Meta-algorithm'!$B$8),"—")</f>
        <v>2</v>
      </c>
      <c r="F61" s="80">
        <f>IF(ISNUMBER('Dataset for Meta-algorithm'!$B$9),INDEX($B$56:$G$56,'Dataset for Meta-algorithm'!$B$9),"—")</f>
        <v>2</v>
      </c>
    </row>
    <row r="62"/>
    <row r="63">
      <c r="A63" s="99" t="inlineStr">
        <is>
          <t xml:space="preserve">Scale unification uses the training min and max (Step 1); distances, ranks and χ₁ use exactly the rules of Steps 2–5. The class of S is not an input anywhere on this sheet.</t>
        </is>
      </c>
    </row>
    <row r="64">
      <c r="A64" s="99" t="inlineStr">
        <is>
          <t xml:space="preserve">Formula (5) needs only the classes of the neighbours, so the description (a₀, …, a_p) exists for any new object — the procedural correctness stated by the Theorem of the article.</t>
        </is>
      </c>
    </row>
  </sheetData>
  <mergeCells count="9">
    <mergeCell ref="A1:N1"/>
    <mergeCell ref="A3:K3"/>
    <mergeCell ref="A16:K16"/>
    <mergeCell ref="A29:N29"/>
    <mergeCell ref="C35:N35"/>
    <mergeCell ref="A37:K37"/>
    <mergeCell ref="A43:K43"/>
    <mergeCell ref="A51:G51"/>
    <mergeCell ref="A58:F58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Y90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8.77734375" customWidth="1"/>
    <col min="2" max="10" width="14.77734375" customWidth="1"/>
    <col min="11" max="23" width="8.77734375" customWidth="1"/>
    <col min="24" max="25" width="4.77734375" customWidth="1" hidden="1"/>
  </cols>
  <sheetData>
    <row r="1" ht="20" customHeight="1">
      <c r="A1" s="57" t="inlineStr">
        <is>
          <t xml:space="preserve">Step 12 · Meta-algorithm — classification of the new object S (Steps 1–5 of the article)</t>
        </is>
      </c>
      <c r="B1" s="57"/>
      <c r="C1" s="57"/>
      <c r="D1" s="57"/>
      <c r="E1" s="57"/>
      <c r="F1" s="57"/>
      <c r="G1" s="57"/>
      <c r="H1" s="57"/>
      <c r="I1" s="57"/>
      <c r="J1" s="57"/>
    </row>
    <row r="2"/>
    <row r="3">
      <c r="A3" s="58" t="inlineStr">
        <is>
          <t xml:space="preserve">Object to classify: (a₀, …, a_p) from "Brace for Meta-algorithm"</t>
        </is>
      </c>
      <c r="B3" s="58"/>
      <c r="C3" s="58"/>
      <c r="D3" s="58"/>
      <c r="E3" s="58"/>
      <c r="F3" s="58"/>
      <c r="G3" s="58"/>
      <c r="H3" s="58"/>
    </row>
    <row r="4">
      <c r="A4" s="61" t="inlineStr">
        <is>
          <t xml:space="preserve">Position</t>
        </is>
      </c>
      <c r="B4" s="60" t="inlineStr">
        <is>
          <t xml:space="preserve">a₀</t>
        </is>
      </c>
      <c r="C4" s="60" t="inlineStr">
        <is>
          <t xml:space="preserve">a₁</t>
        </is>
      </c>
      <c r="D4" s="60" t="inlineStr">
        <is>
          <t xml:space="preserve">a₂</t>
        </is>
      </c>
      <c r="E4" s="60" t="inlineStr">
        <is>
          <t xml:space="preserve">a₃</t>
        </is>
      </c>
      <c r="F4" s="60" t="inlineStr">
        <is>
          <t xml:space="preserve">a₄</t>
        </is>
      </c>
      <c r="G4" s="60" t="inlineStr">
        <is>
          <t xml:space="preserve">p</t>
        </is>
      </c>
      <c r="H4" s="60" t="inlineStr">
        <is>
          <t xml:space="preserve">Class</t>
        </is>
      </c>
    </row>
    <row r="5">
      <c r="A5" s="65" t="inlineStr">
        <is>
          <t xml:space="preserve">Feature</t>
        </is>
      </c>
      <c r="B5" s="83" t="str">
        <f>'Dataset for Meta-algorithm'!C5</f>
        <v>a₆</v>
      </c>
      <c r="C5" s="83" t="str">
        <f>'Dataset for Meta-algorithm'!C6</f>
        <v>a₃</v>
      </c>
      <c r="D5" s="83" t="str">
        <f>'Dataset for Meta-algorithm'!C7</f>
        <v>a₁</v>
      </c>
      <c r="E5" s="83" t="str">
        <f>'Dataset for Meta-algorithm'!C8</f>
        <v>a₂</v>
      </c>
      <c r="F5" s="83" t="str">
        <f>'Dataset for Meta-algorithm'!C9</f>
        <v>a₄</v>
      </c>
    </row>
    <row r="6">
      <c r="A6" s="65" t="inlineStr">
        <is>
          <t xml:space="preserve">Value</t>
        </is>
      </c>
      <c r="B6" s="80">
        <f>'Brace for Meta-algorithm'!$B$61</f>
        <v>2</v>
      </c>
      <c r="C6" s="80">
        <f>'Brace for Meta-algorithm'!$C$61</f>
        <v>1</v>
      </c>
      <c r="D6" s="80">
        <f>'Brace for Meta-algorithm'!$D$61</f>
        <v>2</v>
      </c>
      <c r="E6" s="80">
        <f>'Brace for Meta-algorithm'!$E$61</f>
        <v>2</v>
      </c>
      <c r="F6" s="80">
        <f>'Brace for Meta-algorithm'!$F$61</f>
        <v>2</v>
      </c>
      <c r="G6" s="83">
        <f>'Dataset for Meta-algorithm'!$C$12</f>
        <v>4</v>
      </c>
      <c r="H6" s="83" t="inlineStr">
        <is>
          <t xml:space="preserve">*</t>
        </is>
      </c>
    </row>
    <row r="7"/>
    <row r="8">
      <c r="A8" s="58" t="inlineStr">
        <is>
          <t xml:space="preserve">Step 1 · j = 0:   B1(a₀) = {Sᵢ ∈ K1 | a₀ = aᵢ₀},   B2(a₀) = {Sᵢ ∈ K2 | a₀ = aᵢ₀}</t>
        </is>
      </c>
      <c r="B8" s="58"/>
      <c r="C8" s="58"/>
      <c r="D8" s="58"/>
      <c r="E8" s="58"/>
      <c r="F8" s="58"/>
      <c r="G8" s="58"/>
      <c r="H8" s="58"/>
      <c r="I8" s="58"/>
      <c r="J8" s="58"/>
    </row>
    <row r="9">
      <c r="A9" s="60" t="inlineStr">
        <is>
          <t xml:space="preserve">№</t>
        </is>
      </c>
      <c r="B9" s="60" t="inlineStr">
        <is>
          <t xml:space="preserve">Class</t>
        </is>
      </c>
      <c r="C9" s="60" t="inlineStr">
        <is>
          <t xml:space="preserve">aᵢ₀</t>
        </is>
      </c>
      <c r="D9" s="60" t="inlineStr">
        <is>
          <t xml:space="preserve">a₀ = aᵢ₀ ?</t>
        </is>
      </c>
      <c r="E9" s="60" t="inlineStr">
        <is>
          <t xml:space="preserve">in B1(a₀)</t>
        </is>
      </c>
      <c r="F9" s="60" t="inlineStr">
        <is>
          <t xml:space="preserve">in B2(a₀)</t>
        </is>
      </c>
    </row>
    <row r="10">
      <c r="A10" s="64" t="inlineStr">
        <is>
          <t xml:space="preserve">S₁</t>
        </is>
      </c>
      <c r="B10" s="68">
        <f>Dataset!O3</f>
        <v>2</v>
      </c>
      <c r="C10" s="80">
        <f>'Brace for Meta-algorithm'!$B$5</f>
        <v>2</v>
      </c>
      <c r="D10" s="74" t="str">
        <f>IF(C10=$B$6,"✅","❌")</f>
        <v>✅</v>
      </c>
      <c r="E10" s="74">
        <f>IF(AND(B10=1,C10=$B$6),1,0)</f>
        <v>0</v>
      </c>
      <c r="F10" s="74">
        <f>IF(AND(B10=2,C10=$B$6),1,0)</f>
        <v>1</v>
      </c>
    </row>
    <row r="11">
      <c r="A11" s="64" t="inlineStr">
        <is>
          <t xml:space="preserve">S₂</t>
        </is>
      </c>
      <c r="B11" s="68">
        <f>Dataset!O4</f>
        <v>1</v>
      </c>
      <c r="C11" s="80">
        <f>'Brace for Meta-algorithm'!$B$6</f>
        <v>2</v>
      </c>
      <c r="D11" s="74" t="str">
        <f>IF(C11=$B$6,"✅","❌")</f>
        <v>✅</v>
      </c>
      <c r="E11" s="74">
        <f>IF(AND(B11=1,C11=$B$6),1,0)</f>
        <v>1</v>
      </c>
      <c r="F11" s="74">
        <f>IF(AND(B11=2,C11=$B$6),1,0)</f>
        <v>0</v>
      </c>
    </row>
    <row r="12">
      <c r="A12" s="64" t="inlineStr">
        <is>
          <t xml:space="preserve">S₃</t>
        </is>
      </c>
      <c r="B12" s="68">
        <f>Dataset!O5</f>
        <v>2</v>
      </c>
      <c r="C12" s="80">
        <f>'Brace for Meta-algorithm'!$B$7</f>
        <v>1</v>
      </c>
      <c r="D12" s="74" t="str">
        <f>IF(C12=$B$6,"✅","❌")</f>
        <v>❌</v>
      </c>
      <c r="E12" s="74">
        <f>IF(AND(B12=1,C12=$B$6),1,0)</f>
        <v>0</v>
      </c>
      <c r="F12" s="74">
        <f>IF(AND(B12=2,C12=$B$6),1,0)</f>
        <v>0</v>
      </c>
    </row>
    <row r="13">
      <c r="A13" s="64" t="inlineStr">
        <is>
          <t xml:space="preserve">S₄</t>
        </is>
      </c>
      <c r="B13" s="68">
        <f>Dataset!O6</f>
        <v>1</v>
      </c>
      <c r="C13" s="80">
        <f>'Brace for Meta-algorithm'!$B$8</f>
        <v>2</v>
      </c>
      <c r="D13" s="74" t="str">
        <f>IF(C13=$B$6,"✅","❌")</f>
        <v>✅</v>
      </c>
      <c r="E13" s="74">
        <f>IF(AND(B13=1,C13=$B$6),1,0)</f>
        <v>1</v>
      </c>
      <c r="F13" s="74">
        <f>IF(AND(B13=2,C13=$B$6),1,0)</f>
        <v>0</v>
      </c>
    </row>
    <row r="14">
      <c r="A14" s="64" t="inlineStr">
        <is>
          <t xml:space="preserve">S₅</t>
        </is>
      </c>
      <c r="B14" s="68">
        <f>Dataset!O7</f>
        <v>1</v>
      </c>
      <c r="C14" s="80">
        <f>'Brace for Meta-algorithm'!$B$9</f>
        <v>2</v>
      </c>
      <c r="D14" s="74" t="str">
        <f>IF(C14=$B$6,"✅","❌")</f>
        <v>✅</v>
      </c>
      <c r="E14" s="74">
        <f>IF(AND(B14=1,C14=$B$6),1,0)</f>
        <v>1</v>
      </c>
      <c r="F14" s="74">
        <f>IF(AND(B14=2,C14=$B$6),1,0)</f>
        <v>0</v>
      </c>
    </row>
    <row r="15">
      <c r="A15" s="64" t="inlineStr">
        <is>
          <t xml:space="preserve">S₆</t>
        </is>
      </c>
      <c r="B15" s="68">
        <f>Dataset!O8</f>
        <v>1</v>
      </c>
      <c r="C15" s="80">
        <f>'Brace for Meta-algorithm'!$B$10</f>
        <v>2</v>
      </c>
      <c r="D15" s="74" t="str">
        <f>IF(C15=$B$6,"✅","❌")</f>
        <v>✅</v>
      </c>
      <c r="E15" s="74">
        <f>IF(AND(B15=1,C15=$B$6),1,0)</f>
        <v>1</v>
      </c>
      <c r="F15" s="74">
        <f>IF(AND(B15=2,C15=$B$6),1,0)</f>
        <v>0</v>
      </c>
    </row>
    <row r="16">
      <c r="A16" s="64" t="inlineStr">
        <is>
          <t xml:space="preserve">S₇</t>
        </is>
      </c>
      <c r="B16" s="68">
        <f>Dataset!O9</f>
        <v>2</v>
      </c>
      <c r="C16" s="80">
        <f>'Brace for Meta-algorithm'!$B$11</f>
        <v>2</v>
      </c>
      <c r="D16" s="74" t="str">
        <f>IF(C16=$B$6,"✅","❌")</f>
        <v>✅</v>
      </c>
      <c r="E16" s="74">
        <f>IF(AND(B16=1,C16=$B$6),1,0)</f>
        <v>0</v>
      </c>
      <c r="F16" s="74">
        <f>IF(AND(B16=2,C16=$B$6),1,0)</f>
        <v>1</v>
      </c>
    </row>
    <row r="17">
      <c r="A17" s="64" t="inlineStr">
        <is>
          <t xml:space="preserve">S₈</t>
        </is>
      </c>
      <c r="B17" s="68">
        <f>Dataset!O10</f>
        <v>2</v>
      </c>
      <c r="C17" s="80">
        <f>'Brace for Meta-algorithm'!$B$12</f>
        <v>2</v>
      </c>
      <c r="D17" s="74" t="str">
        <f>IF(C17=$B$6,"✅","❌")</f>
        <v>✅</v>
      </c>
      <c r="E17" s="74">
        <f>IF(AND(B17=1,C17=$B$6),1,0)</f>
        <v>0</v>
      </c>
      <c r="F17" s="74">
        <f>IF(AND(B17=2,C17=$B$6),1,0)</f>
        <v>1</v>
      </c>
    </row>
    <row r="18">
      <c r="A18" s="64" t="inlineStr">
        <is>
          <t xml:space="preserve">S₉</t>
        </is>
      </c>
      <c r="B18" s="68">
        <f>Dataset!O11</f>
        <v>2</v>
      </c>
      <c r="C18" s="80">
        <f>'Brace for Meta-algorithm'!$B$13</f>
        <v>2</v>
      </c>
      <c r="D18" s="74" t="str">
        <f>IF(C18=$B$6,"✅","❌")</f>
        <v>✅</v>
      </c>
      <c r="E18" s="74">
        <f>IF(AND(B18=1,C18=$B$6),1,0)</f>
        <v>0</v>
      </c>
      <c r="F18" s="74">
        <f>IF(AND(B18=2,C18=$B$6),1,0)</f>
        <v>1</v>
      </c>
    </row>
    <row r="19">
      <c r="A19" s="64" t="inlineStr">
        <is>
          <t xml:space="preserve">S₁₀</t>
        </is>
      </c>
      <c r="B19" s="68">
        <f>Dataset!O12</f>
        <v>2</v>
      </c>
      <c r="C19" s="80">
        <f>'Brace for Meta-algorithm'!$B$14</f>
        <v>2</v>
      </c>
      <c r="D19" s="74" t="str">
        <f>IF(C19=$B$6,"✅","❌")</f>
        <v>✅</v>
      </c>
      <c r="E19" s="74">
        <f>IF(AND(B19=1,C19=$B$6),1,0)</f>
        <v>0</v>
      </c>
      <c r="F19" s="74">
        <f>IF(AND(B19=2,C19=$B$6),1,0)</f>
        <v>1</v>
      </c>
    </row>
    <row r="20">
      <c r="A20" s="82" t="inlineStr">
        <is>
          <t xml:space="preserve">B1(a₀) =</t>
        </is>
      </c>
      <c r="B20" s="84" t="str">
        <f>IF((IF(E10=1,"S₁, ","")&amp;IF(E11=1,"S₂, ","")&amp;IF(E12=1,"S₃, ","")&amp;IF(E13=1,"S₄, ","")&amp;IF(E14=1,"S₅, ","")&amp;IF(E15=1,"S₆, ","")&amp;IF(E16=1,"S₇, ","")&amp;IF(E17=1,"S₈, ","")&amp;IF(E18=1,"S₉, ","")&amp;IF(E19=1,"S₁₀, ",""))="","∅","{"&amp;LEFT(IF(E10=1,"S₁, ","")&amp;IF(E11=1,"S₂, ","")&amp;IF(E12=1,"S₃, ","")&amp;IF(E13=1,"S₄, ","")&amp;IF(E14=1,"S₅, ","")&amp;IF(E15=1,"S₆, ","")&amp;IF(E16=1,"S₇, ","")&amp;IF(E17=1,"S₈, ","")&amp;IF(E18=1,"S₉, ","")&amp;IF(E19=1,"S₁₀, ",""),LEN(IF(E10=1,"S₁, ","")&amp;IF(E11=1,"S₂, ","")&amp;IF(E12=1,"S₃, ","")&amp;IF(E13=1,"S₄, ","")&amp;IF(E14=1,"S₅, ","")&amp;IF(E15=1,"S₆, ","")&amp;IF(E16=1,"S₇, ","")&amp;IF(E17=1,"S₈, ","")&amp;IF(E18=1,"S₉, ","")&amp;IF(E19=1,"S₁₀, ",""))-2)&amp;"}")</f>
        <v>{S₂, S₄, S₅, S₆}</v>
      </c>
      <c r="C20" s="84"/>
      <c r="D20" s="84"/>
      <c r="E20" s="82" t="inlineStr">
        <is>
          <t xml:space="preserve">B2(a₀) =</t>
        </is>
      </c>
      <c r="F20" s="84" t="str">
        <f>IF((IF(F10=1,"S₁, ","")&amp;IF(F11=1,"S₂, ","")&amp;IF(F12=1,"S₃, ","")&amp;IF(F13=1,"S₄, ","")&amp;IF(F14=1,"S₅, ","")&amp;IF(F15=1,"S₆, ","")&amp;IF(F16=1,"S₇, ","")&amp;IF(F17=1,"S₈, ","")&amp;IF(F18=1,"S₉, ","")&amp;IF(F19=1,"S₁₀, ",""))="","∅","{"&amp;LEFT(IF(F10=1,"S₁, ","")&amp;IF(F11=1,"S₂, ","")&amp;IF(F12=1,"S₃, ","")&amp;IF(F13=1,"S₄, ","")&amp;IF(F14=1,"S₅, ","")&amp;IF(F15=1,"S₆, ","")&amp;IF(F16=1,"S₇, ","")&amp;IF(F17=1,"S₈, ","")&amp;IF(F18=1,"S₉, ","")&amp;IF(F19=1,"S₁₀, ",""),LEN(IF(F10=1,"S₁, ","")&amp;IF(F11=1,"S₂, ","")&amp;IF(F12=1,"S₃, ","")&amp;IF(F13=1,"S₄, ","")&amp;IF(F14=1,"S₅, ","")&amp;IF(F15=1,"S₆, ","")&amp;IF(F16=1,"S₇, ","")&amp;IF(F17=1,"S₈, ","")&amp;IF(F18=1,"S₉, ","")&amp;IF(F19=1,"S₁₀, ",""))-2)&amp;"}")</f>
        <v>{S₁, S₇, S₈, S₉, S₁₀}</v>
      </c>
      <c r="G20" s="84"/>
      <c r="H20" s="84"/>
      <c r="I20" s="84"/>
      <c r="J20" s="84"/>
    </row>
    <row r="21"/>
    <row r="22"/>
    <row r="23">
      <c r="A23" s="58" t="inlineStr">
        <is>
          <t xml:space="preserve">Step 2 · j = 1:   B1(a₁) = {Sᵢ ∈ B1(a₀) | a₁ = aᵢ₁, dᵢ₁ &gt; 0},   B2(a₁) = {Sᵢ ∈ B2(a₀) | a₁ = aᵢ₁, dᵢ₁ &lt; 0}</t>
        </is>
      </c>
      <c r="B23" s="58"/>
      <c r="C23" s="58"/>
      <c r="D23" s="58"/>
      <c r="E23" s="58"/>
      <c r="F23" s="58"/>
      <c r="G23" s="58"/>
      <c r="H23" s="58"/>
      <c r="I23" s="58"/>
      <c r="J23" s="58"/>
    </row>
    <row r="24">
      <c r="A24" s="60" t="inlineStr">
        <is>
          <t xml:space="preserve">№</t>
        </is>
      </c>
      <c r="B24" s="60" t="inlineStr">
        <is>
          <t xml:space="preserve">Class</t>
        </is>
      </c>
      <c r="C24" s="60" t="inlineStr">
        <is>
          <t xml:space="preserve">in B before</t>
        </is>
      </c>
      <c r="D24" s="60" t="inlineStr">
        <is>
          <t xml:space="preserve">aᵢ₁</t>
        </is>
      </c>
      <c r="E24" s="60" t="inlineStr">
        <is>
          <t xml:space="preserve">a₁ = aᵢ₁ ?</t>
        </is>
      </c>
      <c r="F24" s="60" t="inlineStr">
        <is>
          <t xml:space="preserve">dᵢ₁</t>
        </is>
      </c>
      <c r="G24" s="60" t="inlineStr">
        <is>
          <t xml:space="preserve">latent sign</t>
        </is>
      </c>
      <c r="H24" s="60" t="inlineStr">
        <is>
          <t xml:space="preserve">keep?</t>
        </is>
      </c>
      <c r="I24" s="60" t="inlineStr">
        <is>
          <t xml:space="preserve">in B after</t>
        </is>
      </c>
      <c r="J24" s="90">
        <f>IF(1&lt;='Dataset for Meta-algorithm'!$C$12,1,0)</f>
        <v>1</v>
      </c>
    </row>
    <row r="25">
      <c r="A25" s="64" t="inlineStr">
        <is>
          <t xml:space="preserve">S₁</t>
        </is>
      </c>
      <c r="B25" s="68">
        <f>Dataset!O3</f>
        <v>2</v>
      </c>
      <c r="C25" s="74">
        <f>IF(B25=1,E10,F10)</f>
        <v>1</v>
      </c>
      <c r="D25" s="80">
        <f>'Brace for Meta-algorithm'!$C$5</f>
        <v>1</v>
      </c>
      <c r="E25" s="74" t="str">
        <f>IF(1&lt;='Dataset for Meta-algorithm'!$C$12,IF(D25=$C$6,"✅","❌"),"—")</f>
        <v>✅</v>
      </c>
      <c r="F25" s="94">
        <f>'Brace for Meta-algorithm'!$G$5</f>
        <v>0.112062246971304</v>
      </c>
      <c r="G25" s="74" t="str">
        <f>IF(1&lt;='Dataset for Meta-algorithm'!$C$12,IF(B25=1,IF(F25&gt;0,"✅ (+)","❌ (−)"),IF(F25&lt;0,"✅ (−)","❌ (+)")),"—")</f>
        <v>❌ (+)</v>
      </c>
      <c r="H25" s="74" t="str">
        <f>IF(C25=1,IF(1&lt;='Dataset for Meta-algorithm'!$C$12,IF(AND(LEFT(E25,1)="✅",LEFT(G25,1)="✅"),"✅","❌"),"✅"),"—")</f>
        <v>❌</v>
      </c>
      <c r="I25" s="74">
        <f>IF(C25=1,IF(1&lt;='Dataset for Meta-algorithm'!$C$12,IF(AND(D25=$C$6,IF(B25=1,F25&gt;0,F25&lt;0)),1,0),1),0)</f>
        <v>0</v>
      </c>
      <c r="X25" s="76">
        <f>IF(B25=1,I25,0)</f>
        <v>0</v>
      </c>
      <c r="Y25" s="76">
        <f>IF(B25=2,I25,0)</f>
        <v>0</v>
      </c>
    </row>
    <row r="26">
      <c r="A26" s="64" t="inlineStr">
        <is>
          <t xml:space="preserve">S₂</t>
        </is>
      </c>
      <c r="B26" s="68">
        <f>Dataset!O4</f>
        <v>1</v>
      </c>
      <c r="C26" s="74">
        <f>IF(B26=1,E11,F11)</f>
        <v>1</v>
      </c>
      <c r="D26" s="80">
        <f>'Brace for Meta-algorithm'!$C$6</f>
        <v>2</v>
      </c>
      <c r="E26" s="74" t="str">
        <f>IF(1&lt;='Dataset for Meta-algorithm'!$C$12,IF(D26=$C$6,"✅","❌"),"—")</f>
        <v>❌</v>
      </c>
      <c r="F26" s="94">
        <f>'Brace for Meta-algorithm'!$G$6</f>
        <v>0.260239514069589</v>
      </c>
      <c r="G26" s="74" t="str">
        <f>IF(1&lt;='Dataset for Meta-algorithm'!$C$12,IF(B26=1,IF(F26&gt;0,"✅ (+)","❌ (−)"),IF(F26&lt;0,"✅ (−)","❌ (+)")),"—")</f>
        <v>✅ (+)</v>
      </c>
      <c r="H26" s="74" t="str">
        <f>IF(C26=1,IF(1&lt;='Dataset for Meta-algorithm'!$C$12,IF(AND(LEFT(E26,1)="✅",LEFT(G26,1)="✅"),"✅","❌"),"✅"),"—")</f>
        <v>❌</v>
      </c>
      <c r="I26" s="74">
        <f>IF(C26=1,IF(1&lt;='Dataset for Meta-algorithm'!$C$12,IF(AND(D26=$C$6,IF(B26=1,F26&gt;0,F26&lt;0)),1,0),1),0)</f>
        <v>0</v>
      </c>
      <c r="X26" s="76">
        <f>IF(B26=1,I26,0)</f>
        <v>0</v>
      </c>
      <c r="Y26" s="76">
        <f>IF(B26=2,I26,0)</f>
        <v>0</v>
      </c>
    </row>
    <row r="27">
      <c r="A27" s="64" t="inlineStr">
        <is>
          <t xml:space="preserve">S₃</t>
        </is>
      </c>
      <c r="B27" s="68">
        <f>Dataset!O5</f>
        <v>2</v>
      </c>
      <c r="C27" s="74">
        <f>IF(B27=1,E12,F12)</f>
        <v>0</v>
      </c>
      <c r="D27" s="80">
        <f>'Brace for Meta-algorithm'!$C$7</f>
        <v>2</v>
      </c>
      <c r="E27" s="74" t="str">
        <f>IF(1&lt;='Dataset for Meta-algorithm'!$C$12,IF(D27=$C$6,"✅","❌"),"—")</f>
        <v>❌</v>
      </c>
      <c r="F27" s="94">
        <f>'Brace for Meta-algorithm'!$G$7</f>
        <v>-0.733675804638555</v>
      </c>
      <c r="G27" s="74" t="str">
        <f>IF(1&lt;='Dataset for Meta-algorithm'!$C$12,IF(B27=1,IF(F27&gt;0,"✅ (+)","❌ (−)"),IF(F27&lt;0,"✅ (−)","❌ (+)")),"—")</f>
        <v>✅ (−)</v>
      </c>
      <c r="H27" s="74" t="str">
        <f>IF(C27=1,IF(1&lt;='Dataset for Meta-algorithm'!$C$12,IF(AND(LEFT(E27,1)="✅",LEFT(G27,1)="✅"),"✅","❌"),"✅"),"—")</f>
        <v>—</v>
      </c>
      <c r="I27" s="74">
        <f>IF(C27=1,IF(1&lt;='Dataset for Meta-algorithm'!$C$12,IF(AND(D27=$C$6,IF(B27=1,F27&gt;0,F27&lt;0)),1,0),1),0)</f>
        <v>0</v>
      </c>
      <c r="X27" s="76">
        <f>IF(B27=1,I27,0)</f>
        <v>0</v>
      </c>
      <c r="Y27" s="76">
        <f>IF(B27=2,I27,0)</f>
        <v>0</v>
      </c>
    </row>
    <row r="28">
      <c r="A28" s="64" t="inlineStr">
        <is>
          <t xml:space="preserve">S₄</t>
        </is>
      </c>
      <c r="B28" s="68">
        <f>Dataset!O6</f>
        <v>1</v>
      </c>
      <c r="C28" s="74">
        <f>IF(B28=1,E13,F13)</f>
        <v>1</v>
      </c>
      <c r="D28" s="80">
        <f>'Brace for Meta-algorithm'!$C$8</f>
        <v>1</v>
      </c>
      <c r="E28" s="74" t="str">
        <f>IF(1&lt;='Dataset for Meta-algorithm'!$C$12,IF(D28=$C$6,"✅","❌"),"—")</f>
        <v>✅</v>
      </c>
      <c r="F28" s="94">
        <f>'Brace for Meta-algorithm'!$G$8</f>
        <v>0.603476162679314</v>
      </c>
      <c r="G28" s="74" t="str">
        <f>IF(1&lt;='Dataset for Meta-algorithm'!$C$12,IF(B28=1,IF(F28&gt;0,"✅ (+)","❌ (−)"),IF(F28&lt;0,"✅ (−)","❌ (+)")),"—")</f>
        <v>✅ (+)</v>
      </c>
      <c r="H28" s="74" t="str">
        <f>IF(C28=1,IF(1&lt;='Dataset for Meta-algorithm'!$C$12,IF(AND(LEFT(E28,1)="✅",LEFT(G28,1)="✅"),"✅","❌"),"✅"),"—")</f>
        <v>✅</v>
      </c>
      <c r="I28" s="74">
        <f>IF(C28=1,IF(1&lt;='Dataset for Meta-algorithm'!$C$12,IF(AND(D28=$C$6,IF(B28=1,F28&gt;0,F28&lt;0)),1,0),1),0)</f>
        <v>1</v>
      </c>
      <c r="X28" s="76">
        <f>IF(B28=1,I28,0)</f>
        <v>1</v>
      </c>
      <c r="Y28" s="76">
        <f>IF(B28=2,I28,0)</f>
        <v>0</v>
      </c>
    </row>
    <row r="29">
      <c r="A29" s="64" t="inlineStr">
        <is>
          <t xml:space="preserve">S₅</t>
        </is>
      </c>
      <c r="B29" s="68">
        <f>Dataset!O7</f>
        <v>1</v>
      </c>
      <c r="C29" s="74">
        <f>IF(B29=1,E14,F14)</f>
        <v>1</v>
      </c>
      <c r="D29" s="80">
        <f>'Brace for Meta-algorithm'!$C$9</f>
        <v>1</v>
      </c>
      <c r="E29" s="74" t="str">
        <f>IF(1&lt;='Dataset for Meta-algorithm'!$C$12,IF(D29=$C$6,"✅","❌"),"—")</f>
        <v>✅</v>
      </c>
      <c r="F29" s="94">
        <f>'Brace for Meta-algorithm'!$G$9</f>
        <v>0.603476162679314</v>
      </c>
      <c r="G29" s="74" t="str">
        <f>IF(1&lt;='Dataset for Meta-algorithm'!$C$12,IF(B29=1,IF(F29&gt;0,"✅ (+)","❌ (−)"),IF(F29&lt;0,"✅ (−)","❌ (+)")),"—")</f>
        <v>✅ (+)</v>
      </c>
      <c r="H29" s="74" t="str">
        <f>IF(C29=1,IF(1&lt;='Dataset for Meta-algorithm'!$C$12,IF(AND(LEFT(E29,1)="✅",LEFT(G29,1)="✅"),"✅","❌"),"✅"),"—")</f>
        <v>✅</v>
      </c>
      <c r="I29" s="74">
        <f>IF(C29=1,IF(1&lt;='Dataset for Meta-algorithm'!$C$12,IF(AND(D29=$C$6,IF(B29=1,F29&gt;0,F29&lt;0)),1,0),1),0)</f>
        <v>1</v>
      </c>
      <c r="X29" s="76">
        <f>IF(B29=1,I29,0)</f>
        <v>1</v>
      </c>
      <c r="Y29" s="76">
        <f>IF(B29=2,I29,0)</f>
        <v>0</v>
      </c>
    </row>
    <row r="30">
      <c r="A30" s="64" t="inlineStr">
        <is>
          <t xml:space="preserve">S₆</t>
        </is>
      </c>
      <c r="B30" s="68">
        <f>Dataset!O8</f>
        <v>1</v>
      </c>
      <c r="C30" s="74">
        <f>IF(B30=1,E15,F15)</f>
        <v>1</v>
      </c>
      <c r="D30" s="80">
        <f>'Brace for Meta-algorithm'!$C$10</f>
        <v>2</v>
      </c>
      <c r="E30" s="74" t="str">
        <f>IF(1&lt;='Dataset for Meta-algorithm'!$C$12,IF(D30=$C$6,"✅","❌"),"—")</f>
        <v>❌</v>
      </c>
      <c r="F30" s="94">
        <f>'Brace for Meta-algorithm'!$G$10</f>
        <v>0.260239514069589</v>
      </c>
      <c r="G30" s="74" t="str">
        <f>IF(1&lt;='Dataset for Meta-algorithm'!$C$12,IF(B30=1,IF(F30&gt;0,"✅ (+)","❌ (−)"),IF(F30&lt;0,"✅ (−)","❌ (+)")),"—")</f>
        <v>✅ (+)</v>
      </c>
      <c r="H30" s="74" t="str">
        <f>IF(C30=1,IF(1&lt;='Dataset for Meta-algorithm'!$C$12,IF(AND(LEFT(E30,1)="✅",LEFT(G30,1)="✅"),"✅","❌"),"✅"),"—")</f>
        <v>❌</v>
      </c>
      <c r="I30" s="74">
        <f>IF(C30=1,IF(1&lt;='Dataset for Meta-algorithm'!$C$12,IF(AND(D30=$C$6,IF(B30=1,F30&gt;0,F30&lt;0)),1,0),1),0)</f>
        <v>0</v>
      </c>
      <c r="X30" s="76">
        <f>IF(B30=1,I30,0)</f>
        <v>0</v>
      </c>
      <c r="Y30" s="76">
        <f>IF(B30=2,I30,0)</f>
        <v>0</v>
      </c>
    </row>
    <row r="31">
      <c r="A31" s="64" t="inlineStr">
        <is>
          <t xml:space="preserve">S₇</t>
        </is>
      </c>
      <c r="B31" s="68">
        <f>Dataset!O9</f>
        <v>2</v>
      </c>
      <c r="C31" s="74">
        <f>IF(B31=1,E16,F16)</f>
        <v>1</v>
      </c>
      <c r="D31" s="80">
        <f>'Brace for Meta-algorithm'!$C$11</f>
        <v>2</v>
      </c>
      <c r="E31" s="74" t="str">
        <f>IF(1&lt;='Dataset for Meta-algorithm'!$C$12,IF(D31=$C$6,"✅","❌"),"—")</f>
        <v>❌</v>
      </c>
      <c r="F31" s="94">
        <f>'Brace for Meta-algorithm'!$G$11</f>
        <v>-0.34973061286611</v>
      </c>
      <c r="G31" s="74" t="str">
        <f>IF(1&lt;='Dataset for Meta-algorithm'!$C$12,IF(B31=1,IF(F31&gt;0,"✅ (+)","❌ (−)"),IF(F31&lt;0,"✅ (−)","❌ (+)")),"—")</f>
        <v>✅ (−)</v>
      </c>
      <c r="H31" s="74" t="str">
        <f>IF(C31=1,IF(1&lt;='Dataset for Meta-algorithm'!$C$12,IF(AND(LEFT(E31,1)="✅",LEFT(G31,1)="✅"),"✅","❌"),"✅"),"—")</f>
        <v>❌</v>
      </c>
      <c r="I31" s="74">
        <f>IF(C31=1,IF(1&lt;='Dataset for Meta-algorithm'!$C$12,IF(AND(D31=$C$6,IF(B31=1,F31&gt;0,F31&lt;0)),1,0),1),0)</f>
        <v>0</v>
      </c>
      <c r="X31" s="76">
        <f>IF(B31=1,I31,0)</f>
        <v>0</v>
      </c>
      <c r="Y31" s="76">
        <f>IF(B31=2,I31,0)</f>
        <v>0</v>
      </c>
    </row>
    <row r="32">
      <c r="A32" s="64" t="inlineStr">
        <is>
          <t xml:space="preserve">S₈</t>
        </is>
      </c>
      <c r="B32" s="68">
        <f>Dataset!O10</f>
        <v>2</v>
      </c>
      <c r="C32" s="74">
        <f>IF(B32=1,E17,F17)</f>
        <v>1</v>
      </c>
      <c r="D32" s="80">
        <f>'Brace for Meta-algorithm'!$C$12</f>
        <v>2</v>
      </c>
      <c r="E32" s="74" t="str">
        <f>IF(1&lt;='Dataset for Meta-algorithm'!$C$12,IF(D32=$C$6,"✅","❌"),"—")</f>
        <v>❌</v>
      </c>
      <c r="F32" s="94">
        <f>'Brace for Meta-algorithm'!$G$12</f>
        <v>-0.34973061286611</v>
      </c>
      <c r="G32" s="74" t="str">
        <f>IF(1&lt;='Dataset for Meta-algorithm'!$C$12,IF(B32=1,IF(F32&gt;0,"✅ (+)","❌ (−)"),IF(F32&lt;0,"✅ (−)","❌ (+)")),"—")</f>
        <v>✅ (−)</v>
      </c>
      <c r="H32" s="74" t="str">
        <f>IF(C32=1,IF(1&lt;='Dataset for Meta-algorithm'!$C$12,IF(AND(LEFT(E32,1)="✅",LEFT(G32,1)="✅"),"✅","❌"),"✅"),"—")</f>
        <v>❌</v>
      </c>
      <c r="I32" s="74">
        <f>IF(C32=1,IF(1&lt;='Dataset for Meta-algorithm'!$C$12,IF(AND(D32=$C$6,IF(B32=1,F32&gt;0,F32&lt;0)),1,0),1),0)</f>
        <v>0</v>
      </c>
      <c r="X32" s="76">
        <f>IF(B32=1,I32,0)</f>
        <v>0</v>
      </c>
      <c r="Y32" s="76">
        <f>IF(B32=2,I32,0)</f>
        <v>0</v>
      </c>
    </row>
    <row r="33">
      <c r="A33" s="64" t="inlineStr">
        <is>
          <t xml:space="preserve">S₉</t>
        </is>
      </c>
      <c r="B33" s="68">
        <f>Dataset!O11</f>
        <v>2</v>
      </c>
      <c r="C33" s="74">
        <f>IF(B33=1,E18,F18)</f>
        <v>1</v>
      </c>
      <c r="D33" s="80">
        <f>'Brace for Meta-algorithm'!$C$13</f>
        <v>2</v>
      </c>
      <c r="E33" s="74" t="str">
        <f>IF(1&lt;='Dataset for Meta-algorithm'!$C$12,IF(D33=$C$6,"✅","❌"),"—")</f>
        <v>❌</v>
      </c>
      <c r="F33" s="94">
        <f>'Brace for Meta-algorithm'!$G$13</f>
        <v>-0.34973061286611</v>
      </c>
      <c r="G33" s="74" t="str">
        <f>IF(1&lt;='Dataset for Meta-algorithm'!$C$12,IF(B33=1,IF(F33&gt;0,"✅ (+)","❌ (−)"),IF(F33&lt;0,"✅ (−)","❌ (+)")),"—")</f>
        <v>✅ (−)</v>
      </c>
      <c r="H33" s="74" t="str">
        <f>IF(C33=1,IF(1&lt;='Dataset for Meta-algorithm'!$C$12,IF(AND(LEFT(E33,1)="✅",LEFT(G33,1)="✅"),"✅","❌"),"✅"),"—")</f>
        <v>❌</v>
      </c>
      <c r="I33" s="74">
        <f>IF(C33=1,IF(1&lt;='Dataset for Meta-algorithm'!$C$12,IF(AND(D33=$C$6,IF(B33=1,F33&gt;0,F33&lt;0)),1,0),1),0)</f>
        <v>0</v>
      </c>
      <c r="X33" s="76">
        <f>IF(B33=1,I33,0)</f>
        <v>0</v>
      </c>
      <c r="Y33" s="76">
        <f>IF(B33=2,I33,0)</f>
        <v>0</v>
      </c>
    </row>
    <row r="34">
      <c r="A34" s="64" t="inlineStr">
        <is>
          <t xml:space="preserve">S₁₀</t>
        </is>
      </c>
      <c r="B34" s="68">
        <f>Dataset!O12</f>
        <v>2</v>
      </c>
      <c r="C34" s="74">
        <f>IF(B34=1,E19,F19)</f>
        <v>1</v>
      </c>
      <c r="D34" s="80">
        <f>'Brace for Meta-algorithm'!$C$14</f>
        <v>2</v>
      </c>
      <c r="E34" s="74" t="str">
        <f>IF(1&lt;='Dataset for Meta-algorithm'!$C$12,IF(D34=$C$6,"✅","❌"),"—")</f>
        <v>❌</v>
      </c>
      <c r="F34" s="94">
        <f>'Brace for Meta-algorithm'!$G$14</f>
        <v>-0.34973061286611</v>
      </c>
      <c r="G34" s="74" t="str">
        <f>IF(1&lt;='Dataset for Meta-algorithm'!$C$12,IF(B34=1,IF(F34&gt;0,"✅ (+)","❌ (−)"),IF(F34&lt;0,"✅ (−)","❌ (+)")),"—")</f>
        <v>✅ (−)</v>
      </c>
      <c r="H34" s="74" t="str">
        <f>IF(C34=1,IF(1&lt;='Dataset for Meta-algorithm'!$C$12,IF(AND(LEFT(E34,1)="✅",LEFT(G34,1)="✅"),"✅","❌"),"✅"),"—")</f>
        <v>❌</v>
      </c>
      <c r="I34" s="74">
        <f>IF(C34=1,IF(1&lt;='Dataset for Meta-algorithm'!$C$12,IF(AND(D34=$C$6,IF(B34=1,F34&gt;0,F34&lt;0)),1,0),1),0)</f>
        <v>0</v>
      </c>
      <c r="X34" s="76">
        <f>IF(B34=1,I34,0)</f>
        <v>0</v>
      </c>
      <c r="Y34" s="76">
        <f>IF(B34=2,I34,0)</f>
        <v>0</v>
      </c>
    </row>
    <row r="35">
      <c r="A35" s="82" t="inlineStr">
        <is>
          <t xml:space="preserve">B1(a₁) =</t>
        </is>
      </c>
      <c r="B35" s="84" t="str">
        <f>IF((IF(X25=1,"S₁, ","")&amp;IF(X26=1,"S₂, ","")&amp;IF(X27=1,"S₃, ","")&amp;IF(X28=1,"S₄, ","")&amp;IF(X29=1,"S₅, ","")&amp;IF(X30=1,"S₆, ","")&amp;IF(X31=1,"S₇, ","")&amp;IF(X32=1,"S₈, ","")&amp;IF(X33=1,"S₉, ","")&amp;IF(X34=1,"S₁₀, ",""))="","∅","{"&amp;LEFT(IF(X25=1,"S₁, ","")&amp;IF(X26=1,"S₂, ","")&amp;IF(X27=1,"S₃, ","")&amp;IF(X28=1,"S₄, ","")&amp;IF(X29=1,"S₅, ","")&amp;IF(X30=1,"S₆, ","")&amp;IF(X31=1,"S₇, ","")&amp;IF(X32=1,"S₈, ","")&amp;IF(X33=1,"S₉, ","")&amp;IF(X34=1,"S₁₀, ",""),LEN(IF(X25=1,"S₁, ","")&amp;IF(X26=1,"S₂, ","")&amp;IF(X27=1,"S₃, ","")&amp;IF(X28=1,"S₄, ","")&amp;IF(X29=1,"S₅, ","")&amp;IF(X30=1,"S₆, ","")&amp;IF(X31=1,"S₇, ","")&amp;IF(X32=1,"S₈, ","")&amp;IF(X33=1,"S₉, ","")&amp;IF(X34=1,"S₁₀, ",""))-2)&amp;"}")</f>
        <v>{S₄, S₅}</v>
      </c>
      <c r="C35" s="84"/>
      <c r="D35" s="84"/>
      <c r="E35" s="82" t="inlineStr">
        <is>
          <t xml:space="preserve">B2(a₁) =</t>
        </is>
      </c>
      <c r="F35" s="84" t="str">
        <f>IF((IF(Y25=1,"S₁, ","")&amp;IF(Y26=1,"S₂, ","")&amp;IF(Y27=1,"S₃, ","")&amp;IF(Y28=1,"S₄, ","")&amp;IF(Y29=1,"S₅, ","")&amp;IF(Y30=1,"S₆, ","")&amp;IF(Y31=1,"S₇, ","")&amp;IF(Y32=1,"S₈, ","")&amp;IF(Y33=1,"S₉, ","")&amp;IF(Y34=1,"S₁₀, ",""))="","∅","{"&amp;LEFT(IF(Y25=1,"S₁, ","")&amp;IF(Y26=1,"S₂, ","")&amp;IF(Y27=1,"S₃, ","")&amp;IF(Y28=1,"S₄, ","")&amp;IF(Y29=1,"S₅, ","")&amp;IF(Y30=1,"S₆, ","")&amp;IF(Y31=1,"S₇, ","")&amp;IF(Y32=1,"S₈, ","")&amp;IF(Y33=1,"S₉, ","")&amp;IF(Y34=1,"S₁₀, ",""),LEN(IF(Y25=1,"S₁, ","")&amp;IF(Y26=1,"S₂, ","")&amp;IF(Y27=1,"S₃, ","")&amp;IF(Y28=1,"S₄, ","")&amp;IF(Y29=1,"S₅, ","")&amp;IF(Y30=1,"S₆, ","")&amp;IF(Y31=1,"S₇, ","")&amp;IF(Y32=1,"S₈, ","")&amp;IF(Y33=1,"S₉, ","")&amp;IF(Y34=1,"S₁₀, ",""))-2)&amp;"}")</f>
        <v>∅</v>
      </c>
      <c r="G35" s="84"/>
      <c r="H35" s="84"/>
      <c r="I35" s="84"/>
      <c r="J35" s="84"/>
    </row>
    <row r="36">
      <c r="A36" s="82" t="inlineStr">
        <is>
          <t xml:space="preserve">Step 3 · j &lt; p ?</t>
        </is>
      </c>
      <c r="B36" s="96" t="str">
        <f>IF(1&lt;'Dataset for Meta-algorithm'!$C$12,"Go back to Step 2",IF(1&lt;='Dataset for Meta-algorithm'!$C$12,"Go to Step 4","— (j &gt; p: not executed)"))</f>
        <v>Go back to Step 2</v>
      </c>
      <c r="C36" s="96"/>
      <c r="D36" s="96"/>
      <c r="E36" s="96"/>
    </row>
    <row r="37"/>
    <row r="38">
      <c r="A38" s="58" t="inlineStr">
        <is>
          <t xml:space="preserve">Step 2 · j = 2:   B1(a₂) = {Sᵢ ∈ B1(a₁) | a₂ = aᵢ₂, dᵢ₂ &gt; 0},   B2(a₂) = {Sᵢ ∈ B2(a₁) | a₂ = aᵢ₂, dᵢ₂ &lt; 0}</t>
        </is>
      </c>
      <c r="B38" s="58"/>
      <c r="C38" s="58"/>
      <c r="D38" s="58"/>
      <c r="E38" s="58"/>
      <c r="F38" s="58"/>
      <c r="G38" s="58"/>
      <c r="H38" s="58"/>
      <c r="I38" s="58"/>
      <c r="J38" s="58"/>
    </row>
    <row r="39">
      <c r="A39" s="60" t="inlineStr">
        <is>
          <t xml:space="preserve">№</t>
        </is>
      </c>
      <c r="B39" s="60" t="inlineStr">
        <is>
          <t xml:space="preserve">Class</t>
        </is>
      </c>
      <c r="C39" s="60" t="inlineStr">
        <is>
          <t xml:space="preserve">in B before</t>
        </is>
      </c>
      <c r="D39" s="60" t="inlineStr">
        <is>
          <t xml:space="preserve">aᵢ₂</t>
        </is>
      </c>
      <c r="E39" s="60" t="inlineStr">
        <is>
          <t xml:space="preserve">a₂ = aᵢ₂ ?</t>
        </is>
      </c>
      <c r="F39" s="60" t="inlineStr">
        <is>
          <t xml:space="preserve">dᵢ₂</t>
        </is>
      </c>
      <c r="G39" s="60" t="inlineStr">
        <is>
          <t xml:space="preserve">latent sign</t>
        </is>
      </c>
      <c r="H39" s="60" t="inlineStr">
        <is>
          <t xml:space="preserve">keep?</t>
        </is>
      </c>
      <c r="I39" s="60" t="inlineStr">
        <is>
          <t xml:space="preserve">in B after</t>
        </is>
      </c>
      <c r="J39" s="90">
        <f>IF(2&lt;='Dataset for Meta-algorithm'!$C$12,1,0)</f>
        <v>1</v>
      </c>
    </row>
    <row r="40">
      <c r="A40" s="64" t="inlineStr">
        <is>
          <t xml:space="preserve">S₁</t>
        </is>
      </c>
      <c r="B40" s="68">
        <f>Dataset!O3</f>
        <v>2</v>
      </c>
      <c r="C40" s="74">
        <f>IF(B40=1,X25,Y25)</f>
        <v>0</v>
      </c>
      <c r="D40" s="80">
        <f>'Brace for Meta-algorithm'!$D$5</f>
        <v>2</v>
      </c>
      <c r="E40" s="74" t="str">
        <f>IF(2&lt;='Dataset for Meta-algorithm'!$C$12,IF(D40=$D$6,"✅","❌"),"—")</f>
        <v>✅</v>
      </c>
      <c r="F40" s="94">
        <f>'Brace for Meta-algorithm'!$H$5</f>
        <v>-0.00853863373958766</v>
      </c>
      <c r="G40" s="74" t="str">
        <f>IF(2&lt;='Dataset for Meta-algorithm'!$C$12,IF(B40=1,IF(F40&gt;0,"✅ (+)","❌ (−)"),IF(F40&lt;0,"✅ (−)","❌ (+)")),"—")</f>
        <v>✅ (−)</v>
      </c>
      <c r="H40" s="74" t="str">
        <f>IF(C40=1,IF(2&lt;='Dataset for Meta-algorithm'!$C$12,IF(AND(LEFT(E40,1)="✅",LEFT(G40,1)="✅"),"✅","❌"),"✅"),"—")</f>
        <v>—</v>
      </c>
      <c r="I40" s="74">
        <f>IF(C40=1,IF(2&lt;='Dataset for Meta-algorithm'!$C$12,IF(AND(D40=$D$6,IF(B40=1,F40&gt;0,F40&lt;0)),1,0),1),0)</f>
        <v>0</v>
      </c>
      <c r="X40" s="76">
        <f>IF(B40=1,I40,0)</f>
        <v>0</v>
      </c>
      <c r="Y40" s="76">
        <f>IF(B40=2,I40,0)</f>
        <v>0</v>
      </c>
    </row>
    <row r="41">
      <c r="A41" s="64" t="inlineStr">
        <is>
          <t xml:space="preserve">S₂</t>
        </is>
      </c>
      <c r="B41" s="68">
        <f>Dataset!O4</f>
        <v>1</v>
      </c>
      <c r="C41" s="74">
        <f>IF(B41=1,X26,Y26)</f>
        <v>0</v>
      </c>
      <c r="D41" s="80">
        <f>'Brace for Meta-algorithm'!$D$6</f>
        <v>2</v>
      </c>
      <c r="E41" s="74" t="str">
        <f>IF(2&lt;='Dataset for Meta-algorithm'!$C$12,IF(D41=$D$6,"✅","❌"),"—")</f>
        <v>✅</v>
      </c>
      <c r="F41" s="94">
        <f>'Brace for Meta-algorithm'!$H$6</f>
        <v>0.641058270440647</v>
      </c>
      <c r="G41" s="74" t="str">
        <f>IF(2&lt;='Dataset for Meta-algorithm'!$C$12,IF(B41=1,IF(F41&gt;0,"✅ (+)","❌ (−)"),IF(F41&lt;0,"✅ (−)","❌ (+)")),"—")</f>
        <v>✅ (+)</v>
      </c>
      <c r="H41" s="74" t="str">
        <f>IF(C41=1,IF(2&lt;='Dataset for Meta-algorithm'!$C$12,IF(AND(LEFT(E41,1)="✅",LEFT(G41,1)="✅"),"✅","❌"),"✅"),"—")</f>
        <v>—</v>
      </c>
      <c r="I41" s="74">
        <f>IF(C41=1,IF(2&lt;='Dataset for Meta-algorithm'!$C$12,IF(AND(D41=$D$6,IF(B41=1,F41&gt;0,F41&lt;0)),1,0),1),0)</f>
        <v>0</v>
      </c>
      <c r="X41" s="76">
        <f>IF(B41=1,I41,0)</f>
        <v>0</v>
      </c>
      <c r="Y41" s="76">
        <f>IF(B41=2,I41,0)</f>
        <v>0</v>
      </c>
    </row>
    <row r="42">
      <c r="A42" s="64" t="inlineStr">
        <is>
          <t xml:space="preserve">S₃</t>
        </is>
      </c>
      <c r="B42" s="68">
        <f>Dataset!O5</f>
        <v>2</v>
      </c>
      <c r="C42" s="74">
        <f>IF(B42=1,X27,Y27)</f>
        <v>0</v>
      </c>
      <c r="D42" s="80">
        <f>'Brace for Meta-algorithm'!$D$7</f>
        <v>1</v>
      </c>
      <c r="E42" s="74" t="str">
        <f>IF(2&lt;='Dataset for Meta-algorithm'!$C$12,IF(D42=$D$6,"✅","❌"),"—")</f>
        <v>❌</v>
      </c>
      <c r="F42" s="94">
        <f>'Brace for Meta-algorithm'!$H$7</f>
        <v>-1.32080100458638</v>
      </c>
      <c r="G42" s="74" t="str">
        <f>IF(2&lt;='Dataset for Meta-algorithm'!$C$12,IF(B42=1,IF(F42&gt;0,"✅ (+)","❌ (−)"),IF(F42&lt;0,"✅ (−)","❌ (+)")),"—")</f>
        <v>✅ (−)</v>
      </c>
      <c r="H42" s="74" t="str">
        <f>IF(C42=1,IF(2&lt;='Dataset for Meta-algorithm'!$C$12,IF(AND(LEFT(E42,1)="✅",LEFT(G42,1)="✅"),"✅","❌"),"✅"),"—")</f>
        <v>—</v>
      </c>
      <c r="I42" s="74">
        <f>IF(C42=1,IF(2&lt;='Dataset for Meta-algorithm'!$C$12,IF(AND(D42=$D$6,IF(B42=1,F42&gt;0,F42&lt;0)),1,0),1),0)</f>
        <v>0</v>
      </c>
      <c r="X42" s="76">
        <f>IF(B42=1,I42,0)</f>
        <v>0</v>
      </c>
      <c r="Y42" s="76">
        <f>IF(B42=2,I42,0)</f>
        <v>0</v>
      </c>
    </row>
    <row r="43">
      <c r="A43" s="64" t="inlineStr">
        <is>
          <t xml:space="preserve">S₄</t>
        </is>
      </c>
      <c r="B43" s="68">
        <f>Dataset!O6</f>
        <v>1</v>
      </c>
      <c r="C43" s="74">
        <f>IF(B43=1,X28,Y28)</f>
        <v>1</v>
      </c>
      <c r="D43" s="80">
        <f>'Brace for Meta-algorithm'!$D$8</f>
        <v>2</v>
      </c>
      <c r="E43" s="74" t="str">
        <f>IF(2&lt;='Dataset for Meta-algorithm'!$C$12,IF(D43=$D$6,"✅","❌"),"—")</f>
        <v>✅</v>
      </c>
      <c r="F43" s="94">
        <f>'Brace for Meta-algorithm'!$H$8</f>
        <v>0.939357074977029</v>
      </c>
      <c r="G43" s="74" t="str">
        <f>IF(2&lt;='Dataset for Meta-algorithm'!$C$12,IF(B43=1,IF(F43&gt;0,"✅ (+)","❌ (−)"),IF(F43&lt;0,"✅ (−)","❌ (+)")),"—")</f>
        <v>✅ (+)</v>
      </c>
      <c r="H43" s="74" t="str">
        <f>IF(C43=1,IF(2&lt;='Dataset for Meta-algorithm'!$C$12,IF(AND(LEFT(E43,1)="✅",LEFT(G43,1)="✅"),"✅","❌"),"✅"),"—")</f>
        <v>✅</v>
      </c>
      <c r="I43" s="74">
        <f>IF(C43=1,IF(2&lt;='Dataset for Meta-algorithm'!$C$12,IF(AND(D43=$D$6,IF(B43=1,F43&gt;0,F43&lt;0)),1,0),1),0)</f>
        <v>1</v>
      </c>
      <c r="X43" s="76">
        <f>IF(B43=1,I43,0)</f>
        <v>1</v>
      </c>
      <c r="Y43" s="76">
        <f>IF(B43=2,I43,0)</f>
        <v>0</v>
      </c>
    </row>
    <row r="44">
      <c r="A44" s="64" t="inlineStr">
        <is>
          <t xml:space="preserve">S₅</t>
        </is>
      </c>
      <c r="B44" s="68">
        <f>Dataset!O7</f>
        <v>1</v>
      </c>
      <c r="C44" s="74">
        <f>IF(B44=1,X29,Y29)</f>
        <v>1</v>
      </c>
      <c r="D44" s="80">
        <f>'Brace for Meta-algorithm'!$D$9</f>
        <v>2</v>
      </c>
      <c r="E44" s="74" t="str">
        <f>IF(2&lt;='Dataset for Meta-algorithm'!$C$12,IF(D44=$D$6,"✅","❌"),"—")</f>
        <v>✅</v>
      </c>
      <c r="F44" s="94">
        <f>'Brace for Meta-algorithm'!$H$9</f>
        <v>0.939357074977029</v>
      </c>
      <c r="G44" s="74" t="str">
        <f>IF(2&lt;='Dataset for Meta-algorithm'!$C$12,IF(B44=1,IF(F44&gt;0,"✅ (+)","❌ (−)"),IF(F44&lt;0,"✅ (−)","❌ (+)")),"—")</f>
        <v>✅ (+)</v>
      </c>
      <c r="H44" s="74" t="str">
        <f>IF(C44=1,IF(2&lt;='Dataset for Meta-algorithm'!$C$12,IF(AND(LEFT(E44,1)="✅",LEFT(G44,1)="✅"),"✅","❌"),"✅"),"—")</f>
        <v>✅</v>
      </c>
      <c r="I44" s="74">
        <f>IF(C44=1,IF(2&lt;='Dataset for Meta-algorithm'!$C$12,IF(AND(D44=$D$6,IF(B44=1,F44&gt;0,F44&lt;0)),1,0),1),0)</f>
        <v>1</v>
      </c>
      <c r="X44" s="76">
        <f>IF(B44=1,I44,0)</f>
        <v>1</v>
      </c>
      <c r="Y44" s="76">
        <f>IF(B44=2,I44,0)</f>
        <v>0</v>
      </c>
    </row>
    <row r="45">
      <c r="A45" s="64" t="inlineStr">
        <is>
          <t xml:space="preserve">S₆</t>
        </is>
      </c>
      <c r="B45" s="68">
        <f>Dataset!O8</f>
        <v>1</v>
      </c>
      <c r="C45" s="74">
        <f>IF(B45=1,X30,Y30)</f>
        <v>0</v>
      </c>
      <c r="D45" s="80">
        <f>'Brace for Meta-algorithm'!$D$10</f>
        <v>2</v>
      </c>
      <c r="E45" s="74" t="str">
        <f>IF(2&lt;='Dataset for Meta-algorithm'!$C$12,IF(D45=$D$6,"✅","❌"),"—")</f>
        <v>✅</v>
      </c>
      <c r="F45" s="94">
        <f>'Brace for Meta-algorithm'!$H$10</f>
        <v>0.641058270440647</v>
      </c>
      <c r="G45" s="74" t="str">
        <f>IF(2&lt;='Dataset for Meta-algorithm'!$C$12,IF(B45=1,IF(F45&gt;0,"✅ (+)","❌ (−)"),IF(F45&lt;0,"✅ (−)","❌ (+)")),"—")</f>
        <v>✅ (+)</v>
      </c>
      <c r="H45" s="74" t="str">
        <f>IF(C45=1,IF(2&lt;='Dataset for Meta-algorithm'!$C$12,IF(AND(LEFT(E45,1)="✅",LEFT(G45,1)="✅"),"✅","❌"),"✅"),"—")</f>
        <v>—</v>
      </c>
      <c r="I45" s="74">
        <f>IF(C45=1,IF(2&lt;='Dataset for Meta-algorithm'!$C$12,IF(AND(D45=$D$6,IF(B45=1,F45&gt;0,F45&lt;0)),1,0),1),0)</f>
        <v>0</v>
      </c>
      <c r="X45" s="76">
        <f>IF(B45=1,I45,0)</f>
        <v>0</v>
      </c>
      <c r="Y45" s="76">
        <f>IF(B45=2,I45,0)</f>
        <v>0</v>
      </c>
    </row>
    <row r="46">
      <c r="A46" s="64" t="inlineStr">
        <is>
          <t xml:space="preserve">S₇</t>
        </is>
      </c>
      <c r="B46" s="68">
        <f>Dataset!O9</f>
        <v>2</v>
      </c>
      <c r="C46" s="74">
        <f>IF(B46=1,X31,Y31)</f>
        <v>0</v>
      </c>
      <c r="D46" s="80">
        <f>'Brace for Meta-algorithm'!$D$11</f>
        <v>2</v>
      </c>
      <c r="E46" s="74" t="str">
        <f>IF(2&lt;='Dataset for Meta-algorithm'!$C$12,IF(D46=$D$6,"✅","❌"),"—")</f>
        <v>✅</v>
      </c>
      <c r="F46" s="94">
        <f>'Brace for Meta-algorithm'!$H$11</f>
        <v>-0.541711272743112</v>
      </c>
      <c r="G46" s="74" t="str">
        <f>IF(2&lt;='Dataset for Meta-algorithm'!$C$12,IF(B46=1,IF(F46&gt;0,"✅ (+)","❌ (−)"),IF(F46&lt;0,"✅ (−)","❌ (+)")),"—")</f>
        <v>✅ (−)</v>
      </c>
      <c r="H46" s="74" t="str">
        <f>IF(C46=1,IF(2&lt;='Dataset for Meta-algorithm'!$C$12,IF(AND(LEFT(E46,1)="✅",LEFT(G46,1)="✅"),"✅","❌"),"✅"),"—")</f>
        <v>—</v>
      </c>
      <c r="I46" s="74">
        <f>IF(C46=1,IF(2&lt;='Dataset for Meta-algorithm'!$C$12,IF(AND(D46=$D$6,IF(B46=1,F46&gt;0,F46&lt;0)),1,0),1),0)</f>
        <v>0</v>
      </c>
      <c r="X46" s="76">
        <f>IF(B46=1,I46,0)</f>
        <v>0</v>
      </c>
      <c r="Y46" s="76">
        <f>IF(B46=2,I46,0)</f>
        <v>0</v>
      </c>
    </row>
    <row r="47">
      <c r="A47" s="64" t="inlineStr">
        <is>
          <t xml:space="preserve">S₈</t>
        </is>
      </c>
      <c r="B47" s="68">
        <f>Dataset!O10</f>
        <v>2</v>
      </c>
      <c r="C47" s="74">
        <f>IF(B47=1,X32,Y32)</f>
        <v>0</v>
      </c>
      <c r="D47" s="80">
        <f>'Brace for Meta-algorithm'!$D$12</f>
        <v>2</v>
      </c>
      <c r="E47" s="74" t="str">
        <f>IF(2&lt;='Dataset for Meta-algorithm'!$C$12,IF(D47=$D$6,"✅","❌"),"—")</f>
        <v>✅</v>
      </c>
      <c r="F47" s="94">
        <f>'Brace for Meta-algorithm'!$H$12</f>
        <v>-0.541711272743112</v>
      </c>
      <c r="G47" s="74" t="str">
        <f>IF(2&lt;='Dataset for Meta-algorithm'!$C$12,IF(B47=1,IF(F47&gt;0,"✅ (+)","❌ (−)"),IF(F47&lt;0,"✅ (−)","❌ (+)")),"—")</f>
        <v>✅ (−)</v>
      </c>
      <c r="H47" s="74" t="str">
        <f>IF(C47=1,IF(2&lt;='Dataset for Meta-algorithm'!$C$12,IF(AND(LEFT(E47,1)="✅",LEFT(G47,1)="✅"),"✅","❌"),"✅"),"—")</f>
        <v>—</v>
      </c>
      <c r="I47" s="74">
        <f>IF(C47=1,IF(2&lt;='Dataset for Meta-algorithm'!$C$12,IF(AND(D47=$D$6,IF(B47=1,F47&gt;0,F47&lt;0)),1,0),1),0)</f>
        <v>0</v>
      </c>
      <c r="X47" s="76">
        <f>IF(B47=1,I47,0)</f>
        <v>0</v>
      </c>
      <c r="Y47" s="76">
        <f>IF(B47=2,I47,0)</f>
        <v>0</v>
      </c>
    </row>
    <row r="48">
      <c r="A48" s="64" t="inlineStr">
        <is>
          <t xml:space="preserve">S₉</t>
        </is>
      </c>
      <c r="B48" s="68">
        <f>Dataset!O11</f>
        <v>2</v>
      </c>
      <c r="C48" s="74">
        <f>IF(B48=1,X33,Y33)</f>
        <v>0</v>
      </c>
      <c r="D48" s="80">
        <f>'Brace for Meta-algorithm'!$D$13</f>
        <v>2</v>
      </c>
      <c r="E48" s="74" t="str">
        <f>IF(2&lt;='Dataset for Meta-algorithm'!$C$12,IF(D48=$D$6,"✅","❌"),"—")</f>
        <v>✅</v>
      </c>
      <c r="F48" s="94">
        <f>'Brace for Meta-algorithm'!$H$13</f>
        <v>-0.541711272743112</v>
      </c>
      <c r="G48" s="74" t="str">
        <f>IF(2&lt;='Dataset for Meta-algorithm'!$C$12,IF(B48=1,IF(F48&gt;0,"✅ (+)","❌ (−)"),IF(F48&lt;0,"✅ (−)","❌ (+)")),"—")</f>
        <v>✅ (−)</v>
      </c>
      <c r="H48" s="74" t="str">
        <f>IF(C48=1,IF(2&lt;='Dataset for Meta-algorithm'!$C$12,IF(AND(LEFT(E48,1)="✅",LEFT(G48,1)="✅"),"✅","❌"),"✅"),"—")</f>
        <v>—</v>
      </c>
      <c r="I48" s="74">
        <f>IF(C48=1,IF(2&lt;='Dataset for Meta-algorithm'!$C$12,IF(AND(D48=$D$6,IF(B48=1,F48&gt;0,F48&lt;0)),1,0),1),0)</f>
        <v>0</v>
      </c>
      <c r="X48" s="76">
        <f>IF(B48=1,I48,0)</f>
        <v>0</v>
      </c>
      <c r="Y48" s="76">
        <f>IF(B48=2,I48,0)</f>
        <v>0</v>
      </c>
    </row>
    <row r="49">
      <c r="A49" s="64" t="inlineStr">
        <is>
          <t xml:space="preserve">S₁₀</t>
        </is>
      </c>
      <c r="B49" s="68">
        <f>Dataset!O12</f>
        <v>2</v>
      </c>
      <c r="C49" s="74">
        <f>IF(B49=1,X34,Y34)</f>
        <v>0</v>
      </c>
      <c r="D49" s="80">
        <f>'Brace for Meta-algorithm'!$D$14</f>
        <v>2</v>
      </c>
      <c r="E49" s="74" t="str">
        <f>IF(2&lt;='Dataset for Meta-algorithm'!$C$12,IF(D49=$D$6,"✅","❌"),"—")</f>
        <v>✅</v>
      </c>
      <c r="F49" s="94">
        <f>'Brace for Meta-algorithm'!$H$14</f>
        <v>-0.541711272743112</v>
      </c>
      <c r="G49" s="74" t="str">
        <f>IF(2&lt;='Dataset for Meta-algorithm'!$C$12,IF(B49=1,IF(F49&gt;0,"✅ (+)","❌ (−)"),IF(F49&lt;0,"✅ (−)","❌ (+)")),"—")</f>
        <v>✅ (−)</v>
      </c>
      <c r="H49" s="74" t="str">
        <f>IF(C49=1,IF(2&lt;='Dataset for Meta-algorithm'!$C$12,IF(AND(LEFT(E49,1)="✅",LEFT(G49,1)="✅"),"✅","❌"),"✅"),"—")</f>
        <v>—</v>
      </c>
      <c r="I49" s="74">
        <f>IF(C49=1,IF(2&lt;='Dataset for Meta-algorithm'!$C$12,IF(AND(D49=$D$6,IF(B49=1,F49&gt;0,F49&lt;0)),1,0),1),0)</f>
        <v>0</v>
      </c>
      <c r="X49" s="76">
        <f>IF(B49=1,I49,0)</f>
        <v>0</v>
      </c>
      <c r="Y49" s="76">
        <f>IF(B49=2,I49,0)</f>
        <v>0</v>
      </c>
    </row>
    <row r="50">
      <c r="A50" s="82" t="inlineStr">
        <is>
          <t xml:space="preserve">B1(a₂) =</t>
        </is>
      </c>
      <c r="B50" s="84" t="str">
        <f>IF((IF(X40=1,"S₁, ","")&amp;IF(X41=1,"S₂, ","")&amp;IF(X42=1,"S₃, ","")&amp;IF(X43=1,"S₄, ","")&amp;IF(X44=1,"S₅, ","")&amp;IF(X45=1,"S₆, ","")&amp;IF(X46=1,"S₇, ","")&amp;IF(X47=1,"S₈, ","")&amp;IF(X48=1,"S₉, ","")&amp;IF(X49=1,"S₁₀, ",""))="","∅","{"&amp;LEFT(IF(X40=1,"S₁, ","")&amp;IF(X41=1,"S₂, ","")&amp;IF(X42=1,"S₃, ","")&amp;IF(X43=1,"S₄, ","")&amp;IF(X44=1,"S₅, ","")&amp;IF(X45=1,"S₆, ","")&amp;IF(X46=1,"S₇, ","")&amp;IF(X47=1,"S₈, ","")&amp;IF(X48=1,"S₉, ","")&amp;IF(X49=1,"S₁₀, ",""),LEN(IF(X40=1,"S₁, ","")&amp;IF(X41=1,"S₂, ","")&amp;IF(X42=1,"S₃, ","")&amp;IF(X43=1,"S₄, ","")&amp;IF(X44=1,"S₅, ","")&amp;IF(X45=1,"S₆, ","")&amp;IF(X46=1,"S₇, ","")&amp;IF(X47=1,"S₈, ","")&amp;IF(X48=1,"S₉, ","")&amp;IF(X49=1,"S₁₀, ",""))-2)&amp;"}")</f>
        <v>{S₄, S₅}</v>
      </c>
      <c r="C50" s="84"/>
      <c r="D50" s="84"/>
      <c r="E50" s="82" t="inlineStr">
        <is>
          <t xml:space="preserve">B2(a₂) =</t>
        </is>
      </c>
      <c r="F50" s="84" t="str">
        <f>IF((IF(Y40=1,"S₁, ","")&amp;IF(Y41=1,"S₂, ","")&amp;IF(Y42=1,"S₃, ","")&amp;IF(Y43=1,"S₄, ","")&amp;IF(Y44=1,"S₅, ","")&amp;IF(Y45=1,"S₆, ","")&amp;IF(Y46=1,"S₇, ","")&amp;IF(Y47=1,"S₈, ","")&amp;IF(Y48=1,"S₉, ","")&amp;IF(Y49=1,"S₁₀, ",""))="","∅","{"&amp;LEFT(IF(Y40=1,"S₁, ","")&amp;IF(Y41=1,"S₂, ","")&amp;IF(Y42=1,"S₃, ","")&amp;IF(Y43=1,"S₄, ","")&amp;IF(Y44=1,"S₅, ","")&amp;IF(Y45=1,"S₆, ","")&amp;IF(Y46=1,"S₇, ","")&amp;IF(Y47=1,"S₈, ","")&amp;IF(Y48=1,"S₉, ","")&amp;IF(Y49=1,"S₁₀, ",""),LEN(IF(Y40=1,"S₁, ","")&amp;IF(Y41=1,"S₂, ","")&amp;IF(Y42=1,"S₃, ","")&amp;IF(Y43=1,"S₄, ","")&amp;IF(Y44=1,"S₅, ","")&amp;IF(Y45=1,"S₆, ","")&amp;IF(Y46=1,"S₇, ","")&amp;IF(Y47=1,"S₈, ","")&amp;IF(Y48=1,"S₉, ","")&amp;IF(Y49=1,"S₁₀, ",""))-2)&amp;"}")</f>
        <v>∅</v>
      </c>
      <c r="G50" s="84"/>
      <c r="H50" s="84"/>
      <c r="I50" s="84"/>
      <c r="J50" s="84"/>
    </row>
    <row r="51">
      <c r="A51" s="82" t="inlineStr">
        <is>
          <t xml:space="preserve">Step 3 · j &lt; p ?</t>
        </is>
      </c>
      <c r="B51" s="96" t="str">
        <f>IF(2&lt;'Dataset for Meta-algorithm'!$C$12,"Go back to Step 2",IF(2&lt;='Dataset for Meta-algorithm'!$C$12,"Go to Step 4","— (j &gt; p: not executed)"))</f>
        <v>Go back to Step 2</v>
      </c>
      <c r="C51" s="96"/>
      <c r="D51" s="96"/>
      <c r="E51" s="96"/>
    </row>
    <row r="52"/>
    <row r="53">
      <c r="A53" s="58" t="inlineStr">
        <is>
          <t xml:space="preserve">Step 2 · j = 3:   B1(a₃) = {Sᵢ ∈ B1(a₂) | a₃ = aᵢ₃, dᵢ₃ &gt; 0},   B2(a₃) = {Sᵢ ∈ B2(a₂) | a₃ = aᵢ₃, dᵢ₃ &lt; 0}</t>
        </is>
      </c>
      <c r="B53" s="58"/>
      <c r="C53" s="58"/>
      <c r="D53" s="58"/>
      <c r="E53" s="58"/>
      <c r="F53" s="58"/>
      <c r="G53" s="58"/>
      <c r="H53" s="58"/>
      <c r="I53" s="58"/>
      <c r="J53" s="58"/>
    </row>
    <row r="54">
      <c r="A54" s="60" t="inlineStr">
        <is>
          <t xml:space="preserve">№</t>
        </is>
      </c>
      <c r="B54" s="60" t="inlineStr">
        <is>
          <t xml:space="preserve">Class</t>
        </is>
      </c>
      <c r="C54" s="60" t="inlineStr">
        <is>
          <t xml:space="preserve">in B before</t>
        </is>
      </c>
      <c r="D54" s="60" t="inlineStr">
        <is>
          <t xml:space="preserve">aᵢ₃</t>
        </is>
      </c>
      <c r="E54" s="60" t="inlineStr">
        <is>
          <t xml:space="preserve">a₃ = aᵢ₃ ?</t>
        </is>
      </c>
      <c r="F54" s="60" t="inlineStr">
        <is>
          <t xml:space="preserve">dᵢ₃</t>
        </is>
      </c>
      <c r="G54" s="60" t="inlineStr">
        <is>
          <t xml:space="preserve">latent sign</t>
        </is>
      </c>
      <c r="H54" s="60" t="inlineStr">
        <is>
          <t xml:space="preserve">keep?</t>
        </is>
      </c>
      <c r="I54" s="60" t="inlineStr">
        <is>
          <t xml:space="preserve">in B after</t>
        </is>
      </c>
      <c r="J54" s="90">
        <f>IF(3&lt;='Dataset for Meta-algorithm'!$C$12,1,0)</f>
        <v>1</v>
      </c>
    </row>
    <row r="55">
      <c r="A55" s="64" t="inlineStr">
        <is>
          <t xml:space="preserve">S₁</t>
        </is>
      </c>
      <c r="B55" s="68">
        <f>Dataset!O3</f>
        <v>2</v>
      </c>
      <c r="C55" s="74">
        <f>IF(B55=1,X40,Y40)</f>
        <v>0</v>
      </c>
      <c r="D55" s="80">
        <f>'Brace for Meta-algorithm'!$E$5</f>
        <v>2</v>
      </c>
      <c r="E55" s="74" t="str">
        <f>IF(3&lt;='Dataset for Meta-algorithm'!$C$12,IF(D55=$E$6,"✅","❌"),"—")</f>
        <v>✅</v>
      </c>
      <c r="F55" s="94">
        <f>'Brace for Meta-algorithm'!$I$5</f>
        <v>-0.147792690313897</v>
      </c>
      <c r="G55" s="74" t="str">
        <f>IF(3&lt;='Dataset for Meta-algorithm'!$C$12,IF(B55=1,IF(F55&gt;0,"✅ (+)","❌ (−)"),IF(F55&lt;0,"✅ (−)","❌ (+)")),"—")</f>
        <v>✅ (−)</v>
      </c>
      <c r="H55" s="74" t="str">
        <f>IF(C55=1,IF(3&lt;='Dataset for Meta-algorithm'!$C$12,IF(AND(LEFT(E55,1)="✅",LEFT(G55,1)="✅"),"✅","❌"),"✅"),"—")</f>
        <v>—</v>
      </c>
      <c r="I55" s="74">
        <f>IF(C55=1,IF(3&lt;='Dataset for Meta-algorithm'!$C$12,IF(AND(D55=$E$6,IF(B55=1,F55&gt;0,F55&lt;0)),1,0),1),0)</f>
        <v>0</v>
      </c>
      <c r="X55" s="76">
        <f>IF(B55=1,I55,0)</f>
        <v>0</v>
      </c>
      <c r="Y55" s="76">
        <f>IF(B55=2,I55,0)</f>
        <v>0</v>
      </c>
    </row>
    <row r="56">
      <c r="A56" s="64" t="inlineStr">
        <is>
          <t xml:space="preserve">S₂</t>
        </is>
      </c>
      <c r="B56" s="68">
        <f>Dataset!O4</f>
        <v>1</v>
      </c>
      <c r="C56" s="74">
        <f>IF(B56=1,X41,Y41)</f>
        <v>0</v>
      </c>
      <c r="D56" s="80">
        <f>'Brace for Meta-algorithm'!$E$6</f>
        <v>2</v>
      </c>
      <c r="E56" s="74" t="str">
        <f>IF(3&lt;='Dataset for Meta-algorithm'!$C$12,IF(D56=$E$6,"✅","❌"),"—")</f>
        <v>✅</v>
      </c>
      <c r="F56" s="94">
        <f>'Brace for Meta-algorithm'!$I$6</f>
        <v>0.972305825213487</v>
      </c>
      <c r="G56" s="74" t="str">
        <f>IF(3&lt;='Dataset for Meta-algorithm'!$C$12,IF(B56=1,IF(F56&gt;0,"✅ (+)","❌ (−)"),IF(F56&lt;0,"✅ (−)","❌ (+)")),"—")</f>
        <v>✅ (+)</v>
      </c>
      <c r="H56" s="74" t="str">
        <f>IF(C56=1,IF(3&lt;='Dataset for Meta-algorithm'!$C$12,IF(AND(LEFT(E56,1)="✅",LEFT(G56,1)="✅"),"✅","❌"),"✅"),"—")</f>
        <v>—</v>
      </c>
      <c r="I56" s="74">
        <f>IF(C56=1,IF(3&lt;='Dataset for Meta-algorithm'!$C$12,IF(AND(D56=$E$6,IF(B56=1,F56&gt;0,F56&lt;0)),1,0),1),0)</f>
        <v>0</v>
      </c>
      <c r="X56" s="76">
        <f>IF(B56=1,I56,0)</f>
        <v>0</v>
      </c>
      <c r="Y56" s="76">
        <f>IF(B56=2,I56,0)</f>
        <v>0</v>
      </c>
    </row>
    <row r="57">
      <c r="A57" s="64" t="inlineStr">
        <is>
          <t xml:space="preserve">S₃</t>
        </is>
      </c>
      <c r="B57" s="68">
        <f>Dataset!O5</f>
        <v>2</v>
      </c>
      <c r="C57" s="74">
        <f>IF(B57=1,X42,Y42)</f>
        <v>0</v>
      </c>
      <c r="D57" s="80">
        <f>'Brace for Meta-algorithm'!$E$7</f>
        <v>1</v>
      </c>
      <c r="E57" s="74" t="str">
        <f>IF(3&lt;='Dataset for Meta-algorithm'!$C$12,IF(D57=$E$6,"✅","❌"),"—")</f>
        <v>❌</v>
      </c>
      <c r="F57" s="94">
        <f>'Brace for Meta-algorithm'!$I$7</f>
        <v>-1.96899032950218</v>
      </c>
      <c r="G57" s="74" t="str">
        <f>IF(3&lt;='Dataset for Meta-algorithm'!$C$12,IF(B57=1,IF(F57&gt;0,"✅ (+)","❌ (−)"),IF(F57&lt;0,"✅ (−)","❌ (+)")),"—")</f>
        <v>✅ (−)</v>
      </c>
      <c r="H57" s="74" t="str">
        <f>IF(C57=1,IF(3&lt;='Dataset for Meta-algorithm'!$C$12,IF(AND(LEFT(E57,1)="✅",LEFT(G57,1)="✅"),"✅","❌"),"✅"),"—")</f>
        <v>—</v>
      </c>
      <c r="I57" s="74">
        <f>IF(C57=1,IF(3&lt;='Dataset for Meta-algorithm'!$C$12,IF(AND(D57=$E$6,IF(B57=1,F57&gt;0,F57&lt;0)),1,0),1),0)</f>
        <v>0</v>
      </c>
      <c r="X57" s="76">
        <f>IF(B57=1,I57,0)</f>
        <v>0</v>
      </c>
      <c r="Y57" s="76">
        <f>IF(B57=2,I57,0)</f>
        <v>0</v>
      </c>
    </row>
    <row r="58">
      <c r="A58" s="64" t="inlineStr">
        <is>
          <t xml:space="preserve">S₄</t>
        </is>
      </c>
      <c r="B58" s="68">
        <f>Dataset!O6</f>
        <v>1</v>
      </c>
      <c r="C58" s="74">
        <f>IF(B58=1,X43,Y43)</f>
        <v>1</v>
      </c>
      <c r="D58" s="80">
        <f>'Brace for Meta-algorithm'!$E$8</f>
        <v>2</v>
      </c>
      <c r="E58" s="74" t="str">
        <f>IF(3&lt;='Dataset for Meta-algorithm'!$C$12,IF(D58=$E$6,"✅","❌"),"—")</f>
        <v>✅</v>
      </c>
      <c r="F58" s="94">
        <f>'Brace for Meta-algorithm'!$I$8</f>
        <v>1.23621345350815</v>
      </c>
      <c r="G58" s="74" t="str">
        <f>IF(3&lt;='Dataset for Meta-algorithm'!$C$12,IF(B58=1,IF(F58&gt;0,"✅ (+)","❌ (−)"),IF(F58&lt;0,"✅ (−)","❌ (+)")),"—")</f>
        <v>✅ (+)</v>
      </c>
      <c r="H58" s="74" t="str">
        <f>IF(C58=1,IF(3&lt;='Dataset for Meta-algorithm'!$C$12,IF(AND(LEFT(E58,1)="✅",LEFT(G58,1)="✅"),"✅","❌"),"✅"),"—")</f>
        <v>✅</v>
      </c>
      <c r="I58" s="74">
        <f>IF(C58=1,IF(3&lt;='Dataset for Meta-algorithm'!$C$12,IF(AND(D58=$E$6,IF(B58=1,F58&gt;0,F58&lt;0)),1,0),1),0)</f>
        <v>1</v>
      </c>
      <c r="X58" s="76">
        <f>IF(B58=1,I58,0)</f>
        <v>1</v>
      </c>
      <c r="Y58" s="76">
        <f>IF(B58=2,I58,0)</f>
        <v>0</v>
      </c>
    </row>
    <row r="59">
      <c r="A59" s="64" t="inlineStr">
        <is>
          <t xml:space="preserve">S₅</t>
        </is>
      </c>
      <c r="B59" s="68">
        <f>Dataset!O7</f>
        <v>1</v>
      </c>
      <c r="C59" s="74">
        <f>IF(B59=1,X44,Y44)</f>
        <v>1</v>
      </c>
      <c r="D59" s="80">
        <f>'Brace for Meta-algorithm'!$E$9</f>
        <v>2</v>
      </c>
      <c r="E59" s="74" t="str">
        <f>IF(3&lt;='Dataset for Meta-algorithm'!$C$12,IF(D59=$E$6,"✅","❌"),"—")</f>
        <v>✅</v>
      </c>
      <c r="F59" s="94">
        <f>'Brace for Meta-algorithm'!$I$9</f>
        <v>1.23621345350815</v>
      </c>
      <c r="G59" s="74" t="str">
        <f>IF(3&lt;='Dataset for Meta-algorithm'!$C$12,IF(B59=1,IF(F59&gt;0,"✅ (+)","❌ (−)"),IF(F59&lt;0,"✅ (−)","❌ (+)")),"—")</f>
        <v>✅ (+)</v>
      </c>
      <c r="H59" s="74" t="str">
        <f>IF(C59=1,IF(3&lt;='Dataset for Meta-algorithm'!$C$12,IF(AND(LEFT(E59,1)="✅",LEFT(G59,1)="✅"),"✅","❌"),"✅"),"—")</f>
        <v>✅</v>
      </c>
      <c r="I59" s="74">
        <f>IF(C59=1,IF(3&lt;='Dataset for Meta-algorithm'!$C$12,IF(AND(D59=$E$6,IF(B59=1,F59&gt;0,F59&lt;0)),1,0),1),0)</f>
        <v>1</v>
      </c>
      <c r="X59" s="76">
        <f>IF(B59=1,I59,0)</f>
        <v>1</v>
      </c>
      <c r="Y59" s="76">
        <f>IF(B59=2,I59,0)</f>
        <v>0</v>
      </c>
    </row>
    <row r="60">
      <c r="A60" s="64" t="inlineStr">
        <is>
          <t xml:space="preserve">S₆</t>
        </is>
      </c>
      <c r="B60" s="68">
        <f>Dataset!O8</f>
        <v>1</v>
      </c>
      <c r="C60" s="74">
        <f>IF(B60=1,X45,Y45)</f>
        <v>0</v>
      </c>
      <c r="D60" s="80">
        <f>'Brace for Meta-algorithm'!$E$10</f>
        <v>2</v>
      </c>
      <c r="E60" s="74" t="str">
        <f>IF(3&lt;='Dataset for Meta-algorithm'!$C$12,IF(D60=$E$6,"✅","❌"),"—")</f>
        <v>✅</v>
      </c>
      <c r="F60" s="94">
        <f>'Brace for Meta-algorithm'!$I$10</f>
        <v>0.972305825213487</v>
      </c>
      <c r="G60" s="74" t="str">
        <f>IF(3&lt;='Dataset for Meta-algorithm'!$C$12,IF(B60=1,IF(F60&gt;0,"✅ (+)","❌ (−)"),IF(F60&lt;0,"✅ (−)","❌ (+)")),"—")</f>
        <v>✅ (+)</v>
      </c>
      <c r="H60" s="74" t="str">
        <f>IF(C60=1,IF(3&lt;='Dataset for Meta-algorithm'!$C$12,IF(AND(LEFT(E60,1)="✅",LEFT(G60,1)="✅"),"✅","❌"),"✅"),"—")</f>
        <v>—</v>
      </c>
      <c r="I60" s="74">
        <f>IF(C60=1,IF(3&lt;='Dataset for Meta-algorithm'!$C$12,IF(AND(D60=$E$6,IF(B60=1,F60&gt;0,F60&lt;0)),1,0),1),0)</f>
        <v>0</v>
      </c>
      <c r="X60" s="76">
        <f>IF(B60=1,I60,0)</f>
        <v>0</v>
      </c>
      <c r="Y60" s="76">
        <f>IF(B60=2,I60,0)</f>
        <v>0</v>
      </c>
    </row>
    <row r="61">
      <c r="A61" s="64" t="inlineStr">
        <is>
          <t xml:space="preserve">S₇</t>
        </is>
      </c>
      <c r="B61" s="68">
        <f>Dataset!O9</f>
        <v>2</v>
      </c>
      <c r="C61" s="74">
        <f>IF(B61=1,X46,Y46)</f>
        <v>0</v>
      </c>
      <c r="D61" s="80">
        <f>'Brace for Meta-algorithm'!$E$11</f>
        <v>2</v>
      </c>
      <c r="E61" s="74" t="str">
        <f>IF(3&lt;='Dataset for Meta-algorithm'!$C$12,IF(D61=$E$6,"✅","❌"),"—")</f>
        <v>✅</v>
      </c>
      <c r="F61" s="94">
        <f>'Brace for Meta-algorithm'!$I$11</f>
        <v>-0.762398412464542</v>
      </c>
      <c r="G61" s="74" t="str">
        <f>IF(3&lt;='Dataset for Meta-algorithm'!$C$12,IF(B61=1,IF(F61&gt;0,"✅ (+)","❌ (−)"),IF(F61&lt;0,"✅ (−)","❌ (+)")),"—")</f>
        <v>✅ (−)</v>
      </c>
      <c r="H61" s="74" t="str">
        <f>IF(C61=1,IF(3&lt;='Dataset for Meta-algorithm'!$C$12,IF(AND(LEFT(E61,1)="✅",LEFT(G61,1)="✅"),"✅","❌"),"✅"),"—")</f>
        <v>—</v>
      </c>
      <c r="I61" s="74">
        <f>IF(C61=1,IF(3&lt;='Dataset for Meta-algorithm'!$C$12,IF(AND(D61=$E$6,IF(B61=1,F61&gt;0,F61&lt;0)),1,0),1),0)</f>
        <v>0</v>
      </c>
      <c r="X61" s="76">
        <f>IF(B61=1,I61,0)</f>
        <v>0</v>
      </c>
      <c r="Y61" s="76">
        <f>IF(B61=2,I61,0)</f>
        <v>0</v>
      </c>
    </row>
    <row r="62">
      <c r="A62" s="64" t="inlineStr">
        <is>
          <t xml:space="preserve">S₈</t>
        </is>
      </c>
      <c r="B62" s="68">
        <f>Dataset!O10</f>
        <v>2</v>
      </c>
      <c r="C62" s="74">
        <f>IF(B62=1,X47,Y47)</f>
        <v>0</v>
      </c>
      <c r="D62" s="80">
        <f>'Brace for Meta-algorithm'!$E$12</f>
        <v>2</v>
      </c>
      <c r="E62" s="74" t="str">
        <f>IF(3&lt;='Dataset for Meta-algorithm'!$C$12,IF(D62=$E$6,"✅","❌"),"—")</f>
        <v>✅</v>
      </c>
      <c r="F62" s="94">
        <f>'Brace for Meta-algorithm'!$I$12</f>
        <v>-0.762398412464542</v>
      </c>
      <c r="G62" s="74" t="str">
        <f>IF(3&lt;='Dataset for Meta-algorithm'!$C$12,IF(B62=1,IF(F62&gt;0,"✅ (+)","❌ (−)"),IF(F62&lt;0,"✅ (−)","❌ (+)")),"—")</f>
        <v>✅ (−)</v>
      </c>
      <c r="H62" s="74" t="str">
        <f>IF(C62=1,IF(3&lt;='Dataset for Meta-algorithm'!$C$12,IF(AND(LEFT(E62,1)="✅",LEFT(G62,1)="✅"),"✅","❌"),"✅"),"—")</f>
        <v>—</v>
      </c>
      <c r="I62" s="74">
        <f>IF(C62=1,IF(3&lt;='Dataset for Meta-algorithm'!$C$12,IF(AND(D62=$E$6,IF(B62=1,F62&gt;0,F62&lt;0)),1,0),1),0)</f>
        <v>0</v>
      </c>
      <c r="X62" s="76">
        <f>IF(B62=1,I62,0)</f>
        <v>0</v>
      </c>
      <c r="Y62" s="76">
        <f>IF(B62=2,I62,0)</f>
        <v>0</v>
      </c>
    </row>
    <row r="63">
      <c r="A63" s="64" t="inlineStr">
        <is>
          <t xml:space="preserve">S₉</t>
        </is>
      </c>
      <c r="B63" s="68">
        <f>Dataset!O11</f>
        <v>2</v>
      </c>
      <c r="C63" s="74">
        <f>IF(B63=1,X48,Y48)</f>
        <v>0</v>
      </c>
      <c r="D63" s="80">
        <f>'Brace for Meta-algorithm'!$E$13</f>
        <v>2</v>
      </c>
      <c r="E63" s="74" t="str">
        <f>IF(3&lt;='Dataset for Meta-algorithm'!$C$12,IF(D63=$E$6,"✅","❌"),"—")</f>
        <v>✅</v>
      </c>
      <c r="F63" s="94">
        <f>'Brace for Meta-algorithm'!$I$13</f>
        <v>-0.762398412464542</v>
      </c>
      <c r="G63" s="74" t="str">
        <f>IF(3&lt;='Dataset for Meta-algorithm'!$C$12,IF(B63=1,IF(F63&gt;0,"✅ (+)","❌ (−)"),IF(F63&lt;0,"✅ (−)","❌ (+)")),"—")</f>
        <v>✅ (−)</v>
      </c>
      <c r="H63" s="74" t="str">
        <f>IF(C63=1,IF(3&lt;='Dataset for Meta-algorithm'!$C$12,IF(AND(LEFT(E63,1)="✅",LEFT(G63,1)="✅"),"✅","❌"),"✅"),"—")</f>
        <v>—</v>
      </c>
      <c r="I63" s="74">
        <f>IF(C63=1,IF(3&lt;='Dataset for Meta-algorithm'!$C$12,IF(AND(D63=$E$6,IF(B63=1,F63&gt;0,F63&lt;0)),1,0),1),0)</f>
        <v>0</v>
      </c>
      <c r="X63" s="76">
        <f>IF(B63=1,I63,0)</f>
        <v>0</v>
      </c>
      <c r="Y63" s="76">
        <f>IF(B63=2,I63,0)</f>
        <v>0</v>
      </c>
    </row>
    <row r="64">
      <c r="A64" s="64" t="inlineStr">
        <is>
          <t xml:space="preserve">S₁₀</t>
        </is>
      </c>
      <c r="B64" s="68">
        <f>Dataset!O12</f>
        <v>2</v>
      </c>
      <c r="C64" s="74">
        <f>IF(B64=1,X49,Y49)</f>
        <v>0</v>
      </c>
      <c r="D64" s="80">
        <f>'Brace for Meta-algorithm'!$E$14</f>
        <v>2</v>
      </c>
      <c r="E64" s="74" t="str">
        <f>IF(3&lt;='Dataset for Meta-algorithm'!$C$12,IF(D64=$E$6,"✅","❌"),"—")</f>
        <v>✅</v>
      </c>
      <c r="F64" s="94">
        <f>'Brace for Meta-algorithm'!$I$14</f>
        <v>-0.762398412464542</v>
      </c>
      <c r="G64" s="74" t="str">
        <f>IF(3&lt;='Dataset for Meta-algorithm'!$C$12,IF(B64=1,IF(F64&gt;0,"✅ (+)","❌ (−)"),IF(F64&lt;0,"✅ (−)","❌ (+)")),"—")</f>
        <v>✅ (−)</v>
      </c>
      <c r="H64" s="74" t="str">
        <f>IF(C64=1,IF(3&lt;='Dataset for Meta-algorithm'!$C$12,IF(AND(LEFT(E64,1)="✅",LEFT(G64,1)="✅"),"✅","❌"),"✅"),"—")</f>
        <v>—</v>
      </c>
      <c r="I64" s="74">
        <f>IF(C64=1,IF(3&lt;='Dataset for Meta-algorithm'!$C$12,IF(AND(D64=$E$6,IF(B64=1,F64&gt;0,F64&lt;0)),1,0),1),0)</f>
        <v>0</v>
      </c>
      <c r="X64" s="76">
        <f>IF(B64=1,I64,0)</f>
        <v>0</v>
      </c>
      <c r="Y64" s="76">
        <f>IF(B64=2,I64,0)</f>
        <v>0</v>
      </c>
    </row>
    <row r="65">
      <c r="A65" s="82" t="inlineStr">
        <is>
          <t xml:space="preserve">B1(a₃) =</t>
        </is>
      </c>
      <c r="B65" s="84" t="str">
        <f>IF((IF(X55=1,"S₁, ","")&amp;IF(X56=1,"S₂, ","")&amp;IF(X57=1,"S₃, ","")&amp;IF(X58=1,"S₄, ","")&amp;IF(X59=1,"S₅, ","")&amp;IF(X60=1,"S₆, ","")&amp;IF(X61=1,"S₇, ","")&amp;IF(X62=1,"S₈, ","")&amp;IF(X63=1,"S₉, ","")&amp;IF(X64=1,"S₁₀, ",""))="","∅","{"&amp;LEFT(IF(X55=1,"S₁, ","")&amp;IF(X56=1,"S₂, ","")&amp;IF(X57=1,"S₃, ","")&amp;IF(X58=1,"S₄, ","")&amp;IF(X59=1,"S₅, ","")&amp;IF(X60=1,"S₆, ","")&amp;IF(X61=1,"S₇, ","")&amp;IF(X62=1,"S₈, ","")&amp;IF(X63=1,"S₉, ","")&amp;IF(X64=1,"S₁₀, ",""),LEN(IF(X55=1,"S₁, ","")&amp;IF(X56=1,"S₂, ","")&amp;IF(X57=1,"S₃, ","")&amp;IF(X58=1,"S₄, ","")&amp;IF(X59=1,"S₅, ","")&amp;IF(X60=1,"S₆, ","")&amp;IF(X61=1,"S₇, ","")&amp;IF(X62=1,"S₈, ","")&amp;IF(X63=1,"S₉, ","")&amp;IF(X64=1,"S₁₀, ",""))-2)&amp;"}")</f>
        <v>{S₄, S₅}</v>
      </c>
      <c r="C65" s="84"/>
      <c r="D65" s="84"/>
      <c r="E65" s="82" t="inlineStr">
        <is>
          <t xml:space="preserve">B2(a₃) =</t>
        </is>
      </c>
      <c r="F65" s="84" t="str">
        <f>IF((IF(Y55=1,"S₁, ","")&amp;IF(Y56=1,"S₂, ","")&amp;IF(Y57=1,"S₃, ","")&amp;IF(Y58=1,"S₄, ","")&amp;IF(Y59=1,"S₅, ","")&amp;IF(Y60=1,"S₆, ","")&amp;IF(Y61=1,"S₇, ","")&amp;IF(Y62=1,"S₈, ","")&amp;IF(Y63=1,"S₉, ","")&amp;IF(Y64=1,"S₁₀, ",""))="","∅","{"&amp;LEFT(IF(Y55=1,"S₁, ","")&amp;IF(Y56=1,"S₂, ","")&amp;IF(Y57=1,"S₃, ","")&amp;IF(Y58=1,"S₄, ","")&amp;IF(Y59=1,"S₅, ","")&amp;IF(Y60=1,"S₆, ","")&amp;IF(Y61=1,"S₇, ","")&amp;IF(Y62=1,"S₈, ","")&amp;IF(Y63=1,"S₉, ","")&amp;IF(Y64=1,"S₁₀, ",""),LEN(IF(Y55=1,"S₁, ","")&amp;IF(Y56=1,"S₂, ","")&amp;IF(Y57=1,"S₃, ","")&amp;IF(Y58=1,"S₄, ","")&amp;IF(Y59=1,"S₅, ","")&amp;IF(Y60=1,"S₆, ","")&amp;IF(Y61=1,"S₇, ","")&amp;IF(Y62=1,"S₈, ","")&amp;IF(Y63=1,"S₉, ","")&amp;IF(Y64=1,"S₁₀, ",""))-2)&amp;"}")</f>
        <v>∅</v>
      </c>
      <c r="G65" s="84"/>
      <c r="H65" s="84"/>
      <c r="I65" s="84"/>
      <c r="J65" s="84"/>
    </row>
    <row r="66">
      <c r="A66" s="82" t="inlineStr">
        <is>
          <t xml:space="preserve">Step 3 · j &lt; p ?</t>
        </is>
      </c>
      <c r="B66" s="96" t="str">
        <f>IF(3&lt;'Dataset for Meta-algorithm'!$C$12,"Go back to Step 2",IF(3&lt;='Dataset for Meta-algorithm'!$C$12,"Go to Step 4","— (j &gt; p: not executed)"))</f>
        <v>Go back to Step 2</v>
      </c>
      <c r="C66" s="96"/>
      <c r="D66" s="96"/>
      <c r="E66" s="96"/>
    </row>
    <row r="67"/>
    <row r="68">
      <c r="A68" s="58" t="inlineStr">
        <is>
          <t xml:space="preserve">Step 2 · j = 4:   B1(a₄) = {Sᵢ ∈ B1(a₃) | a₄ = aᵢ₄, dᵢ₄ &gt; 0},   B2(a₄) = {Sᵢ ∈ B2(a₃) | a₄ = aᵢ₄, dᵢ₄ &lt; 0}</t>
        </is>
      </c>
      <c r="B68" s="58"/>
      <c r="C68" s="58"/>
      <c r="D68" s="58"/>
      <c r="E68" s="58"/>
      <c r="F68" s="58"/>
      <c r="G68" s="58"/>
      <c r="H68" s="58"/>
      <c r="I68" s="58"/>
      <c r="J68" s="58"/>
    </row>
    <row r="69">
      <c r="A69" s="60" t="inlineStr">
        <is>
          <t xml:space="preserve">№</t>
        </is>
      </c>
      <c r="B69" s="60" t="inlineStr">
        <is>
          <t xml:space="preserve">Class</t>
        </is>
      </c>
      <c r="C69" s="60" t="inlineStr">
        <is>
          <t xml:space="preserve">in B before</t>
        </is>
      </c>
      <c r="D69" s="60" t="inlineStr">
        <is>
          <t xml:space="preserve">aᵢ₄</t>
        </is>
      </c>
      <c r="E69" s="60" t="inlineStr">
        <is>
          <t xml:space="preserve">a₄ = aᵢ₄ ?</t>
        </is>
      </c>
      <c r="F69" s="60" t="inlineStr">
        <is>
          <t xml:space="preserve">dᵢ₄</t>
        </is>
      </c>
      <c r="G69" s="60" t="inlineStr">
        <is>
          <t xml:space="preserve">latent sign</t>
        </is>
      </c>
      <c r="H69" s="60" t="inlineStr">
        <is>
          <t xml:space="preserve">keep?</t>
        </is>
      </c>
      <c r="I69" s="60" t="inlineStr">
        <is>
          <t xml:space="preserve">in B after</t>
        </is>
      </c>
      <c r="J69" s="90">
        <f>IF(4&lt;='Dataset for Meta-algorithm'!$C$12,1,0)</f>
        <v>1</v>
      </c>
    </row>
    <row r="70">
      <c r="A70" s="64" t="inlineStr">
        <is>
          <t xml:space="preserve">S₁</t>
        </is>
      </c>
      <c r="B70" s="68">
        <f>Dataset!O3</f>
        <v>2</v>
      </c>
      <c r="C70" s="74">
        <f>IF(B70=1,X55,Y55)</f>
        <v>0</v>
      </c>
      <c r="D70" s="80">
        <f>'Brace for Meta-algorithm'!$F$5</f>
        <v>2</v>
      </c>
      <c r="E70" s="74" t="str">
        <f>IF(4&lt;='Dataset for Meta-algorithm'!$C$12,IF(D70=$F$6,"✅","❌"),"—")</f>
        <v>✅</v>
      </c>
      <c r="F70" s="94">
        <f>'Brace for Meta-algorithm'!$J$5</f>
        <v>-0.30867911309098</v>
      </c>
      <c r="G70" s="74" t="str">
        <f>IF(4&lt;='Dataset for Meta-algorithm'!$C$12,IF(B70=1,IF(F70&gt;0,"✅ (+)","❌ (−)"),IF(F70&lt;0,"✅ (−)","❌ (+)")),"—")</f>
        <v>✅ (−)</v>
      </c>
      <c r="H70" s="74" t="str">
        <f>IF(C70=1,IF(4&lt;='Dataset for Meta-algorithm'!$C$12,IF(AND(LEFT(E70,1)="✅",LEFT(G70,1)="✅"),"✅","❌"),"✅"),"—")</f>
        <v>—</v>
      </c>
      <c r="I70" s="74">
        <f>IF(C70=1,IF(4&lt;='Dataset for Meta-algorithm'!$C$12,IF(AND(D70=$F$6,IF(B70=1,F70&gt;0,F70&lt;0)),1,0),1),0)</f>
        <v>0</v>
      </c>
      <c r="X70" s="76">
        <f>IF(B70=1,I70,0)</f>
        <v>0</v>
      </c>
      <c r="Y70" s="76">
        <f>IF(B70=2,I70,0)</f>
        <v>0</v>
      </c>
    </row>
    <row r="71">
      <c r="A71" s="64" t="inlineStr">
        <is>
          <t xml:space="preserve">S₂</t>
        </is>
      </c>
      <c r="B71" s="68">
        <f>Dataset!O4</f>
        <v>1</v>
      </c>
      <c r="C71" s="74">
        <f>IF(B71=1,X56,Y56)</f>
        <v>0</v>
      </c>
      <c r="D71" s="80">
        <f>'Brace for Meta-algorithm'!$F$6</f>
        <v>2</v>
      </c>
      <c r="E71" s="74" t="str">
        <f>IF(4&lt;='Dataset for Meta-algorithm'!$C$12,IF(D71=$F$6,"✅","❌"),"—")</f>
        <v>✅</v>
      </c>
      <c r="F71" s="94">
        <f>'Brace for Meta-algorithm'!$J$6</f>
        <v>1.26563825850529</v>
      </c>
      <c r="G71" s="74" t="str">
        <f>IF(4&lt;='Dataset for Meta-algorithm'!$C$12,IF(B71=1,IF(F71&gt;0,"✅ (+)","❌ (−)"),IF(F71&lt;0,"✅ (−)","❌ (+)")),"—")</f>
        <v>✅ (+)</v>
      </c>
      <c r="H71" s="74" t="str">
        <f>IF(C71=1,IF(4&lt;='Dataset for Meta-algorithm'!$C$12,IF(AND(LEFT(E71,1)="✅",LEFT(G71,1)="✅"),"✅","❌"),"✅"),"—")</f>
        <v>—</v>
      </c>
      <c r="I71" s="74">
        <f>IF(C71=1,IF(4&lt;='Dataset for Meta-algorithm'!$C$12,IF(AND(D71=$F$6,IF(B71=1,F71&gt;0,F71&lt;0)),1,0),1),0)</f>
        <v>0</v>
      </c>
      <c r="X71" s="76">
        <f>IF(B71=1,I71,0)</f>
        <v>0</v>
      </c>
      <c r="Y71" s="76">
        <f>IF(B71=2,I71,0)</f>
        <v>0</v>
      </c>
    </row>
    <row r="72">
      <c r="A72" s="64" t="inlineStr">
        <is>
          <t xml:space="preserve">S₃</t>
        </is>
      </c>
      <c r="B72" s="68">
        <f>Dataset!O5</f>
        <v>2</v>
      </c>
      <c r="C72" s="74">
        <f>IF(B72=1,X57,Y57)</f>
        <v>0</v>
      </c>
      <c r="D72" s="80">
        <f>'Brace for Meta-algorithm'!$F$7</f>
        <v>1</v>
      </c>
      <c r="E72" s="74" t="str">
        <f>IF(4&lt;='Dataset for Meta-algorithm'!$C$12,IF(D72=$F$6,"✅","❌"),"—")</f>
        <v>❌</v>
      </c>
      <c r="F72" s="94">
        <f>'Brace for Meta-algorithm'!$J$7</f>
        <v>-2.66155572180793</v>
      </c>
      <c r="G72" s="74" t="str">
        <f>IF(4&lt;='Dataset for Meta-algorithm'!$C$12,IF(B72=1,IF(F72&gt;0,"✅ (+)","❌ (−)"),IF(F72&lt;0,"✅ (−)","❌ (+)")),"—")</f>
        <v>✅ (−)</v>
      </c>
      <c r="H72" s="74" t="str">
        <f>IF(C72=1,IF(4&lt;='Dataset for Meta-algorithm'!$C$12,IF(AND(LEFT(E72,1)="✅",LEFT(G72,1)="✅"),"✅","❌"),"✅"),"—")</f>
        <v>—</v>
      </c>
      <c r="I72" s="74">
        <f>IF(C72=1,IF(4&lt;='Dataset for Meta-algorithm'!$C$12,IF(AND(D72=$F$6,IF(B72=1,F72&gt;0,F72&lt;0)),1,0),1),0)</f>
        <v>0</v>
      </c>
      <c r="X72" s="76">
        <f>IF(B72=1,I72,0)</f>
        <v>0</v>
      </c>
      <c r="Y72" s="76">
        <f>IF(B72=2,I72,0)</f>
        <v>0</v>
      </c>
    </row>
    <row r="73">
      <c r="A73" s="64" t="inlineStr">
        <is>
          <t xml:space="preserve">S₄</t>
        </is>
      </c>
      <c r="B73" s="68">
        <f>Dataset!O6</f>
        <v>1</v>
      </c>
      <c r="C73" s="74">
        <f>IF(B73=1,X58,Y58)</f>
        <v>1</v>
      </c>
      <c r="D73" s="80">
        <f>'Brace for Meta-algorithm'!$F$8</f>
        <v>2</v>
      </c>
      <c r="E73" s="74" t="str">
        <f>IF(4&lt;='Dataset for Meta-algorithm'!$C$12,IF(D73=$F$6,"✅","❌"),"—")</f>
        <v>✅</v>
      </c>
      <c r="F73" s="94">
        <f>'Brace for Meta-algorithm'!$J$8</f>
        <v>1.50339265844291</v>
      </c>
      <c r="G73" s="74" t="str">
        <f>IF(4&lt;='Dataset for Meta-algorithm'!$C$12,IF(B73=1,IF(F73&gt;0,"✅ (+)","❌ (−)"),IF(F73&lt;0,"✅ (−)","❌ (+)")),"—")</f>
        <v>✅ (+)</v>
      </c>
      <c r="H73" s="74" t="str">
        <f>IF(C73=1,IF(4&lt;='Dataset for Meta-algorithm'!$C$12,IF(AND(LEFT(E73,1)="✅",LEFT(G73,1)="✅"),"✅","❌"),"✅"),"—")</f>
        <v>✅</v>
      </c>
      <c r="I73" s="74">
        <f>IF(C73=1,IF(4&lt;='Dataset for Meta-algorithm'!$C$12,IF(AND(D73=$F$6,IF(B73=1,F73&gt;0,F73&lt;0)),1,0),1),0)</f>
        <v>1</v>
      </c>
      <c r="X73" s="76">
        <f>IF(B73=1,I73,0)</f>
        <v>1</v>
      </c>
      <c r="Y73" s="76">
        <f>IF(B73=2,I73,0)</f>
        <v>0</v>
      </c>
    </row>
    <row r="74">
      <c r="A74" s="64" t="inlineStr">
        <is>
          <t xml:space="preserve">S₅</t>
        </is>
      </c>
      <c r="B74" s="68">
        <f>Dataset!O7</f>
        <v>1</v>
      </c>
      <c r="C74" s="74">
        <f>IF(B74=1,X59,Y59)</f>
        <v>1</v>
      </c>
      <c r="D74" s="80">
        <f>'Brace for Meta-algorithm'!$F$9</f>
        <v>2</v>
      </c>
      <c r="E74" s="74" t="str">
        <f>IF(4&lt;='Dataset for Meta-algorithm'!$C$12,IF(D74=$F$6,"✅","❌"),"—")</f>
        <v>✅</v>
      </c>
      <c r="F74" s="94">
        <f>'Brace for Meta-algorithm'!$J$9</f>
        <v>1.50339265844291</v>
      </c>
      <c r="G74" s="74" t="str">
        <f>IF(4&lt;='Dataset for Meta-algorithm'!$C$12,IF(B74=1,IF(F74&gt;0,"✅ (+)","❌ (−)"),IF(F74&lt;0,"✅ (−)","❌ (+)")),"—")</f>
        <v>✅ (+)</v>
      </c>
      <c r="H74" s="74" t="str">
        <f>IF(C74=1,IF(4&lt;='Dataset for Meta-algorithm'!$C$12,IF(AND(LEFT(E74,1)="✅",LEFT(G74,1)="✅"),"✅","❌"),"✅"),"—")</f>
        <v>✅</v>
      </c>
      <c r="I74" s="74">
        <f>IF(C74=1,IF(4&lt;='Dataset for Meta-algorithm'!$C$12,IF(AND(D74=$F$6,IF(B74=1,F74&gt;0,F74&lt;0)),1,0),1),0)</f>
        <v>1</v>
      </c>
      <c r="X74" s="76">
        <f>IF(B74=1,I74,0)</f>
        <v>1</v>
      </c>
      <c r="Y74" s="76">
        <f>IF(B74=2,I74,0)</f>
        <v>0</v>
      </c>
    </row>
    <row r="75">
      <c r="A75" s="64" t="inlineStr">
        <is>
          <t xml:space="preserve">S₆</t>
        </is>
      </c>
      <c r="B75" s="68">
        <f>Dataset!O8</f>
        <v>1</v>
      </c>
      <c r="C75" s="74">
        <f>IF(B75=1,X60,Y60)</f>
        <v>0</v>
      </c>
      <c r="D75" s="80">
        <f>'Brace for Meta-algorithm'!$F$10</f>
        <v>2</v>
      </c>
      <c r="E75" s="74" t="str">
        <f>IF(4&lt;='Dataset for Meta-algorithm'!$C$12,IF(D75=$F$6,"✅","❌"),"—")</f>
        <v>✅</v>
      </c>
      <c r="F75" s="94">
        <f>'Brace for Meta-algorithm'!$J$10</f>
        <v>1.26563825850529</v>
      </c>
      <c r="G75" s="74" t="str">
        <f>IF(4&lt;='Dataset for Meta-algorithm'!$C$12,IF(B75=1,IF(F75&gt;0,"✅ (+)","❌ (−)"),IF(F75&lt;0,"✅ (−)","❌ (+)")),"—")</f>
        <v>✅ (+)</v>
      </c>
      <c r="H75" s="74" t="str">
        <f>IF(C75=1,IF(4&lt;='Dataset for Meta-algorithm'!$C$12,IF(AND(LEFT(E75,1)="✅",LEFT(G75,1)="✅"),"✅","❌"),"✅"),"—")</f>
        <v>—</v>
      </c>
      <c r="I75" s="74">
        <f>IF(C75=1,IF(4&lt;='Dataset for Meta-algorithm'!$C$12,IF(AND(D75=$F$6,IF(B75=1,F75&gt;0,F75&lt;0)),1,0),1),0)</f>
        <v>0</v>
      </c>
      <c r="X75" s="76">
        <f>IF(B75=1,I75,0)</f>
        <v>0</v>
      </c>
      <c r="Y75" s="76">
        <f>IF(B75=2,I75,0)</f>
        <v>0</v>
      </c>
    </row>
    <row r="76">
      <c r="A76" s="64" t="inlineStr">
        <is>
          <t xml:space="preserve">S₇</t>
        </is>
      </c>
      <c r="B76" s="68">
        <f>Dataset!O9</f>
        <v>2</v>
      </c>
      <c r="C76" s="74">
        <f>IF(B76=1,X61,Y61)</f>
        <v>0</v>
      </c>
      <c r="D76" s="80">
        <f>'Brace for Meta-algorithm'!$F$11</f>
        <v>2</v>
      </c>
      <c r="E76" s="74" t="str">
        <f>IF(4&lt;='Dataset for Meta-algorithm'!$C$12,IF(D76=$F$6,"✅","❌"),"—")</f>
        <v>✅</v>
      </c>
      <c r="F76" s="94">
        <f>'Brace for Meta-algorithm'!$J$11</f>
        <v>-1.01438214662853</v>
      </c>
      <c r="G76" s="74" t="str">
        <f>IF(4&lt;='Dataset for Meta-algorithm'!$C$12,IF(B76=1,IF(F76&gt;0,"✅ (+)","❌ (−)"),IF(F76&lt;0,"✅ (−)","❌ (+)")),"—")</f>
        <v>✅ (−)</v>
      </c>
      <c r="H76" s="74" t="str">
        <f>IF(C76=1,IF(4&lt;='Dataset for Meta-algorithm'!$C$12,IF(AND(LEFT(E76,1)="✅",LEFT(G76,1)="✅"),"✅","❌"),"✅"),"—")</f>
        <v>—</v>
      </c>
      <c r="I76" s="74">
        <f>IF(C76=1,IF(4&lt;='Dataset for Meta-algorithm'!$C$12,IF(AND(D76=$F$6,IF(B76=1,F76&gt;0,F76&lt;0)),1,0),1),0)</f>
        <v>0</v>
      </c>
      <c r="X76" s="76">
        <f>IF(B76=1,I76,0)</f>
        <v>0</v>
      </c>
      <c r="Y76" s="76">
        <f>IF(B76=2,I76,0)</f>
        <v>0</v>
      </c>
    </row>
    <row r="77">
      <c r="A77" s="64" t="inlineStr">
        <is>
          <t xml:space="preserve">S₈</t>
        </is>
      </c>
      <c r="B77" s="68">
        <f>Dataset!O10</f>
        <v>2</v>
      </c>
      <c r="C77" s="74">
        <f>IF(B77=1,X62,Y62)</f>
        <v>0</v>
      </c>
      <c r="D77" s="80">
        <f>'Brace for Meta-algorithm'!$F$12</f>
        <v>2</v>
      </c>
      <c r="E77" s="74" t="str">
        <f>IF(4&lt;='Dataset for Meta-algorithm'!$C$12,IF(D77=$F$6,"✅","❌"),"—")</f>
        <v>✅</v>
      </c>
      <c r="F77" s="94">
        <f>'Brace for Meta-algorithm'!$J$12</f>
        <v>-1.01438214662853</v>
      </c>
      <c r="G77" s="74" t="str">
        <f>IF(4&lt;='Dataset for Meta-algorithm'!$C$12,IF(B77=1,IF(F77&gt;0,"✅ (+)","❌ (−)"),IF(F77&lt;0,"✅ (−)","❌ (+)")),"—")</f>
        <v>✅ (−)</v>
      </c>
      <c r="H77" s="74" t="str">
        <f>IF(C77=1,IF(4&lt;='Dataset for Meta-algorithm'!$C$12,IF(AND(LEFT(E77,1)="✅",LEFT(G77,1)="✅"),"✅","❌"),"✅"),"—")</f>
        <v>—</v>
      </c>
      <c r="I77" s="74">
        <f>IF(C77=1,IF(4&lt;='Dataset for Meta-algorithm'!$C$12,IF(AND(D77=$F$6,IF(B77=1,F77&gt;0,F77&lt;0)),1,0),1),0)</f>
        <v>0</v>
      </c>
      <c r="X77" s="76">
        <f>IF(B77=1,I77,0)</f>
        <v>0</v>
      </c>
      <c r="Y77" s="76">
        <f>IF(B77=2,I77,0)</f>
        <v>0</v>
      </c>
    </row>
    <row r="78">
      <c r="A78" s="64" t="inlineStr">
        <is>
          <t xml:space="preserve">S₉</t>
        </is>
      </c>
      <c r="B78" s="68">
        <f>Dataset!O11</f>
        <v>2</v>
      </c>
      <c r="C78" s="74">
        <f>IF(B78=1,X63,Y63)</f>
        <v>0</v>
      </c>
      <c r="D78" s="80">
        <f>'Brace for Meta-algorithm'!$F$13</f>
        <v>2</v>
      </c>
      <c r="E78" s="74" t="str">
        <f>IF(4&lt;='Dataset for Meta-algorithm'!$C$12,IF(D78=$F$6,"✅","❌"),"—")</f>
        <v>✅</v>
      </c>
      <c r="F78" s="94">
        <f>'Brace for Meta-algorithm'!$J$13</f>
        <v>-1.01438214662853</v>
      </c>
      <c r="G78" s="74" t="str">
        <f>IF(4&lt;='Dataset for Meta-algorithm'!$C$12,IF(B78=1,IF(F78&gt;0,"✅ (+)","❌ (−)"),IF(F78&lt;0,"✅ (−)","❌ (+)")),"—")</f>
        <v>✅ (−)</v>
      </c>
      <c r="H78" s="74" t="str">
        <f>IF(C78=1,IF(4&lt;='Dataset for Meta-algorithm'!$C$12,IF(AND(LEFT(E78,1)="✅",LEFT(G78,1)="✅"),"✅","❌"),"✅"),"—")</f>
        <v>—</v>
      </c>
      <c r="I78" s="74">
        <f>IF(C78=1,IF(4&lt;='Dataset for Meta-algorithm'!$C$12,IF(AND(D78=$F$6,IF(B78=1,F78&gt;0,F78&lt;0)),1,0),1),0)</f>
        <v>0</v>
      </c>
      <c r="X78" s="76">
        <f>IF(B78=1,I78,0)</f>
        <v>0</v>
      </c>
      <c r="Y78" s="76">
        <f>IF(B78=2,I78,0)</f>
        <v>0</v>
      </c>
    </row>
    <row r="79">
      <c r="A79" s="64" t="inlineStr">
        <is>
          <t xml:space="preserve">S₁₀</t>
        </is>
      </c>
      <c r="B79" s="68">
        <f>Dataset!O12</f>
        <v>2</v>
      </c>
      <c r="C79" s="74">
        <f>IF(B79=1,X64,Y64)</f>
        <v>0</v>
      </c>
      <c r="D79" s="80">
        <f>'Brace for Meta-algorithm'!$F$14</f>
        <v>2</v>
      </c>
      <c r="E79" s="74" t="str">
        <f>IF(4&lt;='Dataset for Meta-algorithm'!$C$12,IF(D79=$F$6,"✅","❌"),"—")</f>
        <v>✅</v>
      </c>
      <c r="F79" s="94">
        <f>'Brace for Meta-algorithm'!$J$14</f>
        <v>-1.01438214662853</v>
      </c>
      <c r="G79" s="74" t="str">
        <f>IF(4&lt;='Dataset for Meta-algorithm'!$C$12,IF(B79=1,IF(F79&gt;0,"✅ (+)","❌ (−)"),IF(F79&lt;0,"✅ (−)","❌ (+)")),"—")</f>
        <v>✅ (−)</v>
      </c>
      <c r="H79" s="74" t="str">
        <f>IF(C79=1,IF(4&lt;='Dataset for Meta-algorithm'!$C$12,IF(AND(LEFT(E79,1)="✅",LEFT(G79,1)="✅"),"✅","❌"),"✅"),"—")</f>
        <v>—</v>
      </c>
      <c r="I79" s="74">
        <f>IF(C79=1,IF(4&lt;='Dataset for Meta-algorithm'!$C$12,IF(AND(D79=$F$6,IF(B79=1,F79&gt;0,F79&lt;0)),1,0),1),0)</f>
        <v>0</v>
      </c>
      <c r="X79" s="76">
        <f>IF(B79=1,I79,0)</f>
        <v>0</v>
      </c>
      <c r="Y79" s="76">
        <f>IF(B79=2,I79,0)</f>
        <v>0</v>
      </c>
    </row>
    <row r="80">
      <c r="A80" s="82" t="inlineStr">
        <is>
          <t xml:space="preserve">B1(a₄) =</t>
        </is>
      </c>
      <c r="B80" s="84" t="str">
        <f>IF((IF(X70=1,"S₁, ","")&amp;IF(X71=1,"S₂, ","")&amp;IF(X72=1,"S₃, ","")&amp;IF(X73=1,"S₄, ","")&amp;IF(X74=1,"S₅, ","")&amp;IF(X75=1,"S₆, ","")&amp;IF(X76=1,"S₇, ","")&amp;IF(X77=1,"S₈, ","")&amp;IF(X78=1,"S₉, ","")&amp;IF(X79=1,"S₁₀, ",""))="","∅","{"&amp;LEFT(IF(X70=1,"S₁, ","")&amp;IF(X71=1,"S₂, ","")&amp;IF(X72=1,"S₃, ","")&amp;IF(X73=1,"S₄, ","")&amp;IF(X74=1,"S₅, ","")&amp;IF(X75=1,"S₆, ","")&amp;IF(X76=1,"S₇, ","")&amp;IF(X77=1,"S₈, ","")&amp;IF(X78=1,"S₉, ","")&amp;IF(X79=1,"S₁₀, ",""),LEN(IF(X70=1,"S₁, ","")&amp;IF(X71=1,"S₂, ","")&amp;IF(X72=1,"S₃, ","")&amp;IF(X73=1,"S₄, ","")&amp;IF(X74=1,"S₅, ","")&amp;IF(X75=1,"S₆, ","")&amp;IF(X76=1,"S₇, ","")&amp;IF(X77=1,"S₈, ","")&amp;IF(X78=1,"S₉, ","")&amp;IF(X79=1,"S₁₀, ",""))-2)&amp;"}")</f>
        <v>{S₄, S₅}</v>
      </c>
      <c r="C80" s="84"/>
      <c r="D80" s="84"/>
      <c r="E80" s="82" t="inlineStr">
        <is>
          <t xml:space="preserve">B2(a₄) =</t>
        </is>
      </c>
      <c r="F80" s="84" t="str">
        <f>IF((IF(Y70=1,"S₁, ","")&amp;IF(Y71=1,"S₂, ","")&amp;IF(Y72=1,"S₃, ","")&amp;IF(Y73=1,"S₄, ","")&amp;IF(Y74=1,"S₅, ","")&amp;IF(Y75=1,"S₆, ","")&amp;IF(Y76=1,"S₇, ","")&amp;IF(Y77=1,"S₈, ","")&amp;IF(Y78=1,"S₉, ","")&amp;IF(Y79=1,"S₁₀, ",""))="","∅","{"&amp;LEFT(IF(Y70=1,"S₁, ","")&amp;IF(Y71=1,"S₂, ","")&amp;IF(Y72=1,"S₃, ","")&amp;IF(Y73=1,"S₄, ","")&amp;IF(Y74=1,"S₅, ","")&amp;IF(Y75=1,"S₆, ","")&amp;IF(Y76=1,"S₇, ","")&amp;IF(Y77=1,"S₈, ","")&amp;IF(Y78=1,"S₉, ","")&amp;IF(Y79=1,"S₁₀, ",""),LEN(IF(Y70=1,"S₁, ","")&amp;IF(Y71=1,"S₂, ","")&amp;IF(Y72=1,"S₃, ","")&amp;IF(Y73=1,"S₄, ","")&amp;IF(Y74=1,"S₅, ","")&amp;IF(Y75=1,"S₆, ","")&amp;IF(Y76=1,"S₇, ","")&amp;IF(Y77=1,"S₈, ","")&amp;IF(Y78=1,"S₉, ","")&amp;IF(Y79=1,"S₁₀, ",""))-2)&amp;"}")</f>
        <v>∅</v>
      </c>
      <c r="G80" s="84"/>
      <c r="H80" s="84"/>
      <c r="I80" s="84"/>
      <c r="J80" s="84"/>
    </row>
    <row r="81">
      <c r="A81" s="82" t="inlineStr">
        <is>
          <t xml:space="preserve">Step 3 · j &lt; p ?</t>
        </is>
      </c>
      <c r="B81" s="96" t="str">
        <f>IF(4&lt;'Dataset for Meta-algorithm'!$C$12,"Go back to Step 2",IF(4&lt;='Dataset for Meta-algorithm'!$C$12,"Go to Step 4","— (j &gt; p: not executed)"))</f>
        <v>Go to Step 4</v>
      </c>
      <c r="C81" s="96"/>
      <c r="D81" s="96"/>
      <c r="E81" s="96"/>
    </row>
    <row r="82"/>
    <row r="83">
      <c r="A83" s="58" t="inlineStr">
        <is>
          <t xml:space="preserve">Step 4 · class:  K1 if |B1(a_p)|/|K1| &gt; |B2(a_p)|/|K2|,  K2 if &lt;,  0 (refusal) if equal</t>
        </is>
      </c>
      <c r="B83" s="58"/>
      <c r="C83" s="58"/>
      <c r="D83" s="58"/>
      <c r="E83" s="58"/>
      <c r="F83" s="58"/>
      <c r="G83" s="58"/>
      <c r="H83" s="58"/>
      <c r="I83" s="58"/>
      <c r="J83" s="58"/>
    </row>
    <row r="84">
      <c r="A84" s="82" t="inlineStr">
        <is>
          <t xml:space="preserve">|B1(a_p)|</t>
        </is>
      </c>
      <c r="B84" s="83">
        <f>X70+X71+X72+X73+X74+X75+X76+X77+X78+X79</f>
        <v>2</v>
      </c>
    </row>
    <row r="85">
      <c r="A85" s="82" t="inlineStr">
        <is>
          <t xml:space="preserve">|B2(a_p)|</t>
        </is>
      </c>
      <c r="B85" s="83">
        <f>Y70+Y71+Y72+Y73+Y74+Y75+Y76+Y77+Y78+Y79</f>
        <v>0</v>
      </c>
    </row>
    <row r="86">
      <c r="A86" s="82" t="inlineStr">
        <is>
          <t xml:space="preserve">score₁ = |B1|/|K1|</t>
        </is>
      </c>
      <c r="B86" s="85">
        <f>B84/'Parameters'!$B$6</f>
        <v>0.5</v>
      </c>
    </row>
    <row r="87">
      <c r="A87" s="82" t="inlineStr">
        <is>
          <t xml:space="preserve">score₂ = |B2|/|K2|</t>
        </is>
      </c>
      <c r="B87" s="85">
        <f>B85/'Parameters'!$B$7</f>
        <v>0</v>
      </c>
    </row>
    <row r="88">
      <c r="A88" s="82" t="inlineStr">
        <is>
          <t xml:space="preserve">Class of S</t>
        </is>
      </c>
      <c r="B88" s="91">
        <f>IF(B86&gt;B87,1,IF(B86&lt;B87,2,0))</f>
        <v>1</v>
      </c>
      <c r="C88" s="96" t="str">
        <f>IF(B88=1,"Class 1",IF(B88=2,"Class 2","0 — refusal"))</f>
        <v>Class 1</v>
      </c>
      <c r="D88" s="96"/>
      <c r="E88" s="96"/>
    </row>
    <row r="89"/>
    <row r="90">
      <c r="A90" s="58" t="inlineStr">
        <is>
          <t xml:space="preserve">Step 5 · The End</t>
        </is>
      </c>
      <c r="B90" s="58"/>
      <c r="C90" s="58"/>
      <c r="D90" s="58"/>
      <c r="E90" s="58"/>
      <c r="F90" s="58"/>
      <c r="G90" s="58"/>
      <c r="H90" s="58"/>
      <c r="I90" s="58"/>
      <c r="J90" s="58"/>
    </row>
  </sheetData>
  <mergeCells count="24">
    <mergeCell ref="A1:J1"/>
    <mergeCell ref="A3:H3"/>
    <mergeCell ref="A8:J8"/>
    <mergeCell ref="B20:D20"/>
    <mergeCell ref="F20:J20"/>
    <mergeCell ref="A23:J23"/>
    <mergeCell ref="B35:D35"/>
    <mergeCell ref="F35:J35"/>
    <mergeCell ref="B36:E36"/>
    <mergeCell ref="A38:J38"/>
    <mergeCell ref="B50:D50"/>
    <mergeCell ref="F50:J50"/>
    <mergeCell ref="B51:E51"/>
    <mergeCell ref="A53:J53"/>
    <mergeCell ref="B65:D65"/>
    <mergeCell ref="F65:J65"/>
    <mergeCell ref="B66:E66"/>
    <mergeCell ref="A68:J68"/>
    <mergeCell ref="B80:D80"/>
    <mergeCell ref="F80:J80"/>
    <mergeCell ref="B81:E81"/>
    <mergeCell ref="A83:J83"/>
    <mergeCell ref="C88:E88"/>
    <mergeCell ref="A90:J90"/>
  </mergeCells>
  <conditionalFormatting sqref="E10:F19">
    <cfRule type="cellIs" dxfId="0" priority="1" operator="equal">
      <formula>1</formula>
    </cfRule>
  </conditionalFormatting>
  <conditionalFormatting sqref="I25:I34">
    <cfRule type="cellIs" dxfId="0" priority="2" operator="equal">
      <formula>1</formula>
    </cfRule>
  </conditionalFormatting>
  <conditionalFormatting sqref="I40:I49">
    <cfRule type="cellIs" dxfId="0" priority="3" operator="equal">
      <formula>1</formula>
    </cfRule>
  </conditionalFormatting>
  <conditionalFormatting sqref="I55:I64">
    <cfRule type="cellIs" dxfId="0" priority="4" operator="equal">
      <formula>1</formula>
    </cfRule>
  </conditionalFormatting>
  <conditionalFormatting sqref="I70:I79">
    <cfRule type="cellIs" dxfId="0" priority="5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W98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0.77734375" customWidth="1"/>
    <col min="2" max="2" width="20.77734375" customWidth="1"/>
    <col min="3" max="11" width="9.77734375" customWidth="1"/>
    <col min="12" max="12" width="7.77734375" customWidth="1"/>
    <col min="13" max="22" width="6.77734375" customWidth="1"/>
    <col min="23" max="23" width="7.77734375" customWidth="1"/>
  </cols>
  <sheetData>
    <row r="1" ht="20" customHeight="1">
      <c r="A1" s="57" t="inlineStr">
        <is>
          <t xml:space="preserve">Step 12 · Meta-algorithm for every training object (resubstitution) — training correctness, Definition 2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/>
    <row r="3">
      <c r="A3" s="58" t="inlineStr">
        <is>
          <t xml:space="preserve">Summary</t>
        </is>
      </c>
      <c r="B3" s="58"/>
      <c r="C3" s="58"/>
      <c r="D3" s="58"/>
      <c r="E3" s="58"/>
      <c r="F3" s="58"/>
      <c r="G3" s="58"/>
      <c r="H3" s="58"/>
      <c r="I3" s="58"/>
      <c r="J3" s="58"/>
    </row>
    <row r="4">
      <c r="A4" s="60" t="inlineStr">
        <is>
          <t xml:space="preserve">№</t>
        </is>
      </c>
      <c r="B4" s="60" t="inlineStr">
        <is>
          <t xml:space="preserve">(a₀, …, a_p)</t>
        </is>
      </c>
      <c r="C4" s="60" t="inlineStr">
        <is>
          <t xml:space="preserve">|B1(a_p)|</t>
        </is>
      </c>
      <c r="D4" s="60" t="inlineStr">
        <is>
          <t xml:space="preserve">|B2(a_p)|</t>
        </is>
      </c>
      <c r="E4" s="60" t="inlineStr">
        <is>
          <t xml:space="preserve">score₁</t>
        </is>
      </c>
      <c r="F4" s="60" t="inlineStr">
        <is>
          <t xml:space="preserve">score₂</t>
        </is>
      </c>
      <c r="G4" s="60" t="inlineStr">
        <is>
          <t xml:space="preserve">score₁ − score₂</t>
        </is>
      </c>
      <c r="H4" s="60" t="inlineStr">
        <is>
          <t xml:space="preserve">Predicted</t>
        </is>
      </c>
      <c r="I4" s="60" t="inlineStr">
        <is>
          <t xml:space="preserve">True</t>
        </is>
      </c>
      <c r="J4" s="60" t="inlineStr">
        <is>
          <t xml:space="preserve">Correct</t>
        </is>
      </c>
    </row>
    <row r="5">
      <c r="A5" s="64" t="inlineStr">
        <is>
          <t xml:space="preserve">S₁</t>
        </is>
      </c>
      <c r="B5" s="83" t="str">
        <f>"("&amp;'Brace for Meta-algorithm'!$B$5&amp;", "&amp;'Brace for Meta-algorithm'!$C$5&amp;", "&amp;'Brace for Meta-algorithm'!$D$5&amp;", "&amp;'Brace for Meta-algorithm'!$E$5&amp;", "&amp;'Brace for Meta-algorithm'!$F$5&amp;")"</f>
        <v>(2, 1, 2, 2, 2)</v>
      </c>
      <c r="C5" s="83">
        <f>L23</f>
        <v>2</v>
      </c>
      <c r="D5" s="83">
        <f>W23</f>
        <v>0</v>
      </c>
      <c r="E5" s="72">
        <f>C5/'Parameters'!$B$6</f>
        <v>0.5</v>
      </c>
      <c r="F5" s="72">
        <f>D5/'Parameters'!$B$7</f>
        <v>0</v>
      </c>
      <c r="G5" s="72">
        <f>ROUND(E5-F5,10)</f>
        <v>0.5</v>
      </c>
      <c r="H5" s="91">
        <f>IF(E5&gt;F5,1,IF(E5&lt;F5,2,0))</f>
        <v>1</v>
      </c>
      <c r="I5" s="68">
        <f>Dataset!O3</f>
        <v>2</v>
      </c>
      <c r="J5" s="74" t="str">
        <f>IF(H5=I5,"✅","❌")</f>
        <v>❌</v>
      </c>
    </row>
    <row r="6">
      <c r="A6" s="64" t="inlineStr">
        <is>
          <t xml:space="preserve">S₂</t>
        </is>
      </c>
      <c r="B6" s="83" t="str">
        <f>"("&amp;'Brace for Meta-algorithm'!$B$6&amp;", "&amp;'Brace for Meta-algorithm'!$C$6&amp;", "&amp;'Brace for Meta-algorithm'!$D$6&amp;", "&amp;'Brace for Meta-algorithm'!$E$6&amp;", "&amp;'Brace for Meta-algorithm'!$F$6&amp;")"</f>
        <v>(2, 2, 2, 2, 2)</v>
      </c>
      <c r="C6" s="83">
        <f>L31</f>
        <v>2</v>
      </c>
      <c r="D6" s="83">
        <f>W31</f>
        <v>4</v>
      </c>
      <c r="E6" s="72">
        <f>C6/'Parameters'!$B$6</f>
        <v>0.5</v>
      </c>
      <c r="F6" s="72">
        <f>D6/'Parameters'!$B$7</f>
        <v>0.666666666666667</v>
      </c>
      <c r="G6" s="72">
        <f>ROUND(E6-F6,10)</f>
        <v>-0.1666666667</v>
      </c>
      <c r="H6" s="91">
        <f>IF(E6&gt;F6,1,IF(E6&lt;F6,2,0))</f>
        <v>2</v>
      </c>
      <c r="I6" s="68">
        <f>Dataset!O4</f>
        <v>1</v>
      </c>
      <c r="J6" s="74" t="str">
        <f>IF(H6=I6,"✅","❌")</f>
        <v>❌</v>
      </c>
    </row>
    <row r="7">
      <c r="A7" s="64" t="inlineStr">
        <is>
          <t xml:space="preserve">S₃</t>
        </is>
      </c>
      <c r="B7" s="83" t="str">
        <f>"("&amp;'Brace for Meta-algorithm'!$B$7&amp;", "&amp;'Brace for Meta-algorithm'!$C$7&amp;", "&amp;'Brace for Meta-algorithm'!$D$7&amp;", "&amp;'Brace for Meta-algorithm'!$E$7&amp;", "&amp;'Brace for Meta-algorithm'!$F$7&amp;")"</f>
        <v>(1, 2, 1, 1, 1)</v>
      </c>
      <c r="C7" s="83">
        <f>L39</f>
        <v>0</v>
      </c>
      <c r="D7" s="83">
        <f>W39</f>
        <v>1</v>
      </c>
      <c r="E7" s="72">
        <f>C7/'Parameters'!$B$6</f>
        <v>0</v>
      </c>
      <c r="F7" s="72">
        <f>D7/'Parameters'!$B$7</f>
        <v>0.166666666666667</v>
      </c>
      <c r="G7" s="72">
        <f>ROUND(E7-F7,10)</f>
        <v>-0.1666666667</v>
      </c>
      <c r="H7" s="91">
        <f>IF(E7&gt;F7,1,IF(E7&lt;F7,2,0))</f>
        <v>2</v>
      </c>
      <c r="I7" s="68">
        <f>Dataset!O5</f>
        <v>2</v>
      </c>
      <c r="J7" s="74" t="str">
        <f>IF(H7=I7,"✅","❌")</f>
        <v>✅</v>
      </c>
    </row>
    <row r="8">
      <c r="A8" s="64" t="inlineStr">
        <is>
          <t xml:space="preserve">S₄</t>
        </is>
      </c>
      <c r="B8" s="83" t="str">
        <f>"("&amp;'Brace for Meta-algorithm'!$B$8&amp;", "&amp;'Brace for Meta-algorithm'!$C$8&amp;", "&amp;'Brace for Meta-algorithm'!$D$8&amp;", "&amp;'Brace for Meta-algorithm'!$E$8&amp;", "&amp;'Brace for Meta-algorithm'!$F$8&amp;")"</f>
        <v>(2, 1, 2, 2, 2)</v>
      </c>
      <c r="C8" s="83">
        <f>L47</f>
        <v>2</v>
      </c>
      <c r="D8" s="83">
        <f>W47</f>
        <v>0</v>
      </c>
      <c r="E8" s="72">
        <f>C8/'Parameters'!$B$6</f>
        <v>0.5</v>
      </c>
      <c r="F8" s="72">
        <f>D8/'Parameters'!$B$7</f>
        <v>0</v>
      </c>
      <c r="G8" s="72">
        <f>ROUND(E8-F8,10)</f>
        <v>0.5</v>
      </c>
      <c r="H8" s="91">
        <f>IF(E8&gt;F8,1,IF(E8&lt;F8,2,0))</f>
        <v>1</v>
      </c>
      <c r="I8" s="68">
        <f>Dataset!O6</f>
        <v>1</v>
      </c>
      <c r="J8" s="74" t="str">
        <f>IF(H8=I8,"✅","❌")</f>
        <v>✅</v>
      </c>
    </row>
    <row r="9">
      <c r="A9" s="64" t="inlineStr">
        <is>
          <t xml:space="preserve">S₅</t>
        </is>
      </c>
      <c r="B9" s="83" t="str">
        <f>"("&amp;'Brace for Meta-algorithm'!$B$9&amp;", "&amp;'Brace for Meta-algorithm'!$C$9&amp;", "&amp;'Brace for Meta-algorithm'!$D$9&amp;", "&amp;'Brace for Meta-algorithm'!$E$9&amp;", "&amp;'Brace for Meta-algorithm'!$F$9&amp;")"</f>
        <v>(2, 1, 2, 2, 2)</v>
      </c>
      <c r="C9" s="83">
        <f>L55</f>
        <v>2</v>
      </c>
      <c r="D9" s="83">
        <f>W55</f>
        <v>0</v>
      </c>
      <c r="E9" s="72">
        <f>C9/'Parameters'!$B$6</f>
        <v>0.5</v>
      </c>
      <c r="F9" s="72">
        <f>D9/'Parameters'!$B$7</f>
        <v>0</v>
      </c>
      <c r="G9" s="72">
        <f>ROUND(E9-F9,10)</f>
        <v>0.5</v>
      </c>
      <c r="H9" s="91">
        <f>IF(E9&gt;F9,1,IF(E9&lt;F9,2,0))</f>
        <v>1</v>
      </c>
      <c r="I9" s="68">
        <f>Dataset!O7</f>
        <v>1</v>
      </c>
      <c r="J9" s="74" t="str">
        <f>IF(H9=I9,"✅","❌")</f>
        <v>✅</v>
      </c>
    </row>
    <row r="10">
      <c r="A10" s="64" t="inlineStr">
        <is>
          <t xml:space="preserve">S₆</t>
        </is>
      </c>
      <c r="B10" s="83" t="str">
        <f>"("&amp;'Brace for Meta-algorithm'!$B$10&amp;", "&amp;'Brace for Meta-algorithm'!$C$10&amp;", "&amp;'Brace for Meta-algorithm'!$D$10&amp;", "&amp;'Brace for Meta-algorithm'!$E$10&amp;", "&amp;'Brace for Meta-algorithm'!$F$10&amp;")"</f>
        <v>(2, 2, 2, 2, 2)</v>
      </c>
      <c r="C10" s="83">
        <f>L63</f>
        <v>2</v>
      </c>
      <c r="D10" s="83">
        <f>W63</f>
        <v>4</v>
      </c>
      <c r="E10" s="72">
        <f>C10/'Parameters'!$B$6</f>
        <v>0.5</v>
      </c>
      <c r="F10" s="72">
        <f>D10/'Parameters'!$B$7</f>
        <v>0.666666666666667</v>
      </c>
      <c r="G10" s="72">
        <f>ROUND(E10-F10,10)</f>
        <v>-0.1666666667</v>
      </c>
      <c r="H10" s="91">
        <f>IF(E10&gt;F10,1,IF(E10&lt;F10,2,0))</f>
        <v>2</v>
      </c>
      <c r="I10" s="68">
        <f>Dataset!O8</f>
        <v>1</v>
      </c>
      <c r="J10" s="74" t="str">
        <f>IF(H10=I10,"✅","❌")</f>
        <v>❌</v>
      </c>
    </row>
    <row r="11">
      <c r="A11" s="64" t="inlineStr">
        <is>
          <t xml:space="preserve">S₇</t>
        </is>
      </c>
      <c r="B11" s="83" t="str">
        <f>"("&amp;'Brace for Meta-algorithm'!$B$11&amp;", "&amp;'Brace for Meta-algorithm'!$C$11&amp;", "&amp;'Brace for Meta-algorithm'!$D$11&amp;", "&amp;'Brace for Meta-algorithm'!$E$11&amp;", "&amp;'Brace for Meta-algorithm'!$F$11&amp;")"</f>
        <v>(2, 2, 2, 2, 2)</v>
      </c>
      <c r="C11" s="83">
        <f>L71</f>
        <v>2</v>
      </c>
      <c r="D11" s="83">
        <f>W71</f>
        <v>4</v>
      </c>
      <c r="E11" s="72">
        <f>C11/'Parameters'!$B$6</f>
        <v>0.5</v>
      </c>
      <c r="F11" s="72">
        <f>D11/'Parameters'!$B$7</f>
        <v>0.666666666666667</v>
      </c>
      <c r="G11" s="72">
        <f>ROUND(E11-F11,10)</f>
        <v>-0.1666666667</v>
      </c>
      <c r="H11" s="91">
        <f>IF(E11&gt;F11,1,IF(E11&lt;F11,2,0))</f>
        <v>2</v>
      </c>
      <c r="I11" s="68">
        <f>Dataset!O9</f>
        <v>2</v>
      </c>
      <c r="J11" s="74" t="str">
        <f>IF(H11=I11,"✅","❌")</f>
        <v>✅</v>
      </c>
    </row>
    <row r="12">
      <c r="A12" s="64" t="inlineStr">
        <is>
          <t xml:space="preserve">S₈</t>
        </is>
      </c>
      <c r="B12" s="83" t="str">
        <f>"("&amp;'Brace for Meta-algorithm'!$B$12&amp;", "&amp;'Brace for Meta-algorithm'!$C$12&amp;", "&amp;'Brace for Meta-algorithm'!$D$12&amp;", "&amp;'Brace for Meta-algorithm'!$E$12&amp;", "&amp;'Brace for Meta-algorithm'!$F$12&amp;")"</f>
        <v>(2, 2, 2, 2, 2)</v>
      </c>
      <c r="C12" s="83">
        <f>L79</f>
        <v>2</v>
      </c>
      <c r="D12" s="83">
        <f>W79</f>
        <v>4</v>
      </c>
      <c r="E12" s="72">
        <f>C12/'Parameters'!$B$6</f>
        <v>0.5</v>
      </c>
      <c r="F12" s="72">
        <f>D12/'Parameters'!$B$7</f>
        <v>0.666666666666667</v>
      </c>
      <c r="G12" s="72">
        <f>ROUND(E12-F12,10)</f>
        <v>-0.1666666667</v>
      </c>
      <c r="H12" s="91">
        <f>IF(E12&gt;F12,1,IF(E12&lt;F12,2,0))</f>
        <v>2</v>
      </c>
      <c r="I12" s="68">
        <f>Dataset!O10</f>
        <v>2</v>
      </c>
      <c r="J12" s="74" t="str">
        <f>IF(H12=I12,"✅","❌")</f>
        <v>✅</v>
      </c>
    </row>
    <row r="13">
      <c r="A13" s="64" t="inlineStr">
        <is>
          <t xml:space="preserve">S₉</t>
        </is>
      </c>
      <c r="B13" s="83" t="str">
        <f>"("&amp;'Brace for Meta-algorithm'!$B$13&amp;", "&amp;'Brace for Meta-algorithm'!$C$13&amp;", "&amp;'Brace for Meta-algorithm'!$D$13&amp;", "&amp;'Brace for Meta-algorithm'!$E$13&amp;", "&amp;'Brace for Meta-algorithm'!$F$13&amp;")"</f>
        <v>(2, 2, 2, 2, 2)</v>
      </c>
      <c r="C13" s="83">
        <f>L87</f>
        <v>2</v>
      </c>
      <c r="D13" s="83">
        <f>W87</f>
        <v>4</v>
      </c>
      <c r="E13" s="72">
        <f>C13/'Parameters'!$B$6</f>
        <v>0.5</v>
      </c>
      <c r="F13" s="72">
        <f>D13/'Parameters'!$B$7</f>
        <v>0.666666666666667</v>
      </c>
      <c r="G13" s="72">
        <f>ROUND(E13-F13,10)</f>
        <v>-0.1666666667</v>
      </c>
      <c r="H13" s="91">
        <f>IF(E13&gt;F13,1,IF(E13&lt;F13,2,0))</f>
        <v>2</v>
      </c>
      <c r="I13" s="68">
        <f>Dataset!O11</f>
        <v>2</v>
      </c>
      <c r="J13" s="74" t="str">
        <f>IF(H13=I13,"✅","❌")</f>
        <v>✅</v>
      </c>
    </row>
    <row r="14">
      <c r="A14" s="64" t="inlineStr">
        <is>
          <t xml:space="preserve">S₁₀</t>
        </is>
      </c>
      <c r="B14" s="83" t="str">
        <f>"("&amp;'Brace for Meta-algorithm'!$B$14&amp;", "&amp;'Brace for Meta-algorithm'!$C$14&amp;", "&amp;'Brace for Meta-algorithm'!$D$14&amp;", "&amp;'Brace for Meta-algorithm'!$E$14&amp;", "&amp;'Brace for Meta-algorithm'!$F$14&amp;")"</f>
        <v>(2, 2, 2, 2, 2)</v>
      </c>
      <c r="C14" s="83">
        <f>L95</f>
        <v>2</v>
      </c>
      <c r="D14" s="83">
        <f>W95</f>
        <v>4</v>
      </c>
      <c r="E14" s="72">
        <f>C14/'Parameters'!$B$6</f>
        <v>0.5</v>
      </c>
      <c r="F14" s="72">
        <f>D14/'Parameters'!$B$7</f>
        <v>0.666666666666667</v>
      </c>
      <c r="G14" s="72">
        <f>ROUND(E14-F14,10)</f>
        <v>-0.1666666667</v>
      </c>
      <c r="H14" s="91">
        <f>IF(E14&gt;F14,1,IF(E14&lt;F14,2,0))</f>
        <v>2</v>
      </c>
      <c r="I14" s="68">
        <f>Dataset!O12</f>
        <v>2</v>
      </c>
      <c r="J14" s="74" t="str">
        <f>IF(H14=I14,"✅","❌")</f>
        <v>✅</v>
      </c>
    </row>
    <row r="15"/>
    <row r="16"/>
    <row r="17">
      <c r="A17" s="59" t="inlineStr">
        <is>
          <t xml:space="preserve">Query S₁  —  its own description (aₜ₀, …, aₜₚ) against the training dataset (B1 flags left, B2 flags right)</t>
        </is>
      </c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</row>
    <row r="18">
      <c r="A18" s="60" t="inlineStr">
        <is>
          <t xml:space="preserve">Step j</t>
        </is>
      </c>
      <c r="B18" s="60" t="inlineStr">
        <is>
          <t xml:space="preserve">S₁</t>
        </is>
      </c>
      <c r="C18" s="60" t="inlineStr">
        <is>
          <t xml:space="preserve">S₂</t>
        </is>
      </c>
      <c r="D18" s="60" t="inlineStr">
        <is>
          <t xml:space="preserve">S₃</t>
        </is>
      </c>
      <c r="E18" s="60" t="inlineStr">
        <is>
          <t xml:space="preserve">S₄</t>
        </is>
      </c>
      <c r="F18" s="60" t="inlineStr">
        <is>
          <t xml:space="preserve">S₅</t>
        </is>
      </c>
      <c r="G18" s="60" t="inlineStr">
        <is>
          <t xml:space="preserve">S₆</t>
        </is>
      </c>
      <c r="H18" s="60" t="inlineStr">
        <is>
          <t xml:space="preserve">S₇</t>
        </is>
      </c>
      <c r="I18" s="60" t="inlineStr">
        <is>
          <t xml:space="preserve">S₈</t>
        </is>
      </c>
      <c r="J18" s="60" t="inlineStr">
        <is>
          <t xml:space="preserve">S₉</t>
        </is>
      </c>
      <c r="K18" s="60" t="inlineStr">
        <is>
          <t xml:space="preserve">S₁₀</t>
        </is>
      </c>
      <c r="L18" s="60" t="inlineStr">
        <is>
          <t xml:space="preserve">|B1|</t>
        </is>
      </c>
      <c r="M18" s="60" t="inlineStr">
        <is>
          <t xml:space="preserve">S₁</t>
        </is>
      </c>
      <c r="N18" s="60" t="inlineStr">
        <is>
          <t xml:space="preserve">S₂</t>
        </is>
      </c>
      <c r="O18" s="60" t="inlineStr">
        <is>
          <t xml:space="preserve">S₃</t>
        </is>
      </c>
      <c r="P18" s="60" t="inlineStr">
        <is>
          <t xml:space="preserve">S₄</t>
        </is>
      </c>
      <c r="Q18" s="60" t="inlineStr">
        <is>
          <t xml:space="preserve">S₅</t>
        </is>
      </c>
      <c r="R18" s="60" t="inlineStr">
        <is>
          <t xml:space="preserve">S₆</t>
        </is>
      </c>
      <c r="S18" s="60" t="inlineStr">
        <is>
          <t xml:space="preserve">S₇</t>
        </is>
      </c>
      <c r="T18" s="60" t="inlineStr">
        <is>
          <t xml:space="preserve">S₈</t>
        </is>
      </c>
      <c r="U18" s="60" t="inlineStr">
        <is>
          <t xml:space="preserve">S₉</t>
        </is>
      </c>
      <c r="V18" s="60" t="inlineStr">
        <is>
          <t xml:space="preserve">S₁₀</t>
        </is>
      </c>
      <c r="W18" s="60" t="inlineStr">
        <is>
          <t xml:space="preserve">|B2|</t>
        </is>
      </c>
    </row>
    <row r="19">
      <c r="A19" s="64">
        <v>0</v>
      </c>
      <c r="B19" s="74">
        <f>IF(AND(Dataset!$O$3=1,'Brace for Meta-algorithm'!$B$5='Brace for Meta-algorithm'!$B$5),1,0)</f>
        <v>0</v>
      </c>
      <c r="C19" s="74">
        <f>IF(AND(Dataset!$O$4=1,'Brace for Meta-algorithm'!$B$6='Brace for Meta-algorithm'!$B$5),1,0)</f>
        <v>1</v>
      </c>
      <c r="D19" s="74">
        <f>IF(AND(Dataset!$O$5=1,'Brace for Meta-algorithm'!$B$7='Brace for Meta-algorithm'!$B$5),1,0)</f>
        <v>0</v>
      </c>
      <c r="E19" s="74">
        <f>IF(AND(Dataset!$O$6=1,'Brace for Meta-algorithm'!$B$8='Brace for Meta-algorithm'!$B$5),1,0)</f>
        <v>1</v>
      </c>
      <c r="F19" s="74">
        <f>IF(AND(Dataset!$O$7=1,'Brace for Meta-algorithm'!$B$9='Brace for Meta-algorithm'!$B$5),1,0)</f>
        <v>1</v>
      </c>
      <c r="G19" s="74">
        <f>IF(AND(Dataset!$O$8=1,'Brace for Meta-algorithm'!$B$10='Brace for Meta-algorithm'!$B$5),1,0)</f>
        <v>1</v>
      </c>
      <c r="H19" s="74">
        <f>IF(AND(Dataset!$O$9=1,'Brace for Meta-algorithm'!$B$11='Brace for Meta-algorithm'!$B$5),1,0)</f>
        <v>0</v>
      </c>
      <c r="I19" s="74">
        <f>IF(AND(Dataset!$O$10=1,'Brace for Meta-algorithm'!$B$12='Brace for Meta-algorithm'!$B$5),1,0)</f>
        <v>0</v>
      </c>
      <c r="J19" s="74">
        <f>IF(AND(Dataset!$O$11=1,'Brace for Meta-algorithm'!$B$13='Brace for Meta-algorithm'!$B$5),1,0)</f>
        <v>0</v>
      </c>
      <c r="K19" s="74">
        <f>IF(AND(Dataset!$O$12=1,'Brace for Meta-algorithm'!$B$14='Brace for Meta-algorithm'!$B$5),1,0)</f>
        <v>0</v>
      </c>
      <c r="L19" s="83">
        <f>SUM(B19:K19)</f>
        <v>4</v>
      </c>
      <c r="M19" s="74">
        <f>IF(AND(Dataset!$O$3=2,'Brace for Meta-algorithm'!$B$5='Brace for Meta-algorithm'!$B$5),1,0)</f>
        <v>1</v>
      </c>
      <c r="N19" s="74">
        <f>IF(AND(Dataset!$O$4=2,'Brace for Meta-algorithm'!$B$6='Brace for Meta-algorithm'!$B$5),1,0)</f>
        <v>0</v>
      </c>
      <c r="O19" s="74">
        <f>IF(AND(Dataset!$O$5=2,'Brace for Meta-algorithm'!$B$7='Brace for Meta-algorithm'!$B$5),1,0)</f>
        <v>0</v>
      </c>
      <c r="P19" s="74">
        <f>IF(AND(Dataset!$O$6=2,'Brace for Meta-algorithm'!$B$8='Brace for Meta-algorithm'!$B$5),1,0)</f>
        <v>0</v>
      </c>
      <c r="Q19" s="74">
        <f>IF(AND(Dataset!$O$7=2,'Brace for Meta-algorithm'!$B$9='Brace for Meta-algorithm'!$B$5),1,0)</f>
        <v>0</v>
      </c>
      <c r="R19" s="74">
        <f>IF(AND(Dataset!$O$8=2,'Brace for Meta-algorithm'!$B$10='Brace for Meta-algorithm'!$B$5),1,0)</f>
        <v>0</v>
      </c>
      <c r="S19" s="74">
        <f>IF(AND(Dataset!$O$9=2,'Brace for Meta-algorithm'!$B$11='Brace for Meta-algorithm'!$B$5),1,0)</f>
        <v>1</v>
      </c>
      <c r="T19" s="74">
        <f>IF(AND(Dataset!$O$10=2,'Brace for Meta-algorithm'!$B$12='Brace for Meta-algorithm'!$B$5),1,0)</f>
        <v>1</v>
      </c>
      <c r="U19" s="74">
        <f>IF(AND(Dataset!$O$11=2,'Brace for Meta-algorithm'!$B$13='Brace for Meta-algorithm'!$B$5),1,0)</f>
        <v>1</v>
      </c>
      <c r="V19" s="74">
        <f>IF(AND(Dataset!$O$12=2,'Brace for Meta-algorithm'!$B$14='Brace for Meta-algorithm'!$B$5),1,0)</f>
        <v>1</v>
      </c>
      <c r="W19" s="83">
        <f>SUM(M19:V19)</f>
        <v>5</v>
      </c>
    </row>
    <row r="20">
      <c r="A20" s="64">
        <v>1</v>
      </c>
      <c r="B20" s="74">
        <f>IF(1&lt;='Dataset for Meta-algorithm'!$C$12,B19*('Brace for Meta-algorithm'!$C$5='Brace for Meta-algorithm'!$C$5)*('Brace for Meta-algorithm'!$G$5&gt;0),B19)</f>
        <v>0</v>
      </c>
      <c r="C20" s="74">
        <f>IF(1&lt;='Dataset for Meta-algorithm'!$C$12,C19*('Brace for Meta-algorithm'!$C$6='Brace for Meta-algorithm'!$C$5)*('Brace for Meta-algorithm'!$G$6&gt;0),C19)</f>
        <v>0</v>
      </c>
      <c r="D20" s="74">
        <f>IF(1&lt;='Dataset for Meta-algorithm'!$C$12,D19*('Brace for Meta-algorithm'!$C$7='Brace for Meta-algorithm'!$C$5)*('Brace for Meta-algorithm'!$G$7&gt;0),D19)</f>
        <v>0</v>
      </c>
      <c r="E20" s="74">
        <f>IF(1&lt;='Dataset for Meta-algorithm'!$C$12,E19*('Brace for Meta-algorithm'!$C$8='Brace for Meta-algorithm'!$C$5)*('Brace for Meta-algorithm'!$G$8&gt;0),E19)</f>
        <v>1</v>
      </c>
      <c r="F20" s="74">
        <f>IF(1&lt;='Dataset for Meta-algorithm'!$C$12,F19*('Brace for Meta-algorithm'!$C$9='Brace for Meta-algorithm'!$C$5)*('Brace for Meta-algorithm'!$G$9&gt;0),F19)</f>
        <v>1</v>
      </c>
      <c r="G20" s="74">
        <f>IF(1&lt;='Dataset for Meta-algorithm'!$C$12,G19*('Brace for Meta-algorithm'!$C$10='Brace for Meta-algorithm'!$C$5)*('Brace for Meta-algorithm'!$G$10&gt;0),G19)</f>
        <v>0</v>
      </c>
      <c r="H20" s="74">
        <f>IF(1&lt;='Dataset for Meta-algorithm'!$C$12,H19*('Brace for Meta-algorithm'!$C$11='Brace for Meta-algorithm'!$C$5)*('Brace for Meta-algorithm'!$G$11&gt;0),H19)</f>
        <v>0</v>
      </c>
      <c r="I20" s="74">
        <f>IF(1&lt;='Dataset for Meta-algorithm'!$C$12,I19*('Brace for Meta-algorithm'!$C$12='Brace for Meta-algorithm'!$C$5)*('Brace for Meta-algorithm'!$G$12&gt;0),I19)</f>
        <v>0</v>
      </c>
      <c r="J20" s="74">
        <f>IF(1&lt;='Dataset for Meta-algorithm'!$C$12,J19*('Brace for Meta-algorithm'!$C$13='Brace for Meta-algorithm'!$C$5)*('Brace for Meta-algorithm'!$G$13&gt;0),J19)</f>
        <v>0</v>
      </c>
      <c r="K20" s="74">
        <f>IF(1&lt;='Dataset for Meta-algorithm'!$C$12,K19*('Brace for Meta-algorithm'!$C$14='Brace for Meta-algorithm'!$C$5)*('Brace for Meta-algorithm'!$G$14&gt;0),K19)</f>
        <v>0</v>
      </c>
      <c r="L20" s="83">
        <f>SUM(B20:K20)</f>
        <v>2</v>
      </c>
      <c r="M20" s="74">
        <f>IF(1&lt;='Dataset for Meta-algorithm'!$C$12,M19*('Brace for Meta-algorithm'!$C$5='Brace for Meta-algorithm'!$C$5)*('Brace for Meta-algorithm'!$G$5&lt;0),M19)</f>
        <v>0</v>
      </c>
      <c r="N20" s="74">
        <f>IF(1&lt;='Dataset for Meta-algorithm'!$C$12,N19*('Brace for Meta-algorithm'!$C$6='Brace for Meta-algorithm'!$C$5)*('Brace for Meta-algorithm'!$G$6&lt;0),N19)</f>
        <v>0</v>
      </c>
      <c r="O20" s="74">
        <f>IF(1&lt;='Dataset for Meta-algorithm'!$C$12,O19*('Brace for Meta-algorithm'!$C$7='Brace for Meta-algorithm'!$C$5)*('Brace for Meta-algorithm'!$G$7&lt;0),O19)</f>
        <v>0</v>
      </c>
      <c r="P20" s="74">
        <f>IF(1&lt;='Dataset for Meta-algorithm'!$C$12,P19*('Brace for Meta-algorithm'!$C$8='Brace for Meta-algorithm'!$C$5)*('Brace for Meta-algorithm'!$G$8&lt;0),P19)</f>
        <v>0</v>
      </c>
      <c r="Q20" s="74">
        <f>IF(1&lt;='Dataset for Meta-algorithm'!$C$12,Q19*('Brace for Meta-algorithm'!$C$9='Brace for Meta-algorithm'!$C$5)*('Brace for Meta-algorithm'!$G$9&lt;0),Q19)</f>
        <v>0</v>
      </c>
      <c r="R20" s="74">
        <f>IF(1&lt;='Dataset for Meta-algorithm'!$C$12,R19*('Brace for Meta-algorithm'!$C$10='Brace for Meta-algorithm'!$C$5)*('Brace for Meta-algorithm'!$G$10&lt;0),R19)</f>
        <v>0</v>
      </c>
      <c r="S20" s="74">
        <f>IF(1&lt;='Dataset for Meta-algorithm'!$C$12,S19*('Brace for Meta-algorithm'!$C$11='Brace for Meta-algorithm'!$C$5)*('Brace for Meta-algorithm'!$G$11&lt;0),S19)</f>
        <v>0</v>
      </c>
      <c r="T20" s="74">
        <f>IF(1&lt;='Dataset for Meta-algorithm'!$C$12,T19*('Brace for Meta-algorithm'!$C$12='Brace for Meta-algorithm'!$C$5)*('Brace for Meta-algorithm'!$G$12&lt;0),T19)</f>
        <v>0</v>
      </c>
      <c r="U20" s="74">
        <f>IF(1&lt;='Dataset for Meta-algorithm'!$C$12,U19*('Brace for Meta-algorithm'!$C$13='Brace for Meta-algorithm'!$C$5)*('Brace for Meta-algorithm'!$G$13&lt;0),U19)</f>
        <v>0</v>
      </c>
      <c r="V20" s="74">
        <f>IF(1&lt;='Dataset for Meta-algorithm'!$C$12,V19*('Brace for Meta-algorithm'!$C$14='Brace for Meta-algorithm'!$C$5)*('Brace for Meta-algorithm'!$G$14&lt;0),V19)</f>
        <v>0</v>
      </c>
      <c r="W20" s="83">
        <f>SUM(M20:V20)</f>
        <v>0</v>
      </c>
    </row>
    <row r="21">
      <c r="A21" s="64">
        <v>2</v>
      </c>
      <c r="B21" s="74">
        <f>IF(2&lt;='Dataset for Meta-algorithm'!$C$12,B20*('Brace for Meta-algorithm'!$D$5='Brace for Meta-algorithm'!$D$5)*('Brace for Meta-algorithm'!$H$5&gt;0),B20)</f>
        <v>0</v>
      </c>
      <c r="C21" s="74">
        <f>IF(2&lt;='Dataset for Meta-algorithm'!$C$12,C20*('Brace for Meta-algorithm'!$D$6='Brace for Meta-algorithm'!$D$5)*('Brace for Meta-algorithm'!$H$6&gt;0),C20)</f>
        <v>0</v>
      </c>
      <c r="D21" s="74">
        <f>IF(2&lt;='Dataset for Meta-algorithm'!$C$12,D20*('Brace for Meta-algorithm'!$D$7='Brace for Meta-algorithm'!$D$5)*('Brace for Meta-algorithm'!$H$7&gt;0),D20)</f>
        <v>0</v>
      </c>
      <c r="E21" s="74">
        <f>IF(2&lt;='Dataset for Meta-algorithm'!$C$12,E20*('Brace for Meta-algorithm'!$D$8='Brace for Meta-algorithm'!$D$5)*('Brace for Meta-algorithm'!$H$8&gt;0),E20)</f>
        <v>1</v>
      </c>
      <c r="F21" s="74">
        <f>IF(2&lt;='Dataset for Meta-algorithm'!$C$12,F20*('Brace for Meta-algorithm'!$D$9='Brace for Meta-algorithm'!$D$5)*('Brace for Meta-algorithm'!$H$9&gt;0),F20)</f>
        <v>1</v>
      </c>
      <c r="G21" s="74">
        <f>IF(2&lt;='Dataset for Meta-algorithm'!$C$12,G20*('Brace for Meta-algorithm'!$D$10='Brace for Meta-algorithm'!$D$5)*('Brace for Meta-algorithm'!$H$10&gt;0),G20)</f>
        <v>0</v>
      </c>
      <c r="H21" s="74">
        <f>IF(2&lt;='Dataset for Meta-algorithm'!$C$12,H20*('Brace for Meta-algorithm'!$D$11='Brace for Meta-algorithm'!$D$5)*('Brace for Meta-algorithm'!$H$11&gt;0),H20)</f>
        <v>0</v>
      </c>
      <c r="I21" s="74">
        <f>IF(2&lt;='Dataset for Meta-algorithm'!$C$12,I20*('Brace for Meta-algorithm'!$D$12='Brace for Meta-algorithm'!$D$5)*('Brace for Meta-algorithm'!$H$12&gt;0),I20)</f>
        <v>0</v>
      </c>
      <c r="J21" s="74">
        <f>IF(2&lt;='Dataset for Meta-algorithm'!$C$12,J20*('Brace for Meta-algorithm'!$D$13='Brace for Meta-algorithm'!$D$5)*('Brace for Meta-algorithm'!$H$13&gt;0),J20)</f>
        <v>0</v>
      </c>
      <c r="K21" s="74">
        <f>IF(2&lt;='Dataset for Meta-algorithm'!$C$12,K20*('Brace for Meta-algorithm'!$D$14='Brace for Meta-algorithm'!$D$5)*('Brace for Meta-algorithm'!$H$14&gt;0),K20)</f>
        <v>0</v>
      </c>
      <c r="L21" s="83">
        <f>SUM(B21:K21)</f>
        <v>2</v>
      </c>
      <c r="M21" s="74">
        <f>IF(2&lt;='Dataset for Meta-algorithm'!$C$12,M20*('Brace for Meta-algorithm'!$D$5='Brace for Meta-algorithm'!$D$5)*('Brace for Meta-algorithm'!$H$5&lt;0),M20)</f>
        <v>0</v>
      </c>
      <c r="N21" s="74">
        <f>IF(2&lt;='Dataset for Meta-algorithm'!$C$12,N20*('Brace for Meta-algorithm'!$D$6='Brace for Meta-algorithm'!$D$5)*('Brace for Meta-algorithm'!$H$6&lt;0),N20)</f>
        <v>0</v>
      </c>
      <c r="O21" s="74">
        <f>IF(2&lt;='Dataset for Meta-algorithm'!$C$12,O20*('Brace for Meta-algorithm'!$D$7='Brace for Meta-algorithm'!$D$5)*('Brace for Meta-algorithm'!$H$7&lt;0),O20)</f>
        <v>0</v>
      </c>
      <c r="P21" s="74">
        <f>IF(2&lt;='Dataset for Meta-algorithm'!$C$12,P20*('Brace for Meta-algorithm'!$D$8='Brace for Meta-algorithm'!$D$5)*('Brace for Meta-algorithm'!$H$8&lt;0),P20)</f>
        <v>0</v>
      </c>
      <c r="Q21" s="74">
        <f>IF(2&lt;='Dataset for Meta-algorithm'!$C$12,Q20*('Brace for Meta-algorithm'!$D$9='Brace for Meta-algorithm'!$D$5)*('Brace for Meta-algorithm'!$H$9&lt;0),Q20)</f>
        <v>0</v>
      </c>
      <c r="R21" s="74">
        <f>IF(2&lt;='Dataset for Meta-algorithm'!$C$12,R20*('Brace for Meta-algorithm'!$D$10='Brace for Meta-algorithm'!$D$5)*('Brace for Meta-algorithm'!$H$10&lt;0),R20)</f>
        <v>0</v>
      </c>
      <c r="S21" s="74">
        <f>IF(2&lt;='Dataset for Meta-algorithm'!$C$12,S20*('Brace for Meta-algorithm'!$D$11='Brace for Meta-algorithm'!$D$5)*('Brace for Meta-algorithm'!$H$11&lt;0),S20)</f>
        <v>0</v>
      </c>
      <c r="T21" s="74">
        <f>IF(2&lt;='Dataset for Meta-algorithm'!$C$12,T20*('Brace for Meta-algorithm'!$D$12='Brace for Meta-algorithm'!$D$5)*('Brace for Meta-algorithm'!$H$12&lt;0),T20)</f>
        <v>0</v>
      </c>
      <c r="U21" s="74">
        <f>IF(2&lt;='Dataset for Meta-algorithm'!$C$12,U20*('Brace for Meta-algorithm'!$D$13='Brace for Meta-algorithm'!$D$5)*('Brace for Meta-algorithm'!$H$13&lt;0),U20)</f>
        <v>0</v>
      </c>
      <c r="V21" s="74">
        <f>IF(2&lt;='Dataset for Meta-algorithm'!$C$12,V20*('Brace for Meta-algorithm'!$D$14='Brace for Meta-algorithm'!$D$5)*('Brace for Meta-algorithm'!$H$14&lt;0),V20)</f>
        <v>0</v>
      </c>
      <c r="W21" s="83">
        <f>SUM(M21:V21)</f>
        <v>0</v>
      </c>
    </row>
    <row r="22">
      <c r="A22" s="64">
        <v>3</v>
      </c>
      <c r="B22" s="74">
        <f>IF(3&lt;='Dataset for Meta-algorithm'!$C$12,B21*('Brace for Meta-algorithm'!$E$5='Brace for Meta-algorithm'!$E$5)*('Brace for Meta-algorithm'!$I$5&gt;0),B21)</f>
        <v>0</v>
      </c>
      <c r="C22" s="74">
        <f>IF(3&lt;='Dataset for Meta-algorithm'!$C$12,C21*('Brace for Meta-algorithm'!$E$6='Brace for Meta-algorithm'!$E$5)*('Brace for Meta-algorithm'!$I$6&gt;0),C21)</f>
        <v>0</v>
      </c>
      <c r="D22" s="74">
        <f>IF(3&lt;='Dataset for Meta-algorithm'!$C$12,D21*('Brace for Meta-algorithm'!$E$7='Brace for Meta-algorithm'!$E$5)*('Brace for Meta-algorithm'!$I$7&gt;0),D21)</f>
        <v>0</v>
      </c>
      <c r="E22" s="74">
        <f>IF(3&lt;='Dataset for Meta-algorithm'!$C$12,E21*('Brace for Meta-algorithm'!$E$8='Brace for Meta-algorithm'!$E$5)*('Brace for Meta-algorithm'!$I$8&gt;0),E21)</f>
        <v>1</v>
      </c>
      <c r="F22" s="74">
        <f>IF(3&lt;='Dataset for Meta-algorithm'!$C$12,F21*('Brace for Meta-algorithm'!$E$9='Brace for Meta-algorithm'!$E$5)*('Brace for Meta-algorithm'!$I$9&gt;0),F21)</f>
        <v>1</v>
      </c>
      <c r="G22" s="74">
        <f>IF(3&lt;='Dataset for Meta-algorithm'!$C$12,G21*('Brace for Meta-algorithm'!$E$10='Brace for Meta-algorithm'!$E$5)*('Brace for Meta-algorithm'!$I$10&gt;0),G21)</f>
        <v>0</v>
      </c>
      <c r="H22" s="74">
        <f>IF(3&lt;='Dataset for Meta-algorithm'!$C$12,H21*('Brace for Meta-algorithm'!$E$11='Brace for Meta-algorithm'!$E$5)*('Brace for Meta-algorithm'!$I$11&gt;0),H21)</f>
        <v>0</v>
      </c>
      <c r="I22" s="74">
        <f>IF(3&lt;='Dataset for Meta-algorithm'!$C$12,I21*('Brace for Meta-algorithm'!$E$12='Brace for Meta-algorithm'!$E$5)*('Brace for Meta-algorithm'!$I$12&gt;0),I21)</f>
        <v>0</v>
      </c>
      <c r="J22" s="74">
        <f>IF(3&lt;='Dataset for Meta-algorithm'!$C$12,J21*('Brace for Meta-algorithm'!$E$13='Brace for Meta-algorithm'!$E$5)*('Brace for Meta-algorithm'!$I$13&gt;0),J21)</f>
        <v>0</v>
      </c>
      <c r="K22" s="74">
        <f>IF(3&lt;='Dataset for Meta-algorithm'!$C$12,K21*('Brace for Meta-algorithm'!$E$14='Brace for Meta-algorithm'!$E$5)*('Brace for Meta-algorithm'!$I$14&gt;0),K21)</f>
        <v>0</v>
      </c>
      <c r="L22" s="83">
        <f>SUM(B22:K22)</f>
        <v>2</v>
      </c>
      <c r="M22" s="74">
        <f>IF(3&lt;='Dataset for Meta-algorithm'!$C$12,M21*('Brace for Meta-algorithm'!$E$5='Brace for Meta-algorithm'!$E$5)*('Brace for Meta-algorithm'!$I$5&lt;0),M21)</f>
        <v>0</v>
      </c>
      <c r="N22" s="74">
        <f>IF(3&lt;='Dataset for Meta-algorithm'!$C$12,N21*('Brace for Meta-algorithm'!$E$6='Brace for Meta-algorithm'!$E$5)*('Brace for Meta-algorithm'!$I$6&lt;0),N21)</f>
        <v>0</v>
      </c>
      <c r="O22" s="74">
        <f>IF(3&lt;='Dataset for Meta-algorithm'!$C$12,O21*('Brace for Meta-algorithm'!$E$7='Brace for Meta-algorithm'!$E$5)*('Brace for Meta-algorithm'!$I$7&lt;0),O21)</f>
        <v>0</v>
      </c>
      <c r="P22" s="74">
        <f>IF(3&lt;='Dataset for Meta-algorithm'!$C$12,P21*('Brace for Meta-algorithm'!$E$8='Brace for Meta-algorithm'!$E$5)*('Brace for Meta-algorithm'!$I$8&lt;0),P21)</f>
        <v>0</v>
      </c>
      <c r="Q22" s="74">
        <f>IF(3&lt;='Dataset for Meta-algorithm'!$C$12,Q21*('Brace for Meta-algorithm'!$E$9='Brace for Meta-algorithm'!$E$5)*('Brace for Meta-algorithm'!$I$9&lt;0),Q21)</f>
        <v>0</v>
      </c>
      <c r="R22" s="74">
        <f>IF(3&lt;='Dataset for Meta-algorithm'!$C$12,R21*('Brace for Meta-algorithm'!$E$10='Brace for Meta-algorithm'!$E$5)*('Brace for Meta-algorithm'!$I$10&lt;0),R21)</f>
        <v>0</v>
      </c>
      <c r="S22" s="74">
        <f>IF(3&lt;='Dataset for Meta-algorithm'!$C$12,S21*('Brace for Meta-algorithm'!$E$11='Brace for Meta-algorithm'!$E$5)*('Brace for Meta-algorithm'!$I$11&lt;0),S21)</f>
        <v>0</v>
      </c>
      <c r="T22" s="74">
        <f>IF(3&lt;='Dataset for Meta-algorithm'!$C$12,T21*('Brace for Meta-algorithm'!$E$12='Brace for Meta-algorithm'!$E$5)*('Brace for Meta-algorithm'!$I$12&lt;0),T21)</f>
        <v>0</v>
      </c>
      <c r="U22" s="74">
        <f>IF(3&lt;='Dataset for Meta-algorithm'!$C$12,U21*('Brace for Meta-algorithm'!$E$13='Brace for Meta-algorithm'!$E$5)*('Brace for Meta-algorithm'!$I$13&lt;0),U21)</f>
        <v>0</v>
      </c>
      <c r="V22" s="74">
        <f>IF(3&lt;='Dataset for Meta-algorithm'!$C$12,V21*('Brace for Meta-algorithm'!$E$14='Brace for Meta-algorithm'!$E$5)*('Brace for Meta-algorithm'!$I$14&lt;0),V21)</f>
        <v>0</v>
      </c>
      <c r="W22" s="83">
        <f>SUM(M22:V22)</f>
        <v>0</v>
      </c>
    </row>
    <row r="23">
      <c r="A23" s="64">
        <v>4</v>
      </c>
      <c r="B23" s="74">
        <f>IF(4&lt;='Dataset for Meta-algorithm'!$C$12,B22*('Brace for Meta-algorithm'!$F$5='Brace for Meta-algorithm'!$F$5)*('Brace for Meta-algorithm'!$J$5&gt;0),B22)</f>
        <v>0</v>
      </c>
      <c r="C23" s="74">
        <f>IF(4&lt;='Dataset for Meta-algorithm'!$C$12,C22*('Brace for Meta-algorithm'!$F$6='Brace for Meta-algorithm'!$F$5)*('Brace for Meta-algorithm'!$J$6&gt;0),C22)</f>
        <v>0</v>
      </c>
      <c r="D23" s="74">
        <f>IF(4&lt;='Dataset for Meta-algorithm'!$C$12,D22*('Brace for Meta-algorithm'!$F$7='Brace for Meta-algorithm'!$F$5)*('Brace for Meta-algorithm'!$J$7&gt;0),D22)</f>
        <v>0</v>
      </c>
      <c r="E23" s="74">
        <f>IF(4&lt;='Dataset for Meta-algorithm'!$C$12,E22*('Brace for Meta-algorithm'!$F$8='Brace for Meta-algorithm'!$F$5)*('Brace for Meta-algorithm'!$J$8&gt;0),E22)</f>
        <v>1</v>
      </c>
      <c r="F23" s="74">
        <f>IF(4&lt;='Dataset for Meta-algorithm'!$C$12,F22*('Brace for Meta-algorithm'!$F$9='Brace for Meta-algorithm'!$F$5)*('Brace for Meta-algorithm'!$J$9&gt;0),F22)</f>
        <v>1</v>
      </c>
      <c r="G23" s="74">
        <f>IF(4&lt;='Dataset for Meta-algorithm'!$C$12,G22*('Brace for Meta-algorithm'!$F$10='Brace for Meta-algorithm'!$F$5)*('Brace for Meta-algorithm'!$J$10&gt;0),G22)</f>
        <v>0</v>
      </c>
      <c r="H23" s="74">
        <f>IF(4&lt;='Dataset for Meta-algorithm'!$C$12,H22*('Brace for Meta-algorithm'!$F$11='Brace for Meta-algorithm'!$F$5)*('Brace for Meta-algorithm'!$J$11&gt;0),H22)</f>
        <v>0</v>
      </c>
      <c r="I23" s="74">
        <f>IF(4&lt;='Dataset for Meta-algorithm'!$C$12,I22*('Brace for Meta-algorithm'!$F$12='Brace for Meta-algorithm'!$F$5)*('Brace for Meta-algorithm'!$J$12&gt;0),I22)</f>
        <v>0</v>
      </c>
      <c r="J23" s="74">
        <f>IF(4&lt;='Dataset for Meta-algorithm'!$C$12,J22*('Brace for Meta-algorithm'!$F$13='Brace for Meta-algorithm'!$F$5)*('Brace for Meta-algorithm'!$J$13&gt;0),J22)</f>
        <v>0</v>
      </c>
      <c r="K23" s="74">
        <f>IF(4&lt;='Dataset for Meta-algorithm'!$C$12,K22*('Brace for Meta-algorithm'!$F$14='Brace for Meta-algorithm'!$F$5)*('Brace for Meta-algorithm'!$J$14&gt;0),K22)</f>
        <v>0</v>
      </c>
      <c r="L23" s="83">
        <f>SUM(B23:K23)</f>
        <v>2</v>
      </c>
      <c r="M23" s="74">
        <f>IF(4&lt;='Dataset for Meta-algorithm'!$C$12,M22*('Brace for Meta-algorithm'!$F$5='Brace for Meta-algorithm'!$F$5)*('Brace for Meta-algorithm'!$J$5&lt;0),M22)</f>
        <v>0</v>
      </c>
      <c r="N23" s="74">
        <f>IF(4&lt;='Dataset for Meta-algorithm'!$C$12,N22*('Brace for Meta-algorithm'!$F$6='Brace for Meta-algorithm'!$F$5)*('Brace for Meta-algorithm'!$J$6&lt;0),N22)</f>
        <v>0</v>
      </c>
      <c r="O23" s="74">
        <f>IF(4&lt;='Dataset for Meta-algorithm'!$C$12,O22*('Brace for Meta-algorithm'!$F$7='Brace for Meta-algorithm'!$F$5)*('Brace for Meta-algorithm'!$J$7&lt;0),O22)</f>
        <v>0</v>
      </c>
      <c r="P23" s="74">
        <f>IF(4&lt;='Dataset for Meta-algorithm'!$C$12,P22*('Brace for Meta-algorithm'!$F$8='Brace for Meta-algorithm'!$F$5)*('Brace for Meta-algorithm'!$J$8&lt;0),P22)</f>
        <v>0</v>
      </c>
      <c r="Q23" s="74">
        <f>IF(4&lt;='Dataset for Meta-algorithm'!$C$12,Q22*('Brace for Meta-algorithm'!$F$9='Brace for Meta-algorithm'!$F$5)*('Brace for Meta-algorithm'!$J$9&lt;0),Q22)</f>
        <v>0</v>
      </c>
      <c r="R23" s="74">
        <f>IF(4&lt;='Dataset for Meta-algorithm'!$C$12,R22*('Brace for Meta-algorithm'!$F$10='Brace for Meta-algorithm'!$F$5)*('Brace for Meta-algorithm'!$J$10&lt;0),R22)</f>
        <v>0</v>
      </c>
      <c r="S23" s="74">
        <f>IF(4&lt;='Dataset for Meta-algorithm'!$C$12,S22*('Brace for Meta-algorithm'!$F$11='Brace for Meta-algorithm'!$F$5)*('Brace for Meta-algorithm'!$J$11&lt;0),S22)</f>
        <v>0</v>
      </c>
      <c r="T23" s="74">
        <f>IF(4&lt;='Dataset for Meta-algorithm'!$C$12,T22*('Brace for Meta-algorithm'!$F$12='Brace for Meta-algorithm'!$F$5)*('Brace for Meta-algorithm'!$J$12&lt;0),T22)</f>
        <v>0</v>
      </c>
      <c r="U23" s="74">
        <f>IF(4&lt;='Dataset for Meta-algorithm'!$C$12,U22*('Brace for Meta-algorithm'!$F$13='Brace for Meta-algorithm'!$F$5)*('Brace for Meta-algorithm'!$J$13&lt;0),U22)</f>
        <v>0</v>
      </c>
      <c r="V23" s="74">
        <f>IF(4&lt;='Dataset for Meta-algorithm'!$C$12,V22*('Brace for Meta-algorithm'!$F$14='Brace for Meta-algorithm'!$F$5)*('Brace for Meta-algorithm'!$J$14&lt;0),V22)</f>
        <v>0</v>
      </c>
      <c r="W23" s="83">
        <f>SUM(M23:V23)</f>
        <v>0</v>
      </c>
    </row>
    <row r="24"/>
    <row r="25">
      <c r="A25" s="59" t="inlineStr">
        <is>
          <t xml:space="preserve">Query S₂  —  its own description (aₜ₀, …, aₜₚ) against the training dataset (B1 flags left, B2 flags right)</t>
        </is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</row>
    <row r="26">
      <c r="A26" s="60" t="inlineStr">
        <is>
          <t xml:space="preserve">Step j</t>
        </is>
      </c>
      <c r="B26" s="60" t="inlineStr">
        <is>
          <t xml:space="preserve">S₁</t>
        </is>
      </c>
      <c r="C26" s="60" t="inlineStr">
        <is>
          <t xml:space="preserve">S₂</t>
        </is>
      </c>
      <c r="D26" s="60" t="inlineStr">
        <is>
          <t xml:space="preserve">S₃</t>
        </is>
      </c>
      <c r="E26" s="60" t="inlineStr">
        <is>
          <t xml:space="preserve">S₄</t>
        </is>
      </c>
      <c r="F26" s="60" t="inlineStr">
        <is>
          <t xml:space="preserve">S₅</t>
        </is>
      </c>
      <c r="G26" s="60" t="inlineStr">
        <is>
          <t xml:space="preserve">S₆</t>
        </is>
      </c>
      <c r="H26" s="60" t="inlineStr">
        <is>
          <t xml:space="preserve">S₇</t>
        </is>
      </c>
      <c r="I26" s="60" t="inlineStr">
        <is>
          <t xml:space="preserve">S₈</t>
        </is>
      </c>
      <c r="J26" s="60" t="inlineStr">
        <is>
          <t xml:space="preserve">S₉</t>
        </is>
      </c>
      <c r="K26" s="60" t="inlineStr">
        <is>
          <t xml:space="preserve">S₁₀</t>
        </is>
      </c>
      <c r="L26" s="60" t="inlineStr">
        <is>
          <t xml:space="preserve">|B1|</t>
        </is>
      </c>
      <c r="M26" s="60" t="inlineStr">
        <is>
          <t xml:space="preserve">S₁</t>
        </is>
      </c>
      <c r="N26" s="60" t="inlineStr">
        <is>
          <t xml:space="preserve">S₂</t>
        </is>
      </c>
      <c r="O26" s="60" t="inlineStr">
        <is>
          <t xml:space="preserve">S₃</t>
        </is>
      </c>
      <c r="P26" s="60" t="inlineStr">
        <is>
          <t xml:space="preserve">S₄</t>
        </is>
      </c>
      <c r="Q26" s="60" t="inlineStr">
        <is>
          <t xml:space="preserve">S₅</t>
        </is>
      </c>
      <c r="R26" s="60" t="inlineStr">
        <is>
          <t xml:space="preserve">S₆</t>
        </is>
      </c>
      <c r="S26" s="60" t="inlineStr">
        <is>
          <t xml:space="preserve">S₇</t>
        </is>
      </c>
      <c r="T26" s="60" t="inlineStr">
        <is>
          <t xml:space="preserve">S₈</t>
        </is>
      </c>
      <c r="U26" s="60" t="inlineStr">
        <is>
          <t xml:space="preserve">S₉</t>
        </is>
      </c>
      <c r="V26" s="60" t="inlineStr">
        <is>
          <t xml:space="preserve">S₁₀</t>
        </is>
      </c>
      <c r="W26" s="60" t="inlineStr">
        <is>
          <t xml:space="preserve">|B2|</t>
        </is>
      </c>
    </row>
    <row r="27">
      <c r="A27" s="64">
        <v>0</v>
      </c>
      <c r="B27" s="74">
        <f>IF(AND(Dataset!$O$3=1,'Brace for Meta-algorithm'!$B$5='Brace for Meta-algorithm'!$B$6),1,0)</f>
        <v>0</v>
      </c>
      <c r="C27" s="74">
        <f>IF(AND(Dataset!$O$4=1,'Brace for Meta-algorithm'!$B$6='Brace for Meta-algorithm'!$B$6),1,0)</f>
        <v>1</v>
      </c>
      <c r="D27" s="74">
        <f>IF(AND(Dataset!$O$5=1,'Brace for Meta-algorithm'!$B$7='Brace for Meta-algorithm'!$B$6),1,0)</f>
        <v>0</v>
      </c>
      <c r="E27" s="74">
        <f>IF(AND(Dataset!$O$6=1,'Brace for Meta-algorithm'!$B$8='Brace for Meta-algorithm'!$B$6),1,0)</f>
        <v>1</v>
      </c>
      <c r="F27" s="74">
        <f>IF(AND(Dataset!$O$7=1,'Brace for Meta-algorithm'!$B$9='Brace for Meta-algorithm'!$B$6),1,0)</f>
        <v>1</v>
      </c>
      <c r="G27" s="74">
        <f>IF(AND(Dataset!$O$8=1,'Brace for Meta-algorithm'!$B$10='Brace for Meta-algorithm'!$B$6),1,0)</f>
        <v>1</v>
      </c>
      <c r="H27" s="74">
        <f>IF(AND(Dataset!$O$9=1,'Brace for Meta-algorithm'!$B$11='Brace for Meta-algorithm'!$B$6),1,0)</f>
        <v>0</v>
      </c>
      <c r="I27" s="74">
        <f>IF(AND(Dataset!$O$10=1,'Brace for Meta-algorithm'!$B$12='Brace for Meta-algorithm'!$B$6),1,0)</f>
        <v>0</v>
      </c>
      <c r="J27" s="74">
        <f>IF(AND(Dataset!$O$11=1,'Brace for Meta-algorithm'!$B$13='Brace for Meta-algorithm'!$B$6),1,0)</f>
        <v>0</v>
      </c>
      <c r="K27" s="74">
        <f>IF(AND(Dataset!$O$12=1,'Brace for Meta-algorithm'!$B$14='Brace for Meta-algorithm'!$B$6),1,0)</f>
        <v>0</v>
      </c>
      <c r="L27" s="83">
        <f>SUM(B27:K27)</f>
        <v>4</v>
      </c>
      <c r="M27" s="74">
        <f>IF(AND(Dataset!$O$3=2,'Brace for Meta-algorithm'!$B$5='Brace for Meta-algorithm'!$B$6),1,0)</f>
        <v>1</v>
      </c>
      <c r="N27" s="74">
        <f>IF(AND(Dataset!$O$4=2,'Brace for Meta-algorithm'!$B$6='Brace for Meta-algorithm'!$B$6),1,0)</f>
        <v>0</v>
      </c>
      <c r="O27" s="74">
        <f>IF(AND(Dataset!$O$5=2,'Brace for Meta-algorithm'!$B$7='Brace for Meta-algorithm'!$B$6),1,0)</f>
        <v>0</v>
      </c>
      <c r="P27" s="74">
        <f>IF(AND(Dataset!$O$6=2,'Brace for Meta-algorithm'!$B$8='Brace for Meta-algorithm'!$B$6),1,0)</f>
        <v>0</v>
      </c>
      <c r="Q27" s="74">
        <f>IF(AND(Dataset!$O$7=2,'Brace for Meta-algorithm'!$B$9='Brace for Meta-algorithm'!$B$6),1,0)</f>
        <v>0</v>
      </c>
      <c r="R27" s="74">
        <f>IF(AND(Dataset!$O$8=2,'Brace for Meta-algorithm'!$B$10='Brace for Meta-algorithm'!$B$6),1,0)</f>
        <v>0</v>
      </c>
      <c r="S27" s="74">
        <f>IF(AND(Dataset!$O$9=2,'Brace for Meta-algorithm'!$B$11='Brace for Meta-algorithm'!$B$6),1,0)</f>
        <v>1</v>
      </c>
      <c r="T27" s="74">
        <f>IF(AND(Dataset!$O$10=2,'Brace for Meta-algorithm'!$B$12='Brace for Meta-algorithm'!$B$6),1,0)</f>
        <v>1</v>
      </c>
      <c r="U27" s="74">
        <f>IF(AND(Dataset!$O$11=2,'Brace for Meta-algorithm'!$B$13='Brace for Meta-algorithm'!$B$6),1,0)</f>
        <v>1</v>
      </c>
      <c r="V27" s="74">
        <f>IF(AND(Dataset!$O$12=2,'Brace for Meta-algorithm'!$B$14='Brace for Meta-algorithm'!$B$6),1,0)</f>
        <v>1</v>
      </c>
      <c r="W27" s="83">
        <f>SUM(M27:V27)</f>
        <v>5</v>
      </c>
    </row>
    <row r="28">
      <c r="A28" s="64">
        <v>1</v>
      </c>
      <c r="B28" s="74">
        <f>IF(1&lt;='Dataset for Meta-algorithm'!$C$12,B27*('Brace for Meta-algorithm'!$C$5='Brace for Meta-algorithm'!$C$6)*('Brace for Meta-algorithm'!$G$5&gt;0),B27)</f>
        <v>0</v>
      </c>
      <c r="C28" s="74">
        <f>IF(1&lt;='Dataset for Meta-algorithm'!$C$12,C27*('Brace for Meta-algorithm'!$C$6='Brace for Meta-algorithm'!$C$6)*('Brace for Meta-algorithm'!$G$6&gt;0),C27)</f>
        <v>1</v>
      </c>
      <c r="D28" s="74">
        <f>IF(1&lt;='Dataset for Meta-algorithm'!$C$12,D27*('Brace for Meta-algorithm'!$C$7='Brace for Meta-algorithm'!$C$6)*('Brace for Meta-algorithm'!$G$7&gt;0),D27)</f>
        <v>0</v>
      </c>
      <c r="E28" s="74">
        <f>IF(1&lt;='Dataset for Meta-algorithm'!$C$12,E27*('Brace for Meta-algorithm'!$C$8='Brace for Meta-algorithm'!$C$6)*('Brace for Meta-algorithm'!$G$8&gt;0),E27)</f>
        <v>0</v>
      </c>
      <c r="F28" s="74">
        <f>IF(1&lt;='Dataset for Meta-algorithm'!$C$12,F27*('Brace for Meta-algorithm'!$C$9='Brace for Meta-algorithm'!$C$6)*('Brace for Meta-algorithm'!$G$9&gt;0),F27)</f>
        <v>0</v>
      </c>
      <c r="G28" s="74">
        <f>IF(1&lt;='Dataset for Meta-algorithm'!$C$12,G27*('Brace for Meta-algorithm'!$C$10='Brace for Meta-algorithm'!$C$6)*('Brace for Meta-algorithm'!$G$10&gt;0),G27)</f>
        <v>1</v>
      </c>
      <c r="H28" s="74">
        <f>IF(1&lt;='Dataset for Meta-algorithm'!$C$12,H27*('Brace for Meta-algorithm'!$C$11='Brace for Meta-algorithm'!$C$6)*('Brace for Meta-algorithm'!$G$11&gt;0),H27)</f>
        <v>0</v>
      </c>
      <c r="I28" s="74">
        <f>IF(1&lt;='Dataset for Meta-algorithm'!$C$12,I27*('Brace for Meta-algorithm'!$C$12='Brace for Meta-algorithm'!$C$6)*('Brace for Meta-algorithm'!$G$12&gt;0),I27)</f>
        <v>0</v>
      </c>
      <c r="J28" s="74">
        <f>IF(1&lt;='Dataset for Meta-algorithm'!$C$12,J27*('Brace for Meta-algorithm'!$C$13='Brace for Meta-algorithm'!$C$6)*('Brace for Meta-algorithm'!$G$13&gt;0),J27)</f>
        <v>0</v>
      </c>
      <c r="K28" s="74">
        <f>IF(1&lt;='Dataset for Meta-algorithm'!$C$12,K27*('Brace for Meta-algorithm'!$C$14='Brace for Meta-algorithm'!$C$6)*('Brace for Meta-algorithm'!$G$14&gt;0),K27)</f>
        <v>0</v>
      </c>
      <c r="L28" s="83">
        <f>SUM(B28:K28)</f>
        <v>2</v>
      </c>
      <c r="M28" s="74">
        <f>IF(1&lt;='Dataset for Meta-algorithm'!$C$12,M27*('Brace for Meta-algorithm'!$C$5='Brace for Meta-algorithm'!$C$6)*('Brace for Meta-algorithm'!$G$5&lt;0),M27)</f>
        <v>0</v>
      </c>
      <c r="N28" s="74">
        <f>IF(1&lt;='Dataset for Meta-algorithm'!$C$12,N27*('Brace for Meta-algorithm'!$C$6='Brace for Meta-algorithm'!$C$6)*('Brace for Meta-algorithm'!$G$6&lt;0),N27)</f>
        <v>0</v>
      </c>
      <c r="O28" s="74">
        <f>IF(1&lt;='Dataset for Meta-algorithm'!$C$12,O27*('Brace for Meta-algorithm'!$C$7='Brace for Meta-algorithm'!$C$6)*('Brace for Meta-algorithm'!$G$7&lt;0),O27)</f>
        <v>0</v>
      </c>
      <c r="P28" s="74">
        <f>IF(1&lt;='Dataset for Meta-algorithm'!$C$12,P27*('Brace for Meta-algorithm'!$C$8='Brace for Meta-algorithm'!$C$6)*('Brace for Meta-algorithm'!$G$8&lt;0),P27)</f>
        <v>0</v>
      </c>
      <c r="Q28" s="74">
        <f>IF(1&lt;='Dataset for Meta-algorithm'!$C$12,Q27*('Brace for Meta-algorithm'!$C$9='Brace for Meta-algorithm'!$C$6)*('Brace for Meta-algorithm'!$G$9&lt;0),Q27)</f>
        <v>0</v>
      </c>
      <c r="R28" s="74">
        <f>IF(1&lt;='Dataset for Meta-algorithm'!$C$12,R27*('Brace for Meta-algorithm'!$C$10='Brace for Meta-algorithm'!$C$6)*('Brace for Meta-algorithm'!$G$10&lt;0),R27)</f>
        <v>0</v>
      </c>
      <c r="S28" s="74">
        <f>IF(1&lt;='Dataset for Meta-algorithm'!$C$12,S27*('Brace for Meta-algorithm'!$C$11='Brace for Meta-algorithm'!$C$6)*('Brace for Meta-algorithm'!$G$11&lt;0),S27)</f>
        <v>1</v>
      </c>
      <c r="T28" s="74">
        <f>IF(1&lt;='Dataset for Meta-algorithm'!$C$12,T27*('Brace for Meta-algorithm'!$C$12='Brace for Meta-algorithm'!$C$6)*('Brace for Meta-algorithm'!$G$12&lt;0),T27)</f>
        <v>1</v>
      </c>
      <c r="U28" s="74">
        <f>IF(1&lt;='Dataset for Meta-algorithm'!$C$12,U27*('Brace for Meta-algorithm'!$C$13='Brace for Meta-algorithm'!$C$6)*('Brace for Meta-algorithm'!$G$13&lt;0),U27)</f>
        <v>1</v>
      </c>
      <c r="V28" s="74">
        <f>IF(1&lt;='Dataset for Meta-algorithm'!$C$12,V27*('Brace for Meta-algorithm'!$C$14='Brace for Meta-algorithm'!$C$6)*('Brace for Meta-algorithm'!$G$14&lt;0),V27)</f>
        <v>1</v>
      </c>
      <c r="W28" s="83">
        <f>SUM(M28:V28)</f>
        <v>4</v>
      </c>
    </row>
    <row r="29">
      <c r="A29" s="64">
        <v>2</v>
      </c>
      <c r="B29" s="74">
        <f>IF(2&lt;='Dataset for Meta-algorithm'!$C$12,B28*('Brace for Meta-algorithm'!$D$5='Brace for Meta-algorithm'!$D$6)*('Brace for Meta-algorithm'!$H$5&gt;0),B28)</f>
        <v>0</v>
      </c>
      <c r="C29" s="74">
        <f>IF(2&lt;='Dataset for Meta-algorithm'!$C$12,C28*('Brace for Meta-algorithm'!$D$6='Brace for Meta-algorithm'!$D$6)*('Brace for Meta-algorithm'!$H$6&gt;0),C28)</f>
        <v>1</v>
      </c>
      <c r="D29" s="74">
        <f>IF(2&lt;='Dataset for Meta-algorithm'!$C$12,D28*('Brace for Meta-algorithm'!$D$7='Brace for Meta-algorithm'!$D$6)*('Brace for Meta-algorithm'!$H$7&gt;0),D28)</f>
        <v>0</v>
      </c>
      <c r="E29" s="74">
        <f>IF(2&lt;='Dataset for Meta-algorithm'!$C$12,E28*('Brace for Meta-algorithm'!$D$8='Brace for Meta-algorithm'!$D$6)*('Brace for Meta-algorithm'!$H$8&gt;0),E28)</f>
        <v>0</v>
      </c>
      <c r="F29" s="74">
        <f>IF(2&lt;='Dataset for Meta-algorithm'!$C$12,F28*('Brace for Meta-algorithm'!$D$9='Brace for Meta-algorithm'!$D$6)*('Brace for Meta-algorithm'!$H$9&gt;0),F28)</f>
        <v>0</v>
      </c>
      <c r="G29" s="74">
        <f>IF(2&lt;='Dataset for Meta-algorithm'!$C$12,G28*('Brace for Meta-algorithm'!$D$10='Brace for Meta-algorithm'!$D$6)*('Brace for Meta-algorithm'!$H$10&gt;0),G28)</f>
        <v>1</v>
      </c>
      <c r="H29" s="74">
        <f>IF(2&lt;='Dataset for Meta-algorithm'!$C$12,H28*('Brace for Meta-algorithm'!$D$11='Brace for Meta-algorithm'!$D$6)*('Brace for Meta-algorithm'!$H$11&gt;0),H28)</f>
        <v>0</v>
      </c>
      <c r="I29" s="74">
        <f>IF(2&lt;='Dataset for Meta-algorithm'!$C$12,I28*('Brace for Meta-algorithm'!$D$12='Brace for Meta-algorithm'!$D$6)*('Brace for Meta-algorithm'!$H$12&gt;0),I28)</f>
        <v>0</v>
      </c>
      <c r="J29" s="74">
        <f>IF(2&lt;='Dataset for Meta-algorithm'!$C$12,J28*('Brace for Meta-algorithm'!$D$13='Brace for Meta-algorithm'!$D$6)*('Brace for Meta-algorithm'!$H$13&gt;0),J28)</f>
        <v>0</v>
      </c>
      <c r="K29" s="74">
        <f>IF(2&lt;='Dataset for Meta-algorithm'!$C$12,K28*('Brace for Meta-algorithm'!$D$14='Brace for Meta-algorithm'!$D$6)*('Brace for Meta-algorithm'!$H$14&gt;0),K28)</f>
        <v>0</v>
      </c>
      <c r="L29" s="83">
        <f>SUM(B29:K29)</f>
        <v>2</v>
      </c>
      <c r="M29" s="74">
        <f>IF(2&lt;='Dataset for Meta-algorithm'!$C$12,M28*('Brace for Meta-algorithm'!$D$5='Brace for Meta-algorithm'!$D$6)*('Brace for Meta-algorithm'!$H$5&lt;0),M28)</f>
        <v>0</v>
      </c>
      <c r="N29" s="74">
        <f>IF(2&lt;='Dataset for Meta-algorithm'!$C$12,N28*('Brace for Meta-algorithm'!$D$6='Brace for Meta-algorithm'!$D$6)*('Brace for Meta-algorithm'!$H$6&lt;0),N28)</f>
        <v>0</v>
      </c>
      <c r="O29" s="74">
        <f>IF(2&lt;='Dataset for Meta-algorithm'!$C$12,O28*('Brace for Meta-algorithm'!$D$7='Brace for Meta-algorithm'!$D$6)*('Brace for Meta-algorithm'!$H$7&lt;0),O28)</f>
        <v>0</v>
      </c>
      <c r="P29" s="74">
        <f>IF(2&lt;='Dataset for Meta-algorithm'!$C$12,P28*('Brace for Meta-algorithm'!$D$8='Brace for Meta-algorithm'!$D$6)*('Brace for Meta-algorithm'!$H$8&lt;0),P28)</f>
        <v>0</v>
      </c>
      <c r="Q29" s="74">
        <f>IF(2&lt;='Dataset for Meta-algorithm'!$C$12,Q28*('Brace for Meta-algorithm'!$D$9='Brace for Meta-algorithm'!$D$6)*('Brace for Meta-algorithm'!$H$9&lt;0),Q28)</f>
        <v>0</v>
      </c>
      <c r="R29" s="74">
        <f>IF(2&lt;='Dataset for Meta-algorithm'!$C$12,R28*('Brace for Meta-algorithm'!$D$10='Brace for Meta-algorithm'!$D$6)*('Brace for Meta-algorithm'!$H$10&lt;0),R28)</f>
        <v>0</v>
      </c>
      <c r="S29" s="74">
        <f>IF(2&lt;='Dataset for Meta-algorithm'!$C$12,S28*('Brace for Meta-algorithm'!$D$11='Brace for Meta-algorithm'!$D$6)*('Brace for Meta-algorithm'!$H$11&lt;0),S28)</f>
        <v>1</v>
      </c>
      <c r="T29" s="74">
        <f>IF(2&lt;='Dataset for Meta-algorithm'!$C$12,T28*('Brace for Meta-algorithm'!$D$12='Brace for Meta-algorithm'!$D$6)*('Brace for Meta-algorithm'!$H$12&lt;0),T28)</f>
        <v>1</v>
      </c>
      <c r="U29" s="74">
        <f>IF(2&lt;='Dataset for Meta-algorithm'!$C$12,U28*('Brace for Meta-algorithm'!$D$13='Brace for Meta-algorithm'!$D$6)*('Brace for Meta-algorithm'!$H$13&lt;0),U28)</f>
        <v>1</v>
      </c>
      <c r="V29" s="74">
        <f>IF(2&lt;='Dataset for Meta-algorithm'!$C$12,V28*('Brace for Meta-algorithm'!$D$14='Brace for Meta-algorithm'!$D$6)*('Brace for Meta-algorithm'!$H$14&lt;0),V28)</f>
        <v>1</v>
      </c>
      <c r="W29" s="83">
        <f>SUM(M29:V29)</f>
        <v>4</v>
      </c>
    </row>
    <row r="30">
      <c r="A30" s="64">
        <v>3</v>
      </c>
      <c r="B30" s="74">
        <f>IF(3&lt;='Dataset for Meta-algorithm'!$C$12,B29*('Brace for Meta-algorithm'!$E$5='Brace for Meta-algorithm'!$E$6)*('Brace for Meta-algorithm'!$I$5&gt;0),B29)</f>
        <v>0</v>
      </c>
      <c r="C30" s="74">
        <f>IF(3&lt;='Dataset for Meta-algorithm'!$C$12,C29*('Brace for Meta-algorithm'!$E$6='Brace for Meta-algorithm'!$E$6)*('Brace for Meta-algorithm'!$I$6&gt;0),C29)</f>
        <v>1</v>
      </c>
      <c r="D30" s="74">
        <f>IF(3&lt;='Dataset for Meta-algorithm'!$C$12,D29*('Brace for Meta-algorithm'!$E$7='Brace for Meta-algorithm'!$E$6)*('Brace for Meta-algorithm'!$I$7&gt;0),D29)</f>
        <v>0</v>
      </c>
      <c r="E30" s="74">
        <f>IF(3&lt;='Dataset for Meta-algorithm'!$C$12,E29*('Brace for Meta-algorithm'!$E$8='Brace for Meta-algorithm'!$E$6)*('Brace for Meta-algorithm'!$I$8&gt;0),E29)</f>
        <v>0</v>
      </c>
      <c r="F30" s="74">
        <f>IF(3&lt;='Dataset for Meta-algorithm'!$C$12,F29*('Brace for Meta-algorithm'!$E$9='Brace for Meta-algorithm'!$E$6)*('Brace for Meta-algorithm'!$I$9&gt;0),F29)</f>
        <v>0</v>
      </c>
      <c r="G30" s="74">
        <f>IF(3&lt;='Dataset for Meta-algorithm'!$C$12,G29*('Brace for Meta-algorithm'!$E$10='Brace for Meta-algorithm'!$E$6)*('Brace for Meta-algorithm'!$I$10&gt;0),G29)</f>
        <v>1</v>
      </c>
      <c r="H30" s="74">
        <f>IF(3&lt;='Dataset for Meta-algorithm'!$C$12,H29*('Brace for Meta-algorithm'!$E$11='Brace for Meta-algorithm'!$E$6)*('Brace for Meta-algorithm'!$I$11&gt;0),H29)</f>
        <v>0</v>
      </c>
      <c r="I30" s="74">
        <f>IF(3&lt;='Dataset for Meta-algorithm'!$C$12,I29*('Brace for Meta-algorithm'!$E$12='Brace for Meta-algorithm'!$E$6)*('Brace for Meta-algorithm'!$I$12&gt;0),I29)</f>
        <v>0</v>
      </c>
      <c r="J30" s="74">
        <f>IF(3&lt;='Dataset for Meta-algorithm'!$C$12,J29*('Brace for Meta-algorithm'!$E$13='Brace for Meta-algorithm'!$E$6)*('Brace for Meta-algorithm'!$I$13&gt;0),J29)</f>
        <v>0</v>
      </c>
      <c r="K30" s="74">
        <f>IF(3&lt;='Dataset for Meta-algorithm'!$C$12,K29*('Brace for Meta-algorithm'!$E$14='Brace for Meta-algorithm'!$E$6)*('Brace for Meta-algorithm'!$I$14&gt;0),K29)</f>
        <v>0</v>
      </c>
      <c r="L30" s="83">
        <f>SUM(B30:K30)</f>
        <v>2</v>
      </c>
      <c r="M30" s="74">
        <f>IF(3&lt;='Dataset for Meta-algorithm'!$C$12,M29*('Brace for Meta-algorithm'!$E$5='Brace for Meta-algorithm'!$E$6)*('Brace for Meta-algorithm'!$I$5&lt;0),M29)</f>
        <v>0</v>
      </c>
      <c r="N30" s="74">
        <f>IF(3&lt;='Dataset for Meta-algorithm'!$C$12,N29*('Brace for Meta-algorithm'!$E$6='Brace for Meta-algorithm'!$E$6)*('Brace for Meta-algorithm'!$I$6&lt;0),N29)</f>
        <v>0</v>
      </c>
      <c r="O30" s="74">
        <f>IF(3&lt;='Dataset for Meta-algorithm'!$C$12,O29*('Brace for Meta-algorithm'!$E$7='Brace for Meta-algorithm'!$E$6)*('Brace for Meta-algorithm'!$I$7&lt;0),O29)</f>
        <v>0</v>
      </c>
      <c r="P30" s="74">
        <f>IF(3&lt;='Dataset for Meta-algorithm'!$C$12,P29*('Brace for Meta-algorithm'!$E$8='Brace for Meta-algorithm'!$E$6)*('Brace for Meta-algorithm'!$I$8&lt;0),P29)</f>
        <v>0</v>
      </c>
      <c r="Q30" s="74">
        <f>IF(3&lt;='Dataset for Meta-algorithm'!$C$12,Q29*('Brace for Meta-algorithm'!$E$9='Brace for Meta-algorithm'!$E$6)*('Brace for Meta-algorithm'!$I$9&lt;0),Q29)</f>
        <v>0</v>
      </c>
      <c r="R30" s="74">
        <f>IF(3&lt;='Dataset for Meta-algorithm'!$C$12,R29*('Brace for Meta-algorithm'!$E$10='Brace for Meta-algorithm'!$E$6)*('Brace for Meta-algorithm'!$I$10&lt;0),R29)</f>
        <v>0</v>
      </c>
      <c r="S30" s="74">
        <f>IF(3&lt;='Dataset for Meta-algorithm'!$C$12,S29*('Brace for Meta-algorithm'!$E$11='Brace for Meta-algorithm'!$E$6)*('Brace for Meta-algorithm'!$I$11&lt;0),S29)</f>
        <v>1</v>
      </c>
      <c r="T30" s="74">
        <f>IF(3&lt;='Dataset for Meta-algorithm'!$C$12,T29*('Brace for Meta-algorithm'!$E$12='Brace for Meta-algorithm'!$E$6)*('Brace for Meta-algorithm'!$I$12&lt;0),T29)</f>
        <v>1</v>
      </c>
      <c r="U30" s="74">
        <f>IF(3&lt;='Dataset for Meta-algorithm'!$C$12,U29*('Brace for Meta-algorithm'!$E$13='Brace for Meta-algorithm'!$E$6)*('Brace for Meta-algorithm'!$I$13&lt;0),U29)</f>
        <v>1</v>
      </c>
      <c r="V30" s="74">
        <f>IF(3&lt;='Dataset for Meta-algorithm'!$C$12,V29*('Brace for Meta-algorithm'!$E$14='Brace for Meta-algorithm'!$E$6)*('Brace for Meta-algorithm'!$I$14&lt;0),V29)</f>
        <v>1</v>
      </c>
      <c r="W30" s="83">
        <f>SUM(M30:V30)</f>
        <v>4</v>
      </c>
    </row>
    <row r="31">
      <c r="A31" s="64">
        <v>4</v>
      </c>
      <c r="B31" s="74">
        <f>IF(4&lt;='Dataset for Meta-algorithm'!$C$12,B30*('Brace for Meta-algorithm'!$F$5='Brace for Meta-algorithm'!$F$6)*('Brace for Meta-algorithm'!$J$5&gt;0),B30)</f>
        <v>0</v>
      </c>
      <c r="C31" s="74">
        <f>IF(4&lt;='Dataset for Meta-algorithm'!$C$12,C30*('Brace for Meta-algorithm'!$F$6='Brace for Meta-algorithm'!$F$6)*('Brace for Meta-algorithm'!$J$6&gt;0),C30)</f>
        <v>1</v>
      </c>
      <c r="D31" s="74">
        <f>IF(4&lt;='Dataset for Meta-algorithm'!$C$12,D30*('Brace for Meta-algorithm'!$F$7='Brace for Meta-algorithm'!$F$6)*('Brace for Meta-algorithm'!$J$7&gt;0),D30)</f>
        <v>0</v>
      </c>
      <c r="E31" s="74">
        <f>IF(4&lt;='Dataset for Meta-algorithm'!$C$12,E30*('Brace for Meta-algorithm'!$F$8='Brace for Meta-algorithm'!$F$6)*('Brace for Meta-algorithm'!$J$8&gt;0),E30)</f>
        <v>0</v>
      </c>
      <c r="F31" s="74">
        <f>IF(4&lt;='Dataset for Meta-algorithm'!$C$12,F30*('Brace for Meta-algorithm'!$F$9='Brace for Meta-algorithm'!$F$6)*('Brace for Meta-algorithm'!$J$9&gt;0),F30)</f>
        <v>0</v>
      </c>
      <c r="G31" s="74">
        <f>IF(4&lt;='Dataset for Meta-algorithm'!$C$12,G30*('Brace for Meta-algorithm'!$F$10='Brace for Meta-algorithm'!$F$6)*('Brace for Meta-algorithm'!$J$10&gt;0),G30)</f>
        <v>1</v>
      </c>
      <c r="H31" s="74">
        <f>IF(4&lt;='Dataset for Meta-algorithm'!$C$12,H30*('Brace for Meta-algorithm'!$F$11='Brace for Meta-algorithm'!$F$6)*('Brace for Meta-algorithm'!$J$11&gt;0),H30)</f>
        <v>0</v>
      </c>
      <c r="I31" s="74">
        <f>IF(4&lt;='Dataset for Meta-algorithm'!$C$12,I30*('Brace for Meta-algorithm'!$F$12='Brace for Meta-algorithm'!$F$6)*('Brace for Meta-algorithm'!$J$12&gt;0),I30)</f>
        <v>0</v>
      </c>
      <c r="J31" s="74">
        <f>IF(4&lt;='Dataset for Meta-algorithm'!$C$12,J30*('Brace for Meta-algorithm'!$F$13='Brace for Meta-algorithm'!$F$6)*('Brace for Meta-algorithm'!$J$13&gt;0),J30)</f>
        <v>0</v>
      </c>
      <c r="K31" s="74">
        <f>IF(4&lt;='Dataset for Meta-algorithm'!$C$12,K30*('Brace for Meta-algorithm'!$F$14='Brace for Meta-algorithm'!$F$6)*('Brace for Meta-algorithm'!$J$14&gt;0),K30)</f>
        <v>0</v>
      </c>
      <c r="L31" s="83">
        <f>SUM(B31:K31)</f>
        <v>2</v>
      </c>
      <c r="M31" s="74">
        <f>IF(4&lt;='Dataset for Meta-algorithm'!$C$12,M30*('Brace for Meta-algorithm'!$F$5='Brace for Meta-algorithm'!$F$6)*('Brace for Meta-algorithm'!$J$5&lt;0),M30)</f>
        <v>0</v>
      </c>
      <c r="N31" s="74">
        <f>IF(4&lt;='Dataset for Meta-algorithm'!$C$12,N30*('Brace for Meta-algorithm'!$F$6='Brace for Meta-algorithm'!$F$6)*('Brace for Meta-algorithm'!$J$6&lt;0),N30)</f>
        <v>0</v>
      </c>
      <c r="O31" s="74">
        <f>IF(4&lt;='Dataset for Meta-algorithm'!$C$12,O30*('Brace for Meta-algorithm'!$F$7='Brace for Meta-algorithm'!$F$6)*('Brace for Meta-algorithm'!$J$7&lt;0),O30)</f>
        <v>0</v>
      </c>
      <c r="P31" s="74">
        <f>IF(4&lt;='Dataset for Meta-algorithm'!$C$12,P30*('Brace for Meta-algorithm'!$F$8='Brace for Meta-algorithm'!$F$6)*('Brace for Meta-algorithm'!$J$8&lt;0),P30)</f>
        <v>0</v>
      </c>
      <c r="Q31" s="74">
        <f>IF(4&lt;='Dataset for Meta-algorithm'!$C$12,Q30*('Brace for Meta-algorithm'!$F$9='Brace for Meta-algorithm'!$F$6)*('Brace for Meta-algorithm'!$J$9&lt;0),Q30)</f>
        <v>0</v>
      </c>
      <c r="R31" s="74">
        <f>IF(4&lt;='Dataset for Meta-algorithm'!$C$12,R30*('Brace for Meta-algorithm'!$F$10='Brace for Meta-algorithm'!$F$6)*('Brace for Meta-algorithm'!$J$10&lt;0),R30)</f>
        <v>0</v>
      </c>
      <c r="S31" s="74">
        <f>IF(4&lt;='Dataset for Meta-algorithm'!$C$12,S30*('Brace for Meta-algorithm'!$F$11='Brace for Meta-algorithm'!$F$6)*('Brace for Meta-algorithm'!$J$11&lt;0),S30)</f>
        <v>1</v>
      </c>
      <c r="T31" s="74">
        <f>IF(4&lt;='Dataset for Meta-algorithm'!$C$12,T30*('Brace for Meta-algorithm'!$F$12='Brace for Meta-algorithm'!$F$6)*('Brace for Meta-algorithm'!$J$12&lt;0),T30)</f>
        <v>1</v>
      </c>
      <c r="U31" s="74">
        <f>IF(4&lt;='Dataset for Meta-algorithm'!$C$12,U30*('Brace for Meta-algorithm'!$F$13='Brace for Meta-algorithm'!$F$6)*('Brace for Meta-algorithm'!$J$13&lt;0),U30)</f>
        <v>1</v>
      </c>
      <c r="V31" s="74">
        <f>IF(4&lt;='Dataset for Meta-algorithm'!$C$12,V30*('Brace for Meta-algorithm'!$F$14='Brace for Meta-algorithm'!$F$6)*('Brace for Meta-algorithm'!$J$14&lt;0),V30)</f>
        <v>1</v>
      </c>
      <c r="W31" s="83">
        <f>SUM(M31:V31)</f>
        <v>4</v>
      </c>
    </row>
    <row r="32"/>
    <row r="33">
      <c r="A33" s="59" t="inlineStr">
        <is>
          <t xml:space="preserve">Query S₃  —  its own description (aₜ₀, …, aₜₚ) against the training dataset (B1 flags left, B2 flags right)</t>
        </is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</row>
    <row r="34">
      <c r="A34" s="60" t="inlineStr">
        <is>
          <t xml:space="preserve">Step j</t>
        </is>
      </c>
      <c r="B34" s="60" t="inlineStr">
        <is>
          <t xml:space="preserve">S₁</t>
        </is>
      </c>
      <c r="C34" s="60" t="inlineStr">
        <is>
          <t xml:space="preserve">S₂</t>
        </is>
      </c>
      <c r="D34" s="60" t="inlineStr">
        <is>
          <t xml:space="preserve">S₃</t>
        </is>
      </c>
      <c r="E34" s="60" t="inlineStr">
        <is>
          <t xml:space="preserve">S₄</t>
        </is>
      </c>
      <c r="F34" s="60" t="inlineStr">
        <is>
          <t xml:space="preserve">S₅</t>
        </is>
      </c>
      <c r="G34" s="60" t="inlineStr">
        <is>
          <t xml:space="preserve">S₆</t>
        </is>
      </c>
      <c r="H34" s="60" t="inlineStr">
        <is>
          <t xml:space="preserve">S₇</t>
        </is>
      </c>
      <c r="I34" s="60" t="inlineStr">
        <is>
          <t xml:space="preserve">S₈</t>
        </is>
      </c>
      <c r="J34" s="60" t="inlineStr">
        <is>
          <t xml:space="preserve">S₉</t>
        </is>
      </c>
      <c r="K34" s="60" t="inlineStr">
        <is>
          <t xml:space="preserve">S₁₀</t>
        </is>
      </c>
      <c r="L34" s="60" t="inlineStr">
        <is>
          <t xml:space="preserve">|B1|</t>
        </is>
      </c>
      <c r="M34" s="60" t="inlineStr">
        <is>
          <t xml:space="preserve">S₁</t>
        </is>
      </c>
      <c r="N34" s="60" t="inlineStr">
        <is>
          <t xml:space="preserve">S₂</t>
        </is>
      </c>
      <c r="O34" s="60" t="inlineStr">
        <is>
          <t xml:space="preserve">S₃</t>
        </is>
      </c>
      <c r="P34" s="60" t="inlineStr">
        <is>
          <t xml:space="preserve">S₄</t>
        </is>
      </c>
      <c r="Q34" s="60" t="inlineStr">
        <is>
          <t xml:space="preserve">S₅</t>
        </is>
      </c>
      <c r="R34" s="60" t="inlineStr">
        <is>
          <t xml:space="preserve">S₆</t>
        </is>
      </c>
      <c r="S34" s="60" t="inlineStr">
        <is>
          <t xml:space="preserve">S₇</t>
        </is>
      </c>
      <c r="T34" s="60" t="inlineStr">
        <is>
          <t xml:space="preserve">S₈</t>
        </is>
      </c>
      <c r="U34" s="60" t="inlineStr">
        <is>
          <t xml:space="preserve">S₉</t>
        </is>
      </c>
      <c r="V34" s="60" t="inlineStr">
        <is>
          <t xml:space="preserve">S₁₀</t>
        </is>
      </c>
      <c r="W34" s="60" t="inlineStr">
        <is>
          <t xml:space="preserve">|B2|</t>
        </is>
      </c>
    </row>
    <row r="35">
      <c r="A35" s="64">
        <v>0</v>
      </c>
      <c r="B35" s="74">
        <f>IF(AND(Dataset!$O$3=1,'Brace for Meta-algorithm'!$B$5='Brace for Meta-algorithm'!$B$7),1,0)</f>
        <v>0</v>
      </c>
      <c r="C35" s="74">
        <f>IF(AND(Dataset!$O$4=1,'Brace for Meta-algorithm'!$B$6='Brace for Meta-algorithm'!$B$7),1,0)</f>
        <v>0</v>
      </c>
      <c r="D35" s="74">
        <f>IF(AND(Dataset!$O$5=1,'Brace for Meta-algorithm'!$B$7='Brace for Meta-algorithm'!$B$7),1,0)</f>
        <v>0</v>
      </c>
      <c r="E35" s="74">
        <f>IF(AND(Dataset!$O$6=1,'Brace for Meta-algorithm'!$B$8='Brace for Meta-algorithm'!$B$7),1,0)</f>
        <v>0</v>
      </c>
      <c r="F35" s="74">
        <f>IF(AND(Dataset!$O$7=1,'Brace for Meta-algorithm'!$B$9='Brace for Meta-algorithm'!$B$7),1,0)</f>
        <v>0</v>
      </c>
      <c r="G35" s="74">
        <f>IF(AND(Dataset!$O$8=1,'Brace for Meta-algorithm'!$B$10='Brace for Meta-algorithm'!$B$7),1,0)</f>
        <v>0</v>
      </c>
      <c r="H35" s="74">
        <f>IF(AND(Dataset!$O$9=1,'Brace for Meta-algorithm'!$B$11='Brace for Meta-algorithm'!$B$7),1,0)</f>
        <v>0</v>
      </c>
      <c r="I35" s="74">
        <f>IF(AND(Dataset!$O$10=1,'Brace for Meta-algorithm'!$B$12='Brace for Meta-algorithm'!$B$7),1,0)</f>
        <v>0</v>
      </c>
      <c r="J35" s="74">
        <f>IF(AND(Dataset!$O$11=1,'Brace for Meta-algorithm'!$B$13='Brace for Meta-algorithm'!$B$7),1,0)</f>
        <v>0</v>
      </c>
      <c r="K35" s="74">
        <f>IF(AND(Dataset!$O$12=1,'Brace for Meta-algorithm'!$B$14='Brace for Meta-algorithm'!$B$7),1,0)</f>
        <v>0</v>
      </c>
      <c r="L35" s="83">
        <f>SUM(B35:K35)</f>
        <v>0</v>
      </c>
      <c r="M35" s="74">
        <f>IF(AND(Dataset!$O$3=2,'Brace for Meta-algorithm'!$B$5='Brace for Meta-algorithm'!$B$7),1,0)</f>
        <v>0</v>
      </c>
      <c r="N35" s="74">
        <f>IF(AND(Dataset!$O$4=2,'Brace for Meta-algorithm'!$B$6='Brace for Meta-algorithm'!$B$7),1,0)</f>
        <v>0</v>
      </c>
      <c r="O35" s="74">
        <f>IF(AND(Dataset!$O$5=2,'Brace for Meta-algorithm'!$B$7='Brace for Meta-algorithm'!$B$7),1,0)</f>
        <v>1</v>
      </c>
      <c r="P35" s="74">
        <f>IF(AND(Dataset!$O$6=2,'Brace for Meta-algorithm'!$B$8='Brace for Meta-algorithm'!$B$7),1,0)</f>
        <v>0</v>
      </c>
      <c r="Q35" s="74">
        <f>IF(AND(Dataset!$O$7=2,'Brace for Meta-algorithm'!$B$9='Brace for Meta-algorithm'!$B$7),1,0)</f>
        <v>0</v>
      </c>
      <c r="R35" s="74">
        <f>IF(AND(Dataset!$O$8=2,'Brace for Meta-algorithm'!$B$10='Brace for Meta-algorithm'!$B$7),1,0)</f>
        <v>0</v>
      </c>
      <c r="S35" s="74">
        <f>IF(AND(Dataset!$O$9=2,'Brace for Meta-algorithm'!$B$11='Brace for Meta-algorithm'!$B$7),1,0)</f>
        <v>0</v>
      </c>
      <c r="T35" s="74">
        <f>IF(AND(Dataset!$O$10=2,'Brace for Meta-algorithm'!$B$12='Brace for Meta-algorithm'!$B$7),1,0)</f>
        <v>0</v>
      </c>
      <c r="U35" s="74">
        <f>IF(AND(Dataset!$O$11=2,'Brace for Meta-algorithm'!$B$13='Brace for Meta-algorithm'!$B$7),1,0)</f>
        <v>0</v>
      </c>
      <c r="V35" s="74">
        <f>IF(AND(Dataset!$O$12=2,'Brace for Meta-algorithm'!$B$14='Brace for Meta-algorithm'!$B$7),1,0)</f>
        <v>0</v>
      </c>
      <c r="W35" s="83">
        <f>SUM(M35:V35)</f>
        <v>1</v>
      </c>
    </row>
    <row r="36">
      <c r="A36" s="64">
        <v>1</v>
      </c>
      <c r="B36" s="74">
        <f>IF(1&lt;='Dataset for Meta-algorithm'!$C$12,B35*('Brace for Meta-algorithm'!$C$5='Brace for Meta-algorithm'!$C$7)*('Brace for Meta-algorithm'!$G$5&gt;0),B35)</f>
        <v>0</v>
      </c>
      <c r="C36" s="74">
        <f>IF(1&lt;='Dataset for Meta-algorithm'!$C$12,C35*('Brace for Meta-algorithm'!$C$6='Brace for Meta-algorithm'!$C$7)*('Brace for Meta-algorithm'!$G$6&gt;0),C35)</f>
        <v>0</v>
      </c>
      <c r="D36" s="74">
        <f>IF(1&lt;='Dataset for Meta-algorithm'!$C$12,D35*('Brace for Meta-algorithm'!$C$7='Brace for Meta-algorithm'!$C$7)*('Brace for Meta-algorithm'!$G$7&gt;0),D35)</f>
        <v>0</v>
      </c>
      <c r="E36" s="74">
        <f>IF(1&lt;='Dataset for Meta-algorithm'!$C$12,E35*('Brace for Meta-algorithm'!$C$8='Brace for Meta-algorithm'!$C$7)*('Brace for Meta-algorithm'!$G$8&gt;0),E35)</f>
        <v>0</v>
      </c>
      <c r="F36" s="74">
        <f>IF(1&lt;='Dataset for Meta-algorithm'!$C$12,F35*('Brace for Meta-algorithm'!$C$9='Brace for Meta-algorithm'!$C$7)*('Brace for Meta-algorithm'!$G$9&gt;0),F35)</f>
        <v>0</v>
      </c>
      <c r="G36" s="74">
        <f>IF(1&lt;='Dataset for Meta-algorithm'!$C$12,G35*('Brace for Meta-algorithm'!$C$10='Brace for Meta-algorithm'!$C$7)*('Brace for Meta-algorithm'!$G$10&gt;0),G35)</f>
        <v>0</v>
      </c>
      <c r="H36" s="74">
        <f>IF(1&lt;='Dataset for Meta-algorithm'!$C$12,H35*('Brace for Meta-algorithm'!$C$11='Brace for Meta-algorithm'!$C$7)*('Brace for Meta-algorithm'!$G$11&gt;0),H35)</f>
        <v>0</v>
      </c>
      <c r="I36" s="74">
        <f>IF(1&lt;='Dataset for Meta-algorithm'!$C$12,I35*('Brace for Meta-algorithm'!$C$12='Brace for Meta-algorithm'!$C$7)*('Brace for Meta-algorithm'!$G$12&gt;0),I35)</f>
        <v>0</v>
      </c>
      <c r="J36" s="74">
        <f>IF(1&lt;='Dataset for Meta-algorithm'!$C$12,J35*('Brace for Meta-algorithm'!$C$13='Brace for Meta-algorithm'!$C$7)*('Brace for Meta-algorithm'!$G$13&gt;0),J35)</f>
        <v>0</v>
      </c>
      <c r="K36" s="74">
        <f>IF(1&lt;='Dataset for Meta-algorithm'!$C$12,K35*('Brace for Meta-algorithm'!$C$14='Brace for Meta-algorithm'!$C$7)*('Brace for Meta-algorithm'!$G$14&gt;0),K35)</f>
        <v>0</v>
      </c>
      <c r="L36" s="83">
        <f>SUM(B36:K36)</f>
        <v>0</v>
      </c>
      <c r="M36" s="74">
        <f>IF(1&lt;='Dataset for Meta-algorithm'!$C$12,M35*('Brace for Meta-algorithm'!$C$5='Brace for Meta-algorithm'!$C$7)*('Brace for Meta-algorithm'!$G$5&lt;0),M35)</f>
        <v>0</v>
      </c>
      <c r="N36" s="74">
        <f>IF(1&lt;='Dataset for Meta-algorithm'!$C$12,N35*('Brace for Meta-algorithm'!$C$6='Brace for Meta-algorithm'!$C$7)*('Brace for Meta-algorithm'!$G$6&lt;0),N35)</f>
        <v>0</v>
      </c>
      <c r="O36" s="74">
        <f>IF(1&lt;='Dataset for Meta-algorithm'!$C$12,O35*('Brace for Meta-algorithm'!$C$7='Brace for Meta-algorithm'!$C$7)*('Brace for Meta-algorithm'!$G$7&lt;0),O35)</f>
        <v>1</v>
      </c>
      <c r="P36" s="74">
        <f>IF(1&lt;='Dataset for Meta-algorithm'!$C$12,P35*('Brace for Meta-algorithm'!$C$8='Brace for Meta-algorithm'!$C$7)*('Brace for Meta-algorithm'!$G$8&lt;0),P35)</f>
        <v>0</v>
      </c>
      <c r="Q36" s="74">
        <f>IF(1&lt;='Dataset for Meta-algorithm'!$C$12,Q35*('Brace for Meta-algorithm'!$C$9='Brace for Meta-algorithm'!$C$7)*('Brace for Meta-algorithm'!$G$9&lt;0),Q35)</f>
        <v>0</v>
      </c>
      <c r="R36" s="74">
        <f>IF(1&lt;='Dataset for Meta-algorithm'!$C$12,R35*('Brace for Meta-algorithm'!$C$10='Brace for Meta-algorithm'!$C$7)*('Brace for Meta-algorithm'!$G$10&lt;0),R35)</f>
        <v>0</v>
      </c>
      <c r="S36" s="74">
        <f>IF(1&lt;='Dataset for Meta-algorithm'!$C$12,S35*('Brace for Meta-algorithm'!$C$11='Brace for Meta-algorithm'!$C$7)*('Brace for Meta-algorithm'!$G$11&lt;0),S35)</f>
        <v>0</v>
      </c>
      <c r="T36" s="74">
        <f>IF(1&lt;='Dataset for Meta-algorithm'!$C$12,T35*('Brace for Meta-algorithm'!$C$12='Brace for Meta-algorithm'!$C$7)*('Brace for Meta-algorithm'!$G$12&lt;0),T35)</f>
        <v>0</v>
      </c>
      <c r="U36" s="74">
        <f>IF(1&lt;='Dataset for Meta-algorithm'!$C$12,U35*('Brace for Meta-algorithm'!$C$13='Brace for Meta-algorithm'!$C$7)*('Brace for Meta-algorithm'!$G$13&lt;0),U35)</f>
        <v>0</v>
      </c>
      <c r="V36" s="74">
        <f>IF(1&lt;='Dataset for Meta-algorithm'!$C$12,V35*('Brace for Meta-algorithm'!$C$14='Brace for Meta-algorithm'!$C$7)*('Brace for Meta-algorithm'!$G$14&lt;0),V35)</f>
        <v>0</v>
      </c>
      <c r="W36" s="83">
        <f>SUM(M36:V36)</f>
        <v>1</v>
      </c>
    </row>
    <row r="37">
      <c r="A37" s="64">
        <v>2</v>
      </c>
      <c r="B37" s="74">
        <f>IF(2&lt;='Dataset for Meta-algorithm'!$C$12,B36*('Brace for Meta-algorithm'!$D$5='Brace for Meta-algorithm'!$D$7)*('Brace for Meta-algorithm'!$H$5&gt;0),B36)</f>
        <v>0</v>
      </c>
      <c r="C37" s="74">
        <f>IF(2&lt;='Dataset for Meta-algorithm'!$C$12,C36*('Brace for Meta-algorithm'!$D$6='Brace for Meta-algorithm'!$D$7)*('Brace for Meta-algorithm'!$H$6&gt;0),C36)</f>
        <v>0</v>
      </c>
      <c r="D37" s="74">
        <f>IF(2&lt;='Dataset for Meta-algorithm'!$C$12,D36*('Brace for Meta-algorithm'!$D$7='Brace for Meta-algorithm'!$D$7)*('Brace for Meta-algorithm'!$H$7&gt;0),D36)</f>
        <v>0</v>
      </c>
      <c r="E37" s="74">
        <f>IF(2&lt;='Dataset for Meta-algorithm'!$C$12,E36*('Brace for Meta-algorithm'!$D$8='Brace for Meta-algorithm'!$D$7)*('Brace for Meta-algorithm'!$H$8&gt;0),E36)</f>
        <v>0</v>
      </c>
      <c r="F37" s="74">
        <f>IF(2&lt;='Dataset for Meta-algorithm'!$C$12,F36*('Brace for Meta-algorithm'!$D$9='Brace for Meta-algorithm'!$D$7)*('Brace for Meta-algorithm'!$H$9&gt;0),F36)</f>
        <v>0</v>
      </c>
      <c r="G37" s="74">
        <f>IF(2&lt;='Dataset for Meta-algorithm'!$C$12,G36*('Brace for Meta-algorithm'!$D$10='Brace for Meta-algorithm'!$D$7)*('Brace for Meta-algorithm'!$H$10&gt;0),G36)</f>
        <v>0</v>
      </c>
      <c r="H37" s="74">
        <f>IF(2&lt;='Dataset for Meta-algorithm'!$C$12,H36*('Brace for Meta-algorithm'!$D$11='Brace for Meta-algorithm'!$D$7)*('Brace for Meta-algorithm'!$H$11&gt;0),H36)</f>
        <v>0</v>
      </c>
      <c r="I37" s="74">
        <f>IF(2&lt;='Dataset for Meta-algorithm'!$C$12,I36*('Brace for Meta-algorithm'!$D$12='Brace for Meta-algorithm'!$D$7)*('Brace for Meta-algorithm'!$H$12&gt;0),I36)</f>
        <v>0</v>
      </c>
      <c r="J37" s="74">
        <f>IF(2&lt;='Dataset for Meta-algorithm'!$C$12,J36*('Brace for Meta-algorithm'!$D$13='Brace for Meta-algorithm'!$D$7)*('Brace for Meta-algorithm'!$H$13&gt;0),J36)</f>
        <v>0</v>
      </c>
      <c r="K37" s="74">
        <f>IF(2&lt;='Dataset for Meta-algorithm'!$C$12,K36*('Brace for Meta-algorithm'!$D$14='Brace for Meta-algorithm'!$D$7)*('Brace for Meta-algorithm'!$H$14&gt;0),K36)</f>
        <v>0</v>
      </c>
      <c r="L37" s="83">
        <f>SUM(B37:K37)</f>
        <v>0</v>
      </c>
      <c r="M37" s="74">
        <f>IF(2&lt;='Dataset for Meta-algorithm'!$C$12,M36*('Brace for Meta-algorithm'!$D$5='Brace for Meta-algorithm'!$D$7)*('Brace for Meta-algorithm'!$H$5&lt;0),M36)</f>
        <v>0</v>
      </c>
      <c r="N37" s="74">
        <f>IF(2&lt;='Dataset for Meta-algorithm'!$C$12,N36*('Brace for Meta-algorithm'!$D$6='Brace for Meta-algorithm'!$D$7)*('Brace for Meta-algorithm'!$H$6&lt;0),N36)</f>
        <v>0</v>
      </c>
      <c r="O37" s="74">
        <f>IF(2&lt;='Dataset for Meta-algorithm'!$C$12,O36*('Brace for Meta-algorithm'!$D$7='Brace for Meta-algorithm'!$D$7)*('Brace for Meta-algorithm'!$H$7&lt;0),O36)</f>
        <v>1</v>
      </c>
      <c r="P37" s="74">
        <f>IF(2&lt;='Dataset for Meta-algorithm'!$C$12,P36*('Brace for Meta-algorithm'!$D$8='Brace for Meta-algorithm'!$D$7)*('Brace for Meta-algorithm'!$H$8&lt;0),P36)</f>
        <v>0</v>
      </c>
      <c r="Q37" s="74">
        <f>IF(2&lt;='Dataset for Meta-algorithm'!$C$12,Q36*('Brace for Meta-algorithm'!$D$9='Brace for Meta-algorithm'!$D$7)*('Brace for Meta-algorithm'!$H$9&lt;0),Q36)</f>
        <v>0</v>
      </c>
      <c r="R37" s="74">
        <f>IF(2&lt;='Dataset for Meta-algorithm'!$C$12,R36*('Brace for Meta-algorithm'!$D$10='Brace for Meta-algorithm'!$D$7)*('Brace for Meta-algorithm'!$H$10&lt;0),R36)</f>
        <v>0</v>
      </c>
      <c r="S37" s="74">
        <f>IF(2&lt;='Dataset for Meta-algorithm'!$C$12,S36*('Brace for Meta-algorithm'!$D$11='Brace for Meta-algorithm'!$D$7)*('Brace for Meta-algorithm'!$H$11&lt;0),S36)</f>
        <v>0</v>
      </c>
      <c r="T37" s="74">
        <f>IF(2&lt;='Dataset for Meta-algorithm'!$C$12,T36*('Brace for Meta-algorithm'!$D$12='Brace for Meta-algorithm'!$D$7)*('Brace for Meta-algorithm'!$H$12&lt;0),T36)</f>
        <v>0</v>
      </c>
      <c r="U37" s="74">
        <f>IF(2&lt;='Dataset for Meta-algorithm'!$C$12,U36*('Brace for Meta-algorithm'!$D$13='Brace for Meta-algorithm'!$D$7)*('Brace for Meta-algorithm'!$H$13&lt;0),U36)</f>
        <v>0</v>
      </c>
      <c r="V37" s="74">
        <f>IF(2&lt;='Dataset for Meta-algorithm'!$C$12,V36*('Brace for Meta-algorithm'!$D$14='Brace for Meta-algorithm'!$D$7)*('Brace for Meta-algorithm'!$H$14&lt;0),V36)</f>
        <v>0</v>
      </c>
      <c r="W37" s="83">
        <f>SUM(M37:V37)</f>
        <v>1</v>
      </c>
    </row>
    <row r="38">
      <c r="A38" s="64">
        <v>3</v>
      </c>
      <c r="B38" s="74">
        <f>IF(3&lt;='Dataset for Meta-algorithm'!$C$12,B37*('Brace for Meta-algorithm'!$E$5='Brace for Meta-algorithm'!$E$7)*('Brace for Meta-algorithm'!$I$5&gt;0),B37)</f>
        <v>0</v>
      </c>
      <c r="C38" s="74">
        <f>IF(3&lt;='Dataset for Meta-algorithm'!$C$12,C37*('Brace for Meta-algorithm'!$E$6='Brace for Meta-algorithm'!$E$7)*('Brace for Meta-algorithm'!$I$6&gt;0),C37)</f>
        <v>0</v>
      </c>
      <c r="D38" s="74">
        <f>IF(3&lt;='Dataset for Meta-algorithm'!$C$12,D37*('Brace for Meta-algorithm'!$E$7='Brace for Meta-algorithm'!$E$7)*('Brace for Meta-algorithm'!$I$7&gt;0),D37)</f>
        <v>0</v>
      </c>
      <c r="E38" s="74">
        <f>IF(3&lt;='Dataset for Meta-algorithm'!$C$12,E37*('Brace for Meta-algorithm'!$E$8='Brace for Meta-algorithm'!$E$7)*('Brace for Meta-algorithm'!$I$8&gt;0),E37)</f>
        <v>0</v>
      </c>
      <c r="F38" s="74">
        <f>IF(3&lt;='Dataset for Meta-algorithm'!$C$12,F37*('Brace for Meta-algorithm'!$E$9='Brace for Meta-algorithm'!$E$7)*('Brace for Meta-algorithm'!$I$9&gt;0),F37)</f>
        <v>0</v>
      </c>
      <c r="G38" s="74">
        <f>IF(3&lt;='Dataset for Meta-algorithm'!$C$12,G37*('Brace for Meta-algorithm'!$E$10='Brace for Meta-algorithm'!$E$7)*('Brace for Meta-algorithm'!$I$10&gt;0),G37)</f>
        <v>0</v>
      </c>
      <c r="H38" s="74">
        <f>IF(3&lt;='Dataset for Meta-algorithm'!$C$12,H37*('Brace for Meta-algorithm'!$E$11='Brace for Meta-algorithm'!$E$7)*('Brace for Meta-algorithm'!$I$11&gt;0),H37)</f>
        <v>0</v>
      </c>
      <c r="I38" s="74">
        <f>IF(3&lt;='Dataset for Meta-algorithm'!$C$12,I37*('Brace for Meta-algorithm'!$E$12='Brace for Meta-algorithm'!$E$7)*('Brace for Meta-algorithm'!$I$12&gt;0),I37)</f>
        <v>0</v>
      </c>
      <c r="J38" s="74">
        <f>IF(3&lt;='Dataset for Meta-algorithm'!$C$12,J37*('Brace for Meta-algorithm'!$E$13='Brace for Meta-algorithm'!$E$7)*('Brace for Meta-algorithm'!$I$13&gt;0),J37)</f>
        <v>0</v>
      </c>
      <c r="K38" s="74">
        <f>IF(3&lt;='Dataset for Meta-algorithm'!$C$12,K37*('Brace for Meta-algorithm'!$E$14='Brace for Meta-algorithm'!$E$7)*('Brace for Meta-algorithm'!$I$14&gt;0),K37)</f>
        <v>0</v>
      </c>
      <c r="L38" s="83">
        <f>SUM(B38:K38)</f>
        <v>0</v>
      </c>
      <c r="M38" s="74">
        <f>IF(3&lt;='Dataset for Meta-algorithm'!$C$12,M37*('Brace for Meta-algorithm'!$E$5='Brace for Meta-algorithm'!$E$7)*('Brace for Meta-algorithm'!$I$5&lt;0),M37)</f>
        <v>0</v>
      </c>
      <c r="N38" s="74">
        <f>IF(3&lt;='Dataset for Meta-algorithm'!$C$12,N37*('Brace for Meta-algorithm'!$E$6='Brace for Meta-algorithm'!$E$7)*('Brace for Meta-algorithm'!$I$6&lt;0),N37)</f>
        <v>0</v>
      </c>
      <c r="O38" s="74">
        <f>IF(3&lt;='Dataset for Meta-algorithm'!$C$12,O37*('Brace for Meta-algorithm'!$E$7='Brace for Meta-algorithm'!$E$7)*('Brace for Meta-algorithm'!$I$7&lt;0),O37)</f>
        <v>1</v>
      </c>
      <c r="P38" s="74">
        <f>IF(3&lt;='Dataset for Meta-algorithm'!$C$12,P37*('Brace for Meta-algorithm'!$E$8='Brace for Meta-algorithm'!$E$7)*('Brace for Meta-algorithm'!$I$8&lt;0),P37)</f>
        <v>0</v>
      </c>
      <c r="Q38" s="74">
        <f>IF(3&lt;='Dataset for Meta-algorithm'!$C$12,Q37*('Brace for Meta-algorithm'!$E$9='Brace for Meta-algorithm'!$E$7)*('Brace for Meta-algorithm'!$I$9&lt;0),Q37)</f>
        <v>0</v>
      </c>
      <c r="R38" s="74">
        <f>IF(3&lt;='Dataset for Meta-algorithm'!$C$12,R37*('Brace for Meta-algorithm'!$E$10='Brace for Meta-algorithm'!$E$7)*('Brace for Meta-algorithm'!$I$10&lt;0),R37)</f>
        <v>0</v>
      </c>
      <c r="S38" s="74">
        <f>IF(3&lt;='Dataset for Meta-algorithm'!$C$12,S37*('Brace for Meta-algorithm'!$E$11='Brace for Meta-algorithm'!$E$7)*('Brace for Meta-algorithm'!$I$11&lt;0),S37)</f>
        <v>0</v>
      </c>
      <c r="T38" s="74">
        <f>IF(3&lt;='Dataset for Meta-algorithm'!$C$12,T37*('Brace for Meta-algorithm'!$E$12='Brace for Meta-algorithm'!$E$7)*('Brace for Meta-algorithm'!$I$12&lt;0),T37)</f>
        <v>0</v>
      </c>
      <c r="U38" s="74">
        <f>IF(3&lt;='Dataset for Meta-algorithm'!$C$12,U37*('Brace for Meta-algorithm'!$E$13='Brace for Meta-algorithm'!$E$7)*('Brace for Meta-algorithm'!$I$13&lt;0),U37)</f>
        <v>0</v>
      </c>
      <c r="V38" s="74">
        <f>IF(3&lt;='Dataset for Meta-algorithm'!$C$12,V37*('Brace for Meta-algorithm'!$E$14='Brace for Meta-algorithm'!$E$7)*('Brace for Meta-algorithm'!$I$14&lt;0),V37)</f>
        <v>0</v>
      </c>
      <c r="W38" s="83">
        <f>SUM(M38:V38)</f>
        <v>1</v>
      </c>
    </row>
    <row r="39">
      <c r="A39" s="64">
        <v>4</v>
      </c>
      <c r="B39" s="74">
        <f>IF(4&lt;='Dataset for Meta-algorithm'!$C$12,B38*('Brace for Meta-algorithm'!$F$5='Brace for Meta-algorithm'!$F$7)*('Brace for Meta-algorithm'!$J$5&gt;0),B38)</f>
        <v>0</v>
      </c>
      <c r="C39" s="74">
        <f>IF(4&lt;='Dataset for Meta-algorithm'!$C$12,C38*('Brace for Meta-algorithm'!$F$6='Brace for Meta-algorithm'!$F$7)*('Brace for Meta-algorithm'!$J$6&gt;0),C38)</f>
        <v>0</v>
      </c>
      <c r="D39" s="74">
        <f>IF(4&lt;='Dataset for Meta-algorithm'!$C$12,D38*('Brace for Meta-algorithm'!$F$7='Brace for Meta-algorithm'!$F$7)*('Brace for Meta-algorithm'!$J$7&gt;0),D38)</f>
        <v>0</v>
      </c>
      <c r="E39" s="74">
        <f>IF(4&lt;='Dataset for Meta-algorithm'!$C$12,E38*('Brace for Meta-algorithm'!$F$8='Brace for Meta-algorithm'!$F$7)*('Brace for Meta-algorithm'!$J$8&gt;0),E38)</f>
        <v>0</v>
      </c>
      <c r="F39" s="74">
        <f>IF(4&lt;='Dataset for Meta-algorithm'!$C$12,F38*('Brace for Meta-algorithm'!$F$9='Brace for Meta-algorithm'!$F$7)*('Brace for Meta-algorithm'!$J$9&gt;0),F38)</f>
        <v>0</v>
      </c>
      <c r="G39" s="74">
        <f>IF(4&lt;='Dataset for Meta-algorithm'!$C$12,G38*('Brace for Meta-algorithm'!$F$10='Brace for Meta-algorithm'!$F$7)*('Brace for Meta-algorithm'!$J$10&gt;0),G38)</f>
        <v>0</v>
      </c>
      <c r="H39" s="74">
        <f>IF(4&lt;='Dataset for Meta-algorithm'!$C$12,H38*('Brace for Meta-algorithm'!$F$11='Brace for Meta-algorithm'!$F$7)*('Brace for Meta-algorithm'!$J$11&gt;0),H38)</f>
        <v>0</v>
      </c>
      <c r="I39" s="74">
        <f>IF(4&lt;='Dataset for Meta-algorithm'!$C$12,I38*('Brace for Meta-algorithm'!$F$12='Brace for Meta-algorithm'!$F$7)*('Brace for Meta-algorithm'!$J$12&gt;0),I38)</f>
        <v>0</v>
      </c>
      <c r="J39" s="74">
        <f>IF(4&lt;='Dataset for Meta-algorithm'!$C$12,J38*('Brace for Meta-algorithm'!$F$13='Brace for Meta-algorithm'!$F$7)*('Brace for Meta-algorithm'!$J$13&gt;0),J38)</f>
        <v>0</v>
      </c>
      <c r="K39" s="74">
        <f>IF(4&lt;='Dataset for Meta-algorithm'!$C$12,K38*('Brace for Meta-algorithm'!$F$14='Brace for Meta-algorithm'!$F$7)*('Brace for Meta-algorithm'!$J$14&gt;0),K38)</f>
        <v>0</v>
      </c>
      <c r="L39" s="83">
        <f>SUM(B39:K39)</f>
        <v>0</v>
      </c>
      <c r="M39" s="74">
        <f>IF(4&lt;='Dataset for Meta-algorithm'!$C$12,M38*('Brace for Meta-algorithm'!$F$5='Brace for Meta-algorithm'!$F$7)*('Brace for Meta-algorithm'!$J$5&lt;0),M38)</f>
        <v>0</v>
      </c>
      <c r="N39" s="74">
        <f>IF(4&lt;='Dataset for Meta-algorithm'!$C$12,N38*('Brace for Meta-algorithm'!$F$6='Brace for Meta-algorithm'!$F$7)*('Brace for Meta-algorithm'!$J$6&lt;0),N38)</f>
        <v>0</v>
      </c>
      <c r="O39" s="74">
        <f>IF(4&lt;='Dataset for Meta-algorithm'!$C$12,O38*('Brace for Meta-algorithm'!$F$7='Brace for Meta-algorithm'!$F$7)*('Brace for Meta-algorithm'!$J$7&lt;0),O38)</f>
        <v>1</v>
      </c>
      <c r="P39" s="74">
        <f>IF(4&lt;='Dataset for Meta-algorithm'!$C$12,P38*('Brace for Meta-algorithm'!$F$8='Brace for Meta-algorithm'!$F$7)*('Brace for Meta-algorithm'!$J$8&lt;0),P38)</f>
        <v>0</v>
      </c>
      <c r="Q39" s="74">
        <f>IF(4&lt;='Dataset for Meta-algorithm'!$C$12,Q38*('Brace for Meta-algorithm'!$F$9='Brace for Meta-algorithm'!$F$7)*('Brace for Meta-algorithm'!$J$9&lt;0),Q38)</f>
        <v>0</v>
      </c>
      <c r="R39" s="74">
        <f>IF(4&lt;='Dataset for Meta-algorithm'!$C$12,R38*('Brace for Meta-algorithm'!$F$10='Brace for Meta-algorithm'!$F$7)*('Brace for Meta-algorithm'!$J$10&lt;0),R38)</f>
        <v>0</v>
      </c>
      <c r="S39" s="74">
        <f>IF(4&lt;='Dataset for Meta-algorithm'!$C$12,S38*('Brace for Meta-algorithm'!$F$11='Brace for Meta-algorithm'!$F$7)*('Brace for Meta-algorithm'!$J$11&lt;0),S38)</f>
        <v>0</v>
      </c>
      <c r="T39" s="74">
        <f>IF(4&lt;='Dataset for Meta-algorithm'!$C$12,T38*('Brace for Meta-algorithm'!$F$12='Brace for Meta-algorithm'!$F$7)*('Brace for Meta-algorithm'!$J$12&lt;0),T38)</f>
        <v>0</v>
      </c>
      <c r="U39" s="74">
        <f>IF(4&lt;='Dataset for Meta-algorithm'!$C$12,U38*('Brace for Meta-algorithm'!$F$13='Brace for Meta-algorithm'!$F$7)*('Brace for Meta-algorithm'!$J$13&lt;0),U38)</f>
        <v>0</v>
      </c>
      <c r="V39" s="74">
        <f>IF(4&lt;='Dataset for Meta-algorithm'!$C$12,V38*('Brace for Meta-algorithm'!$F$14='Brace for Meta-algorithm'!$F$7)*('Brace for Meta-algorithm'!$J$14&lt;0),V38)</f>
        <v>0</v>
      </c>
      <c r="W39" s="83">
        <f>SUM(M39:V39)</f>
        <v>1</v>
      </c>
    </row>
    <row r="40"/>
    <row r="41">
      <c r="A41" s="59" t="inlineStr">
        <is>
          <t xml:space="preserve">Query S₄  —  its own description (aₜ₀, …, aₜₚ) against the training dataset (B1 flags left, B2 flags right)</t>
        </is>
      </c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</row>
    <row r="42">
      <c r="A42" s="60" t="inlineStr">
        <is>
          <t xml:space="preserve">Step j</t>
        </is>
      </c>
      <c r="B42" s="60" t="inlineStr">
        <is>
          <t xml:space="preserve">S₁</t>
        </is>
      </c>
      <c r="C42" s="60" t="inlineStr">
        <is>
          <t xml:space="preserve">S₂</t>
        </is>
      </c>
      <c r="D42" s="60" t="inlineStr">
        <is>
          <t xml:space="preserve">S₃</t>
        </is>
      </c>
      <c r="E42" s="60" t="inlineStr">
        <is>
          <t xml:space="preserve">S₄</t>
        </is>
      </c>
      <c r="F42" s="60" t="inlineStr">
        <is>
          <t xml:space="preserve">S₅</t>
        </is>
      </c>
      <c r="G42" s="60" t="inlineStr">
        <is>
          <t xml:space="preserve">S₆</t>
        </is>
      </c>
      <c r="H42" s="60" t="inlineStr">
        <is>
          <t xml:space="preserve">S₇</t>
        </is>
      </c>
      <c r="I42" s="60" t="inlineStr">
        <is>
          <t xml:space="preserve">S₈</t>
        </is>
      </c>
      <c r="J42" s="60" t="inlineStr">
        <is>
          <t xml:space="preserve">S₉</t>
        </is>
      </c>
      <c r="K42" s="60" t="inlineStr">
        <is>
          <t xml:space="preserve">S₁₀</t>
        </is>
      </c>
      <c r="L42" s="60" t="inlineStr">
        <is>
          <t xml:space="preserve">|B1|</t>
        </is>
      </c>
      <c r="M42" s="60" t="inlineStr">
        <is>
          <t xml:space="preserve">S₁</t>
        </is>
      </c>
      <c r="N42" s="60" t="inlineStr">
        <is>
          <t xml:space="preserve">S₂</t>
        </is>
      </c>
      <c r="O42" s="60" t="inlineStr">
        <is>
          <t xml:space="preserve">S₃</t>
        </is>
      </c>
      <c r="P42" s="60" t="inlineStr">
        <is>
          <t xml:space="preserve">S₄</t>
        </is>
      </c>
      <c r="Q42" s="60" t="inlineStr">
        <is>
          <t xml:space="preserve">S₅</t>
        </is>
      </c>
      <c r="R42" s="60" t="inlineStr">
        <is>
          <t xml:space="preserve">S₆</t>
        </is>
      </c>
      <c r="S42" s="60" t="inlineStr">
        <is>
          <t xml:space="preserve">S₇</t>
        </is>
      </c>
      <c r="T42" s="60" t="inlineStr">
        <is>
          <t xml:space="preserve">S₈</t>
        </is>
      </c>
      <c r="U42" s="60" t="inlineStr">
        <is>
          <t xml:space="preserve">S₉</t>
        </is>
      </c>
      <c r="V42" s="60" t="inlineStr">
        <is>
          <t xml:space="preserve">S₁₀</t>
        </is>
      </c>
      <c r="W42" s="60" t="inlineStr">
        <is>
          <t xml:space="preserve">|B2|</t>
        </is>
      </c>
    </row>
    <row r="43">
      <c r="A43" s="64">
        <v>0</v>
      </c>
      <c r="B43" s="74">
        <f>IF(AND(Dataset!$O$3=1,'Brace for Meta-algorithm'!$B$5='Brace for Meta-algorithm'!$B$8),1,0)</f>
        <v>0</v>
      </c>
      <c r="C43" s="74">
        <f>IF(AND(Dataset!$O$4=1,'Brace for Meta-algorithm'!$B$6='Brace for Meta-algorithm'!$B$8),1,0)</f>
        <v>1</v>
      </c>
      <c r="D43" s="74">
        <f>IF(AND(Dataset!$O$5=1,'Brace for Meta-algorithm'!$B$7='Brace for Meta-algorithm'!$B$8),1,0)</f>
        <v>0</v>
      </c>
      <c r="E43" s="74">
        <f>IF(AND(Dataset!$O$6=1,'Brace for Meta-algorithm'!$B$8='Brace for Meta-algorithm'!$B$8),1,0)</f>
        <v>1</v>
      </c>
      <c r="F43" s="74">
        <f>IF(AND(Dataset!$O$7=1,'Brace for Meta-algorithm'!$B$9='Brace for Meta-algorithm'!$B$8),1,0)</f>
        <v>1</v>
      </c>
      <c r="G43" s="74">
        <f>IF(AND(Dataset!$O$8=1,'Brace for Meta-algorithm'!$B$10='Brace for Meta-algorithm'!$B$8),1,0)</f>
        <v>1</v>
      </c>
      <c r="H43" s="74">
        <f>IF(AND(Dataset!$O$9=1,'Brace for Meta-algorithm'!$B$11='Brace for Meta-algorithm'!$B$8),1,0)</f>
        <v>0</v>
      </c>
      <c r="I43" s="74">
        <f>IF(AND(Dataset!$O$10=1,'Brace for Meta-algorithm'!$B$12='Brace for Meta-algorithm'!$B$8),1,0)</f>
        <v>0</v>
      </c>
      <c r="J43" s="74">
        <f>IF(AND(Dataset!$O$11=1,'Brace for Meta-algorithm'!$B$13='Brace for Meta-algorithm'!$B$8),1,0)</f>
        <v>0</v>
      </c>
      <c r="K43" s="74">
        <f>IF(AND(Dataset!$O$12=1,'Brace for Meta-algorithm'!$B$14='Brace for Meta-algorithm'!$B$8),1,0)</f>
        <v>0</v>
      </c>
      <c r="L43" s="83">
        <f>SUM(B43:K43)</f>
        <v>4</v>
      </c>
      <c r="M43" s="74">
        <f>IF(AND(Dataset!$O$3=2,'Brace for Meta-algorithm'!$B$5='Brace for Meta-algorithm'!$B$8),1,0)</f>
        <v>1</v>
      </c>
      <c r="N43" s="74">
        <f>IF(AND(Dataset!$O$4=2,'Brace for Meta-algorithm'!$B$6='Brace for Meta-algorithm'!$B$8),1,0)</f>
        <v>0</v>
      </c>
      <c r="O43" s="74">
        <f>IF(AND(Dataset!$O$5=2,'Brace for Meta-algorithm'!$B$7='Brace for Meta-algorithm'!$B$8),1,0)</f>
        <v>0</v>
      </c>
      <c r="P43" s="74">
        <f>IF(AND(Dataset!$O$6=2,'Brace for Meta-algorithm'!$B$8='Brace for Meta-algorithm'!$B$8),1,0)</f>
        <v>0</v>
      </c>
      <c r="Q43" s="74">
        <f>IF(AND(Dataset!$O$7=2,'Brace for Meta-algorithm'!$B$9='Brace for Meta-algorithm'!$B$8),1,0)</f>
        <v>0</v>
      </c>
      <c r="R43" s="74">
        <f>IF(AND(Dataset!$O$8=2,'Brace for Meta-algorithm'!$B$10='Brace for Meta-algorithm'!$B$8),1,0)</f>
        <v>0</v>
      </c>
      <c r="S43" s="74">
        <f>IF(AND(Dataset!$O$9=2,'Brace for Meta-algorithm'!$B$11='Brace for Meta-algorithm'!$B$8),1,0)</f>
        <v>1</v>
      </c>
      <c r="T43" s="74">
        <f>IF(AND(Dataset!$O$10=2,'Brace for Meta-algorithm'!$B$12='Brace for Meta-algorithm'!$B$8),1,0)</f>
        <v>1</v>
      </c>
      <c r="U43" s="74">
        <f>IF(AND(Dataset!$O$11=2,'Brace for Meta-algorithm'!$B$13='Brace for Meta-algorithm'!$B$8),1,0)</f>
        <v>1</v>
      </c>
      <c r="V43" s="74">
        <f>IF(AND(Dataset!$O$12=2,'Brace for Meta-algorithm'!$B$14='Brace for Meta-algorithm'!$B$8),1,0)</f>
        <v>1</v>
      </c>
      <c r="W43" s="83">
        <f>SUM(M43:V43)</f>
        <v>5</v>
      </c>
    </row>
    <row r="44">
      <c r="A44" s="64">
        <v>1</v>
      </c>
      <c r="B44" s="74">
        <f>IF(1&lt;='Dataset for Meta-algorithm'!$C$12,B43*('Brace for Meta-algorithm'!$C$5='Brace for Meta-algorithm'!$C$8)*('Brace for Meta-algorithm'!$G$5&gt;0),B43)</f>
        <v>0</v>
      </c>
      <c r="C44" s="74">
        <f>IF(1&lt;='Dataset for Meta-algorithm'!$C$12,C43*('Brace for Meta-algorithm'!$C$6='Brace for Meta-algorithm'!$C$8)*('Brace for Meta-algorithm'!$G$6&gt;0),C43)</f>
        <v>0</v>
      </c>
      <c r="D44" s="74">
        <f>IF(1&lt;='Dataset for Meta-algorithm'!$C$12,D43*('Brace for Meta-algorithm'!$C$7='Brace for Meta-algorithm'!$C$8)*('Brace for Meta-algorithm'!$G$7&gt;0),D43)</f>
        <v>0</v>
      </c>
      <c r="E44" s="74">
        <f>IF(1&lt;='Dataset for Meta-algorithm'!$C$12,E43*('Brace for Meta-algorithm'!$C$8='Brace for Meta-algorithm'!$C$8)*('Brace for Meta-algorithm'!$G$8&gt;0),E43)</f>
        <v>1</v>
      </c>
      <c r="F44" s="74">
        <f>IF(1&lt;='Dataset for Meta-algorithm'!$C$12,F43*('Brace for Meta-algorithm'!$C$9='Brace for Meta-algorithm'!$C$8)*('Brace for Meta-algorithm'!$G$9&gt;0),F43)</f>
        <v>1</v>
      </c>
      <c r="G44" s="74">
        <f>IF(1&lt;='Dataset for Meta-algorithm'!$C$12,G43*('Brace for Meta-algorithm'!$C$10='Brace for Meta-algorithm'!$C$8)*('Brace for Meta-algorithm'!$G$10&gt;0),G43)</f>
        <v>0</v>
      </c>
      <c r="H44" s="74">
        <f>IF(1&lt;='Dataset for Meta-algorithm'!$C$12,H43*('Brace for Meta-algorithm'!$C$11='Brace for Meta-algorithm'!$C$8)*('Brace for Meta-algorithm'!$G$11&gt;0),H43)</f>
        <v>0</v>
      </c>
      <c r="I44" s="74">
        <f>IF(1&lt;='Dataset for Meta-algorithm'!$C$12,I43*('Brace for Meta-algorithm'!$C$12='Brace for Meta-algorithm'!$C$8)*('Brace for Meta-algorithm'!$G$12&gt;0),I43)</f>
        <v>0</v>
      </c>
      <c r="J44" s="74">
        <f>IF(1&lt;='Dataset for Meta-algorithm'!$C$12,J43*('Brace for Meta-algorithm'!$C$13='Brace for Meta-algorithm'!$C$8)*('Brace for Meta-algorithm'!$G$13&gt;0),J43)</f>
        <v>0</v>
      </c>
      <c r="K44" s="74">
        <f>IF(1&lt;='Dataset for Meta-algorithm'!$C$12,K43*('Brace for Meta-algorithm'!$C$14='Brace for Meta-algorithm'!$C$8)*('Brace for Meta-algorithm'!$G$14&gt;0),K43)</f>
        <v>0</v>
      </c>
      <c r="L44" s="83">
        <f>SUM(B44:K44)</f>
        <v>2</v>
      </c>
      <c r="M44" s="74">
        <f>IF(1&lt;='Dataset for Meta-algorithm'!$C$12,M43*('Brace for Meta-algorithm'!$C$5='Brace for Meta-algorithm'!$C$8)*('Brace for Meta-algorithm'!$G$5&lt;0),M43)</f>
        <v>0</v>
      </c>
      <c r="N44" s="74">
        <f>IF(1&lt;='Dataset for Meta-algorithm'!$C$12,N43*('Brace for Meta-algorithm'!$C$6='Brace for Meta-algorithm'!$C$8)*('Brace for Meta-algorithm'!$G$6&lt;0),N43)</f>
        <v>0</v>
      </c>
      <c r="O44" s="74">
        <f>IF(1&lt;='Dataset for Meta-algorithm'!$C$12,O43*('Brace for Meta-algorithm'!$C$7='Brace for Meta-algorithm'!$C$8)*('Brace for Meta-algorithm'!$G$7&lt;0),O43)</f>
        <v>0</v>
      </c>
      <c r="P44" s="74">
        <f>IF(1&lt;='Dataset for Meta-algorithm'!$C$12,P43*('Brace for Meta-algorithm'!$C$8='Brace for Meta-algorithm'!$C$8)*('Brace for Meta-algorithm'!$G$8&lt;0),P43)</f>
        <v>0</v>
      </c>
      <c r="Q44" s="74">
        <f>IF(1&lt;='Dataset for Meta-algorithm'!$C$12,Q43*('Brace for Meta-algorithm'!$C$9='Brace for Meta-algorithm'!$C$8)*('Brace for Meta-algorithm'!$G$9&lt;0),Q43)</f>
        <v>0</v>
      </c>
      <c r="R44" s="74">
        <f>IF(1&lt;='Dataset for Meta-algorithm'!$C$12,R43*('Brace for Meta-algorithm'!$C$10='Brace for Meta-algorithm'!$C$8)*('Brace for Meta-algorithm'!$G$10&lt;0),R43)</f>
        <v>0</v>
      </c>
      <c r="S44" s="74">
        <f>IF(1&lt;='Dataset for Meta-algorithm'!$C$12,S43*('Brace for Meta-algorithm'!$C$11='Brace for Meta-algorithm'!$C$8)*('Brace for Meta-algorithm'!$G$11&lt;0),S43)</f>
        <v>0</v>
      </c>
      <c r="T44" s="74">
        <f>IF(1&lt;='Dataset for Meta-algorithm'!$C$12,T43*('Brace for Meta-algorithm'!$C$12='Brace for Meta-algorithm'!$C$8)*('Brace for Meta-algorithm'!$G$12&lt;0),T43)</f>
        <v>0</v>
      </c>
      <c r="U44" s="74">
        <f>IF(1&lt;='Dataset for Meta-algorithm'!$C$12,U43*('Brace for Meta-algorithm'!$C$13='Brace for Meta-algorithm'!$C$8)*('Brace for Meta-algorithm'!$G$13&lt;0),U43)</f>
        <v>0</v>
      </c>
      <c r="V44" s="74">
        <f>IF(1&lt;='Dataset for Meta-algorithm'!$C$12,V43*('Brace for Meta-algorithm'!$C$14='Brace for Meta-algorithm'!$C$8)*('Brace for Meta-algorithm'!$G$14&lt;0),V43)</f>
        <v>0</v>
      </c>
      <c r="W44" s="83">
        <f>SUM(M44:V44)</f>
        <v>0</v>
      </c>
    </row>
    <row r="45">
      <c r="A45" s="64">
        <v>2</v>
      </c>
      <c r="B45" s="74">
        <f>IF(2&lt;='Dataset for Meta-algorithm'!$C$12,B44*('Brace for Meta-algorithm'!$D$5='Brace for Meta-algorithm'!$D$8)*('Brace for Meta-algorithm'!$H$5&gt;0),B44)</f>
        <v>0</v>
      </c>
      <c r="C45" s="74">
        <f>IF(2&lt;='Dataset for Meta-algorithm'!$C$12,C44*('Brace for Meta-algorithm'!$D$6='Brace for Meta-algorithm'!$D$8)*('Brace for Meta-algorithm'!$H$6&gt;0),C44)</f>
        <v>0</v>
      </c>
      <c r="D45" s="74">
        <f>IF(2&lt;='Dataset for Meta-algorithm'!$C$12,D44*('Brace for Meta-algorithm'!$D$7='Brace for Meta-algorithm'!$D$8)*('Brace for Meta-algorithm'!$H$7&gt;0),D44)</f>
        <v>0</v>
      </c>
      <c r="E45" s="74">
        <f>IF(2&lt;='Dataset for Meta-algorithm'!$C$12,E44*('Brace for Meta-algorithm'!$D$8='Brace for Meta-algorithm'!$D$8)*('Brace for Meta-algorithm'!$H$8&gt;0),E44)</f>
        <v>1</v>
      </c>
      <c r="F45" s="74">
        <f>IF(2&lt;='Dataset for Meta-algorithm'!$C$12,F44*('Brace for Meta-algorithm'!$D$9='Brace for Meta-algorithm'!$D$8)*('Brace for Meta-algorithm'!$H$9&gt;0),F44)</f>
        <v>1</v>
      </c>
      <c r="G45" s="74">
        <f>IF(2&lt;='Dataset for Meta-algorithm'!$C$12,G44*('Brace for Meta-algorithm'!$D$10='Brace for Meta-algorithm'!$D$8)*('Brace for Meta-algorithm'!$H$10&gt;0),G44)</f>
        <v>0</v>
      </c>
      <c r="H45" s="74">
        <f>IF(2&lt;='Dataset for Meta-algorithm'!$C$12,H44*('Brace for Meta-algorithm'!$D$11='Brace for Meta-algorithm'!$D$8)*('Brace for Meta-algorithm'!$H$11&gt;0),H44)</f>
        <v>0</v>
      </c>
      <c r="I45" s="74">
        <f>IF(2&lt;='Dataset for Meta-algorithm'!$C$12,I44*('Brace for Meta-algorithm'!$D$12='Brace for Meta-algorithm'!$D$8)*('Brace for Meta-algorithm'!$H$12&gt;0),I44)</f>
        <v>0</v>
      </c>
      <c r="J45" s="74">
        <f>IF(2&lt;='Dataset for Meta-algorithm'!$C$12,J44*('Brace for Meta-algorithm'!$D$13='Brace for Meta-algorithm'!$D$8)*('Brace for Meta-algorithm'!$H$13&gt;0),J44)</f>
        <v>0</v>
      </c>
      <c r="K45" s="74">
        <f>IF(2&lt;='Dataset for Meta-algorithm'!$C$12,K44*('Brace for Meta-algorithm'!$D$14='Brace for Meta-algorithm'!$D$8)*('Brace for Meta-algorithm'!$H$14&gt;0),K44)</f>
        <v>0</v>
      </c>
      <c r="L45" s="83">
        <f>SUM(B45:K45)</f>
        <v>2</v>
      </c>
      <c r="M45" s="74">
        <f>IF(2&lt;='Dataset for Meta-algorithm'!$C$12,M44*('Brace for Meta-algorithm'!$D$5='Brace for Meta-algorithm'!$D$8)*('Brace for Meta-algorithm'!$H$5&lt;0),M44)</f>
        <v>0</v>
      </c>
      <c r="N45" s="74">
        <f>IF(2&lt;='Dataset for Meta-algorithm'!$C$12,N44*('Brace for Meta-algorithm'!$D$6='Brace for Meta-algorithm'!$D$8)*('Brace for Meta-algorithm'!$H$6&lt;0),N44)</f>
        <v>0</v>
      </c>
      <c r="O45" s="74">
        <f>IF(2&lt;='Dataset for Meta-algorithm'!$C$12,O44*('Brace for Meta-algorithm'!$D$7='Brace for Meta-algorithm'!$D$8)*('Brace for Meta-algorithm'!$H$7&lt;0),O44)</f>
        <v>0</v>
      </c>
      <c r="P45" s="74">
        <f>IF(2&lt;='Dataset for Meta-algorithm'!$C$12,P44*('Brace for Meta-algorithm'!$D$8='Brace for Meta-algorithm'!$D$8)*('Brace for Meta-algorithm'!$H$8&lt;0),P44)</f>
        <v>0</v>
      </c>
      <c r="Q45" s="74">
        <f>IF(2&lt;='Dataset for Meta-algorithm'!$C$12,Q44*('Brace for Meta-algorithm'!$D$9='Brace for Meta-algorithm'!$D$8)*('Brace for Meta-algorithm'!$H$9&lt;0),Q44)</f>
        <v>0</v>
      </c>
      <c r="R45" s="74">
        <f>IF(2&lt;='Dataset for Meta-algorithm'!$C$12,R44*('Brace for Meta-algorithm'!$D$10='Brace for Meta-algorithm'!$D$8)*('Brace for Meta-algorithm'!$H$10&lt;0),R44)</f>
        <v>0</v>
      </c>
      <c r="S45" s="74">
        <f>IF(2&lt;='Dataset for Meta-algorithm'!$C$12,S44*('Brace for Meta-algorithm'!$D$11='Brace for Meta-algorithm'!$D$8)*('Brace for Meta-algorithm'!$H$11&lt;0),S44)</f>
        <v>0</v>
      </c>
      <c r="T45" s="74">
        <f>IF(2&lt;='Dataset for Meta-algorithm'!$C$12,T44*('Brace for Meta-algorithm'!$D$12='Brace for Meta-algorithm'!$D$8)*('Brace for Meta-algorithm'!$H$12&lt;0),T44)</f>
        <v>0</v>
      </c>
      <c r="U45" s="74">
        <f>IF(2&lt;='Dataset for Meta-algorithm'!$C$12,U44*('Brace for Meta-algorithm'!$D$13='Brace for Meta-algorithm'!$D$8)*('Brace for Meta-algorithm'!$H$13&lt;0),U44)</f>
        <v>0</v>
      </c>
      <c r="V45" s="74">
        <f>IF(2&lt;='Dataset for Meta-algorithm'!$C$12,V44*('Brace for Meta-algorithm'!$D$14='Brace for Meta-algorithm'!$D$8)*('Brace for Meta-algorithm'!$H$14&lt;0),V44)</f>
        <v>0</v>
      </c>
      <c r="W45" s="83">
        <f>SUM(M45:V45)</f>
        <v>0</v>
      </c>
    </row>
    <row r="46">
      <c r="A46" s="64">
        <v>3</v>
      </c>
      <c r="B46" s="74">
        <f>IF(3&lt;='Dataset for Meta-algorithm'!$C$12,B45*('Brace for Meta-algorithm'!$E$5='Brace for Meta-algorithm'!$E$8)*('Brace for Meta-algorithm'!$I$5&gt;0),B45)</f>
        <v>0</v>
      </c>
      <c r="C46" s="74">
        <f>IF(3&lt;='Dataset for Meta-algorithm'!$C$12,C45*('Brace for Meta-algorithm'!$E$6='Brace for Meta-algorithm'!$E$8)*('Brace for Meta-algorithm'!$I$6&gt;0),C45)</f>
        <v>0</v>
      </c>
      <c r="D46" s="74">
        <f>IF(3&lt;='Dataset for Meta-algorithm'!$C$12,D45*('Brace for Meta-algorithm'!$E$7='Brace for Meta-algorithm'!$E$8)*('Brace for Meta-algorithm'!$I$7&gt;0),D45)</f>
        <v>0</v>
      </c>
      <c r="E46" s="74">
        <f>IF(3&lt;='Dataset for Meta-algorithm'!$C$12,E45*('Brace for Meta-algorithm'!$E$8='Brace for Meta-algorithm'!$E$8)*('Brace for Meta-algorithm'!$I$8&gt;0),E45)</f>
        <v>1</v>
      </c>
      <c r="F46" s="74">
        <f>IF(3&lt;='Dataset for Meta-algorithm'!$C$12,F45*('Brace for Meta-algorithm'!$E$9='Brace for Meta-algorithm'!$E$8)*('Brace for Meta-algorithm'!$I$9&gt;0),F45)</f>
        <v>1</v>
      </c>
      <c r="G46" s="74">
        <f>IF(3&lt;='Dataset for Meta-algorithm'!$C$12,G45*('Brace for Meta-algorithm'!$E$10='Brace for Meta-algorithm'!$E$8)*('Brace for Meta-algorithm'!$I$10&gt;0),G45)</f>
        <v>0</v>
      </c>
      <c r="H46" s="74">
        <f>IF(3&lt;='Dataset for Meta-algorithm'!$C$12,H45*('Brace for Meta-algorithm'!$E$11='Brace for Meta-algorithm'!$E$8)*('Brace for Meta-algorithm'!$I$11&gt;0),H45)</f>
        <v>0</v>
      </c>
      <c r="I46" s="74">
        <f>IF(3&lt;='Dataset for Meta-algorithm'!$C$12,I45*('Brace for Meta-algorithm'!$E$12='Brace for Meta-algorithm'!$E$8)*('Brace for Meta-algorithm'!$I$12&gt;0),I45)</f>
        <v>0</v>
      </c>
      <c r="J46" s="74">
        <f>IF(3&lt;='Dataset for Meta-algorithm'!$C$12,J45*('Brace for Meta-algorithm'!$E$13='Brace for Meta-algorithm'!$E$8)*('Brace for Meta-algorithm'!$I$13&gt;0),J45)</f>
        <v>0</v>
      </c>
      <c r="K46" s="74">
        <f>IF(3&lt;='Dataset for Meta-algorithm'!$C$12,K45*('Brace for Meta-algorithm'!$E$14='Brace for Meta-algorithm'!$E$8)*('Brace for Meta-algorithm'!$I$14&gt;0),K45)</f>
        <v>0</v>
      </c>
      <c r="L46" s="83">
        <f>SUM(B46:K46)</f>
        <v>2</v>
      </c>
      <c r="M46" s="74">
        <f>IF(3&lt;='Dataset for Meta-algorithm'!$C$12,M45*('Brace for Meta-algorithm'!$E$5='Brace for Meta-algorithm'!$E$8)*('Brace for Meta-algorithm'!$I$5&lt;0),M45)</f>
        <v>0</v>
      </c>
      <c r="N46" s="74">
        <f>IF(3&lt;='Dataset for Meta-algorithm'!$C$12,N45*('Brace for Meta-algorithm'!$E$6='Brace for Meta-algorithm'!$E$8)*('Brace for Meta-algorithm'!$I$6&lt;0),N45)</f>
        <v>0</v>
      </c>
      <c r="O46" s="74">
        <f>IF(3&lt;='Dataset for Meta-algorithm'!$C$12,O45*('Brace for Meta-algorithm'!$E$7='Brace for Meta-algorithm'!$E$8)*('Brace for Meta-algorithm'!$I$7&lt;0),O45)</f>
        <v>0</v>
      </c>
      <c r="P46" s="74">
        <f>IF(3&lt;='Dataset for Meta-algorithm'!$C$12,P45*('Brace for Meta-algorithm'!$E$8='Brace for Meta-algorithm'!$E$8)*('Brace for Meta-algorithm'!$I$8&lt;0),P45)</f>
        <v>0</v>
      </c>
      <c r="Q46" s="74">
        <f>IF(3&lt;='Dataset for Meta-algorithm'!$C$12,Q45*('Brace for Meta-algorithm'!$E$9='Brace for Meta-algorithm'!$E$8)*('Brace for Meta-algorithm'!$I$9&lt;0),Q45)</f>
        <v>0</v>
      </c>
      <c r="R46" s="74">
        <f>IF(3&lt;='Dataset for Meta-algorithm'!$C$12,R45*('Brace for Meta-algorithm'!$E$10='Brace for Meta-algorithm'!$E$8)*('Brace for Meta-algorithm'!$I$10&lt;0),R45)</f>
        <v>0</v>
      </c>
      <c r="S46" s="74">
        <f>IF(3&lt;='Dataset for Meta-algorithm'!$C$12,S45*('Brace for Meta-algorithm'!$E$11='Brace for Meta-algorithm'!$E$8)*('Brace for Meta-algorithm'!$I$11&lt;0),S45)</f>
        <v>0</v>
      </c>
      <c r="T46" s="74">
        <f>IF(3&lt;='Dataset for Meta-algorithm'!$C$12,T45*('Brace for Meta-algorithm'!$E$12='Brace for Meta-algorithm'!$E$8)*('Brace for Meta-algorithm'!$I$12&lt;0),T45)</f>
        <v>0</v>
      </c>
      <c r="U46" s="74">
        <f>IF(3&lt;='Dataset for Meta-algorithm'!$C$12,U45*('Brace for Meta-algorithm'!$E$13='Brace for Meta-algorithm'!$E$8)*('Brace for Meta-algorithm'!$I$13&lt;0),U45)</f>
        <v>0</v>
      </c>
      <c r="V46" s="74">
        <f>IF(3&lt;='Dataset for Meta-algorithm'!$C$12,V45*('Brace for Meta-algorithm'!$E$14='Brace for Meta-algorithm'!$E$8)*('Brace for Meta-algorithm'!$I$14&lt;0),V45)</f>
        <v>0</v>
      </c>
      <c r="W46" s="83">
        <f>SUM(M46:V46)</f>
        <v>0</v>
      </c>
    </row>
    <row r="47">
      <c r="A47" s="64">
        <v>4</v>
      </c>
      <c r="B47" s="74">
        <f>IF(4&lt;='Dataset for Meta-algorithm'!$C$12,B46*('Brace for Meta-algorithm'!$F$5='Brace for Meta-algorithm'!$F$8)*('Brace for Meta-algorithm'!$J$5&gt;0),B46)</f>
        <v>0</v>
      </c>
      <c r="C47" s="74">
        <f>IF(4&lt;='Dataset for Meta-algorithm'!$C$12,C46*('Brace for Meta-algorithm'!$F$6='Brace for Meta-algorithm'!$F$8)*('Brace for Meta-algorithm'!$J$6&gt;0),C46)</f>
        <v>0</v>
      </c>
      <c r="D47" s="74">
        <f>IF(4&lt;='Dataset for Meta-algorithm'!$C$12,D46*('Brace for Meta-algorithm'!$F$7='Brace for Meta-algorithm'!$F$8)*('Brace for Meta-algorithm'!$J$7&gt;0),D46)</f>
        <v>0</v>
      </c>
      <c r="E47" s="74">
        <f>IF(4&lt;='Dataset for Meta-algorithm'!$C$12,E46*('Brace for Meta-algorithm'!$F$8='Brace for Meta-algorithm'!$F$8)*('Brace for Meta-algorithm'!$J$8&gt;0),E46)</f>
        <v>1</v>
      </c>
      <c r="F47" s="74">
        <f>IF(4&lt;='Dataset for Meta-algorithm'!$C$12,F46*('Brace for Meta-algorithm'!$F$9='Brace for Meta-algorithm'!$F$8)*('Brace for Meta-algorithm'!$J$9&gt;0),F46)</f>
        <v>1</v>
      </c>
      <c r="G47" s="74">
        <f>IF(4&lt;='Dataset for Meta-algorithm'!$C$12,G46*('Brace for Meta-algorithm'!$F$10='Brace for Meta-algorithm'!$F$8)*('Brace for Meta-algorithm'!$J$10&gt;0),G46)</f>
        <v>0</v>
      </c>
      <c r="H47" s="74">
        <f>IF(4&lt;='Dataset for Meta-algorithm'!$C$12,H46*('Brace for Meta-algorithm'!$F$11='Brace for Meta-algorithm'!$F$8)*('Brace for Meta-algorithm'!$J$11&gt;0),H46)</f>
        <v>0</v>
      </c>
      <c r="I47" s="74">
        <f>IF(4&lt;='Dataset for Meta-algorithm'!$C$12,I46*('Brace for Meta-algorithm'!$F$12='Brace for Meta-algorithm'!$F$8)*('Brace for Meta-algorithm'!$J$12&gt;0),I46)</f>
        <v>0</v>
      </c>
      <c r="J47" s="74">
        <f>IF(4&lt;='Dataset for Meta-algorithm'!$C$12,J46*('Brace for Meta-algorithm'!$F$13='Brace for Meta-algorithm'!$F$8)*('Brace for Meta-algorithm'!$J$13&gt;0),J46)</f>
        <v>0</v>
      </c>
      <c r="K47" s="74">
        <f>IF(4&lt;='Dataset for Meta-algorithm'!$C$12,K46*('Brace for Meta-algorithm'!$F$14='Brace for Meta-algorithm'!$F$8)*('Brace for Meta-algorithm'!$J$14&gt;0),K46)</f>
        <v>0</v>
      </c>
      <c r="L47" s="83">
        <f>SUM(B47:K47)</f>
        <v>2</v>
      </c>
      <c r="M47" s="74">
        <f>IF(4&lt;='Dataset for Meta-algorithm'!$C$12,M46*('Brace for Meta-algorithm'!$F$5='Brace for Meta-algorithm'!$F$8)*('Brace for Meta-algorithm'!$J$5&lt;0),M46)</f>
        <v>0</v>
      </c>
      <c r="N47" s="74">
        <f>IF(4&lt;='Dataset for Meta-algorithm'!$C$12,N46*('Brace for Meta-algorithm'!$F$6='Brace for Meta-algorithm'!$F$8)*('Brace for Meta-algorithm'!$J$6&lt;0),N46)</f>
        <v>0</v>
      </c>
      <c r="O47" s="74">
        <f>IF(4&lt;='Dataset for Meta-algorithm'!$C$12,O46*('Brace for Meta-algorithm'!$F$7='Brace for Meta-algorithm'!$F$8)*('Brace for Meta-algorithm'!$J$7&lt;0),O46)</f>
        <v>0</v>
      </c>
      <c r="P47" s="74">
        <f>IF(4&lt;='Dataset for Meta-algorithm'!$C$12,P46*('Brace for Meta-algorithm'!$F$8='Brace for Meta-algorithm'!$F$8)*('Brace for Meta-algorithm'!$J$8&lt;0),P46)</f>
        <v>0</v>
      </c>
      <c r="Q47" s="74">
        <f>IF(4&lt;='Dataset for Meta-algorithm'!$C$12,Q46*('Brace for Meta-algorithm'!$F$9='Brace for Meta-algorithm'!$F$8)*('Brace for Meta-algorithm'!$J$9&lt;0),Q46)</f>
        <v>0</v>
      </c>
      <c r="R47" s="74">
        <f>IF(4&lt;='Dataset for Meta-algorithm'!$C$12,R46*('Brace for Meta-algorithm'!$F$10='Brace for Meta-algorithm'!$F$8)*('Brace for Meta-algorithm'!$J$10&lt;0),R46)</f>
        <v>0</v>
      </c>
      <c r="S47" s="74">
        <f>IF(4&lt;='Dataset for Meta-algorithm'!$C$12,S46*('Brace for Meta-algorithm'!$F$11='Brace for Meta-algorithm'!$F$8)*('Brace for Meta-algorithm'!$J$11&lt;0),S46)</f>
        <v>0</v>
      </c>
      <c r="T47" s="74">
        <f>IF(4&lt;='Dataset for Meta-algorithm'!$C$12,T46*('Brace for Meta-algorithm'!$F$12='Brace for Meta-algorithm'!$F$8)*('Brace for Meta-algorithm'!$J$12&lt;0),T46)</f>
        <v>0</v>
      </c>
      <c r="U47" s="74">
        <f>IF(4&lt;='Dataset for Meta-algorithm'!$C$12,U46*('Brace for Meta-algorithm'!$F$13='Brace for Meta-algorithm'!$F$8)*('Brace for Meta-algorithm'!$J$13&lt;0),U46)</f>
        <v>0</v>
      </c>
      <c r="V47" s="74">
        <f>IF(4&lt;='Dataset for Meta-algorithm'!$C$12,V46*('Brace for Meta-algorithm'!$F$14='Brace for Meta-algorithm'!$F$8)*('Brace for Meta-algorithm'!$J$14&lt;0),V46)</f>
        <v>0</v>
      </c>
      <c r="W47" s="83">
        <f>SUM(M47:V47)</f>
        <v>0</v>
      </c>
    </row>
    <row r="48"/>
    <row r="49">
      <c r="A49" s="59" t="inlineStr">
        <is>
          <t xml:space="preserve">Query S₅  —  its own description (aₜ₀, …, aₜₚ) against the training dataset (B1 flags left, B2 flags right)</t>
        </is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</row>
    <row r="50">
      <c r="A50" s="60" t="inlineStr">
        <is>
          <t xml:space="preserve">Step j</t>
        </is>
      </c>
      <c r="B50" s="60" t="inlineStr">
        <is>
          <t xml:space="preserve">S₁</t>
        </is>
      </c>
      <c r="C50" s="60" t="inlineStr">
        <is>
          <t xml:space="preserve">S₂</t>
        </is>
      </c>
      <c r="D50" s="60" t="inlineStr">
        <is>
          <t xml:space="preserve">S₃</t>
        </is>
      </c>
      <c r="E50" s="60" t="inlineStr">
        <is>
          <t xml:space="preserve">S₄</t>
        </is>
      </c>
      <c r="F50" s="60" t="inlineStr">
        <is>
          <t xml:space="preserve">S₅</t>
        </is>
      </c>
      <c r="G50" s="60" t="inlineStr">
        <is>
          <t xml:space="preserve">S₆</t>
        </is>
      </c>
      <c r="H50" s="60" t="inlineStr">
        <is>
          <t xml:space="preserve">S₇</t>
        </is>
      </c>
      <c r="I50" s="60" t="inlineStr">
        <is>
          <t xml:space="preserve">S₈</t>
        </is>
      </c>
      <c r="J50" s="60" t="inlineStr">
        <is>
          <t xml:space="preserve">S₉</t>
        </is>
      </c>
      <c r="K50" s="60" t="inlineStr">
        <is>
          <t xml:space="preserve">S₁₀</t>
        </is>
      </c>
      <c r="L50" s="60" t="inlineStr">
        <is>
          <t xml:space="preserve">|B1|</t>
        </is>
      </c>
      <c r="M50" s="60" t="inlineStr">
        <is>
          <t xml:space="preserve">S₁</t>
        </is>
      </c>
      <c r="N50" s="60" t="inlineStr">
        <is>
          <t xml:space="preserve">S₂</t>
        </is>
      </c>
      <c r="O50" s="60" t="inlineStr">
        <is>
          <t xml:space="preserve">S₃</t>
        </is>
      </c>
      <c r="P50" s="60" t="inlineStr">
        <is>
          <t xml:space="preserve">S₄</t>
        </is>
      </c>
      <c r="Q50" s="60" t="inlineStr">
        <is>
          <t xml:space="preserve">S₅</t>
        </is>
      </c>
      <c r="R50" s="60" t="inlineStr">
        <is>
          <t xml:space="preserve">S₆</t>
        </is>
      </c>
      <c r="S50" s="60" t="inlineStr">
        <is>
          <t xml:space="preserve">S₇</t>
        </is>
      </c>
      <c r="T50" s="60" t="inlineStr">
        <is>
          <t xml:space="preserve">S₈</t>
        </is>
      </c>
      <c r="U50" s="60" t="inlineStr">
        <is>
          <t xml:space="preserve">S₉</t>
        </is>
      </c>
      <c r="V50" s="60" t="inlineStr">
        <is>
          <t xml:space="preserve">S₁₀</t>
        </is>
      </c>
      <c r="W50" s="60" t="inlineStr">
        <is>
          <t xml:space="preserve">|B2|</t>
        </is>
      </c>
    </row>
    <row r="51">
      <c r="A51" s="64">
        <v>0</v>
      </c>
      <c r="B51" s="74">
        <f>IF(AND(Dataset!$O$3=1,'Brace for Meta-algorithm'!$B$5='Brace for Meta-algorithm'!$B$9),1,0)</f>
        <v>0</v>
      </c>
      <c r="C51" s="74">
        <f>IF(AND(Dataset!$O$4=1,'Brace for Meta-algorithm'!$B$6='Brace for Meta-algorithm'!$B$9),1,0)</f>
        <v>1</v>
      </c>
      <c r="D51" s="74">
        <f>IF(AND(Dataset!$O$5=1,'Brace for Meta-algorithm'!$B$7='Brace for Meta-algorithm'!$B$9),1,0)</f>
        <v>0</v>
      </c>
      <c r="E51" s="74">
        <f>IF(AND(Dataset!$O$6=1,'Brace for Meta-algorithm'!$B$8='Brace for Meta-algorithm'!$B$9),1,0)</f>
        <v>1</v>
      </c>
      <c r="F51" s="74">
        <f>IF(AND(Dataset!$O$7=1,'Brace for Meta-algorithm'!$B$9='Brace for Meta-algorithm'!$B$9),1,0)</f>
        <v>1</v>
      </c>
      <c r="G51" s="74">
        <f>IF(AND(Dataset!$O$8=1,'Brace for Meta-algorithm'!$B$10='Brace for Meta-algorithm'!$B$9),1,0)</f>
        <v>1</v>
      </c>
      <c r="H51" s="74">
        <f>IF(AND(Dataset!$O$9=1,'Brace for Meta-algorithm'!$B$11='Brace for Meta-algorithm'!$B$9),1,0)</f>
        <v>0</v>
      </c>
      <c r="I51" s="74">
        <f>IF(AND(Dataset!$O$10=1,'Brace for Meta-algorithm'!$B$12='Brace for Meta-algorithm'!$B$9),1,0)</f>
        <v>0</v>
      </c>
      <c r="J51" s="74">
        <f>IF(AND(Dataset!$O$11=1,'Brace for Meta-algorithm'!$B$13='Brace for Meta-algorithm'!$B$9),1,0)</f>
        <v>0</v>
      </c>
      <c r="K51" s="74">
        <f>IF(AND(Dataset!$O$12=1,'Brace for Meta-algorithm'!$B$14='Brace for Meta-algorithm'!$B$9),1,0)</f>
        <v>0</v>
      </c>
      <c r="L51" s="83">
        <f>SUM(B51:K51)</f>
        <v>4</v>
      </c>
      <c r="M51" s="74">
        <f>IF(AND(Dataset!$O$3=2,'Brace for Meta-algorithm'!$B$5='Brace for Meta-algorithm'!$B$9),1,0)</f>
        <v>1</v>
      </c>
      <c r="N51" s="74">
        <f>IF(AND(Dataset!$O$4=2,'Brace for Meta-algorithm'!$B$6='Brace for Meta-algorithm'!$B$9),1,0)</f>
        <v>0</v>
      </c>
      <c r="O51" s="74">
        <f>IF(AND(Dataset!$O$5=2,'Brace for Meta-algorithm'!$B$7='Brace for Meta-algorithm'!$B$9),1,0)</f>
        <v>0</v>
      </c>
      <c r="P51" s="74">
        <f>IF(AND(Dataset!$O$6=2,'Brace for Meta-algorithm'!$B$8='Brace for Meta-algorithm'!$B$9),1,0)</f>
        <v>0</v>
      </c>
      <c r="Q51" s="74">
        <f>IF(AND(Dataset!$O$7=2,'Brace for Meta-algorithm'!$B$9='Brace for Meta-algorithm'!$B$9),1,0)</f>
        <v>0</v>
      </c>
      <c r="R51" s="74">
        <f>IF(AND(Dataset!$O$8=2,'Brace for Meta-algorithm'!$B$10='Brace for Meta-algorithm'!$B$9),1,0)</f>
        <v>0</v>
      </c>
      <c r="S51" s="74">
        <f>IF(AND(Dataset!$O$9=2,'Brace for Meta-algorithm'!$B$11='Brace for Meta-algorithm'!$B$9),1,0)</f>
        <v>1</v>
      </c>
      <c r="T51" s="74">
        <f>IF(AND(Dataset!$O$10=2,'Brace for Meta-algorithm'!$B$12='Brace for Meta-algorithm'!$B$9),1,0)</f>
        <v>1</v>
      </c>
      <c r="U51" s="74">
        <f>IF(AND(Dataset!$O$11=2,'Brace for Meta-algorithm'!$B$13='Brace for Meta-algorithm'!$B$9),1,0)</f>
        <v>1</v>
      </c>
      <c r="V51" s="74">
        <f>IF(AND(Dataset!$O$12=2,'Brace for Meta-algorithm'!$B$14='Brace for Meta-algorithm'!$B$9),1,0)</f>
        <v>1</v>
      </c>
      <c r="W51" s="83">
        <f>SUM(M51:V51)</f>
        <v>5</v>
      </c>
    </row>
    <row r="52">
      <c r="A52" s="64">
        <v>1</v>
      </c>
      <c r="B52" s="74">
        <f>IF(1&lt;='Dataset for Meta-algorithm'!$C$12,B51*('Brace for Meta-algorithm'!$C$5='Brace for Meta-algorithm'!$C$9)*('Brace for Meta-algorithm'!$G$5&gt;0),B51)</f>
        <v>0</v>
      </c>
      <c r="C52" s="74">
        <f>IF(1&lt;='Dataset for Meta-algorithm'!$C$12,C51*('Brace for Meta-algorithm'!$C$6='Brace for Meta-algorithm'!$C$9)*('Brace for Meta-algorithm'!$G$6&gt;0),C51)</f>
        <v>0</v>
      </c>
      <c r="D52" s="74">
        <f>IF(1&lt;='Dataset for Meta-algorithm'!$C$12,D51*('Brace for Meta-algorithm'!$C$7='Brace for Meta-algorithm'!$C$9)*('Brace for Meta-algorithm'!$G$7&gt;0),D51)</f>
        <v>0</v>
      </c>
      <c r="E52" s="74">
        <f>IF(1&lt;='Dataset for Meta-algorithm'!$C$12,E51*('Brace for Meta-algorithm'!$C$8='Brace for Meta-algorithm'!$C$9)*('Brace for Meta-algorithm'!$G$8&gt;0),E51)</f>
        <v>1</v>
      </c>
      <c r="F52" s="74">
        <f>IF(1&lt;='Dataset for Meta-algorithm'!$C$12,F51*('Brace for Meta-algorithm'!$C$9='Brace for Meta-algorithm'!$C$9)*('Brace for Meta-algorithm'!$G$9&gt;0),F51)</f>
        <v>1</v>
      </c>
      <c r="G52" s="74">
        <f>IF(1&lt;='Dataset for Meta-algorithm'!$C$12,G51*('Brace for Meta-algorithm'!$C$10='Brace for Meta-algorithm'!$C$9)*('Brace for Meta-algorithm'!$G$10&gt;0),G51)</f>
        <v>0</v>
      </c>
      <c r="H52" s="74">
        <f>IF(1&lt;='Dataset for Meta-algorithm'!$C$12,H51*('Brace for Meta-algorithm'!$C$11='Brace for Meta-algorithm'!$C$9)*('Brace for Meta-algorithm'!$G$11&gt;0),H51)</f>
        <v>0</v>
      </c>
      <c r="I52" s="74">
        <f>IF(1&lt;='Dataset for Meta-algorithm'!$C$12,I51*('Brace for Meta-algorithm'!$C$12='Brace for Meta-algorithm'!$C$9)*('Brace for Meta-algorithm'!$G$12&gt;0),I51)</f>
        <v>0</v>
      </c>
      <c r="J52" s="74">
        <f>IF(1&lt;='Dataset for Meta-algorithm'!$C$12,J51*('Brace for Meta-algorithm'!$C$13='Brace for Meta-algorithm'!$C$9)*('Brace for Meta-algorithm'!$G$13&gt;0),J51)</f>
        <v>0</v>
      </c>
      <c r="K52" s="74">
        <f>IF(1&lt;='Dataset for Meta-algorithm'!$C$12,K51*('Brace for Meta-algorithm'!$C$14='Brace for Meta-algorithm'!$C$9)*('Brace for Meta-algorithm'!$G$14&gt;0),K51)</f>
        <v>0</v>
      </c>
      <c r="L52" s="83">
        <f>SUM(B52:K52)</f>
        <v>2</v>
      </c>
      <c r="M52" s="74">
        <f>IF(1&lt;='Dataset for Meta-algorithm'!$C$12,M51*('Brace for Meta-algorithm'!$C$5='Brace for Meta-algorithm'!$C$9)*('Brace for Meta-algorithm'!$G$5&lt;0),M51)</f>
        <v>0</v>
      </c>
      <c r="N52" s="74">
        <f>IF(1&lt;='Dataset for Meta-algorithm'!$C$12,N51*('Brace for Meta-algorithm'!$C$6='Brace for Meta-algorithm'!$C$9)*('Brace for Meta-algorithm'!$G$6&lt;0),N51)</f>
        <v>0</v>
      </c>
      <c r="O52" s="74">
        <f>IF(1&lt;='Dataset for Meta-algorithm'!$C$12,O51*('Brace for Meta-algorithm'!$C$7='Brace for Meta-algorithm'!$C$9)*('Brace for Meta-algorithm'!$G$7&lt;0),O51)</f>
        <v>0</v>
      </c>
      <c r="P52" s="74">
        <f>IF(1&lt;='Dataset for Meta-algorithm'!$C$12,P51*('Brace for Meta-algorithm'!$C$8='Brace for Meta-algorithm'!$C$9)*('Brace for Meta-algorithm'!$G$8&lt;0),P51)</f>
        <v>0</v>
      </c>
      <c r="Q52" s="74">
        <f>IF(1&lt;='Dataset for Meta-algorithm'!$C$12,Q51*('Brace for Meta-algorithm'!$C$9='Brace for Meta-algorithm'!$C$9)*('Brace for Meta-algorithm'!$G$9&lt;0),Q51)</f>
        <v>0</v>
      </c>
      <c r="R52" s="74">
        <f>IF(1&lt;='Dataset for Meta-algorithm'!$C$12,R51*('Brace for Meta-algorithm'!$C$10='Brace for Meta-algorithm'!$C$9)*('Brace for Meta-algorithm'!$G$10&lt;0),R51)</f>
        <v>0</v>
      </c>
      <c r="S52" s="74">
        <f>IF(1&lt;='Dataset for Meta-algorithm'!$C$12,S51*('Brace for Meta-algorithm'!$C$11='Brace for Meta-algorithm'!$C$9)*('Brace for Meta-algorithm'!$G$11&lt;0),S51)</f>
        <v>0</v>
      </c>
      <c r="T52" s="74">
        <f>IF(1&lt;='Dataset for Meta-algorithm'!$C$12,T51*('Brace for Meta-algorithm'!$C$12='Brace for Meta-algorithm'!$C$9)*('Brace for Meta-algorithm'!$G$12&lt;0),T51)</f>
        <v>0</v>
      </c>
      <c r="U52" s="74">
        <f>IF(1&lt;='Dataset for Meta-algorithm'!$C$12,U51*('Brace for Meta-algorithm'!$C$13='Brace for Meta-algorithm'!$C$9)*('Brace for Meta-algorithm'!$G$13&lt;0),U51)</f>
        <v>0</v>
      </c>
      <c r="V52" s="74">
        <f>IF(1&lt;='Dataset for Meta-algorithm'!$C$12,V51*('Brace for Meta-algorithm'!$C$14='Brace for Meta-algorithm'!$C$9)*('Brace for Meta-algorithm'!$G$14&lt;0),V51)</f>
        <v>0</v>
      </c>
      <c r="W52" s="83">
        <f>SUM(M52:V52)</f>
        <v>0</v>
      </c>
    </row>
    <row r="53">
      <c r="A53" s="64">
        <v>2</v>
      </c>
      <c r="B53" s="74">
        <f>IF(2&lt;='Dataset for Meta-algorithm'!$C$12,B52*('Brace for Meta-algorithm'!$D$5='Brace for Meta-algorithm'!$D$9)*('Brace for Meta-algorithm'!$H$5&gt;0),B52)</f>
        <v>0</v>
      </c>
      <c r="C53" s="74">
        <f>IF(2&lt;='Dataset for Meta-algorithm'!$C$12,C52*('Brace for Meta-algorithm'!$D$6='Brace for Meta-algorithm'!$D$9)*('Brace for Meta-algorithm'!$H$6&gt;0),C52)</f>
        <v>0</v>
      </c>
      <c r="D53" s="74">
        <f>IF(2&lt;='Dataset for Meta-algorithm'!$C$12,D52*('Brace for Meta-algorithm'!$D$7='Brace for Meta-algorithm'!$D$9)*('Brace for Meta-algorithm'!$H$7&gt;0),D52)</f>
        <v>0</v>
      </c>
      <c r="E53" s="74">
        <f>IF(2&lt;='Dataset for Meta-algorithm'!$C$12,E52*('Brace for Meta-algorithm'!$D$8='Brace for Meta-algorithm'!$D$9)*('Brace for Meta-algorithm'!$H$8&gt;0),E52)</f>
        <v>1</v>
      </c>
      <c r="F53" s="74">
        <f>IF(2&lt;='Dataset for Meta-algorithm'!$C$12,F52*('Brace for Meta-algorithm'!$D$9='Brace for Meta-algorithm'!$D$9)*('Brace for Meta-algorithm'!$H$9&gt;0),F52)</f>
        <v>1</v>
      </c>
      <c r="G53" s="74">
        <f>IF(2&lt;='Dataset for Meta-algorithm'!$C$12,G52*('Brace for Meta-algorithm'!$D$10='Brace for Meta-algorithm'!$D$9)*('Brace for Meta-algorithm'!$H$10&gt;0),G52)</f>
        <v>0</v>
      </c>
      <c r="H53" s="74">
        <f>IF(2&lt;='Dataset for Meta-algorithm'!$C$12,H52*('Brace for Meta-algorithm'!$D$11='Brace for Meta-algorithm'!$D$9)*('Brace for Meta-algorithm'!$H$11&gt;0),H52)</f>
        <v>0</v>
      </c>
      <c r="I53" s="74">
        <f>IF(2&lt;='Dataset for Meta-algorithm'!$C$12,I52*('Brace for Meta-algorithm'!$D$12='Brace for Meta-algorithm'!$D$9)*('Brace for Meta-algorithm'!$H$12&gt;0),I52)</f>
        <v>0</v>
      </c>
      <c r="J53" s="74">
        <f>IF(2&lt;='Dataset for Meta-algorithm'!$C$12,J52*('Brace for Meta-algorithm'!$D$13='Brace for Meta-algorithm'!$D$9)*('Brace for Meta-algorithm'!$H$13&gt;0),J52)</f>
        <v>0</v>
      </c>
      <c r="K53" s="74">
        <f>IF(2&lt;='Dataset for Meta-algorithm'!$C$12,K52*('Brace for Meta-algorithm'!$D$14='Brace for Meta-algorithm'!$D$9)*('Brace for Meta-algorithm'!$H$14&gt;0),K52)</f>
        <v>0</v>
      </c>
      <c r="L53" s="83">
        <f>SUM(B53:K53)</f>
        <v>2</v>
      </c>
      <c r="M53" s="74">
        <f>IF(2&lt;='Dataset for Meta-algorithm'!$C$12,M52*('Brace for Meta-algorithm'!$D$5='Brace for Meta-algorithm'!$D$9)*('Brace for Meta-algorithm'!$H$5&lt;0),M52)</f>
        <v>0</v>
      </c>
      <c r="N53" s="74">
        <f>IF(2&lt;='Dataset for Meta-algorithm'!$C$12,N52*('Brace for Meta-algorithm'!$D$6='Brace for Meta-algorithm'!$D$9)*('Brace for Meta-algorithm'!$H$6&lt;0),N52)</f>
        <v>0</v>
      </c>
      <c r="O53" s="74">
        <f>IF(2&lt;='Dataset for Meta-algorithm'!$C$12,O52*('Brace for Meta-algorithm'!$D$7='Brace for Meta-algorithm'!$D$9)*('Brace for Meta-algorithm'!$H$7&lt;0),O52)</f>
        <v>0</v>
      </c>
      <c r="P53" s="74">
        <f>IF(2&lt;='Dataset for Meta-algorithm'!$C$12,P52*('Brace for Meta-algorithm'!$D$8='Brace for Meta-algorithm'!$D$9)*('Brace for Meta-algorithm'!$H$8&lt;0),P52)</f>
        <v>0</v>
      </c>
      <c r="Q53" s="74">
        <f>IF(2&lt;='Dataset for Meta-algorithm'!$C$12,Q52*('Brace for Meta-algorithm'!$D$9='Brace for Meta-algorithm'!$D$9)*('Brace for Meta-algorithm'!$H$9&lt;0),Q52)</f>
        <v>0</v>
      </c>
      <c r="R53" s="74">
        <f>IF(2&lt;='Dataset for Meta-algorithm'!$C$12,R52*('Brace for Meta-algorithm'!$D$10='Brace for Meta-algorithm'!$D$9)*('Brace for Meta-algorithm'!$H$10&lt;0),R52)</f>
        <v>0</v>
      </c>
      <c r="S53" s="74">
        <f>IF(2&lt;='Dataset for Meta-algorithm'!$C$12,S52*('Brace for Meta-algorithm'!$D$11='Brace for Meta-algorithm'!$D$9)*('Brace for Meta-algorithm'!$H$11&lt;0),S52)</f>
        <v>0</v>
      </c>
      <c r="T53" s="74">
        <f>IF(2&lt;='Dataset for Meta-algorithm'!$C$12,T52*('Brace for Meta-algorithm'!$D$12='Brace for Meta-algorithm'!$D$9)*('Brace for Meta-algorithm'!$H$12&lt;0),T52)</f>
        <v>0</v>
      </c>
      <c r="U53" s="74">
        <f>IF(2&lt;='Dataset for Meta-algorithm'!$C$12,U52*('Brace for Meta-algorithm'!$D$13='Brace for Meta-algorithm'!$D$9)*('Brace for Meta-algorithm'!$H$13&lt;0),U52)</f>
        <v>0</v>
      </c>
      <c r="V53" s="74">
        <f>IF(2&lt;='Dataset for Meta-algorithm'!$C$12,V52*('Brace for Meta-algorithm'!$D$14='Brace for Meta-algorithm'!$D$9)*('Brace for Meta-algorithm'!$H$14&lt;0),V52)</f>
        <v>0</v>
      </c>
      <c r="W53" s="83">
        <f>SUM(M53:V53)</f>
        <v>0</v>
      </c>
    </row>
    <row r="54">
      <c r="A54" s="64">
        <v>3</v>
      </c>
      <c r="B54" s="74">
        <f>IF(3&lt;='Dataset for Meta-algorithm'!$C$12,B53*('Brace for Meta-algorithm'!$E$5='Brace for Meta-algorithm'!$E$9)*('Brace for Meta-algorithm'!$I$5&gt;0),B53)</f>
        <v>0</v>
      </c>
      <c r="C54" s="74">
        <f>IF(3&lt;='Dataset for Meta-algorithm'!$C$12,C53*('Brace for Meta-algorithm'!$E$6='Brace for Meta-algorithm'!$E$9)*('Brace for Meta-algorithm'!$I$6&gt;0),C53)</f>
        <v>0</v>
      </c>
      <c r="D54" s="74">
        <f>IF(3&lt;='Dataset for Meta-algorithm'!$C$12,D53*('Brace for Meta-algorithm'!$E$7='Brace for Meta-algorithm'!$E$9)*('Brace for Meta-algorithm'!$I$7&gt;0),D53)</f>
        <v>0</v>
      </c>
      <c r="E54" s="74">
        <f>IF(3&lt;='Dataset for Meta-algorithm'!$C$12,E53*('Brace for Meta-algorithm'!$E$8='Brace for Meta-algorithm'!$E$9)*('Brace for Meta-algorithm'!$I$8&gt;0),E53)</f>
        <v>1</v>
      </c>
      <c r="F54" s="74">
        <f>IF(3&lt;='Dataset for Meta-algorithm'!$C$12,F53*('Brace for Meta-algorithm'!$E$9='Brace for Meta-algorithm'!$E$9)*('Brace for Meta-algorithm'!$I$9&gt;0),F53)</f>
        <v>1</v>
      </c>
      <c r="G54" s="74">
        <f>IF(3&lt;='Dataset for Meta-algorithm'!$C$12,G53*('Brace for Meta-algorithm'!$E$10='Brace for Meta-algorithm'!$E$9)*('Brace for Meta-algorithm'!$I$10&gt;0),G53)</f>
        <v>0</v>
      </c>
      <c r="H54" s="74">
        <f>IF(3&lt;='Dataset for Meta-algorithm'!$C$12,H53*('Brace for Meta-algorithm'!$E$11='Brace for Meta-algorithm'!$E$9)*('Brace for Meta-algorithm'!$I$11&gt;0),H53)</f>
        <v>0</v>
      </c>
      <c r="I54" s="74">
        <f>IF(3&lt;='Dataset for Meta-algorithm'!$C$12,I53*('Brace for Meta-algorithm'!$E$12='Brace for Meta-algorithm'!$E$9)*('Brace for Meta-algorithm'!$I$12&gt;0),I53)</f>
        <v>0</v>
      </c>
      <c r="J54" s="74">
        <f>IF(3&lt;='Dataset for Meta-algorithm'!$C$12,J53*('Brace for Meta-algorithm'!$E$13='Brace for Meta-algorithm'!$E$9)*('Brace for Meta-algorithm'!$I$13&gt;0),J53)</f>
        <v>0</v>
      </c>
      <c r="K54" s="74">
        <f>IF(3&lt;='Dataset for Meta-algorithm'!$C$12,K53*('Brace for Meta-algorithm'!$E$14='Brace for Meta-algorithm'!$E$9)*('Brace for Meta-algorithm'!$I$14&gt;0),K53)</f>
        <v>0</v>
      </c>
      <c r="L54" s="83">
        <f>SUM(B54:K54)</f>
        <v>2</v>
      </c>
      <c r="M54" s="74">
        <f>IF(3&lt;='Dataset for Meta-algorithm'!$C$12,M53*('Brace for Meta-algorithm'!$E$5='Brace for Meta-algorithm'!$E$9)*('Brace for Meta-algorithm'!$I$5&lt;0),M53)</f>
        <v>0</v>
      </c>
      <c r="N54" s="74">
        <f>IF(3&lt;='Dataset for Meta-algorithm'!$C$12,N53*('Brace for Meta-algorithm'!$E$6='Brace for Meta-algorithm'!$E$9)*('Brace for Meta-algorithm'!$I$6&lt;0),N53)</f>
        <v>0</v>
      </c>
      <c r="O54" s="74">
        <f>IF(3&lt;='Dataset for Meta-algorithm'!$C$12,O53*('Brace for Meta-algorithm'!$E$7='Brace for Meta-algorithm'!$E$9)*('Brace for Meta-algorithm'!$I$7&lt;0),O53)</f>
        <v>0</v>
      </c>
      <c r="P54" s="74">
        <f>IF(3&lt;='Dataset for Meta-algorithm'!$C$12,P53*('Brace for Meta-algorithm'!$E$8='Brace for Meta-algorithm'!$E$9)*('Brace for Meta-algorithm'!$I$8&lt;0),P53)</f>
        <v>0</v>
      </c>
      <c r="Q54" s="74">
        <f>IF(3&lt;='Dataset for Meta-algorithm'!$C$12,Q53*('Brace for Meta-algorithm'!$E$9='Brace for Meta-algorithm'!$E$9)*('Brace for Meta-algorithm'!$I$9&lt;0),Q53)</f>
        <v>0</v>
      </c>
      <c r="R54" s="74">
        <f>IF(3&lt;='Dataset for Meta-algorithm'!$C$12,R53*('Brace for Meta-algorithm'!$E$10='Brace for Meta-algorithm'!$E$9)*('Brace for Meta-algorithm'!$I$10&lt;0),R53)</f>
        <v>0</v>
      </c>
      <c r="S54" s="74">
        <f>IF(3&lt;='Dataset for Meta-algorithm'!$C$12,S53*('Brace for Meta-algorithm'!$E$11='Brace for Meta-algorithm'!$E$9)*('Brace for Meta-algorithm'!$I$11&lt;0),S53)</f>
        <v>0</v>
      </c>
      <c r="T54" s="74">
        <f>IF(3&lt;='Dataset for Meta-algorithm'!$C$12,T53*('Brace for Meta-algorithm'!$E$12='Brace for Meta-algorithm'!$E$9)*('Brace for Meta-algorithm'!$I$12&lt;0),T53)</f>
        <v>0</v>
      </c>
      <c r="U54" s="74">
        <f>IF(3&lt;='Dataset for Meta-algorithm'!$C$12,U53*('Brace for Meta-algorithm'!$E$13='Brace for Meta-algorithm'!$E$9)*('Brace for Meta-algorithm'!$I$13&lt;0),U53)</f>
        <v>0</v>
      </c>
      <c r="V54" s="74">
        <f>IF(3&lt;='Dataset for Meta-algorithm'!$C$12,V53*('Brace for Meta-algorithm'!$E$14='Brace for Meta-algorithm'!$E$9)*('Brace for Meta-algorithm'!$I$14&lt;0),V53)</f>
        <v>0</v>
      </c>
      <c r="W54" s="83">
        <f>SUM(M54:V54)</f>
        <v>0</v>
      </c>
    </row>
    <row r="55">
      <c r="A55" s="64">
        <v>4</v>
      </c>
      <c r="B55" s="74">
        <f>IF(4&lt;='Dataset for Meta-algorithm'!$C$12,B54*('Brace for Meta-algorithm'!$F$5='Brace for Meta-algorithm'!$F$9)*('Brace for Meta-algorithm'!$J$5&gt;0),B54)</f>
        <v>0</v>
      </c>
      <c r="C55" s="74">
        <f>IF(4&lt;='Dataset for Meta-algorithm'!$C$12,C54*('Brace for Meta-algorithm'!$F$6='Brace for Meta-algorithm'!$F$9)*('Brace for Meta-algorithm'!$J$6&gt;0),C54)</f>
        <v>0</v>
      </c>
      <c r="D55" s="74">
        <f>IF(4&lt;='Dataset for Meta-algorithm'!$C$12,D54*('Brace for Meta-algorithm'!$F$7='Brace for Meta-algorithm'!$F$9)*('Brace for Meta-algorithm'!$J$7&gt;0),D54)</f>
        <v>0</v>
      </c>
      <c r="E55" s="74">
        <f>IF(4&lt;='Dataset for Meta-algorithm'!$C$12,E54*('Brace for Meta-algorithm'!$F$8='Brace for Meta-algorithm'!$F$9)*('Brace for Meta-algorithm'!$J$8&gt;0),E54)</f>
        <v>1</v>
      </c>
      <c r="F55" s="74">
        <f>IF(4&lt;='Dataset for Meta-algorithm'!$C$12,F54*('Brace for Meta-algorithm'!$F$9='Brace for Meta-algorithm'!$F$9)*('Brace for Meta-algorithm'!$J$9&gt;0),F54)</f>
        <v>1</v>
      </c>
      <c r="G55" s="74">
        <f>IF(4&lt;='Dataset for Meta-algorithm'!$C$12,G54*('Brace for Meta-algorithm'!$F$10='Brace for Meta-algorithm'!$F$9)*('Brace for Meta-algorithm'!$J$10&gt;0),G54)</f>
        <v>0</v>
      </c>
      <c r="H55" s="74">
        <f>IF(4&lt;='Dataset for Meta-algorithm'!$C$12,H54*('Brace for Meta-algorithm'!$F$11='Brace for Meta-algorithm'!$F$9)*('Brace for Meta-algorithm'!$J$11&gt;0),H54)</f>
        <v>0</v>
      </c>
      <c r="I55" s="74">
        <f>IF(4&lt;='Dataset for Meta-algorithm'!$C$12,I54*('Brace for Meta-algorithm'!$F$12='Brace for Meta-algorithm'!$F$9)*('Brace for Meta-algorithm'!$J$12&gt;0),I54)</f>
        <v>0</v>
      </c>
      <c r="J55" s="74">
        <f>IF(4&lt;='Dataset for Meta-algorithm'!$C$12,J54*('Brace for Meta-algorithm'!$F$13='Brace for Meta-algorithm'!$F$9)*('Brace for Meta-algorithm'!$J$13&gt;0),J54)</f>
        <v>0</v>
      </c>
      <c r="K55" s="74">
        <f>IF(4&lt;='Dataset for Meta-algorithm'!$C$12,K54*('Brace for Meta-algorithm'!$F$14='Brace for Meta-algorithm'!$F$9)*('Brace for Meta-algorithm'!$J$14&gt;0),K54)</f>
        <v>0</v>
      </c>
      <c r="L55" s="83">
        <f>SUM(B55:K55)</f>
        <v>2</v>
      </c>
      <c r="M55" s="74">
        <f>IF(4&lt;='Dataset for Meta-algorithm'!$C$12,M54*('Brace for Meta-algorithm'!$F$5='Brace for Meta-algorithm'!$F$9)*('Brace for Meta-algorithm'!$J$5&lt;0),M54)</f>
        <v>0</v>
      </c>
      <c r="N55" s="74">
        <f>IF(4&lt;='Dataset for Meta-algorithm'!$C$12,N54*('Brace for Meta-algorithm'!$F$6='Brace for Meta-algorithm'!$F$9)*('Brace for Meta-algorithm'!$J$6&lt;0),N54)</f>
        <v>0</v>
      </c>
      <c r="O55" s="74">
        <f>IF(4&lt;='Dataset for Meta-algorithm'!$C$12,O54*('Brace for Meta-algorithm'!$F$7='Brace for Meta-algorithm'!$F$9)*('Brace for Meta-algorithm'!$J$7&lt;0),O54)</f>
        <v>0</v>
      </c>
      <c r="P55" s="74">
        <f>IF(4&lt;='Dataset for Meta-algorithm'!$C$12,P54*('Brace for Meta-algorithm'!$F$8='Brace for Meta-algorithm'!$F$9)*('Brace for Meta-algorithm'!$J$8&lt;0),P54)</f>
        <v>0</v>
      </c>
      <c r="Q55" s="74">
        <f>IF(4&lt;='Dataset for Meta-algorithm'!$C$12,Q54*('Brace for Meta-algorithm'!$F$9='Brace for Meta-algorithm'!$F$9)*('Brace for Meta-algorithm'!$J$9&lt;0),Q54)</f>
        <v>0</v>
      </c>
      <c r="R55" s="74">
        <f>IF(4&lt;='Dataset for Meta-algorithm'!$C$12,R54*('Brace for Meta-algorithm'!$F$10='Brace for Meta-algorithm'!$F$9)*('Brace for Meta-algorithm'!$J$10&lt;0),R54)</f>
        <v>0</v>
      </c>
      <c r="S55" s="74">
        <f>IF(4&lt;='Dataset for Meta-algorithm'!$C$12,S54*('Brace for Meta-algorithm'!$F$11='Brace for Meta-algorithm'!$F$9)*('Brace for Meta-algorithm'!$J$11&lt;0),S54)</f>
        <v>0</v>
      </c>
      <c r="T55" s="74">
        <f>IF(4&lt;='Dataset for Meta-algorithm'!$C$12,T54*('Brace for Meta-algorithm'!$F$12='Brace for Meta-algorithm'!$F$9)*('Brace for Meta-algorithm'!$J$12&lt;0),T54)</f>
        <v>0</v>
      </c>
      <c r="U55" s="74">
        <f>IF(4&lt;='Dataset for Meta-algorithm'!$C$12,U54*('Brace for Meta-algorithm'!$F$13='Brace for Meta-algorithm'!$F$9)*('Brace for Meta-algorithm'!$J$13&lt;0),U54)</f>
        <v>0</v>
      </c>
      <c r="V55" s="74">
        <f>IF(4&lt;='Dataset for Meta-algorithm'!$C$12,V54*('Brace for Meta-algorithm'!$F$14='Brace for Meta-algorithm'!$F$9)*('Brace for Meta-algorithm'!$J$14&lt;0),V54)</f>
        <v>0</v>
      </c>
      <c r="W55" s="83">
        <f>SUM(M55:V55)</f>
        <v>0</v>
      </c>
    </row>
    <row r="56"/>
    <row r="57">
      <c r="A57" s="59" t="inlineStr">
        <is>
          <t xml:space="preserve">Query S₆  —  its own description (aₜ₀, …, aₜₚ) against the training dataset (B1 flags left, B2 flags right)</t>
        </is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</row>
    <row r="58">
      <c r="A58" s="60" t="inlineStr">
        <is>
          <t xml:space="preserve">Step j</t>
        </is>
      </c>
      <c r="B58" s="60" t="inlineStr">
        <is>
          <t xml:space="preserve">S₁</t>
        </is>
      </c>
      <c r="C58" s="60" t="inlineStr">
        <is>
          <t xml:space="preserve">S₂</t>
        </is>
      </c>
      <c r="D58" s="60" t="inlineStr">
        <is>
          <t xml:space="preserve">S₃</t>
        </is>
      </c>
      <c r="E58" s="60" t="inlineStr">
        <is>
          <t xml:space="preserve">S₄</t>
        </is>
      </c>
      <c r="F58" s="60" t="inlineStr">
        <is>
          <t xml:space="preserve">S₅</t>
        </is>
      </c>
      <c r="G58" s="60" t="inlineStr">
        <is>
          <t xml:space="preserve">S₆</t>
        </is>
      </c>
      <c r="H58" s="60" t="inlineStr">
        <is>
          <t xml:space="preserve">S₇</t>
        </is>
      </c>
      <c r="I58" s="60" t="inlineStr">
        <is>
          <t xml:space="preserve">S₈</t>
        </is>
      </c>
      <c r="J58" s="60" t="inlineStr">
        <is>
          <t xml:space="preserve">S₉</t>
        </is>
      </c>
      <c r="K58" s="60" t="inlineStr">
        <is>
          <t xml:space="preserve">S₁₀</t>
        </is>
      </c>
      <c r="L58" s="60" t="inlineStr">
        <is>
          <t xml:space="preserve">|B1|</t>
        </is>
      </c>
      <c r="M58" s="60" t="inlineStr">
        <is>
          <t xml:space="preserve">S₁</t>
        </is>
      </c>
      <c r="N58" s="60" t="inlineStr">
        <is>
          <t xml:space="preserve">S₂</t>
        </is>
      </c>
      <c r="O58" s="60" t="inlineStr">
        <is>
          <t xml:space="preserve">S₃</t>
        </is>
      </c>
      <c r="P58" s="60" t="inlineStr">
        <is>
          <t xml:space="preserve">S₄</t>
        </is>
      </c>
      <c r="Q58" s="60" t="inlineStr">
        <is>
          <t xml:space="preserve">S₅</t>
        </is>
      </c>
      <c r="R58" s="60" t="inlineStr">
        <is>
          <t xml:space="preserve">S₆</t>
        </is>
      </c>
      <c r="S58" s="60" t="inlineStr">
        <is>
          <t xml:space="preserve">S₇</t>
        </is>
      </c>
      <c r="T58" s="60" t="inlineStr">
        <is>
          <t xml:space="preserve">S₈</t>
        </is>
      </c>
      <c r="U58" s="60" t="inlineStr">
        <is>
          <t xml:space="preserve">S₉</t>
        </is>
      </c>
      <c r="V58" s="60" t="inlineStr">
        <is>
          <t xml:space="preserve">S₁₀</t>
        </is>
      </c>
      <c r="W58" s="60" t="inlineStr">
        <is>
          <t xml:space="preserve">|B2|</t>
        </is>
      </c>
    </row>
    <row r="59">
      <c r="A59" s="64">
        <v>0</v>
      </c>
      <c r="B59" s="74">
        <f>IF(AND(Dataset!$O$3=1,'Brace for Meta-algorithm'!$B$5='Brace for Meta-algorithm'!$B$10),1,0)</f>
        <v>0</v>
      </c>
      <c r="C59" s="74">
        <f>IF(AND(Dataset!$O$4=1,'Brace for Meta-algorithm'!$B$6='Brace for Meta-algorithm'!$B$10),1,0)</f>
        <v>1</v>
      </c>
      <c r="D59" s="74">
        <f>IF(AND(Dataset!$O$5=1,'Brace for Meta-algorithm'!$B$7='Brace for Meta-algorithm'!$B$10),1,0)</f>
        <v>0</v>
      </c>
      <c r="E59" s="74">
        <f>IF(AND(Dataset!$O$6=1,'Brace for Meta-algorithm'!$B$8='Brace for Meta-algorithm'!$B$10),1,0)</f>
        <v>1</v>
      </c>
      <c r="F59" s="74">
        <f>IF(AND(Dataset!$O$7=1,'Brace for Meta-algorithm'!$B$9='Brace for Meta-algorithm'!$B$10),1,0)</f>
        <v>1</v>
      </c>
      <c r="G59" s="74">
        <f>IF(AND(Dataset!$O$8=1,'Brace for Meta-algorithm'!$B$10='Brace for Meta-algorithm'!$B$10),1,0)</f>
        <v>1</v>
      </c>
      <c r="H59" s="74">
        <f>IF(AND(Dataset!$O$9=1,'Brace for Meta-algorithm'!$B$11='Brace for Meta-algorithm'!$B$10),1,0)</f>
        <v>0</v>
      </c>
      <c r="I59" s="74">
        <f>IF(AND(Dataset!$O$10=1,'Brace for Meta-algorithm'!$B$12='Brace for Meta-algorithm'!$B$10),1,0)</f>
        <v>0</v>
      </c>
      <c r="J59" s="74">
        <f>IF(AND(Dataset!$O$11=1,'Brace for Meta-algorithm'!$B$13='Brace for Meta-algorithm'!$B$10),1,0)</f>
        <v>0</v>
      </c>
      <c r="K59" s="74">
        <f>IF(AND(Dataset!$O$12=1,'Brace for Meta-algorithm'!$B$14='Brace for Meta-algorithm'!$B$10),1,0)</f>
        <v>0</v>
      </c>
      <c r="L59" s="83">
        <f>SUM(B59:K59)</f>
        <v>4</v>
      </c>
      <c r="M59" s="74">
        <f>IF(AND(Dataset!$O$3=2,'Brace for Meta-algorithm'!$B$5='Brace for Meta-algorithm'!$B$10),1,0)</f>
        <v>1</v>
      </c>
      <c r="N59" s="74">
        <f>IF(AND(Dataset!$O$4=2,'Brace for Meta-algorithm'!$B$6='Brace for Meta-algorithm'!$B$10),1,0)</f>
        <v>0</v>
      </c>
      <c r="O59" s="74">
        <f>IF(AND(Dataset!$O$5=2,'Brace for Meta-algorithm'!$B$7='Brace for Meta-algorithm'!$B$10),1,0)</f>
        <v>0</v>
      </c>
      <c r="P59" s="74">
        <f>IF(AND(Dataset!$O$6=2,'Brace for Meta-algorithm'!$B$8='Brace for Meta-algorithm'!$B$10),1,0)</f>
        <v>0</v>
      </c>
      <c r="Q59" s="74">
        <f>IF(AND(Dataset!$O$7=2,'Brace for Meta-algorithm'!$B$9='Brace for Meta-algorithm'!$B$10),1,0)</f>
        <v>0</v>
      </c>
      <c r="R59" s="74">
        <f>IF(AND(Dataset!$O$8=2,'Brace for Meta-algorithm'!$B$10='Brace for Meta-algorithm'!$B$10),1,0)</f>
        <v>0</v>
      </c>
      <c r="S59" s="74">
        <f>IF(AND(Dataset!$O$9=2,'Brace for Meta-algorithm'!$B$11='Brace for Meta-algorithm'!$B$10),1,0)</f>
        <v>1</v>
      </c>
      <c r="T59" s="74">
        <f>IF(AND(Dataset!$O$10=2,'Brace for Meta-algorithm'!$B$12='Brace for Meta-algorithm'!$B$10),1,0)</f>
        <v>1</v>
      </c>
      <c r="U59" s="74">
        <f>IF(AND(Dataset!$O$11=2,'Brace for Meta-algorithm'!$B$13='Brace for Meta-algorithm'!$B$10),1,0)</f>
        <v>1</v>
      </c>
      <c r="V59" s="74">
        <f>IF(AND(Dataset!$O$12=2,'Brace for Meta-algorithm'!$B$14='Brace for Meta-algorithm'!$B$10),1,0)</f>
        <v>1</v>
      </c>
      <c r="W59" s="83">
        <f>SUM(M59:V59)</f>
        <v>5</v>
      </c>
    </row>
    <row r="60">
      <c r="A60" s="64">
        <v>1</v>
      </c>
      <c r="B60" s="74">
        <f>IF(1&lt;='Dataset for Meta-algorithm'!$C$12,B59*('Brace for Meta-algorithm'!$C$5='Brace for Meta-algorithm'!$C$10)*('Brace for Meta-algorithm'!$G$5&gt;0),B59)</f>
        <v>0</v>
      </c>
      <c r="C60" s="74">
        <f>IF(1&lt;='Dataset for Meta-algorithm'!$C$12,C59*('Brace for Meta-algorithm'!$C$6='Brace for Meta-algorithm'!$C$10)*('Brace for Meta-algorithm'!$G$6&gt;0),C59)</f>
        <v>1</v>
      </c>
      <c r="D60" s="74">
        <f>IF(1&lt;='Dataset for Meta-algorithm'!$C$12,D59*('Brace for Meta-algorithm'!$C$7='Brace for Meta-algorithm'!$C$10)*('Brace for Meta-algorithm'!$G$7&gt;0),D59)</f>
        <v>0</v>
      </c>
      <c r="E60" s="74">
        <f>IF(1&lt;='Dataset for Meta-algorithm'!$C$12,E59*('Brace for Meta-algorithm'!$C$8='Brace for Meta-algorithm'!$C$10)*('Brace for Meta-algorithm'!$G$8&gt;0),E59)</f>
        <v>0</v>
      </c>
      <c r="F60" s="74">
        <f>IF(1&lt;='Dataset for Meta-algorithm'!$C$12,F59*('Brace for Meta-algorithm'!$C$9='Brace for Meta-algorithm'!$C$10)*('Brace for Meta-algorithm'!$G$9&gt;0),F59)</f>
        <v>0</v>
      </c>
      <c r="G60" s="74">
        <f>IF(1&lt;='Dataset for Meta-algorithm'!$C$12,G59*('Brace for Meta-algorithm'!$C$10='Brace for Meta-algorithm'!$C$10)*('Brace for Meta-algorithm'!$G$10&gt;0),G59)</f>
        <v>1</v>
      </c>
      <c r="H60" s="74">
        <f>IF(1&lt;='Dataset for Meta-algorithm'!$C$12,H59*('Brace for Meta-algorithm'!$C$11='Brace for Meta-algorithm'!$C$10)*('Brace for Meta-algorithm'!$G$11&gt;0),H59)</f>
        <v>0</v>
      </c>
      <c r="I60" s="74">
        <f>IF(1&lt;='Dataset for Meta-algorithm'!$C$12,I59*('Brace for Meta-algorithm'!$C$12='Brace for Meta-algorithm'!$C$10)*('Brace for Meta-algorithm'!$G$12&gt;0),I59)</f>
        <v>0</v>
      </c>
      <c r="J60" s="74">
        <f>IF(1&lt;='Dataset for Meta-algorithm'!$C$12,J59*('Brace for Meta-algorithm'!$C$13='Brace for Meta-algorithm'!$C$10)*('Brace for Meta-algorithm'!$G$13&gt;0),J59)</f>
        <v>0</v>
      </c>
      <c r="K60" s="74">
        <f>IF(1&lt;='Dataset for Meta-algorithm'!$C$12,K59*('Brace for Meta-algorithm'!$C$14='Brace for Meta-algorithm'!$C$10)*('Brace for Meta-algorithm'!$G$14&gt;0),K59)</f>
        <v>0</v>
      </c>
      <c r="L60" s="83">
        <f>SUM(B60:K60)</f>
        <v>2</v>
      </c>
      <c r="M60" s="74">
        <f>IF(1&lt;='Dataset for Meta-algorithm'!$C$12,M59*('Brace for Meta-algorithm'!$C$5='Brace for Meta-algorithm'!$C$10)*('Brace for Meta-algorithm'!$G$5&lt;0),M59)</f>
        <v>0</v>
      </c>
      <c r="N60" s="74">
        <f>IF(1&lt;='Dataset for Meta-algorithm'!$C$12,N59*('Brace for Meta-algorithm'!$C$6='Brace for Meta-algorithm'!$C$10)*('Brace for Meta-algorithm'!$G$6&lt;0),N59)</f>
        <v>0</v>
      </c>
      <c r="O60" s="74">
        <f>IF(1&lt;='Dataset for Meta-algorithm'!$C$12,O59*('Brace for Meta-algorithm'!$C$7='Brace for Meta-algorithm'!$C$10)*('Brace for Meta-algorithm'!$G$7&lt;0),O59)</f>
        <v>0</v>
      </c>
      <c r="P60" s="74">
        <f>IF(1&lt;='Dataset for Meta-algorithm'!$C$12,P59*('Brace for Meta-algorithm'!$C$8='Brace for Meta-algorithm'!$C$10)*('Brace for Meta-algorithm'!$G$8&lt;0),P59)</f>
        <v>0</v>
      </c>
      <c r="Q60" s="74">
        <f>IF(1&lt;='Dataset for Meta-algorithm'!$C$12,Q59*('Brace for Meta-algorithm'!$C$9='Brace for Meta-algorithm'!$C$10)*('Brace for Meta-algorithm'!$G$9&lt;0),Q59)</f>
        <v>0</v>
      </c>
      <c r="R60" s="74">
        <f>IF(1&lt;='Dataset for Meta-algorithm'!$C$12,R59*('Brace for Meta-algorithm'!$C$10='Brace for Meta-algorithm'!$C$10)*('Brace for Meta-algorithm'!$G$10&lt;0),R59)</f>
        <v>0</v>
      </c>
      <c r="S60" s="74">
        <f>IF(1&lt;='Dataset for Meta-algorithm'!$C$12,S59*('Brace for Meta-algorithm'!$C$11='Brace for Meta-algorithm'!$C$10)*('Brace for Meta-algorithm'!$G$11&lt;0),S59)</f>
        <v>1</v>
      </c>
      <c r="T60" s="74">
        <f>IF(1&lt;='Dataset for Meta-algorithm'!$C$12,T59*('Brace for Meta-algorithm'!$C$12='Brace for Meta-algorithm'!$C$10)*('Brace for Meta-algorithm'!$G$12&lt;0),T59)</f>
        <v>1</v>
      </c>
      <c r="U60" s="74">
        <f>IF(1&lt;='Dataset for Meta-algorithm'!$C$12,U59*('Brace for Meta-algorithm'!$C$13='Brace for Meta-algorithm'!$C$10)*('Brace for Meta-algorithm'!$G$13&lt;0),U59)</f>
        <v>1</v>
      </c>
      <c r="V60" s="74">
        <f>IF(1&lt;='Dataset for Meta-algorithm'!$C$12,V59*('Brace for Meta-algorithm'!$C$14='Brace for Meta-algorithm'!$C$10)*('Brace for Meta-algorithm'!$G$14&lt;0),V59)</f>
        <v>1</v>
      </c>
      <c r="W60" s="83">
        <f>SUM(M60:V60)</f>
        <v>4</v>
      </c>
    </row>
    <row r="61">
      <c r="A61" s="64">
        <v>2</v>
      </c>
      <c r="B61" s="74">
        <f>IF(2&lt;='Dataset for Meta-algorithm'!$C$12,B60*('Brace for Meta-algorithm'!$D$5='Brace for Meta-algorithm'!$D$10)*('Brace for Meta-algorithm'!$H$5&gt;0),B60)</f>
        <v>0</v>
      </c>
      <c r="C61" s="74">
        <f>IF(2&lt;='Dataset for Meta-algorithm'!$C$12,C60*('Brace for Meta-algorithm'!$D$6='Brace for Meta-algorithm'!$D$10)*('Brace for Meta-algorithm'!$H$6&gt;0),C60)</f>
        <v>1</v>
      </c>
      <c r="D61" s="74">
        <f>IF(2&lt;='Dataset for Meta-algorithm'!$C$12,D60*('Brace for Meta-algorithm'!$D$7='Brace for Meta-algorithm'!$D$10)*('Brace for Meta-algorithm'!$H$7&gt;0),D60)</f>
        <v>0</v>
      </c>
      <c r="E61" s="74">
        <f>IF(2&lt;='Dataset for Meta-algorithm'!$C$12,E60*('Brace for Meta-algorithm'!$D$8='Brace for Meta-algorithm'!$D$10)*('Brace for Meta-algorithm'!$H$8&gt;0),E60)</f>
        <v>0</v>
      </c>
      <c r="F61" s="74">
        <f>IF(2&lt;='Dataset for Meta-algorithm'!$C$12,F60*('Brace for Meta-algorithm'!$D$9='Brace for Meta-algorithm'!$D$10)*('Brace for Meta-algorithm'!$H$9&gt;0),F60)</f>
        <v>0</v>
      </c>
      <c r="G61" s="74">
        <f>IF(2&lt;='Dataset for Meta-algorithm'!$C$12,G60*('Brace for Meta-algorithm'!$D$10='Brace for Meta-algorithm'!$D$10)*('Brace for Meta-algorithm'!$H$10&gt;0),G60)</f>
        <v>1</v>
      </c>
      <c r="H61" s="74">
        <f>IF(2&lt;='Dataset for Meta-algorithm'!$C$12,H60*('Brace for Meta-algorithm'!$D$11='Brace for Meta-algorithm'!$D$10)*('Brace for Meta-algorithm'!$H$11&gt;0),H60)</f>
        <v>0</v>
      </c>
      <c r="I61" s="74">
        <f>IF(2&lt;='Dataset for Meta-algorithm'!$C$12,I60*('Brace for Meta-algorithm'!$D$12='Brace for Meta-algorithm'!$D$10)*('Brace for Meta-algorithm'!$H$12&gt;0),I60)</f>
        <v>0</v>
      </c>
      <c r="J61" s="74">
        <f>IF(2&lt;='Dataset for Meta-algorithm'!$C$12,J60*('Brace for Meta-algorithm'!$D$13='Brace for Meta-algorithm'!$D$10)*('Brace for Meta-algorithm'!$H$13&gt;0),J60)</f>
        <v>0</v>
      </c>
      <c r="K61" s="74">
        <f>IF(2&lt;='Dataset for Meta-algorithm'!$C$12,K60*('Brace for Meta-algorithm'!$D$14='Brace for Meta-algorithm'!$D$10)*('Brace for Meta-algorithm'!$H$14&gt;0),K60)</f>
        <v>0</v>
      </c>
      <c r="L61" s="83">
        <f>SUM(B61:K61)</f>
        <v>2</v>
      </c>
      <c r="M61" s="74">
        <f>IF(2&lt;='Dataset for Meta-algorithm'!$C$12,M60*('Brace for Meta-algorithm'!$D$5='Brace for Meta-algorithm'!$D$10)*('Brace for Meta-algorithm'!$H$5&lt;0),M60)</f>
        <v>0</v>
      </c>
      <c r="N61" s="74">
        <f>IF(2&lt;='Dataset for Meta-algorithm'!$C$12,N60*('Brace for Meta-algorithm'!$D$6='Brace for Meta-algorithm'!$D$10)*('Brace for Meta-algorithm'!$H$6&lt;0),N60)</f>
        <v>0</v>
      </c>
      <c r="O61" s="74">
        <f>IF(2&lt;='Dataset for Meta-algorithm'!$C$12,O60*('Brace for Meta-algorithm'!$D$7='Brace for Meta-algorithm'!$D$10)*('Brace for Meta-algorithm'!$H$7&lt;0),O60)</f>
        <v>0</v>
      </c>
      <c r="P61" s="74">
        <f>IF(2&lt;='Dataset for Meta-algorithm'!$C$12,P60*('Brace for Meta-algorithm'!$D$8='Brace for Meta-algorithm'!$D$10)*('Brace for Meta-algorithm'!$H$8&lt;0),P60)</f>
        <v>0</v>
      </c>
      <c r="Q61" s="74">
        <f>IF(2&lt;='Dataset for Meta-algorithm'!$C$12,Q60*('Brace for Meta-algorithm'!$D$9='Brace for Meta-algorithm'!$D$10)*('Brace for Meta-algorithm'!$H$9&lt;0),Q60)</f>
        <v>0</v>
      </c>
      <c r="R61" s="74">
        <f>IF(2&lt;='Dataset for Meta-algorithm'!$C$12,R60*('Brace for Meta-algorithm'!$D$10='Brace for Meta-algorithm'!$D$10)*('Brace for Meta-algorithm'!$H$10&lt;0),R60)</f>
        <v>0</v>
      </c>
      <c r="S61" s="74">
        <f>IF(2&lt;='Dataset for Meta-algorithm'!$C$12,S60*('Brace for Meta-algorithm'!$D$11='Brace for Meta-algorithm'!$D$10)*('Brace for Meta-algorithm'!$H$11&lt;0),S60)</f>
        <v>1</v>
      </c>
      <c r="T61" s="74">
        <f>IF(2&lt;='Dataset for Meta-algorithm'!$C$12,T60*('Brace for Meta-algorithm'!$D$12='Brace for Meta-algorithm'!$D$10)*('Brace for Meta-algorithm'!$H$12&lt;0),T60)</f>
        <v>1</v>
      </c>
      <c r="U61" s="74">
        <f>IF(2&lt;='Dataset for Meta-algorithm'!$C$12,U60*('Brace for Meta-algorithm'!$D$13='Brace for Meta-algorithm'!$D$10)*('Brace for Meta-algorithm'!$H$13&lt;0),U60)</f>
        <v>1</v>
      </c>
      <c r="V61" s="74">
        <f>IF(2&lt;='Dataset for Meta-algorithm'!$C$12,V60*('Brace for Meta-algorithm'!$D$14='Brace for Meta-algorithm'!$D$10)*('Brace for Meta-algorithm'!$H$14&lt;0),V60)</f>
        <v>1</v>
      </c>
      <c r="W61" s="83">
        <f>SUM(M61:V61)</f>
        <v>4</v>
      </c>
    </row>
    <row r="62">
      <c r="A62" s="64">
        <v>3</v>
      </c>
      <c r="B62" s="74">
        <f>IF(3&lt;='Dataset for Meta-algorithm'!$C$12,B61*('Brace for Meta-algorithm'!$E$5='Brace for Meta-algorithm'!$E$10)*('Brace for Meta-algorithm'!$I$5&gt;0),B61)</f>
        <v>0</v>
      </c>
      <c r="C62" s="74">
        <f>IF(3&lt;='Dataset for Meta-algorithm'!$C$12,C61*('Brace for Meta-algorithm'!$E$6='Brace for Meta-algorithm'!$E$10)*('Brace for Meta-algorithm'!$I$6&gt;0),C61)</f>
        <v>1</v>
      </c>
      <c r="D62" s="74">
        <f>IF(3&lt;='Dataset for Meta-algorithm'!$C$12,D61*('Brace for Meta-algorithm'!$E$7='Brace for Meta-algorithm'!$E$10)*('Brace for Meta-algorithm'!$I$7&gt;0),D61)</f>
        <v>0</v>
      </c>
      <c r="E62" s="74">
        <f>IF(3&lt;='Dataset for Meta-algorithm'!$C$12,E61*('Brace for Meta-algorithm'!$E$8='Brace for Meta-algorithm'!$E$10)*('Brace for Meta-algorithm'!$I$8&gt;0),E61)</f>
        <v>0</v>
      </c>
      <c r="F62" s="74">
        <f>IF(3&lt;='Dataset for Meta-algorithm'!$C$12,F61*('Brace for Meta-algorithm'!$E$9='Brace for Meta-algorithm'!$E$10)*('Brace for Meta-algorithm'!$I$9&gt;0),F61)</f>
        <v>0</v>
      </c>
      <c r="G62" s="74">
        <f>IF(3&lt;='Dataset for Meta-algorithm'!$C$12,G61*('Brace for Meta-algorithm'!$E$10='Brace for Meta-algorithm'!$E$10)*('Brace for Meta-algorithm'!$I$10&gt;0),G61)</f>
        <v>1</v>
      </c>
      <c r="H62" s="74">
        <f>IF(3&lt;='Dataset for Meta-algorithm'!$C$12,H61*('Brace for Meta-algorithm'!$E$11='Brace for Meta-algorithm'!$E$10)*('Brace for Meta-algorithm'!$I$11&gt;0),H61)</f>
        <v>0</v>
      </c>
      <c r="I62" s="74">
        <f>IF(3&lt;='Dataset for Meta-algorithm'!$C$12,I61*('Brace for Meta-algorithm'!$E$12='Brace for Meta-algorithm'!$E$10)*('Brace for Meta-algorithm'!$I$12&gt;0),I61)</f>
        <v>0</v>
      </c>
      <c r="J62" s="74">
        <f>IF(3&lt;='Dataset for Meta-algorithm'!$C$12,J61*('Brace for Meta-algorithm'!$E$13='Brace for Meta-algorithm'!$E$10)*('Brace for Meta-algorithm'!$I$13&gt;0),J61)</f>
        <v>0</v>
      </c>
      <c r="K62" s="74">
        <f>IF(3&lt;='Dataset for Meta-algorithm'!$C$12,K61*('Brace for Meta-algorithm'!$E$14='Brace for Meta-algorithm'!$E$10)*('Brace for Meta-algorithm'!$I$14&gt;0),K61)</f>
        <v>0</v>
      </c>
      <c r="L62" s="83">
        <f>SUM(B62:K62)</f>
        <v>2</v>
      </c>
      <c r="M62" s="74">
        <f>IF(3&lt;='Dataset for Meta-algorithm'!$C$12,M61*('Brace for Meta-algorithm'!$E$5='Brace for Meta-algorithm'!$E$10)*('Brace for Meta-algorithm'!$I$5&lt;0),M61)</f>
        <v>0</v>
      </c>
      <c r="N62" s="74">
        <f>IF(3&lt;='Dataset for Meta-algorithm'!$C$12,N61*('Brace for Meta-algorithm'!$E$6='Brace for Meta-algorithm'!$E$10)*('Brace for Meta-algorithm'!$I$6&lt;0),N61)</f>
        <v>0</v>
      </c>
      <c r="O62" s="74">
        <f>IF(3&lt;='Dataset for Meta-algorithm'!$C$12,O61*('Brace for Meta-algorithm'!$E$7='Brace for Meta-algorithm'!$E$10)*('Brace for Meta-algorithm'!$I$7&lt;0),O61)</f>
        <v>0</v>
      </c>
      <c r="P62" s="74">
        <f>IF(3&lt;='Dataset for Meta-algorithm'!$C$12,P61*('Brace for Meta-algorithm'!$E$8='Brace for Meta-algorithm'!$E$10)*('Brace for Meta-algorithm'!$I$8&lt;0),P61)</f>
        <v>0</v>
      </c>
      <c r="Q62" s="74">
        <f>IF(3&lt;='Dataset for Meta-algorithm'!$C$12,Q61*('Brace for Meta-algorithm'!$E$9='Brace for Meta-algorithm'!$E$10)*('Brace for Meta-algorithm'!$I$9&lt;0),Q61)</f>
        <v>0</v>
      </c>
      <c r="R62" s="74">
        <f>IF(3&lt;='Dataset for Meta-algorithm'!$C$12,R61*('Brace for Meta-algorithm'!$E$10='Brace for Meta-algorithm'!$E$10)*('Brace for Meta-algorithm'!$I$10&lt;0),R61)</f>
        <v>0</v>
      </c>
      <c r="S62" s="74">
        <f>IF(3&lt;='Dataset for Meta-algorithm'!$C$12,S61*('Brace for Meta-algorithm'!$E$11='Brace for Meta-algorithm'!$E$10)*('Brace for Meta-algorithm'!$I$11&lt;0),S61)</f>
        <v>1</v>
      </c>
      <c r="T62" s="74">
        <f>IF(3&lt;='Dataset for Meta-algorithm'!$C$12,T61*('Brace for Meta-algorithm'!$E$12='Brace for Meta-algorithm'!$E$10)*('Brace for Meta-algorithm'!$I$12&lt;0),T61)</f>
        <v>1</v>
      </c>
      <c r="U62" s="74">
        <f>IF(3&lt;='Dataset for Meta-algorithm'!$C$12,U61*('Brace for Meta-algorithm'!$E$13='Brace for Meta-algorithm'!$E$10)*('Brace for Meta-algorithm'!$I$13&lt;0),U61)</f>
        <v>1</v>
      </c>
      <c r="V62" s="74">
        <f>IF(3&lt;='Dataset for Meta-algorithm'!$C$12,V61*('Brace for Meta-algorithm'!$E$14='Brace for Meta-algorithm'!$E$10)*('Brace for Meta-algorithm'!$I$14&lt;0),V61)</f>
        <v>1</v>
      </c>
      <c r="W62" s="83">
        <f>SUM(M62:V62)</f>
        <v>4</v>
      </c>
    </row>
    <row r="63">
      <c r="A63" s="64">
        <v>4</v>
      </c>
      <c r="B63" s="74">
        <f>IF(4&lt;='Dataset for Meta-algorithm'!$C$12,B62*('Brace for Meta-algorithm'!$F$5='Brace for Meta-algorithm'!$F$10)*('Brace for Meta-algorithm'!$J$5&gt;0),B62)</f>
        <v>0</v>
      </c>
      <c r="C63" s="74">
        <f>IF(4&lt;='Dataset for Meta-algorithm'!$C$12,C62*('Brace for Meta-algorithm'!$F$6='Brace for Meta-algorithm'!$F$10)*('Brace for Meta-algorithm'!$J$6&gt;0),C62)</f>
        <v>1</v>
      </c>
      <c r="D63" s="74">
        <f>IF(4&lt;='Dataset for Meta-algorithm'!$C$12,D62*('Brace for Meta-algorithm'!$F$7='Brace for Meta-algorithm'!$F$10)*('Brace for Meta-algorithm'!$J$7&gt;0),D62)</f>
        <v>0</v>
      </c>
      <c r="E63" s="74">
        <f>IF(4&lt;='Dataset for Meta-algorithm'!$C$12,E62*('Brace for Meta-algorithm'!$F$8='Brace for Meta-algorithm'!$F$10)*('Brace for Meta-algorithm'!$J$8&gt;0),E62)</f>
        <v>0</v>
      </c>
      <c r="F63" s="74">
        <f>IF(4&lt;='Dataset for Meta-algorithm'!$C$12,F62*('Brace for Meta-algorithm'!$F$9='Brace for Meta-algorithm'!$F$10)*('Brace for Meta-algorithm'!$J$9&gt;0),F62)</f>
        <v>0</v>
      </c>
      <c r="G63" s="74">
        <f>IF(4&lt;='Dataset for Meta-algorithm'!$C$12,G62*('Brace for Meta-algorithm'!$F$10='Brace for Meta-algorithm'!$F$10)*('Brace for Meta-algorithm'!$J$10&gt;0),G62)</f>
        <v>1</v>
      </c>
      <c r="H63" s="74">
        <f>IF(4&lt;='Dataset for Meta-algorithm'!$C$12,H62*('Brace for Meta-algorithm'!$F$11='Brace for Meta-algorithm'!$F$10)*('Brace for Meta-algorithm'!$J$11&gt;0),H62)</f>
        <v>0</v>
      </c>
      <c r="I63" s="74">
        <f>IF(4&lt;='Dataset for Meta-algorithm'!$C$12,I62*('Brace for Meta-algorithm'!$F$12='Brace for Meta-algorithm'!$F$10)*('Brace for Meta-algorithm'!$J$12&gt;0),I62)</f>
        <v>0</v>
      </c>
      <c r="J63" s="74">
        <f>IF(4&lt;='Dataset for Meta-algorithm'!$C$12,J62*('Brace for Meta-algorithm'!$F$13='Brace for Meta-algorithm'!$F$10)*('Brace for Meta-algorithm'!$J$13&gt;0),J62)</f>
        <v>0</v>
      </c>
      <c r="K63" s="74">
        <f>IF(4&lt;='Dataset for Meta-algorithm'!$C$12,K62*('Brace for Meta-algorithm'!$F$14='Brace for Meta-algorithm'!$F$10)*('Brace for Meta-algorithm'!$J$14&gt;0),K62)</f>
        <v>0</v>
      </c>
      <c r="L63" s="83">
        <f>SUM(B63:K63)</f>
        <v>2</v>
      </c>
      <c r="M63" s="74">
        <f>IF(4&lt;='Dataset for Meta-algorithm'!$C$12,M62*('Brace for Meta-algorithm'!$F$5='Brace for Meta-algorithm'!$F$10)*('Brace for Meta-algorithm'!$J$5&lt;0),M62)</f>
        <v>0</v>
      </c>
      <c r="N63" s="74">
        <f>IF(4&lt;='Dataset for Meta-algorithm'!$C$12,N62*('Brace for Meta-algorithm'!$F$6='Brace for Meta-algorithm'!$F$10)*('Brace for Meta-algorithm'!$J$6&lt;0),N62)</f>
        <v>0</v>
      </c>
      <c r="O63" s="74">
        <f>IF(4&lt;='Dataset for Meta-algorithm'!$C$12,O62*('Brace for Meta-algorithm'!$F$7='Brace for Meta-algorithm'!$F$10)*('Brace for Meta-algorithm'!$J$7&lt;0),O62)</f>
        <v>0</v>
      </c>
      <c r="P63" s="74">
        <f>IF(4&lt;='Dataset for Meta-algorithm'!$C$12,P62*('Brace for Meta-algorithm'!$F$8='Brace for Meta-algorithm'!$F$10)*('Brace for Meta-algorithm'!$J$8&lt;0),P62)</f>
        <v>0</v>
      </c>
      <c r="Q63" s="74">
        <f>IF(4&lt;='Dataset for Meta-algorithm'!$C$12,Q62*('Brace for Meta-algorithm'!$F$9='Brace for Meta-algorithm'!$F$10)*('Brace for Meta-algorithm'!$J$9&lt;0),Q62)</f>
        <v>0</v>
      </c>
      <c r="R63" s="74">
        <f>IF(4&lt;='Dataset for Meta-algorithm'!$C$12,R62*('Brace for Meta-algorithm'!$F$10='Brace for Meta-algorithm'!$F$10)*('Brace for Meta-algorithm'!$J$10&lt;0),R62)</f>
        <v>0</v>
      </c>
      <c r="S63" s="74">
        <f>IF(4&lt;='Dataset for Meta-algorithm'!$C$12,S62*('Brace for Meta-algorithm'!$F$11='Brace for Meta-algorithm'!$F$10)*('Brace for Meta-algorithm'!$J$11&lt;0),S62)</f>
        <v>1</v>
      </c>
      <c r="T63" s="74">
        <f>IF(4&lt;='Dataset for Meta-algorithm'!$C$12,T62*('Brace for Meta-algorithm'!$F$12='Brace for Meta-algorithm'!$F$10)*('Brace for Meta-algorithm'!$J$12&lt;0),T62)</f>
        <v>1</v>
      </c>
      <c r="U63" s="74">
        <f>IF(4&lt;='Dataset for Meta-algorithm'!$C$12,U62*('Brace for Meta-algorithm'!$F$13='Brace for Meta-algorithm'!$F$10)*('Brace for Meta-algorithm'!$J$13&lt;0),U62)</f>
        <v>1</v>
      </c>
      <c r="V63" s="74">
        <f>IF(4&lt;='Dataset for Meta-algorithm'!$C$12,V62*('Brace for Meta-algorithm'!$F$14='Brace for Meta-algorithm'!$F$10)*('Brace for Meta-algorithm'!$J$14&lt;0),V62)</f>
        <v>1</v>
      </c>
      <c r="W63" s="83">
        <f>SUM(M63:V63)</f>
        <v>4</v>
      </c>
    </row>
    <row r="64"/>
    <row r="65">
      <c r="A65" s="59" t="inlineStr">
        <is>
          <t xml:space="preserve">Query S₇  —  its own description (aₜ₀, …, aₜₚ) against the training dataset (B1 flags left, B2 flags right)</t>
        </is>
      </c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</row>
    <row r="66">
      <c r="A66" s="60" t="inlineStr">
        <is>
          <t xml:space="preserve">Step j</t>
        </is>
      </c>
      <c r="B66" s="60" t="inlineStr">
        <is>
          <t xml:space="preserve">S₁</t>
        </is>
      </c>
      <c r="C66" s="60" t="inlineStr">
        <is>
          <t xml:space="preserve">S₂</t>
        </is>
      </c>
      <c r="D66" s="60" t="inlineStr">
        <is>
          <t xml:space="preserve">S₃</t>
        </is>
      </c>
      <c r="E66" s="60" t="inlineStr">
        <is>
          <t xml:space="preserve">S₄</t>
        </is>
      </c>
      <c r="F66" s="60" t="inlineStr">
        <is>
          <t xml:space="preserve">S₅</t>
        </is>
      </c>
      <c r="G66" s="60" t="inlineStr">
        <is>
          <t xml:space="preserve">S₆</t>
        </is>
      </c>
      <c r="H66" s="60" t="inlineStr">
        <is>
          <t xml:space="preserve">S₇</t>
        </is>
      </c>
      <c r="I66" s="60" t="inlineStr">
        <is>
          <t xml:space="preserve">S₈</t>
        </is>
      </c>
      <c r="J66" s="60" t="inlineStr">
        <is>
          <t xml:space="preserve">S₉</t>
        </is>
      </c>
      <c r="K66" s="60" t="inlineStr">
        <is>
          <t xml:space="preserve">S₁₀</t>
        </is>
      </c>
      <c r="L66" s="60" t="inlineStr">
        <is>
          <t xml:space="preserve">|B1|</t>
        </is>
      </c>
      <c r="M66" s="60" t="inlineStr">
        <is>
          <t xml:space="preserve">S₁</t>
        </is>
      </c>
      <c r="N66" s="60" t="inlineStr">
        <is>
          <t xml:space="preserve">S₂</t>
        </is>
      </c>
      <c r="O66" s="60" t="inlineStr">
        <is>
          <t xml:space="preserve">S₃</t>
        </is>
      </c>
      <c r="P66" s="60" t="inlineStr">
        <is>
          <t xml:space="preserve">S₄</t>
        </is>
      </c>
      <c r="Q66" s="60" t="inlineStr">
        <is>
          <t xml:space="preserve">S₅</t>
        </is>
      </c>
      <c r="R66" s="60" t="inlineStr">
        <is>
          <t xml:space="preserve">S₆</t>
        </is>
      </c>
      <c r="S66" s="60" t="inlineStr">
        <is>
          <t xml:space="preserve">S₇</t>
        </is>
      </c>
      <c r="T66" s="60" t="inlineStr">
        <is>
          <t xml:space="preserve">S₈</t>
        </is>
      </c>
      <c r="U66" s="60" t="inlineStr">
        <is>
          <t xml:space="preserve">S₉</t>
        </is>
      </c>
      <c r="V66" s="60" t="inlineStr">
        <is>
          <t xml:space="preserve">S₁₀</t>
        </is>
      </c>
      <c r="W66" s="60" t="inlineStr">
        <is>
          <t xml:space="preserve">|B2|</t>
        </is>
      </c>
    </row>
    <row r="67">
      <c r="A67" s="64">
        <v>0</v>
      </c>
      <c r="B67" s="74">
        <f>IF(AND(Dataset!$O$3=1,'Brace for Meta-algorithm'!$B$5='Brace for Meta-algorithm'!$B$11),1,0)</f>
        <v>0</v>
      </c>
      <c r="C67" s="74">
        <f>IF(AND(Dataset!$O$4=1,'Brace for Meta-algorithm'!$B$6='Brace for Meta-algorithm'!$B$11),1,0)</f>
        <v>1</v>
      </c>
      <c r="D67" s="74">
        <f>IF(AND(Dataset!$O$5=1,'Brace for Meta-algorithm'!$B$7='Brace for Meta-algorithm'!$B$11),1,0)</f>
        <v>0</v>
      </c>
      <c r="E67" s="74">
        <f>IF(AND(Dataset!$O$6=1,'Brace for Meta-algorithm'!$B$8='Brace for Meta-algorithm'!$B$11),1,0)</f>
        <v>1</v>
      </c>
      <c r="F67" s="74">
        <f>IF(AND(Dataset!$O$7=1,'Brace for Meta-algorithm'!$B$9='Brace for Meta-algorithm'!$B$11),1,0)</f>
        <v>1</v>
      </c>
      <c r="G67" s="74">
        <f>IF(AND(Dataset!$O$8=1,'Brace for Meta-algorithm'!$B$10='Brace for Meta-algorithm'!$B$11),1,0)</f>
        <v>1</v>
      </c>
      <c r="H67" s="74">
        <f>IF(AND(Dataset!$O$9=1,'Brace for Meta-algorithm'!$B$11='Brace for Meta-algorithm'!$B$11),1,0)</f>
        <v>0</v>
      </c>
      <c r="I67" s="74">
        <f>IF(AND(Dataset!$O$10=1,'Brace for Meta-algorithm'!$B$12='Brace for Meta-algorithm'!$B$11),1,0)</f>
        <v>0</v>
      </c>
      <c r="J67" s="74">
        <f>IF(AND(Dataset!$O$11=1,'Brace for Meta-algorithm'!$B$13='Brace for Meta-algorithm'!$B$11),1,0)</f>
        <v>0</v>
      </c>
      <c r="K67" s="74">
        <f>IF(AND(Dataset!$O$12=1,'Brace for Meta-algorithm'!$B$14='Brace for Meta-algorithm'!$B$11),1,0)</f>
        <v>0</v>
      </c>
      <c r="L67" s="83">
        <f>SUM(B67:K67)</f>
        <v>4</v>
      </c>
      <c r="M67" s="74">
        <f>IF(AND(Dataset!$O$3=2,'Brace for Meta-algorithm'!$B$5='Brace for Meta-algorithm'!$B$11),1,0)</f>
        <v>1</v>
      </c>
      <c r="N67" s="74">
        <f>IF(AND(Dataset!$O$4=2,'Brace for Meta-algorithm'!$B$6='Brace for Meta-algorithm'!$B$11),1,0)</f>
        <v>0</v>
      </c>
      <c r="O67" s="74">
        <f>IF(AND(Dataset!$O$5=2,'Brace for Meta-algorithm'!$B$7='Brace for Meta-algorithm'!$B$11),1,0)</f>
        <v>0</v>
      </c>
      <c r="P67" s="74">
        <f>IF(AND(Dataset!$O$6=2,'Brace for Meta-algorithm'!$B$8='Brace for Meta-algorithm'!$B$11),1,0)</f>
        <v>0</v>
      </c>
      <c r="Q67" s="74">
        <f>IF(AND(Dataset!$O$7=2,'Brace for Meta-algorithm'!$B$9='Brace for Meta-algorithm'!$B$11),1,0)</f>
        <v>0</v>
      </c>
      <c r="R67" s="74">
        <f>IF(AND(Dataset!$O$8=2,'Brace for Meta-algorithm'!$B$10='Brace for Meta-algorithm'!$B$11),1,0)</f>
        <v>0</v>
      </c>
      <c r="S67" s="74">
        <f>IF(AND(Dataset!$O$9=2,'Brace for Meta-algorithm'!$B$11='Brace for Meta-algorithm'!$B$11),1,0)</f>
        <v>1</v>
      </c>
      <c r="T67" s="74">
        <f>IF(AND(Dataset!$O$10=2,'Brace for Meta-algorithm'!$B$12='Brace for Meta-algorithm'!$B$11),1,0)</f>
        <v>1</v>
      </c>
      <c r="U67" s="74">
        <f>IF(AND(Dataset!$O$11=2,'Brace for Meta-algorithm'!$B$13='Brace for Meta-algorithm'!$B$11),1,0)</f>
        <v>1</v>
      </c>
      <c r="V67" s="74">
        <f>IF(AND(Dataset!$O$12=2,'Brace for Meta-algorithm'!$B$14='Brace for Meta-algorithm'!$B$11),1,0)</f>
        <v>1</v>
      </c>
      <c r="W67" s="83">
        <f>SUM(M67:V67)</f>
        <v>5</v>
      </c>
    </row>
    <row r="68">
      <c r="A68" s="64">
        <v>1</v>
      </c>
      <c r="B68" s="74">
        <f>IF(1&lt;='Dataset for Meta-algorithm'!$C$12,B67*('Brace for Meta-algorithm'!$C$5='Brace for Meta-algorithm'!$C$11)*('Brace for Meta-algorithm'!$G$5&gt;0),B67)</f>
        <v>0</v>
      </c>
      <c r="C68" s="74">
        <f>IF(1&lt;='Dataset for Meta-algorithm'!$C$12,C67*('Brace for Meta-algorithm'!$C$6='Brace for Meta-algorithm'!$C$11)*('Brace for Meta-algorithm'!$G$6&gt;0),C67)</f>
        <v>1</v>
      </c>
      <c r="D68" s="74">
        <f>IF(1&lt;='Dataset for Meta-algorithm'!$C$12,D67*('Brace for Meta-algorithm'!$C$7='Brace for Meta-algorithm'!$C$11)*('Brace for Meta-algorithm'!$G$7&gt;0),D67)</f>
        <v>0</v>
      </c>
      <c r="E68" s="74">
        <f>IF(1&lt;='Dataset for Meta-algorithm'!$C$12,E67*('Brace for Meta-algorithm'!$C$8='Brace for Meta-algorithm'!$C$11)*('Brace for Meta-algorithm'!$G$8&gt;0),E67)</f>
        <v>0</v>
      </c>
      <c r="F68" s="74">
        <f>IF(1&lt;='Dataset for Meta-algorithm'!$C$12,F67*('Brace for Meta-algorithm'!$C$9='Brace for Meta-algorithm'!$C$11)*('Brace for Meta-algorithm'!$G$9&gt;0),F67)</f>
        <v>0</v>
      </c>
      <c r="G68" s="74">
        <f>IF(1&lt;='Dataset for Meta-algorithm'!$C$12,G67*('Brace for Meta-algorithm'!$C$10='Brace for Meta-algorithm'!$C$11)*('Brace for Meta-algorithm'!$G$10&gt;0),G67)</f>
        <v>1</v>
      </c>
      <c r="H68" s="74">
        <f>IF(1&lt;='Dataset for Meta-algorithm'!$C$12,H67*('Brace for Meta-algorithm'!$C$11='Brace for Meta-algorithm'!$C$11)*('Brace for Meta-algorithm'!$G$11&gt;0),H67)</f>
        <v>0</v>
      </c>
      <c r="I68" s="74">
        <f>IF(1&lt;='Dataset for Meta-algorithm'!$C$12,I67*('Brace for Meta-algorithm'!$C$12='Brace for Meta-algorithm'!$C$11)*('Brace for Meta-algorithm'!$G$12&gt;0),I67)</f>
        <v>0</v>
      </c>
      <c r="J68" s="74">
        <f>IF(1&lt;='Dataset for Meta-algorithm'!$C$12,J67*('Brace for Meta-algorithm'!$C$13='Brace for Meta-algorithm'!$C$11)*('Brace for Meta-algorithm'!$G$13&gt;0),J67)</f>
        <v>0</v>
      </c>
      <c r="K68" s="74">
        <f>IF(1&lt;='Dataset for Meta-algorithm'!$C$12,K67*('Brace for Meta-algorithm'!$C$14='Brace for Meta-algorithm'!$C$11)*('Brace for Meta-algorithm'!$G$14&gt;0),K67)</f>
        <v>0</v>
      </c>
      <c r="L68" s="83">
        <f>SUM(B68:K68)</f>
        <v>2</v>
      </c>
      <c r="M68" s="74">
        <f>IF(1&lt;='Dataset for Meta-algorithm'!$C$12,M67*('Brace for Meta-algorithm'!$C$5='Brace for Meta-algorithm'!$C$11)*('Brace for Meta-algorithm'!$G$5&lt;0),M67)</f>
        <v>0</v>
      </c>
      <c r="N68" s="74">
        <f>IF(1&lt;='Dataset for Meta-algorithm'!$C$12,N67*('Brace for Meta-algorithm'!$C$6='Brace for Meta-algorithm'!$C$11)*('Brace for Meta-algorithm'!$G$6&lt;0),N67)</f>
        <v>0</v>
      </c>
      <c r="O68" s="74">
        <f>IF(1&lt;='Dataset for Meta-algorithm'!$C$12,O67*('Brace for Meta-algorithm'!$C$7='Brace for Meta-algorithm'!$C$11)*('Brace for Meta-algorithm'!$G$7&lt;0),O67)</f>
        <v>0</v>
      </c>
      <c r="P68" s="74">
        <f>IF(1&lt;='Dataset for Meta-algorithm'!$C$12,P67*('Brace for Meta-algorithm'!$C$8='Brace for Meta-algorithm'!$C$11)*('Brace for Meta-algorithm'!$G$8&lt;0),P67)</f>
        <v>0</v>
      </c>
      <c r="Q68" s="74">
        <f>IF(1&lt;='Dataset for Meta-algorithm'!$C$12,Q67*('Brace for Meta-algorithm'!$C$9='Brace for Meta-algorithm'!$C$11)*('Brace for Meta-algorithm'!$G$9&lt;0),Q67)</f>
        <v>0</v>
      </c>
      <c r="R68" s="74">
        <f>IF(1&lt;='Dataset for Meta-algorithm'!$C$12,R67*('Brace for Meta-algorithm'!$C$10='Brace for Meta-algorithm'!$C$11)*('Brace for Meta-algorithm'!$G$10&lt;0),R67)</f>
        <v>0</v>
      </c>
      <c r="S68" s="74">
        <f>IF(1&lt;='Dataset for Meta-algorithm'!$C$12,S67*('Brace for Meta-algorithm'!$C$11='Brace for Meta-algorithm'!$C$11)*('Brace for Meta-algorithm'!$G$11&lt;0),S67)</f>
        <v>1</v>
      </c>
      <c r="T68" s="74">
        <f>IF(1&lt;='Dataset for Meta-algorithm'!$C$12,T67*('Brace for Meta-algorithm'!$C$12='Brace for Meta-algorithm'!$C$11)*('Brace for Meta-algorithm'!$G$12&lt;0),T67)</f>
        <v>1</v>
      </c>
      <c r="U68" s="74">
        <f>IF(1&lt;='Dataset for Meta-algorithm'!$C$12,U67*('Brace for Meta-algorithm'!$C$13='Brace for Meta-algorithm'!$C$11)*('Brace for Meta-algorithm'!$G$13&lt;0),U67)</f>
        <v>1</v>
      </c>
      <c r="V68" s="74">
        <f>IF(1&lt;='Dataset for Meta-algorithm'!$C$12,V67*('Brace for Meta-algorithm'!$C$14='Brace for Meta-algorithm'!$C$11)*('Brace for Meta-algorithm'!$G$14&lt;0),V67)</f>
        <v>1</v>
      </c>
      <c r="W68" s="83">
        <f>SUM(M68:V68)</f>
        <v>4</v>
      </c>
    </row>
    <row r="69">
      <c r="A69" s="64">
        <v>2</v>
      </c>
      <c r="B69" s="74">
        <f>IF(2&lt;='Dataset for Meta-algorithm'!$C$12,B68*('Brace for Meta-algorithm'!$D$5='Brace for Meta-algorithm'!$D$11)*('Brace for Meta-algorithm'!$H$5&gt;0),B68)</f>
        <v>0</v>
      </c>
      <c r="C69" s="74">
        <f>IF(2&lt;='Dataset for Meta-algorithm'!$C$12,C68*('Brace for Meta-algorithm'!$D$6='Brace for Meta-algorithm'!$D$11)*('Brace for Meta-algorithm'!$H$6&gt;0),C68)</f>
        <v>1</v>
      </c>
      <c r="D69" s="74">
        <f>IF(2&lt;='Dataset for Meta-algorithm'!$C$12,D68*('Brace for Meta-algorithm'!$D$7='Brace for Meta-algorithm'!$D$11)*('Brace for Meta-algorithm'!$H$7&gt;0),D68)</f>
        <v>0</v>
      </c>
      <c r="E69" s="74">
        <f>IF(2&lt;='Dataset for Meta-algorithm'!$C$12,E68*('Brace for Meta-algorithm'!$D$8='Brace for Meta-algorithm'!$D$11)*('Brace for Meta-algorithm'!$H$8&gt;0),E68)</f>
        <v>0</v>
      </c>
      <c r="F69" s="74">
        <f>IF(2&lt;='Dataset for Meta-algorithm'!$C$12,F68*('Brace for Meta-algorithm'!$D$9='Brace for Meta-algorithm'!$D$11)*('Brace for Meta-algorithm'!$H$9&gt;0),F68)</f>
        <v>0</v>
      </c>
      <c r="G69" s="74">
        <f>IF(2&lt;='Dataset for Meta-algorithm'!$C$12,G68*('Brace for Meta-algorithm'!$D$10='Brace for Meta-algorithm'!$D$11)*('Brace for Meta-algorithm'!$H$10&gt;0),G68)</f>
        <v>1</v>
      </c>
      <c r="H69" s="74">
        <f>IF(2&lt;='Dataset for Meta-algorithm'!$C$12,H68*('Brace for Meta-algorithm'!$D$11='Brace for Meta-algorithm'!$D$11)*('Brace for Meta-algorithm'!$H$11&gt;0),H68)</f>
        <v>0</v>
      </c>
      <c r="I69" s="74">
        <f>IF(2&lt;='Dataset for Meta-algorithm'!$C$12,I68*('Brace for Meta-algorithm'!$D$12='Brace for Meta-algorithm'!$D$11)*('Brace for Meta-algorithm'!$H$12&gt;0),I68)</f>
        <v>0</v>
      </c>
      <c r="J69" s="74">
        <f>IF(2&lt;='Dataset for Meta-algorithm'!$C$12,J68*('Brace for Meta-algorithm'!$D$13='Brace for Meta-algorithm'!$D$11)*('Brace for Meta-algorithm'!$H$13&gt;0),J68)</f>
        <v>0</v>
      </c>
      <c r="K69" s="74">
        <f>IF(2&lt;='Dataset for Meta-algorithm'!$C$12,K68*('Brace for Meta-algorithm'!$D$14='Brace for Meta-algorithm'!$D$11)*('Brace for Meta-algorithm'!$H$14&gt;0),K68)</f>
        <v>0</v>
      </c>
      <c r="L69" s="83">
        <f>SUM(B69:K69)</f>
        <v>2</v>
      </c>
      <c r="M69" s="74">
        <f>IF(2&lt;='Dataset for Meta-algorithm'!$C$12,M68*('Brace for Meta-algorithm'!$D$5='Brace for Meta-algorithm'!$D$11)*('Brace for Meta-algorithm'!$H$5&lt;0),M68)</f>
        <v>0</v>
      </c>
      <c r="N69" s="74">
        <f>IF(2&lt;='Dataset for Meta-algorithm'!$C$12,N68*('Brace for Meta-algorithm'!$D$6='Brace for Meta-algorithm'!$D$11)*('Brace for Meta-algorithm'!$H$6&lt;0),N68)</f>
        <v>0</v>
      </c>
      <c r="O69" s="74">
        <f>IF(2&lt;='Dataset for Meta-algorithm'!$C$12,O68*('Brace for Meta-algorithm'!$D$7='Brace for Meta-algorithm'!$D$11)*('Brace for Meta-algorithm'!$H$7&lt;0),O68)</f>
        <v>0</v>
      </c>
      <c r="P69" s="74">
        <f>IF(2&lt;='Dataset for Meta-algorithm'!$C$12,P68*('Brace for Meta-algorithm'!$D$8='Brace for Meta-algorithm'!$D$11)*('Brace for Meta-algorithm'!$H$8&lt;0),P68)</f>
        <v>0</v>
      </c>
      <c r="Q69" s="74">
        <f>IF(2&lt;='Dataset for Meta-algorithm'!$C$12,Q68*('Brace for Meta-algorithm'!$D$9='Brace for Meta-algorithm'!$D$11)*('Brace for Meta-algorithm'!$H$9&lt;0),Q68)</f>
        <v>0</v>
      </c>
      <c r="R69" s="74">
        <f>IF(2&lt;='Dataset for Meta-algorithm'!$C$12,R68*('Brace for Meta-algorithm'!$D$10='Brace for Meta-algorithm'!$D$11)*('Brace for Meta-algorithm'!$H$10&lt;0),R68)</f>
        <v>0</v>
      </c>
      <c r="S69" s="74">
        <f>IF(2&lt;='Dataset for Meta-algorithm'!$C$12,S68*('Brace for Meta-algorithm'!$D$11='Brace for Meta-algorithm'!$D$11)*('Brace for Meta-algorithm'!$H$11&lt;0),S68)</f>
        <v>1</v>
      </c>
      <c r="T69" s="74">
        <f>IF(2&lt;='Dataset for Meta-algorithm'!$C$12,T68*('Brace for Meta-algorithm'!$D$12='Brace for Meta-algorithm'!$D$11)*('Brace for Meta-algorithm'!$H$12&lt;0),T68)</f>
        <v>1</v>
      </c>
      <c r="U69" s="74">
        <f>IF(2&lt;='Dataset for Meta-algorithm'!$C$12,U68*('Brace for Meta-algorithm'!$D$13='Brace for Meta-algorithm'!$D$11)*('Brace for Meta-algorithm'!$H$13&lt;0),U68)</f>
        <v>1</v>
      </c>
      <c r="V69" s="74">
        <f>IF(2&lt;='Dataset for Meta-algorithm'!$C$12,V68*('Brace for Meta-algorithm'!$D$14='Brace for Meta-algorithm'!$D$11)*('Brace for Meta-algorithm'!$H$14&lt;0),V68)</f>
        <v>1</v>
      </c>
      <c r="W69" s="83">
        <f>SUM(M69:V69)</f>
        <v>4</v>
      </c>
    </row>
    <row r="70">
      <c r="A70" s="64">
        <v>3</v>
      </c>
      <c r="B70" s="74">
        <f>IF(3&lt;='Dataset for Meta-algorithm'!$C$12,B69*('Brace for Meta-algorithm'!$E$5='Brace for Meta-algorithm'!$E$11)*('Brace for Meta-algorithm'!$I$5&gt;0),B69)</f>
        <v>0</v>
      </c>
      <c r="C70" s="74">
        <f>IF(3&lt;='Dataset for Meta-algorithm'!$C$12,C69*('Brace for Meta-algorithm'!$E$6='Brace for Meta-algorithm'!$E$11)*('Brace for Meta-algorithm'!$I$6&gt;0),C69)</f>
        <v>1</v>
      </c>
      <c r="D70" s="74">
        <f>IF(3&lt;='Dataset for Meta-algorithm'!$C$12,D69*('Brace for Meta-algorithm'!$E$7='Brace for Meta-algorithm'!$E$11)*('Brace for Meta-algorithm'!$I$7&gt;0),D69)</f>
        <v>0</v>
      </c>
      <c r="E70" s="74">
        <f>IF(3&lt;='Dataset for Meta-algorithm'!$C$12,E69*('Brace for Meta-algorithm'!$E$8='Brace for Meta-algorithm'!$E$11)*('Brace for Meta-algorithm'!$I$8&gt;0),E69)</f>
        <v>0</v>
      </c>
      <c r="F70" s="74">
        <f>IF(3&lt;='Dataset for Meta-algorithm'!$C$12,F69*('Brace for Meta-algorithm'!$E$9='Brace for Meta-algorithm'!$E$11)*('Brace for Meta-algorithm'!$I$9&gt;0),F69)</f>
        <v>0</v>
      </c>
      <c r="G70" s="74">
        <f>IF(3&lt;='Dataset for Meta-algorithm'!$C$12,G69*('Brace for Meta-algorithm'!$E$10='Brace for Meta-algorithm'!$E$11)*('Brace for Meta-algorithm'!$I$10&gt;0),G69)</f>
        <v>1</v>
      </c>
      <c r="H70" s="74">
        <f>IF(3&lt;='Dataset for Meta-algorithm'!$C$12,H69*('Brace for Meta-algorithm'!$E$11='Brace for Meta-algorithm'!$E$11)*('Brace for Meta-algorithm'!$I$11&gt;0),H69)</f>
        <v>0</v>
      </c>
      <c r="I70" s="74">
        <f>IF(3&lt;='Dataset for Meta-algorithm'!$C$12,I69*('Brace for Meta-algorithm'!$E$12='Brace for Meta-algorithm'!$E$11)*('Brace for Meta-algorithm'!$I$12&gt;0),I69)</f>
        <v>0</v>
      </c>
      <c r="J70" s="74">
        <f>IF(3&lt;='Dataset for Meta-algorithm'!$C$12,J69*('Brace for Meta-algorithm'!$E$13='Brace for Meta-algorithm'!$E$11)*('Brace for Meta-algorithm'!$I$13&gt;0),J69)</f>
        <v>0</v>
      </c>
      <c r="K70" s="74">
        <f>IF(3&lt;='Dataset for Meta-algorithm'!$C$12,K69*('Brace for Meta-algorithm'!$E$14='Brace for Meta-algorithm'!$E$11)*('Brace for Meta-algorithm'!$I$14&gt;0),K69)</f>
        <v>0</v>
      </c>
      <c r="L70" s="83">
        <f>SUM(B70:K70)</f>
        <v>2</v>
      </c>
      <c r="M70" s="74">
        <f>IF(3&lt;='Dataset for Meta-algorithm'!$C$12,M69*('Brace for Meta-algorithm'!$E$5='Brace for Meta-algorithm'!$E$11)*('Brace for Meta-algorithm'!$I$5&lt;0),M69)</f>
        <v>0</v>
      </c>
      <c r="N70" s="74">
        <f>IF(3&lt;='Dataset for Meta-algorithm'!$C$12,N69*('Brace for Meta-algorithm'!$E$6='Brace for Meta-algorithm'!$E$11)*('Brace for Meta-algorithm'!$I$6&lt;0),N69)</f>
        <v>0</v>
      </c>
      <c r="O70" s="74">
        <f>IF(3&lt;='Dataset for Meta-algorithm'!$C$12,O69*('Brace for Meta-algorithm'!$E$7='Brace for Meta-algorithm'!$E$11)*('Brace for Meta-algorithm'!$I$7&lt;0),O69)</f>
        <v>0</v>
      </c>
      <c r="P70" s="74">
        <f>IF(3&lt;='Dataset for Meta-algorithm'!$C$12,P69*('Brace for Meta-algorithm'!$E$8='Brace for Meta-algorithm'!$E$11)*('Brace for Meta-algorithm'!$I$8&lt;0),P69)</f>
        <v>0</v>
      </c>
      <c r="Q70" s="74">
        <f>IF(3&lt;='Dataset for Meta-algorithm'!$C$12,Q69*('Brace for Meta-algorithm'!$E$9='Brace for Meta-algorithm'!$E$11)*('Brace for Meta-algorithm'!$I$9&lt;0),Q69)</f>
        <v>0</v>
      </c>
      <c r="R70" s="74">
        <f>IF(3&lt;='Dataset for Meta-algorithm'!$C$12,R69*('Brace for Meta-algorithm'!$E$10='Brace for Meta-algorithm'!$E$11)*('Brace for Meta-algorithm'!$I$10&lt;0),R69)</f>
        <v>0</v>
      </c>
      <c r="S70" s="74">
        <f>IF(3&lt;='Dataset for Meta-algorithm'!$C$12,S69*('Brace for Meta-algorithm'!$E$11='Brace for Meta-algorithm'!$E$11)*('Brace for Meta-algorithm'!$I$11&lt;0),S69)</f>
        <v>1</v>
      </c>
      <c r="T70" s="74">
        <f>IF(3&lt;='Dataset for Meta-algorithm'!$C$12,T69*('Brace for Meta-algorithm'!$E$12='Brace for Meta-algorithm'!$E$11)*('Brace for Meta-algorithm'!$I$12&lt;0),T69)</f>
        <v>1</v>
      </c>
      <c r="U70" s="74">
        <f>IF(3&lt;='Dataset for Meta-algorithm'!$C$12,U69*('Brace for Meta-algorithm'!$E$13='Brace for Meta-algorithm'!$E$11)*('Brace for Meta-algorithm'!$I$13&lt;0),U69)</f>
        <v>1</v>
      </c>
      <c r="V70" s="74">
        <f>IF(3&lt;='Dataset for Meta-algorithm'!$C$12,V69*('Brace for Meta-algorithm'!$E$14='Brace for Meta-algorithm'!$E$11)*('Brace for Meta-algorithm'!$I$14&lt;0),V69)</f>
        <v>1</v>
      </c>
      <c r="W70" s="83">
        <f>SUM(M70:V70)</f>
        <v>4</v>
      </c>
    </row>
    <row r="71">
      <c r="A71" s="64">
        <v>4</v>
      </c>
      <c r="B71" s="74">
        <f>IF(4&lt;='Dataset for Meta-algorithm'!$C$12,B70*('Brace for Meta-algorithm'!$F$5='Brace for Meta-algorithm'!$F$11)*('Brace for Meta-algorithm'!$J$5&gt;0),B70)</f>
        <v>0</v>
      </c>
      <c r="C71" s="74">
        <f>IF(4&lt;='Dataset for Meta-algorithm'!$C$12,C70*('Brace for Meta-algorithm'!$F$6='Brace for Meta-algorithm'!$F$11)*('Brace for Meta-algorithm'!$J$6&gt;0),C70)</f>
        <v>1</v>
      </c>
      <c r="D71" s="74">
        <f>IF(4&lt;='Dataset for Meta-algorithm'!$C$12,D70*('Brace for Meta-algorithm'!$F$7='Brace for Meta-algorithm'!$F$11)*('Brace for Meta-algorithm'!$J$7&gt;0),D70)</f>
        <v>0</v>
      </c>
      <c r="E71" s="74">
        <f>IF(4&lt;='Dataset for Meta-algorithm'!$C$12,E70*('Brace for Meta-algorithm'!$F$8='Brace for Meta-algorithm'!$F$11)*('Brace for Meta-algorithm'!$J$8&gt;0),E70)</f>
        <v>0</v>
      </c>
      <c r="F71" s="74">
        <f>IF(4&lt;='Dataset for Meta-algorithm'!$C$12,F70*('Brace for Meta-algorithm'!$F$9='Brace for Meta-algorithm'!$F$11)*('Brace for Meta-algorithm'!$J$9&gt;0),F70)</f>
        <v>0</v>
      </c>
      <c r="G71" s="74">
        <f>IF(4&lt;='Dataset for Meta-algorithm'!$C$12,G70*('Brace for Meta-algorithm'!$F$10='Brace for Meta-algorithm'!$F$11)*('Brace for Meta-algorithm'!$J$10&gt;0),G70)</f>
        <v>1</v>
      </c>
      <c r="H71" s="74">
        <f>IF(4&lt;='Dataset for Meta-algorithm'!$C$12,H70*('Brace for Meta-algorithm'!$F$11='Brace for Meta-algorithm'!$F$11)*('Brace for Meta-algorithm'!$J$11&gt;0),H70)</f>
        <v>0</v>
      </c>
      <c r="I71" s="74">
        <f>IF(4&lt;='Dataset for Meta-algorithm'!$C$12,I70*('Brace for Meta-algorithm'!$F$12='Brace for Meta-algorithm'!$F$11)*('Brace for Meta-algorithm'!$J$12&gt;0),I70)</f>
        <v>0</v>
      </c>
      <c r="J71" s="74">
        <f>IF(4&lt;='Dataset for Meta-algorithm'!$C$12,J70*('Brace for Meta-algorithm'!$F$13='Brace for Meta-algorithm'!$F$11)*('Brace for Meta-algorithm'!$J$13&gt;0),J70)</f>
        <v>0</v>
      </c>
      <c r="K71" s="74">
        <f>IF(4&lt;='Dataset for Meta-algorithm'!$C$12,K70*('Brace for Meta-algorithm'!$F$14='Brace for Meta-algorithm'!$F$11)*('Brace for Meta-algorithm'!$J$14&gt;0),K70)</f>
        <v>0</v>
      </c>
      <c r="L71" s="83">
        <f>SUM(B71:K71)</f>
        <v>2</v>
      </c>
      <c r="M71" s="74">
        <f>IF(4&lt;='Dataset for Meta-algorithm'!$C$12,M70*('Brace for Meta-algorithm'!$F$5='Brace for Meta-algorithm'!$F$11)*('Brace for Meta-algorithm'!$J$5&lt;0),M70)</f>
        <v>0</v>
      </c>
      <c r="N71" s="74">
        <f>IF(4&lt;='Dataset for Meta-algorithm'!$C$12,N70*('Brace for Meta-algorithm'!$F$6='Brace for Meta-algorithm'!$F$11)*('Brace for Meta-algorithm'!$J$6&lt;0),N70)</f>
        <v>0</v>
      </c>
      <c r="O71" s="74">
        <f>IF(4&lt;='Dataset for Meta-algorithm'!$C$12,O70*('Brace for Meta-algorithm'!$F$7='Brace for Meta-algorithm'!$F$11)*('Brace for Meta-algorithm'!$J$7&lt;0),O70)</f>
        <v>0</v>
      </c>
      <c r="P71" s="74">
        <f>IF(4&lt;='Dataset for Meta-algorithm'!$C$12,P70*('Brace for Meta-algorithm'!$F$8='Brace for Meta-algorithm'!$F$11)*('Brace for Meta-algorithm'!$J$8&lt;0),P70)</f>
        <v>0</v>
      </c>
      <c r="Q71" s="74">
        <f>IF(4&lt;='Dataset for Meta-algorithm'!$C$12,Q70*('Brace for Meta-algorithm'!$F$9='Brace for Meta-algorithm'!$F$11)*('Brace for Meta-algorithm'!$J$9&lt;0),Q70)</f>
        <v>0</v>
      </c>
      <c r="R71" s="74">
        <f>IF(4&lt;='Dataset for Meta-algorithm'!$C$12,R70*('Brace for Meta-algorithm'!$F$10='Brace for Meta-algorithm'!$F$11)*('Brace for Meta-algorithm'!$J$10&lt;0),R70)</f>
        <v>0</v>
      </c>
      <c r="S71" s="74">
        <f>IF(4&lt;='Dataset for Meta-algorithm'!$C$12,S70*('Brace for Meta-algorithm'!$F$11='Brace for Meta-algorithm'!$F$11)*('Brace for Meta-algorithm'!$J$11&lt;0),S70)</f>
        <v>1</v>
      </c>
      <c r="T71" s="74">
        <f>IF(4&lt;='Dataset for Meta-algorithm'!$C$12,T70*('Brace for Meta-algorithm'!$F$12='Brace for Meta-algorithm'!$F$11)*('Brace for Meta-algorithm'!$J$12&lt;0),T70)</f>
        <v>1</v>
      </c>
      <c r="U71" s="74">
        <f>IF(4&lt;='Dataset for Meta-algorithm'!$C$12,U70*('Brace for Meta-algorithm'!$F$13='Brace for Meta-algorithm'!$F$11)*('Brace for Meta-algorithm'!$J$13&lt;0),U70)</f>
        <v>1</v>
      </c>
      <c r="V71" s="74">
        <f>IF(4&lt;='Dataset for Meta-algorithm'!$C$12,V70*('Brace for Meta-algorithm'!$F$14='Brace for Meta-algorithm'!$F$11)*('Brace for Meta-algorithm'!$J$14&lt;0),V70)</f>
        <v>1</v>
      </c>
      <c r="W71" s="83">
        <f>SUM(M71:V71)</f>
        <v>4</v>
      </c>
    </row>
    <row r="72"/>
    <row r="73">
      <c r="A73" s="59" t="inlineStr">
        <is>
          <t xml:space="preserve">Query S₈  —  its own description (aₜ₀, …, aₜₚ) against the training dataset (B1 flags left, B2 flags right)</t>
        </is>
      </c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</row>
    <row r="74">
      <c r="A74" s="60" t="inlineStr">
        <is>
          <t xml:space="preserve">Step j</t>
        </is>
      </c>
      <c r="B74" s="60" t="inlineStr">
        <is>
          <t xml:space="preserve">S₁</t>
        </is>
      </c>
      <c r="C74" s="60" t="inlineStr">
        <is>
          <t xml:space="preserve">S₂</t>
        </is>
      </c>
      <c r="D74" s="60" t="inlineStr">
        <is>
          <t xml:space="preserve">S₃</t>
        </is>
      </c>
      <c r="E74" s="60" t="inlineStr">
        <is>
          <t xml:space="preserve">S₄</t>
        </is>
      </c>
      <c r="F74" s="60" t="inlineStr">
        <is>
          <t xml:space="preserve">S₅</t>
        </is>
      </c>
      <c r="G74" s="60" t="inlineStr">
        <is>
          <t xml:space="preserve">S₆</t>
        </is>
      </c>
      <c r="H74" s="60" t="inlineStr">
        <is>
          <t xml:space="preserve">S₇</t>
        </is>
      </c>
      <c r="I74" s="60" t="inlineStr">
        <is>
          <t xml:space="preserve">S₈</t>
        </is>
      </c>
      <c r="J74" s="60" t="inlineStr">
        <is>
          <t xml:space="preserve">S₉</t>
        </is>
      </c>
      <c r="K74" s="60" t="inlineStr">
        <is>
          <t xml:space="preserve">S₁₀</t>
        </is>
      </c>
      <c r="L74" s="60" t="inlineStr">
        <is>
          <t xml:space="preserve">|B1|</t>
        </is>
      </c>
      <c r="M74" s="60" t="inlineStr">
        <is>
          <t xml:space="preserve">S₁</t>
        </is>
      </c>
      <c r="N74" s="60" t="inlineStr">
        <is>
          <t xml:space="preserve">S₂</t>
        </is>
      </c>
      <c r="O74" s="60" t="inlineStr">
        <is>
          <t xml:space="preserve">S₃</t>
        </is>
      </c>
      <c r="P74" s="60" t="inlineStr">
        <is>
          <t xml:space="preserve">S₄</t>
        </is>
      </c>
      <c r="Q74" s="60" t="inlineStr">
        <is>
          <t xml:space="preserve">S₅</t>
        </is>
      </c>
      <c r="R74" s="60" t="inlineStr">
        <is>
          <t xml:space="preserve">S₆</t>
        </is>
      </c>
      <c r="S74" s="60" t="inlineStr">
        <is>
          <t xml:space="preserve">S₇</t>
        </is>
      </c>
      <c r="T74" s="60" t="inlineStr">
        <is>
          <t xml:space="preserve">S₈</t>
        </is>
      </c>
      <c r="U74" s="60" t="inlineStr">
        <is>
          <t xml:space="preserve">S₉</t>
        </is>
      </c>
      <c r="V74" s="60" t="inlineStr">
        <is>
          <t xml:space="preserve">S₁₀</t>
        </is>
      </c>
      <c r="W74" s="60" t="inlineStr">
        <is>
          <t xml:space="preserve">|B2|</t>
        </is>
      </c>
    </row>
    <row r="75">
      <c r="A75" s="64">
        <v>0</v>
      </c>
      <c r="B75" s="74">
        <f>IF(AND(Dataset!$O$3=1,'Brace for Meta-algorithm'!$B$5='Brace for Meta-algorithm'!$B$12),1,0)</f>
        <v>0</v>
      </c>
      <c r="C75" s="74">
        <f>IF(AND(Dataset!$O$4=1,'Brace for Meta-algorithm'!$B$6='Brace for Meta-algorithm'!$B$12),1,0)</f>
        <v>1</v>
      </c>
      <c r="D75" s="74">
        <f>IF(AND(Dataset!$O$5=1,'Brace for Meta-algorithm'!$B$7='Brace for Meta-algorithm'!$B$12),1,0)</f>
        <v>0</v>
      </c>
      <c r="E75" s="74">
        <f>IF(AND(Dataset!$O$6=1,'Brace for Meta-algorithm'!$B$8='Brace for Meta-algorithm'!$B$12),1,0)</f>
        <v>1</v>
      </c>
      <c r="F75" s="74">
        <f>IF(AND(Dataset!$O$7=1,'Brace for Meta-algorithm'!$B$9='Brace for Meta-algorithm'!$B$12),1,0)</f>
        <v>1</v>
      </c>
      <c r="G75" s="74">
        <f>IF(AND(Dataset!$O$8=1,'Brace for Meta-algorithm'!$B$10='Brace for Meta-algorithm'!$B$12),1,0)</f>
        <v>1</v>
      </c>
      <c r="H75" s="74">
        <f>IF(AND(Dataset!$O$9=1,'Brace for Meta-algorithm'!$B$11='Brace for Meta-algorithm'!$B$12),1,0)</f>
        <v>0</v>
      </c>
      <c r="I75" s="74">
        <f>IF(AND(Dataset!$O$10=1,'Brace for Meta-algorithm'!$B$12='Brace for Meta-algorithm'!$B$12),1,0)</f>
        <v>0</v>
      </c>
      <c r="J75" s="74">
        <f>IF(AND(Dataset!$O$11=1,'Brace for Meta-algorithm'!$B$13='Brace for Meta-algorithm'!$B$12),1,0)</f>
        <v>0</v>
      </c>
      <c r="K75" s="74">
        <f>IF(AND(Dataset!$O$12=1,'Brace for Meta-algorithm'!$B$14='Brace for Meta-algorithm'!$B$12),1,0)</f>
        <v>0</v>
      </c>
      <c r="L75" s="83">
        <f>SUM(B75:K75)</f>
        <v>4</v>
      </c>
      <c r="M75" s="74">
        <f>IF(AND(Dataset!$O$3=2,'Brace for Meta-algorithm'!$B$5='Brace for Meta-algorithm'!$B$12),1,0)</f>
        <v>1</v>
      </c>
      <c r="N75" s="74">
        <f>IF(AND(Dataset!$O$4=2,'Brace for Meta-algorithm'!$B$6='Brace for Meta-algorithm'!$B$12),1,0)</f>
        <v>0</v>
      </c>
      <c r="O75" s="74">
        <f>IF(AND(Dataset!$O$5=2,'Brace for Meta-algorithm'!$B$7='Brace for Meta-algorithm'!$B$12),1,0)</f>
        <v>0</v>
      </c>
      <c r="P75" s="74">
        <f>IF(AND(Dataset!$O$6=2,'Brace for Meta-algorithm'!$B$8='Brace for Meta-algorithm'!$B$12),1,0)</f>
        <v>0</v>
      </c>
      <c r="Q75" s="74">
        <f>IF(AND(Dataset!$O$7=2,'Brace for Meta-algorithm'!$B$9='Brace for Meta-algorithm'!$B$12),1,0)</f>
        <v>0</v>
      </c>
      <c r="R75" s="74">
        <f>IF(AND(Dataset!$O$8=2,'Brace for Meta-algorithm'!$B$10='Brace for Meta-algorithm'!$B$12),1,0)</f>
        <v>0</v>
      </c>
      <c r="S75" s="74">
        <f>IF(AND(Dataset!$O$9=2,'Brace for Meta-algorithm'!$B$11='Brace for Meta-algorithm'!$B$12),1,0)</f>
        <v>1</v>
      </c>
      <c r="T75" s="74">
        <f>IF(AND(Dataset!$O$10=2,'Brace for Meta-algorithm'!$B$12='Brace for Meta-algorithm'!$B$12),1,0)</f>
        <v>1</v>
      </c>
      <c r="U75" s="74">
        <f>IF(AND(Dataset!$O$11=2,'Brace for Meta-algorithm'!$B$13='Brace for Meta-algorithm'!$B$12),1,0)</f>
        <v>1</v>
      </c>
      <c r="V75" s="74">
        <f>IF(AND(Dataset!$O$12=2,'Brace for Meta-algorithm'!$B$14='Brace for Meta-algorithm'!$B$12),1,0)</f>
        <v>1</v>
      </c>
      <c r="W75" s="83">
        <f>SUM(M75:V75)</f>
        <v>5</v>
      </c>
    </row>
    <row r="76">
      <c r="A76" s="64">
        <v>1</v>
      </c>
      <c r="B76" s="74">
        <f>IF(1&lt;='Dataset for Meta-algorithm'!$C$12,B75*('Brace for Meta-algorithm'!$C$5='Brace for Meta-algorithm'!$C$12)*('Brace for Meta-algorithm'!$G$5&gt;0),B75)</f>
        <v>0</v>
      </c>
      <c r="C76" s="74">
        <f>IF(1&lt;='Dataset for Meta-algorithm'!$C$12,C75*('Brace for Meta-algorithm'!$C$6='Brace for Meta-algorithm'!$C$12)*('Brace for Meta-algorithm'!$G$6&gt;0),C75)</f>
        <v>1</v>
      </c>
      <c r="D76" s="74">
        <f>IF(1&lt;='Dataset for Meta-algorithm'!$C$12,D75*('Brace for Meta-algorithm'!$C$7='Brace for Meta-algorithm'!$C$12)*('Brace for Meta-algorithm'!$G$7&gt;0),D75)</f>
        <v>0</v>
      </c>
      <c r="E76" s="74">
        <f>IF(1&lt;='Dataset for Meta-algorithm'!$C$12,E75*('Brace for Meta-algorithm'!$C$8='Brace for Meta-algorithm'!$C$12)*('Brace for Meta-algorithm'!$G$8&gt;0),E75)</f>
        <v>0</v>
      </c>
      <c r="F76" s="74">
        <f>IF(1&lt;='Dataset for Meta-algorithm'!$C$12,F75*('Brace for Meta-algorithm'!$C$9='Brace for Meta-algorithm'!$C$12)*('Brace for Meta-algorithm'!$G$9&gt;0),F75)</f>
        <v>0</v>
      </c>
      <c r="G76" s="74">
        <f>IF(1&lt;='Dataset for Meta-algorithm'!$C$12,G75*('Brace for Meta-algorithm'!$C$10='Brace for Meta-algorithm'!$C$12)*('Brace for Meta-algorithm'!$G$10&gt;0),G75)</f>
        <v>1</v>
      </c>
      <c r="H76" s="74">
        <f>IF(1&lt;='Dataset for Meta-algorithm'!$C$12,H75*('Brace for Meta-algorithm'!$C$11='Brace for Meta-algorithm'!$C$12)*('Brace for Meta-algorithm'!$G$11&gt;0),H75)</f>
        <v>0</v>
      </c>
      <c r="I76" s="74">
        <f>IF(1&lt;='Dataset for Meta-algorithm'!$C$12,I75*('Brace for Meta-algorithm'!$C$12='Brace for Meta-algorithm'!$C$12)*('Brace for Meta-algorithm'!$G$12&gt;0),I75)</f>
        <v>0</v>
      </c>
      <c r="J76" s="74">
        <f>IF(1&lt;='Dataset for Meta-algorithm'!$C$12,J75*('Brace for Meta-algorithm'!$C$13='Brace for Meta-algorithm'!$C$12)*('Brace for Meta-algorithm'!$G$13&gt;0),J75)</f>
        <v>0</v>
      </c>
      <c r="K76" s="74">
        <f>IF(1&lt;='Dataset for Meta-algorithm'!$C$12,K75*('Brace for Meta-algorithm'!$C$14='Brace for Meta-algorithm'!$C$12)*('Brace for Meta-algorithm'!$G$14&gt;0),K75)</f>
        <v>0</v>
      </c>
      <c r="L76" s="83">
        <f>SUM(B76:K76)</f>
        <v>2</v>
      </c>
      <c r="M76" s="74">
        <f>IF(1&lt;='Dataset for Meta-algorithm'!$C$12,M75*('Brace for Meta-algorithm'!$C$5='Brace for Meta-algorithm'!$C$12)*('Brace for Meta-algorithm'!$G$5&lt;0),M75)</f>
        <v>0</v>
      </c>
      <c r="N76" s="74">
        <f>IF(1&lt;='Dataset for Meta-algorithm'!$C$12,N75*('Brace for Meta-algorithm'!$C$6='Brace for Meta-algorithm'!$C$12)*('Brace for Meta-algorithm'!$G$6&lt;0),N75)</f>
        <v>0</v>
      </c>
      <c r="O76" s="74">
        <f>IF(1&lt;='Dataset for Meta-algorithm'!$C$12,O75*('Brace for Meta-algorithm'!$C$7='Brace for Meta-algorithm'!$C$12)*('Brace for Meta-algorithm'!$G$7&lt;0),O75)</f>
        <v>0</v>
      </c>
      <c r="P76" s="74">
        <f>IF(1&lt;='Dataset for Meta-algorithm'!$C$12,P75*('Brace for Meta-algorithm'!$C$8='Brace for Meta-algorithm'!$C$12)*('Brace for Meta-algorithm'!$G$8&lt;0),P75)</f>
        <v>0</v>
      </c>
      <c r="Q76" s="74">
        <f>IF(1&lt;='Dataset for Meta-algorithm'!$C$12,Q75*('Brace for Meta-algorithm'!$C$9='Brace for Meta-algorithm'!$C$12)*('Brace for Meta-algorithm'!$G$9&lt;0),Q75)</f>
        <v>0</v>
      </c>
      <c r="R76" s="74">
        <f>IF(1&lt;='Dataset for Meta-algorithm'!$C$12,R75*('Brace for Meta-algorithm'!$C$10='Brace for Meta-algorithm'!$C$12)*('Brace for Meta-algorithm'!$G$10&lt;0),R75)</f>
        <v>0</v>
      </c>
      <c r="S76" s="74">
        <f>IF(1&lt;='Dataset for Meta-algorithm'!$C$12,S75*('Brace for Meta-algorithm'!$C$11='Brace for Meta-algorithm'!$C$12)*('Brace for Meta-algorithm'!$G$11&lt;0),S75)</f>
        <v>1</v>
      </c>
      <c r="T76" s="74">
        <f>IF(1&lt;='Dataset for Meta-algorithm'!$C$12,T75*('Brace for Meta-algorithm'!$C$12='Brace for Meta-algorithm'!$C$12)*('Brace for Meta-algorithm'!$G$12&lt;0),T75)</f>
        <v>1</v>
      </c>
      <c r="U76" s="74">
        <f>IF(1&lt;='Dataset for Meta-algorithm'!$C$12,U75*('Brace for Meta-algorithm'!$C$13='Brace for Meta-algorithm'!$C$12)*('Brace for Meta-algorithm'!$G$13&lt;0),U75)</f>
        <v>1</v>
      </c>
      <c r="V76" s="74">
        <f>IF(1&lt;='Dataset for Meta-algorithm'!$C$12,V75*('Brace for Meta-algorithm'!$C$14='Brace for Meta-algorithm'!$C$12)*('Brace for Meta-algorithm'!$G$14&lt;0),V75)</f>
        <v>1</v>
      </c>
      <c r="W76" s="83">
        <f>SUM(M76:V76)</f>
        <v>4</v>
      </c>
    </row>
    <row r="77">
      <c r="A77" s="64">
        <v>2</v>
      </c>
      <c r="B77" s="74">
        <f>IF(2&lt;='Dataset for Meta-algorithm'!$C$12,B76*('Brace for Meta-algorithm'!$D$5='Brace for Meta-algorithm'!$D$12)*('Brace for Meta-algorithm'!$H$5&gt;0),B76)</f>
        <v>0</v>
      </c>
      <c r="C77" s="74">
        <f>IF(2&lt;='Dataset for Meta-algorithm'!$C$12,C76*('Brace for Meta-algorithm'!$D$6='Brace for Meta-algorithm'!$D$12)*('Brace for Meta-algorithm'!$H$6&gt;0),C76)</f>
        <v>1</v>
      </c>
      <c r="D77" s="74">
        <f>IF(2&lt;='Dataset for Meta-algorithm'!$C$12,D76*('Brace for Meta-algorithm'!$D$7='Brace for Meta-algorithm'!$D$12)*('Brace for Meta-algorithm'!$H$7&gt;0),D76)</f>
        <v>0</v>
      </c>
      <c r="E77" s="74">
        <f>IF(2&lt;='Dataset for Meta-algorithm'!$C$12,E76*('Brace for Meta-algorithm'!$D$8='Brace for Meta-algorithm'!$D$12)*('Brace for Meta-algorithm'!$H$8&gt;0),E76)</f>
        <v>0</v>
      </c>
      <c r="F77" s="74">
        <f>IF(2&lt;='Dataset for Meta-algorithm'!$C$12,F76*('Brace for Meta-algorithm'!$D$9='Brace for Meta-algorithm'!$D$12)*('Brace for Meta-algorithm'!$H$9&gt;0),F76)</f>
        <v>0</v>
      </c>
      <c r="G77" s="74">
        <f>IF(2&lt;='Dataset for Meta-algorithm'!$C$12,G76*('Brace for Meta-algorithm'!$D$10='Brace for Meta-algorithm'!$D$12)*('Brace for Meta-algorithm'!$H$10&gt;0),G76)</f>
        <v>1</v>
      </c>
      <c r="H77" s="74">
        <f>IF(2&lt;='Dataset for Meta-algorithm'!$C$12,H76*('Brace for Meta-algorithm'!$D$11='Brace for Meta-algorithm'!$D$12)*('Brace for Meta-algorithm'!$H$11&gt;0),H76)</f>
        <v>0</v>
      </c>
      <c r="I77" s="74">
        <f>IF(2&lt;='Dataset for Meta-algorithm'!$C$12,I76*('Brace for Meta-algorithm'!$D$12='Brace for Meta-algorithm'!$D$12)*('Brace for Meta-algorithm'!$H$12&gt;0),I76)</f>
        <v>0</v>
      </c>
      <c r="J77" s="74">
        <f>IF(2&lt;='Dataset for Meta-algorithm'!$C$12,J76*('Brace for Meta-algorithm'!$D$13='Brace for Meta-algorithm'!$D$12)*('Brace for Meta-algorithm'!$H$13&gt;0),J76)</f>
        <v>0</v>
      </c>
      <c r="K77" s="74">
        <f>IF(2&lt;='Dataset for Meta-algorithm'!$C$12,K76*('Brace for Meta-algorithm'!$D$14='Brace for Meta-algorithm'!$D$12)*('Brace for Meta-algorithm'!$H$14&gt;0),K76)</f>
        <v>0</v>
      </c>
      <c r="L77" s="83">
        <f>SUM(B77:K77)</f>
        <v>2</v>
      </c>
      <c r="M77" s="74">
        <f>IF(2&lt;='Dataset for Meta-algorithm'!$C$12,M76*('Brace for Meta-algorithm'!$D$5='Brace for Meta-algorithm'!$D$12)*('Brace for Meta-algorithm'!$H$5&lt;0),M76)</f>
        <v>0</v>
      </c>
      <c r="N77" s="74">
        <f>IF(2&lt;='Dataset for Meta-algorithm'!$C$12,N76*('Brace for Meta-algorithm'!$D$6='Brace for Meta-algorithm'!$D$12)*('Brace for Meta-algorithm'!$H$6&lt;0),N76)</f>
        <v>0</v>
      </c>
      <c r="O77" s="74">
        <f>IF(2&lt;='Dataset for Meta-algorithm'!$C$12,O76*('Brace for Meta-algorithm'!$D$7='Brace for Meta-algorithm'!$D$12)*('Brace for Meta-algorithm'!$H$7&lt;0),O76)</f>
        <v>0</v>
      </c>
      <c r="P77" s="74">
        <f>IF(2&lt;='Dataset for Meta-algorithm'!$C$12,P76*('Brace for Meta-algorithm'!$D$8='Brace for Meta-algorithm'!$D$12)*('Brace for Meta-algorithm'!$H$8&lt;0),P76)</f>
        <v>0</v>
      </c>
      <c r="Q77" s="74">
        <f>IF(2&lt;='Dataset for Meta-algorithm'!$C$12,Q76*('Brace for Meta-algorithm'!$D$9='Brace for Meta-algorithm'!$D$12)*('Brace for Meta-algorithm'!$H$9&lt;0),Q76)</f>
        <v>0</v>
      </c>
      <c r="R77" s="74">
        <f>IF(2&lt;='Dataset for Meta-algorithm'!$C$12,R76*('Brace for Meta-algorithm'!$D$10='Brace for Meta-algorithm'!$D$12)*('Brace for Meta-algorithm'!$H$10&lt;0),R76)</f>
        <v>0</v>
      </c>
      <c r="S77" s="74">
        <f>IF(2&lt;='Dataset for Meta-algorithm'!$C$12,S76*('Brace for Meta-algorithm'!$D$11='Brace for Meta-algorithm'!$D$12)*('Brace for Meta-algorithm'!$H$11&lt;0),S76)</f>
        <v>1</v>
      </c>
      <c r="T77" s="74">
        <f>IF(2&lt;='Dataset for Meta-algorithm'!$C$12,T76*('Brace for Meta-algorithm'!$D$12='Brace for Meta-algorithm'!$D$12)*('Brace for Meta-algorithm'!$H$12&lt;0),T76)</f>
        <v>1</v>
      </c>
      <c r="U77" s="74">
        <f>IF(2&lt;='Dataset for Meta-algorithm'!$C$12,U76*('Brace for Meta-algorithm'!$D$13='Brace for Meta-algorithm'!$D$12)*('Brace for Meta-algorithm'!$H$13&lt;0),U76)</f>
        <v>1</v>
      </c>
      <c r="V77" s="74">
        <f>IF(2&lt;='Dataset for Meta-algorithm'!$C$12,V76*('Brace for Meta-algorithm'!$D$14='Brace for Meta-algorithm'!$D$12)*('Brace for Meta-algorithm'!$H$14&lt;0),V76)</f>
        <v>1</v>
      </c>
      <c r="W77" s="83">
        <f>SUM(M77:V77)</f>
        <v>4</v>
      </c>
    </row>
    <row r="78">
      <c r="A78" s="64">
        <v>3</v>
      </c>
      <c r="B78" s="74">
        <f>IF(3&lt;='Dataset for Meta-algorithm'!$C$12,B77*('Brace for Meta-algorithm'!$E$5='Brace for Meta-algorithm'!$E$12)*('Brace for Meta-algorithm'!$I$5&gt;0),B77)</f>
        <v>0</v>
      </c>
      <c r="C78" s="74">
        <f>IF(3&lt;='Dataset for Meta-algorithm'!$C$12,C77*('Brace for Meta-algorithm'!$E$6='Brace for Meta-algorithm'!$E$12)*('Brace for Meta-algorithm'!$I$6&gt;0),C77)</f>
        <v>1</v>
      </c>
      <c r="D78" s="74">
        <f>IF(3&lt;='Dataset for Meta-algorithm'!$C$12,D77*('Brace for Meta-algorithm'!$E$7='Brace for Meta-algorithm'!$E$12)*('Brace for Meta-algorithm'!$I$7&gt;0),D77)</f>
        <v>0</v>
      </c>
      <c r="E78" s="74">
        <f>IF(3&lt;='Dataset for Meta-algorithm'!$C$12,E77*('Brace for Meta-algorithm'!$E$8='Brace for Meta-algorithm'!$E$12)*('Brace for Meta-algorithm'!$I$8&gt;0),E77)</f>
        <v>0</v>
      </c>
      <c r="F78" s="74">
        <f>IF(3&lt;='Dataset for Meta-algorithm'!$C$12,F77*('Brace for Meta-algorithm'!$E$9='Brace for Meta-algorithm'!$E$12)*('Brace for Meta-algorithm'!$I$9&gt;0),F77)</f>
        <v>0</v>
      </c>
      <c r="G78" s="74">
        <f>IF(3&lt;='Dataset for Meta-algorithm'!$C$12,G77*('Brace for Meta-algorithm'!$E$10='Brace for Meta-algorithm'!$E$12)*('Brace for Meta-algorithm'!$I$10&gt;0),G77)</f>
        <v>1</v>
      </c>
      <c r="H78" s="74">
        <f>IF(3&lt;='Dataset for Meta-algorithm'!$C$12,H77*('Brace for Meta-algorithm'!$E$11='Brace for Meta-algorithm'!$E$12)*('Brace for Meta-algorithm'!$I$11&gt;0),H77)</f>
        <v>0</v>
      </c>
      <c r="I78" s="74">
        <f>IF(3&lt;='Dataset for Meta-algorithm'!$C$12,I77*('Brace for Meta-algorithm'!$E$12='Brace for Meta-algorithm'!$E$12)*('Brace for Meta-algorithm'!$I$12&gt;0),I77)</f>
        <v>0</v>
      </c>
      <c r="J78" s="74">
        <f>IF(3&lt;='Dataset for Meta-algorithm'!$C$12,J77*('Brace for Meta-algorithm'!$E$13='Brace for Meta-algorithm'!$E$12)*('Brace for Meta-algorithm'!$I$13&gt;0),J77)</f>
        <v>0</v>
      </c>
      <c r="K78" s="74">
        <f>IF(3&lt;='Dataset for Meta-algorithm'!$C$12,K77*('Brace for Meta-algorithm'!$E$14='Brace for Meta-algorithm'!$E$12)*('Brace for Meta-algorithm'!$I$14&gt;0),K77)</f>
        <v>0</v>
      </c>
      <c r="L78" s="83">
        <f>SUM(B78:K78)</f>
        <v>2</v>
      </c>
      <c r="M78" s="74">
        <f>IF(3&lt;='Dataset for Meta-algorithm'!$C$12,M77*('Brace for Meta-algorithm'!$E$5='Brace for Meta-algorithm'!$E$12)*('Brace for Meta-algorithm'!$I$5&lt;0),M77)</f>
        <v>0</v>
      </c>
      <c r="N78" s="74">
        <f>IF(3&lt;='Dataset for Meta-algorithm'!$C$12,N77*('Brace for Meta-algorithm'!$E$6='Brace for Meta-algorithm'!$E$12)*('Brace for Meta-algorithm'!$I$6&lt;0),N77)</f>
        <v>0</v>
      </c>
      <c r="O78" s="74">
        <f>IF(3&lt;='Dataset for Meta-algorithm'!$C$12,O77*('Brace for Meta-algorithm'!$E$7='Brace for Meta-algorithm'!$E$12)*('Brace for Meta-algorithm'!$I$7&lt;0),O77)</f>
        <v>0</v>
      </c>
      <c r="P78" s="74">
        <f>IF(3&lt;='Dataset for Meta-algorithm'!$C$12,P77*('Brace for Meta-algorithm'!$E$8='Brace for Meta-algorithm'!$E$12)*('Brace for Meta-algorithm'!$I$8&lt;0),P77)</f>
        <v>0</v>
      </c>
      <c r="Q78" s="74">
        <f>IF(3&lt;='Dataset for Meta-algorithm'!$C$12,Q77*('Brace for Meta-algorithm'!$E$9='Brace for Meta-algorithm'!$E$12)*('Brace for Meta-algorithm'!$I$9&lt;0),Q77)</f>
        <v>0</v>
      </c>
      <c r="R78" s="74">
        <f>IF(3&lt;='Dataset for Meta-algorithm'!$C$12,R77*('Brace for Meta-algorithm'!$E$10='Brace for Meta-algorithm'!$E$12)*('Brace for Meta-algorithm'!$I$10&lt;0),R77)</f>
        <v>0</v>
      </c>
      <c r="S78" s="74">
        <f>IF(3&lt;='Dataset for Meta-algorithm'!$C$12,S77*('Brace for Meta-algorithm'!$E$11='Brace for Meta-algorithm'!$E$12)*('Brace for Meta-algorithm'!$I$11&lt;0),S77)</f>
        <v>1</v>
      </c>
      <c r="T78" s="74">
        <f>IF(3&lt;='Dataset for Meta-algorithm'!$C$12,T77*('Brace for Meta-algorithm'!$E$12='Brace for Meta-algorithm'!$E$12)*('Brace for Meta-algorithm'!$I$12&lt;0),T77)</f>
        <v>1</v>
      </c>
      <c r="U78" s="74">
        <f>IF(3&lt;='Dataset for Meta-algorithm'!$C$12,U77*('Brace for Meta-algorithm'!$E$13='Brace for Meta-algorithm'!$E$12)*('Brace for Meta-algorithm'!$I$13&lt;0),U77)</f>
        <v>1</v>
      </c>
      <c r="V78" s="74">
        <f>IF(3&lt;='Dataset for Meta-algorithm'!$C$12,V77*('Brace for Meta-algorithm'!$E$14='Brace for Meta-algorithm'!$E$12)*('Brace for Meta-algorithm'!$I$14&lt;0),V77)</f>
        <v>1</v>
      </c>
      <c r="W78" s="83">
        <f>SUM(M78:V78)</f>
        <v>4</v>
      </c>
    </row>
    <row r="79">
      <c r="A79" s="64">
        <v>4</v>
      </c>
      <c r="B79" s="74">
        <f>IF(4&lt;='Dataset for Meta-algorithm'!$C$12,B78*('Brace for Meta-algorithm'!$F$5='Brace for Meta-algorithm'!$F$12)*('Brace for Meta-algorithm'!$J$5&gt;0),B78)</f>
        <v>0</v>
      </c>
      <c r="C79" s="74">
        <f>IF(4&lt;='Dataset for Meta-algorithm'!$C$12,C78*('Brace for Meta-algorithm'!$F$6='Brace for Meta-algorithm'!$F$12)*('Brace for Meta-algorithm'!$J$6&gt;0),C78)</f>
        <v>1</v>
      </c>
      <c r="D79" s="74">
        <f>IF(4&lt;='Dataset for Meta-algorithm'!$C$12,D78*('Brace for Meta-algorithm'!$F$7='Brace for Meta-algorithm'!$F$12)*('Brace for Meta-algorithm'!$J$7&gt;0),D78)</f>
        <v>0</v>
      </c>
      <c r="E79" s="74">
        <f>IF(4&lt;='Dataset for Meta-algorithm'!$C$12,E78*('Brace for Meta-algorithm'!$F$8='Brace for Meta-algorithm'!$F$12)*('Brace for Meta-algorithm'!$J$8&gt;0),E78)</f>
        <v>0</v>
      </c>
      <c r="F79" s="74">
        <f>IF(4&lt;='Dataset for Meta-algorithm'!$C$12,F78*('Brace for Meta-algorithm'!$F$9='Brace for Meta-algorithm'!$F$12)*('Brace for Meta-algorithm'!$J$9&gt;0),F78)</f>
        <v>0</v>
      </c>
      <c r="G79" s="74">
        <f>IF(4&lt;='Dataset for Meta-algorithm'!$C$12,G78*('Brace for Meta-algorithm'!$F$10='Brace for Meta-algorithm'!$F$12)*('Brace for Meta-algorithm'!$J$10&gt;0),G78)</f>
        <v>1</v>
      </c>
      <c r="H79" s="74">
        <f>IF(4&lt;='Dataset for Meta-algorithm'!$C$12,H78*('Brace for Meta-algorithm'!$F$11='Brace for Meta-algorithm'!$F$12)*('Brace for Meta-algorithm'!$J$11&gt;0),H78)</f>
        <v>0</v>
      </c>
      <c r="I79" s="74">
        <f>IF(4&lt;='Dataset for Meta-algorithm'!$C$12,I78*('Brace for Meta-algorithm'!$F$12='Brace for Meta-algorithm'!$F$12)*('Brace for Meta-algorithm'!$J$12&gt;0),I78)</f>
        <v>0</v>
      </c>
      <c r="J79" s="74">
        <f>IF(4&lt;='Dataset for Meta-algorithm'!$C$12,J78*('Brace for Meta-algorithm'!$F$13='Brace for Meta-algorithm'!$F$12)*('Brace for Meta-algorithm'!$J$13&gt;0),J78)</f>
        <v>0</v>
      </c>
      <c r="K79" s="74">
        <f>IF(4&lt;='Dataset for Meta-algorithm'!$C$12,K78*('Brace for Meta-algorithm'!$F$14='Brace for Meta-algorithm'!$F$12)*('Brace for Meta-algorithm'!$J$14&gt;0),K78)</f>
        <v>0</v>
      </c>
      <c r="L79" s="83">
        <f>SUM(B79:K79)</f>
        <v>2</v>
      </c>
      <c r="M79" s="74">
        <f>IF(4&lt;='Dataset for Meta-algorithm'!$C$12,M78*('Brace for Meta-algorithm'!$F$5='Brace for Meta-algorithm'!$F$12)*('Brace for Meta-algorithm'!$J$5&lt;0),M78)</f>
        <v>0</v>
      </c>
      <c r="N79" s="74">
        <f>IF(4&lt;='Dataset for Meta-algorithm'!$C$12,N78*('Brace for Meta-algorithm'!$F$6='Brace for Meta-algorithm'!$F$12)*('Brace for Meta-algorithm'!$J$6&lt;0),N78)</f>
        <v>0</v>
      </c>
      <c r="O79" s="74">
        <f>IF(4&lt;='Dataset for Meta-algorithm'!$C$12,O78*('Brace for Meta-algorithm'!$F$7='Brace for Meta-algorithm'!$F$12)*('Brace for Meta-algorithm'!$J$7&lt;0),O78)</f>
        <v>0</v>
      </c>
      <c r="P79" s="74">
        <f>IF(4&lt;='Dataset for Meta-algorithm'!$C$12,P78*('Brace for Meta-algorithm'!$F$8='Brace for Meta-algorithm'!$F$12)*('Brace for Meta-algorithm'!$J$8&lt;0),P78)</f>
        <v>0</v>
      </c>
      <c r="Q79" s="74">
        <f>IF(4&lt;='Dataset for Meta-algorithm'!$C$12,Q78*('Brace for Meta-algorithm'!$F$9='Brace for Meta-algorithm'!$F$12)*('Brace for Meta-algorithm'!$J$9&lt;0),Q78)</f>
        <v>0</v>
      </c>
      <c r="R79" s="74">
        <f>IF(4&lt;='Dataset for Meta-algorithm'!$C$12,R78*('Brace for Meta-algorithm'!$F$10='Brace for Meta-algorithm'!$F$12)*('Brace for Meta-algorithm'!$J$10&lt;0),R78)</f>
        <v>0</v>
      </c>
      <c r="S79" s="74">
        <f>IF(4&lt;='Dataset for Meta-algorithm'!$C$12,S78*('Brace for Meta-algorithm'!$F$11='Brace for Meta-algorithm'!$F$12)*('Brace for Meta-algorithm'!$J$11&lt;0),S78)</f>
        <v>1</v>
      </c>
      <c r="T79" s="74">
        <f>IF(4&lt;='Dataset for Meta-algorithm'!$C$12,T78*('Brace for Meta-algorithm'!$F$12='Brace for Meta-algorithm'!$F$12)*('Brace for Meta-algorithm'!$J$12&lt;0),T78)</f>
        <v>1</v>
      </c>
      <c r="U79" s="74">
        <f>IF(4&lt;='Dataset for Meta-algorithm'!$C$12,U78*('Brace for Meta-algorithm'!$F$13='Brace for Meta-algorithm'!$F$12)*('Brace for Meta-algorithm'!$J$13&lt;0),U78)</f>
        <v>1</v>
      </c>
      <c r="V79" s="74">
        <f>IF(4&lt;='Dataset for Meta-algorithm'!$C$12,V78*('Brace for Meta-algorithm'!$F$14='Brace for Meta-algorithm'!$F$12)*('Brace for Meta-algorithm'!$J$14&lt;0),V78)</f>
        <v>1</v>
      </c>
      <c r="W79" s="83">
        <f>SUM(M79:V79)</f>
        <v>4</v>
      </c>
    </row>
    <row r="80"/>
    <row r="81">
      <c r="A81" s="59" t="inlineStr">
        <is>
          <t xml:space="preserve">Query S₉  —  its own description (aₜ₀, …, aₜₚ) against the training dataset (B1 flags left, B2 flags right)</t>
        </is>
      </c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</row>
    <row r="82">
      <c r="A82" s="60" t="inlineStr">
        <is>
          <t xml:space="preserve">Step j</t>
        </is>
      </c>
      <c r="B82" s="60" t="inlineStr">
        <is>
          <t xml:space="preserve">S₁</t>
        </is>
      </c>
      <c r="C82" s="60" t="inlineStr">
        <is>
          <t xml:space="preserve">S₂</t>
        </is>
      </c>
      <c r="D82" s="60" t="inlineStr">
        <is>
          <t xml:space="preserve">S₃</t>
        </is>
      </c>
      <c r="E82" s="60" t="inlineStr">
        <is>
          <t xml:space="preserve">S₄</t>
        </is>
      </c>
      <c r="F82" s="60" t="inlineStr">
        <is>
          <t xml:space="preserve">S₅</t>
        </is>
      </c>
      <c r="G82" s="60" t="inlineStr">
        <is>
          <t xml:space="preserve">S₆</t>
        </is>
      </c>
      <c r="H82" s="60" t="inlineStr">
        <is>
          <t xml:space="preserve">S₇</t>
        </is>
      </c>
      <c r="I82" s="60" t="inlineStr">
        <is>
          <t xml:space="preserve">S₈</t>
        </is>
      </c>
      <c r="J82" s="60" t="inlineStr">
        <is>
          <t xml:space="preserve">S₉</t>
        </is>
      </c>
      <c r="K82" s="60" t="inlineStr">
        <is>
          <t xml:space="preserve">S₁₀</t>
        </is>
      </c>
      <c r="L82" s="60" t="inlineStr">
        <is>
          <t xml:space="preserve">|B1|</t>
        </is>
      </c>
      <c r="M82" s="60" t="inlineStr">
        <is>
          <t xml:space="preserve">S₁</t>
        </is>
      </c>
      <c r="N82" s="60" t="inlineStr">
        <is>
          <t xml:space="preserve">S₂</t>
        </is>
      </c>
      <c r="O82" s="60" t="inlineStr">
        <is>
          <t xml:space="preserve">S₃</t>
        </is>
      </c>
      <c r="P82" s="60" t="inlineStr">
        <is>
          <t xml:space="preserve">S₄</t>
        </is>
      </c>
      <c r="Q82" s="60" t="inlineStr">
        <is>
          <t xml:space="preserve">S₅</t>
        </is>
      </c>
      <c r="R82" s="60" t="inlineStr">
        <is>
          <t xml:space="preserve">S₆</t>
        </is>
      </c>
      <c r="S82" s="60" t="inlineStr">
        <is>
          <t xml:space="preserve">S₇</t>
        </is>
      </c>
      <c r="T82" s="60" t="inlineStr">
        <is>
          <t xml:space="preserve">S₈</t>
        </is>
      </c>
      <c r="U82" s="60" t="inlineStr">
        <is>
          <t xml:space="preserve">S₉</t>
        </is>
      </c>
      <c r="V82" s="60" t="inlineStr">
        <is>
          <t xml:space="preserve">S₁₀</t>
        </is>
      </c>
      <c r="W82" s="60" t="inlineStr">
        <is>
          <t xml:space="preserve">|B2|</t>
        </is>
      </c>
    </row>
    <row r="83">
      <c r="A83" s="64">
        <v>0</v>
      </c>
      <c r="B83" s="74">
        <f>IF(AND(Dataset!$O$3=1,'Brace for Meta-algorithm'!$B$5='Brace for Meta-algorithm'!$B$13),1,0)</f>
        <v>0</v>
      </c>
      <c r="C83" s="74">
        <f>IF(AND(Dataset!$O$4=1,'Brace for Meta-algorithm'!$B$6='Brace for Meta-algorithm'!$B$13),1,0)</f>
        <v>1</v>
      </c>
      <c r="D83" s="74">
        <f>IF(AND(Dataset!$O$5=1,'Brace for Meta-algorithm'!$B$7='Brace for Meta-algorithm'!$B$13),1,0)</f>
        <v>0</v>
      </c>
      <c r="E83" s="74">
        <f>IF(AND(Dataset!$O$6=1,'Brace for Meta-algorithm'!$B$8='Brace for Meta-algorithm'!$B$13),1,0)</f>
        <v>1</v>
      </c>
      <c r="F83" s="74">
        <f>IF(AND(Dataset!$O$7=1,'Brace for Meta-algorithm'!$B$9='Brace for Meta-algorithm'!$B$13),1,0)</f>
        <v>1</v>
      </c>
      <c r="G83" s="74">
        <f>IF(AND(Dataset!$O$8=1,'Brace for Meta-algorithm'!$B$10='Brace for Meta-algorithm'!$B$13),1,0)</f>
        <v>1</v>
      </c>
      <c r="H83" s="74">
        <f>IF(AND(Dataset!$O$9=1,'Brace for Meta-algorithm'!$B$11='Brace for Meta-algorithm'!$B$13),1,0)</f>
        <v>0</v>
      </c>
      <c r="I83" s="74">
        <f>IF(AND(Dataset!$O$10=1,'Brace for Meta-algorithm'!$B$12='Brace for Meta-algorithm'!$B$13),1,0)</f>
        <v>0</v>
      </c>
      <c r="J83" s="74">
        <f>IF(AND(Dataset!$O$11=1,'Brace for Meta-algorithm'!$B$13='Brace for Meta-algorithm'!$B$13),1,0)</f>
        <v>0</v>
      </c>
      <c r="K83" s="74">
        <f>IF(AND(Dataset!$O$12=1,'Brace for Meta-algorithm'!$B$14='Brace for Meta-algorithm'!$B$13),1,0)</f>
        <v>0</v>
      </c>
      <c r="L83" s="83">
        <f>SUM(B83:K83)</f>
        <v>4</v>
      </c>
      <c r="M83" s="74">
        <f>IF(AND(Dataset!$O$3=2,'Brace for Meta-algorithm'!$B$5='Brace for Meta-algorithm'!$B$13),1,0)</f>
        <v>1</v>
      </c>
      <c r="N83" s="74">
        <f>IF(AND(Dataset!$O$4=2,'Brace for Meta-algorithm'!$B$6='Brace for Meta-algorithm'!$B$13),1,0)</f>
        <v>0</v>
      </c>
      <c r="O83" s="74">
        <f>IF(AND(Dataset!$O$5=2,'Brace for Meta-algorithm'!$B$7='Brace for Meta-algorithm'!$B$13),1,0)</f>
        <v>0</v>
      </c>
      <c r="P83" s="74">
        <f>IF(AND(Dataset!$O$6=2,'Brace for Meta-algorithm'!$B$8='Brace for Meta-algorithm'!$B$13),1,0)</f>
        <v>0</v>
      </c>
      <c r="Q83" s="74">
        <f>IF(AND(Dataset!$O$7=2,'Brace for Meta-algorithm'!$B$9='Brace for Meta-algorithm'!$B$13),1,0)</f>
        <v>0</v>
      </c>
      <c r="R83" s="74">
        <f>IF(AND(Dataset!$O$8=2,'Brace for Meta-algorithm'!$B$10='Brace for Meta-algorithm'!$B$13),1,0)</f>
        <v>0</v>
      </c>
      <c r="S83" s="74">
        <f>IF(AND(Dataset!$O$9=2,'Brace for Meta-algorithm'!$B$11='Brace for Meta-algorithm'!$B$13),1,0)</f>
        <v>1</v>
      </c>
      <c r="T83" s="74">
        <f>IF(AND(Dataset!$O$10=2,'Brace for Meta-algorithm'!$B$12='Brace for Meta-algorithm'!$B$13),1,0)</f>
        <v>1</v>
      </c>
      <c r="U83" s="74">
        <f>IF(AND(Dataset!$O$11=2,'Brace for Meta-algorithm'!$B$13='Brace for Meta-algorithm'!$B$13),1,0)</f>
        <v>1</v>
      </c>
      <c r="V83" s="74">
        <f>IF(AND(Dataset!$O$12=2,'Brace for Meta-algorithm'!$B$14='Brace for Meta-algorithm'!$B$13),1,0)</f>
        <v>1</v>
      </c>
      <c r="W83" s="83">
        <f>SUM(M83:V83)</f>
        <v>5</v>
      </c>
    </row>
    <row r="84">
      <c r="A84" s="64">
        <v>1</v>
      </c>
      <c r="B84" s="74">
        <f>IF(1&lt;='Dataset for Meta-algorithm'!$C$12,B83*('Brace for Meta-algorithm'!$C$5='Brace for Meta-algorithm'!$C$13)*('Brace for Meta-algorithm'!$G$5&gt;0),B83)</f>
        <v>0</v>
      </c>
      <c r="C84" s="74">
        <f>IF(1&lt;='Dataset for Meta-algorithm'!$C$12,C83*('Brace for Meta-algorithm'!$C$6='Brace for Meta-algorithm'!$C$13)*('Brace for Meta-algorithm'!$G$6&gt;0),C83)</f>
        <v>1</v>
      </c>
      <c r="D84" s="74">
        <f>IF(1&lt;='Dataset for Meta-algorithm'!$C$12,D83*('Brace for Meta-algorithm'!$C$7='Brace for Meta-algorithm'!$C$13)*('Brace for Meta-algorithm'!$G$7&gt;0),D83)</f>
        <v>0</v>
      </c>
      <c r="E84" s="74">
        <f>IF(1&lt;='Dataset for Meta-algorithm'!$C$12,E83*('Brace for Meta-algorithm'!$C$8='Brace for Meta-algorithm'!$C$13)*('Brace for Meta-algorithm'!$G$8&gt;0),E83)</f>
        <v>0</v>
      </c>
      <c r="F84" s="74">
        <f>IF(1&lt;='Dataset for Meta-algorithm'!$C$12,F83*('Brace for Meta-algorithm'!$C$9='Brace for Meta-algorithm'!$C$13)*('Brace for Meta-algorithm'!$G$9&gt;0),F83)</f>
        <v>0</v>
      </c>
      <c r="G84" s="74">
        <f>IF(1&lt;='Dataset for Meta-algorithm'!$C$12,G83*('Brace for Meta-algorithm'!$C$10='Brace for Meta-algorithm'!$C$13)*('Brace for Meta-algorithm'!$G$10&gt;0),G83)</f>
        <v>1</v>
      </c>
      <c r="H84" s="74">
        <f>IF(1&lt;='Dataset for Meta-algorithm'!$C$12,H83*('Brace for Meta-algorithm'!$C$11='Brace for Meta-algorithm'!$C$13)*('Brace for Meta-algorithm'!$G$11&gt;0),H83)</f>
        <v>0</v>
      </c>
      <c r="I84" s="74">
        <f>IF(1&lt;='Dataset for Meta-algorithm'!$C$12,I83*('Brace for Meta-algorithm'!$C$12='Brace for Meta-algorithm'!$C$13)*('Brace for Meta-algorithm'!$G$12&gt;0),I83)</f>
        <v>0</v>
      </c>
      <c r="J84" s="74">
        <f>IF(1&lt;='Dataset for Meta-algorithm'!$C$12,J83*('Brace for Meta-algorithm'!$C$13='Brace for Meta-algorithm'!$C$13)*('Brace for Meta-algorithm'!$G$13&gt;0),J83)</f>
        <v>0</v>
      </c>
      <c r="K84" s="74">
        <f>IF(1&lt;='Dataset for Meta-algorithm'!$C$12,K83*('Brace for Meta-algorithm'!$C$14='Brace for Meta-algorithm'!$C$13)*('Brace for Meta-algorithm'!$G$14&gt;0),K83)</f>
        <v>0</v>
      </c>
      <c r="L84" s="83">
        <f>SUM(B84:K84)</f>
        <v>2</v>
      </c>
      <c r="M84" s="74">
        <f>IF(1&lt;='Dataset for Meta-algorithm'!$C$12,M83*('Brace for Meta-algorithm'!$C$5='Brace for Meta-algorithm'!$C$13)*('Brace for Meta-algorithm'!$G$5&lt;0),M83)</f>
        <v>0</v>
      </c>
      <c r="N84" s="74">
        <f>IF(1&lt;='Dataset for Meta-algorithm'!$C$12,N83*('Brace for Meta-algorithm'!$C$6='Brace for Meta-algorithm'!$C$13)*('Brace for Meta-algorithm'!$G$6&lt;0),N83)</f>
        <v>0</v>
      </c>
      <c r="O84" s="74">
        <f>IF(1&lt;='Dataset for Meta-algorithm'!$C$12,O83*('Brace for Meta-algorithm'!$C$7='Brace for Meta-algorithm'!$C$13)*('Brace for Meta-algorithm'!$G$7&lt;0),O83)</f>
        <v>0</v>
      </c>
      <c r="P84" s="74">
        <f>IF(1&lt;='Dataset for Meta-algorithm'!$C$12,P83*('Brace for Meta-algorithm'!$C$8='Brace for Meta-algorithm'!$C$13)*('Brace for Meta-algorithm'!$G$8&lt;0),P83)</f>
        <v>0</v>
      </c>
      <c r="Q84" s="74">
        <f>IF(1&lt;='Dataset for Meta-algorithm'!$C$12,Q83*('Brace for Meta-algorithm'!$C$9='Brace for Meta-algorithm'!$C$13)*('Brace for Meta-algorithm'!$G$9&lt;0),Q83)</f>
        <v>0</v>
      </c>
      <c r="R84" s="74">
        <f>IF(1&lt;='Dataset for Meta-algorithm'!$C$12,R83*('Brace for Meta-algorithm'!$C$10='Brace for Meta-algorithm'!$C$13)*('Brace for Meta-algorithm'!$G$10&lt;0),R83)</f>
        <v>0</v>
      </c>
      <c r="S84" s="74">
        <f>IF(1&lt;='Dataset for Meta-algorithm'!$C$12,S83*('Brace for Meta-algorithm'!$C$11='Brace for Meta-algorithm'!$C$13)*('Brace for Meta-algorithm'!$G$11&lt;0),S83)</f>
        <v>1</v>
      </c>
      <c r="T84" s="74">
        <f>IF(1&lt;='Dataset for Meta-algorithm'!$C$12,T83*('Brace for Meta-algorithm'!$C$12='Brace for Meta-algorithm'!$C$13)*('Brace for Meta-algorithm'!$G$12&lt;0),T83)</f>
        <v>1</v>
      </c>
      <c r="U84" s="74">
        <f>IF(1&lt;='Dataset for Meta-algorithm'!$C$12,U83*('Brace for Meta-algorithm'!$C$13='Brace for Meta-algorithm'!$C$13)*('Brace for Meta-algorithm'!$G$13&lt;0),U83)</f>
        <v>1</v>
      </c>
      <c r="V84" s="74">
        <f>IF(1&lt;='Dataset for Meta-algorithm'!$C$12,V83*('Brace for Meta-algorithm'!$C$14='Brace for Meta-algorithm'!$C$13)*('Brace for Meta-algorithm'!$G$14&lt;0),V83)</f>
        <v>1</v>
      </c>
      <c r="W84" s="83">
        <f>SUM(M84:V84)</f>
        <v>4</v>
      </c>
    </row>
    <row r="85">
      <c r="A85" s="64">
        <v>2</v>
      </c>
      <c r="B85" s="74">
        <f>IF(2&lt;='Dataset for Meta-algorithm'!$C$12,B84*('Brace for Meta-algorithm'!$D$5='Brace for Meta-algorithm'!$D$13)*('Brace for Meta-algorithm'!$H$5&gt;0),B84)</f>
        <v>0</v>
      </c>
      <c r="C85" s="74">
        <f>IF(2&lt;='Dataset for Meta-algorithm'!$C$12,C84*('Brace for Meta-algorithm'!$D$6='Brace for Meta-algorithm'!$D$13)*('Brace for Meta-algorithm'!$H$6&gt;0),C84)</f>
        <v>1</v>
      </c>
      <c r="D85" s="74">
        <f>IF(2&lt;='Dataset for Meta-algorithm'!$C$12,D84*('Brace for Meta-algorithm'!$D$7='Brace for Meta-algorithm'!$D$13)*('Brace for Meta-algorithm'!$H$7&gt;0),D84)</f>
        <v>0</v>
      </c>
      <c r="E85" s="74">
        <f>IF(2&lt;='Dataset for Meta-algorithm'!$C$12,E84*('Brace for Meta-algorithm'!$D$8='Brace for Meta-algorithm'!$D$13)*('Brace for Meta-algorithm'!$H$8&gt;0),E84)</f>
        <v>0</v>
      </c>
      <c r="F85" s="74">
        <f>IF(2&lt;='Dataset for Meta-algorithm'!$C$12,F84*('Brace for Meta-algorithm'!$D$9='Brace for Meta-algorithm'!$D$13)*('Brace for Meta-algorithm'!$H$9&gt;0),F84)</f>
        <v>0</v>
      </c>
      <c r="G85" s="74">
        <f>IF(2&lt;='Dataset for Meta-algorithm'!$C$12,G84*('Brace for Meta-algorithm'!$D$10='Brace for Meta-algorithm'!$D$13)*('Brace for Meta-algorithm'!$H$10&gt;0),G84)</f>
        <v>1</v>
      </c>
      <c r="H85" s="74">
        <f>IF(2&lt;='Dataset for Meta-algorithm'!$C$12,H84*('Brace for Meta-algorithm'!$D$11='Brace for Meta-algorithm'!$D$13)*('Brace for Meta-algorithm'!$H$11&gt;0),H84)</f>
        <v>0</v>
      </c>
      <c r="I85" s="74">
        <f>IF(2&lt;='Dataset for Meta-algorithm'!$C$12,I84*('Brace for Meta-algorithm'!$D$12='Brace for Meta-algorithm'!$D$13)*('Brace for Meta-algorithm'!$H$12&gt;0),I84)</f>
        <v>0</v>
      </c>
      <c r="J85" s="74">
        <f>IF(2&lt;='Dataset for Meta-algorithm'!$C$12,J84*('Brace for Meta-algorithm'!$D$13='Brace for Meta-algorithm'!$D$13)*('Brace for Meta-algorithm'!$H$13&gt;0),J84)</f>
        <v>0</v>
      </c>
      <c r="K85" s="74">
        <f>IF(2&lt;='Dataset for Meta-algorithm'!$C$12,K84*('Brace for Meta-algorithm'!$D$14='Brace for Meta-algorithm'!$D$13)*('Brace for Meta-algorithm'!$H$14&gt;0),K84)</f>
        <v>0</v>
      </c>
      <c r="L85" s="83">
        <f>SUM(B85:K85)</f>
        <v>2</v>
      </c>
      <c r="M85" s="74">
        <f>IF(2&lt;='Dataset for Meta-algorithm'!$C$12,M84*('Brace for Meta-algorithm'!$D$5='Brace for Meta-algorithm'!$D$13)*('Brace for Meta-algorithm'!$H$5&lt;0),M84)</f>
        <v>0</v>
      </c>
      <c r="N85" s="74">
        <f>IF(2&lt;='Dataset for Meta-algorithm'!$C$12,N84*('Brace for Meta-algorithm'!$D$6='Brace for Meta-algorithm'!$D$13)*('Brace for Meta-algorithm'!$H$6&lt;0),N84)</f>
        <v>0</v>
      </c>
      <c r="O85" s="74">
        <f>IF(2&lt;='Dataset for Meta-algorithm'!$C$12,O84*('Brace for Meta-algorithm'!$D$7='Brace for Meta-algorithm'!$D$13)*('Brace for Meta-algorithm'!$H$7&lt;0),O84)</f>
        <v>0</v>
      </c>
      <c r="P85" s="74">
        <f>IF(2&lt;='Dataset for Meta-algorithm'!$C$12,P84*('Brace for Meta-algorithm'!$D$8='Brace for Meta-algorithm'!$D$13)*('Brace for Meta-algorithm'!$H$8&lt;0),P84)</f>
        <v>0</v>
      </c>
      <c r="Q85" s="74">
        <f>IF(2&lt;='Dataset for Meta-algorithm'!$C$12,Q84*('Brace for Meta-algorithm'!$D$9='Brace for Meta-algorithm'!$D$13)*('Brace for Meta-algorithm'!$H$9&lt;0),Q84)</f>
        <v>0</v>
      </c>
      <c r="R85" s="74">
        <f>IF(2&lt;='Dataset for Meta-algorithm'!$C$12,R84*('Brace for Meta-algorithm'!$D$10='Brace for Meta-algorithm'!$D$13)*('Brace for Meta-algorithm'!$H$10&lt;0),R84)</f>
        <v>0</v>
      </c>
      <c r="S85" s="74">
        <f>IF(2&lt;='Dataset for Meta-algorithm'!$C$12,S84*('Brace for Meta-algorithm'!$D$11='Brace for Meta-algorithm'!$D$13)*('Brace for Meta-algorithm'!$H$11&lt;0),S84)</f>
        <v>1</v>
      </c>
      <c r="T85" s="74">
        <f>IF(2&lt;='Dataset for Meta-algorithm'!$C$12,T84*('Brace for Meta-algorithm'!$D$12='Brace for Meta-algorithm'!$D$13)*('Brace for Meta-algorithm'!$H$12&lt;0),T84)</f>
        <v>1</v>
      </c>
      <c r="U85" s="74">
        <f>IF(2&lt;='Dataset for Meta-algorithm'!$C$12,U84*('Brace for Meta-algorithm'!$D$13='Brace for Meta-algorithm'!$D$13)*('Brace for Meta-algorithm'!$H$13&lt;0),U84)</f>
        <v>1</v>
      </c>
      <c r="V85" s="74">
        <f>IF(2&lt;='Dataset for Meta-algorithm'!$C$12,V84*('Brace for Meta-algorithm'!$D$14='Brace for Meta-algorithm'!$D$13)*('Brace for Meta-algorithm'!$H$14&lt;0),V84)</f>
        <v>1</v>
      </c>
      <c r="W85" s="83">
        <f>SUM(M85:V85)</f>
        <v>4</v>
      </c>
    </row>
    <row r="86">
      <c r="A86" s="64">
        <v>3</v>
      </c>
      <c r="B86" s="74">
        <f>IF(3&lt;='Dataset for Meta-algorithm'!$C$12,B85*('Brace for Meta-algorithm'!$E$5='Brace for Meta-algorithm'!$E$13)*('Brace for Meta-algorithm'!$I$5&gt;0),B85)</f>
        <v>0</v>
      </c>
      <c r="C86" s="74">
        <f>IF(3&lt;='Dataset for Meta-algorithm'!$C$12,C85*('Brace for Meta-algorithm'!$E$6='Brace for Meta-algorithm'!$E$13)*('Brace for Meta-algorithm'!$I$6&gt;0),C85)</f>
        <v>1</v>
      </c>
      <c r="D86" s="74">
        <f>IF(3&lt;='Dataset for Meta-algorithm'!$C$12,D85*('Brace for Meta-algorithm'!$E$7='Brace for Meta-algorithm'!$E$13)*('Brace for Meta-algorithm'!$I$7&gt;0),D85)</f>
        <v>0</v>
      </c>
      <c r="E86" s="74">
        <f>IF(3&lt;='Dataset for Meta-algorithm'!$C$12,E85*('Brace for Meta-algorithm'!$E$8='Brace for Meta-algorithm'!$E$13)*('Brace for Meta-algorithm'!$I$8&gt;0),E85)</f>
        <v>0</v>
      </c>
      <c r="F86" s="74">
        <f>IF(3&lt;='Dataset for Meta-algorithm'!$C$12,F85*('Brace for Meta-algorithm'!$E$9='Brace for Meta-algorithm'!$E$13)*('Brace for Meta-algorithm'!$I$9&gt;0),F85)</f>
        <v>0</v>
      </c>
      <c r="G86" s="74">
        <f>IF(3&lt;='Dataset for Meta-algorithm'!$C$12,G85*('Brace for Meta-algorithm'!$E$10='Brace for Meta-algorithm'!$E$13)*('Brace for Meta-algorithm'!$I$10&gt;0),G85)</f>
        <v>1</v>
      </c>
      <c r="H86" s="74">
        <f>IF(3&lt;='Dataset for Meta-algorithm'!$C$12,H85*('Brace for Meta-algorithm'!$E$11='Brace for Meta-algorithm'!$E$13)*('Brace for Meta-algorithm'!$I$11&gt;0),H85)</f>
        <v>0</v>
      </c>
      <c r="I86" s="74">
        <f>IF(3&lt;='Dataset for Meta-algorithm'!$C$12,I85*('Brace for Meta-algorithm'!$E$12='Brace for Meta-algorithm'!$E$13)*('Brace for Meta-algorithm'!$I$12&gt;0),I85)</f>
        <v>0</v>
      </c>
      <c r="J86" s="74">
        <f>IF(3&lt;='Dataset for Meta-algorithm'!$C$12,J85*('Brace for Meta-algorithm'!$E$13='Brace for Meta-algorithm'!$E$13)*('Brace for Meta-algorithm'!$I$13&gt;0),J85)</f>
        <v>0</v>
      </c>
      <c r="K86" s="74">
        <f>IF(3&lt;='Dataset for Meta-algorithm'!$C$12,K85*('Brace for Meta-algorithm'!$E$14='Brace for Meta-algorithm'!$E$13)*('Brace for Meta-algorithm'!$I$14&gt;0),K85)</f>
        <v>0</v>
      </c>
      <c r="L86" s="83">
        <f>SUM(B86:K86)</f>
        <v>2</v>
      </c>
      <c r="M86" s="74">
        <f>IF(3&lt;='Dataset for Meta-algorithm'!$C$12,M85*('Brace for Meta-algorithm'!$E$5='Brace for Meta-algorithm'!$E$13)*('Brace for Meta-algorithm'!$I$5&lt;0),M85)</f>
        <v>0</v>
      </c>
      <c r="N86" s="74">
        <f>IF(3&lt;='Dataset for Meta-algorithm'!$C$12,N85*('Brace for Meta-algorithm'!$E$6='Brace for Meta-algorithm'!$E$13)*('Brace for Meta-algorithm'!$I$6&lt;0),N85)</f>
        <v>0</v>
      </c>
      <c r="O86" s="74">
        <f>IF(3&lt;='Dataset for Meta-algorithm'!$C$12,O85*('Brace for Meta-algorithm'!$E$7='Brace for Meta-algorithm'!$E$13)*('Brace for Meta-algorithm'!$I$7&lt;0),O85)</f>
        <v>0</v>
      </c>
      <c r="P86" s="74">
        <f>IF(3&lt;='Dataset for Meta-algorithm'!$C$12,P85*('Brace for Meta-algorithm'!$E$8='Brace for Meta-algorithm'!$E$13)*('Brace for Meta-algorithm'!$I$8&lt;0),P85)</f>
        <v>0</v>
      </c>
      <c r="Q86" s="74">
        <f>IF(3&lt;='Dataset for Meta-algorithm'!$C$12,Q85*('Brace for Meta-algorithm'!$E$9='Brace for Meta-algorithm'!$E$13)*('Brace for Meta-algorithm'!$I$9&lt;0),Q85)</f>
        <v>0</v>
      </c>
      <c r="R86" s="74">
        <f>IF(3&lt;='Dataset for Meta-algorithm'!$C$12,R85*('Brace for Meta-algorithm'!$E$10='Brace for Meta-algorithm'!$E$13)*('Brace for Meta-algorithm'!$I$10&lt;0),R85)</f>
        <v>0</v>
      </c>
      <c r="S86" s="74">
        <f>IF(3&lt;='Dataset for Meta-algorithm'!$C$12,S85*('Brace for Meta-algorithm'!$E$11='Brace for Meta-algorithm'!$E$13)*('Brace for Meta-algorithm'!$I$11&lt;0),S85)</f>
        <v>1</v>
      </c>
      <c r="T86" s="74">
        <f>IF(3&lt;='Dataset for Meta-algorithm'!$C$12,T85*('Brace for Meta-algorithm'!$E$12='Brace for Meta-algorithm'!$E$13)*('Brace for Meta-algorithm'!$I$12&lt;0),T85)</f>
        <v>1</v>
      </c>
      <c r="U86" s="74">
        <f>IF(3&lt;='Dataset for Meta-algorithm'!$C$12,U85*('Brace for Meta-algorithm'!$E$13='Brace for Meta-algorithm'!$E$13)*('Brace for Meta-algorithm'!$I$13&lt;0),U85)</f>
        <v>1</v>
      </c>
      <c r="V86" s="74">
        <f>IF(3&lt;='Dataset for Meta-algorithm'!$C$12,V85*('Brace for Meta-algorithm'!$E$14='Brace for Meta-algorithm'!$E$13)*('Brace for Meta-algorithm'!$I$14&lt;0),V85)</f>
        <v>1</v>
      </c>
      <c r="W86" s="83">
        <f>SUM(M86:V86)</f>
        <v>4</v>
      </c>
    </row>
    <row r="87">
      <c r="A87" s="64">
        <v>4</v>
      </c>
      <c r="B87" s="74">
        <f>IF(4&lt;='Dataset for Meta-algorithm'!$C$12,B86*('Brace for Meta-algorithm'!$F$5='Brace for Meta-algorithm'!$F$13)*('Brace for Meta-algorithm'!$J$5&gt;0),B86)</f>
        <v>0</v>
      </c>
      <c r="C87" s="74">
        <f>IF(4&lt;='Dataset for Meta-algorithm'!$C$12,C86*('Brace for Meta-algorithm'!$F$6='Brace for Meta-algorithm'!$F$13)*('Brace for Meta-algorithm'!$J$6&gt;0),C86)</f>
        <v>1</v>
      </c>
      <c r="D87" s="74">
        <f>IF(4&lt;='Dataset for Meta-algorithm'!$C$12,D86*('Brace for Meta-algorithm'!$F$7='Brace for Meta-algorithm'!$F$13)*('Brace for Meta-algorithm'!$J$7&gt;0),D86)</f>
        <v>0</v>
      </c>
      <c r="E87" s="74">
        <f>IF(4&lt;='Dataset for Meta-algorithm'!$C$12,E86*('Brace for Meta-algorithm'!$F$8='Brace for Meta-algorithm'!$F$13)*('Brace for Meta-algorithm'!$J$8&gt;0),E86)</f>
        <v>0</v>
      </c>
      <c r="F87" s="74">
        <f>IF(4&lt;='Dataset for Meta-algorithm'!$C$12,F86*('Brace for Meta-algorithm'!$F$9='Brace for Meta-algorithm'!$F$13)*('Brace for Meta-algorithm'!$J$9&gt;0),F86)</f>
        <v>0</v>
      </c>
      <c r="G87" s="74">
        <f>IF(4&lt;='Dataset for Meta-algorithm'!$C$12,G86*('Brace for Meta-algorithm'!$F$10='Brace for Meta-algorithm'!$F$13)*('Brace for Meta-algorithm'!$J$10&gt;0),G86)</f>
        <v>1</v>
      </c>
      <c r="H87" s="74">
        <f>IF(4&lt;='Dataset for Meta-algorithm'!$C$12,H86*('Brace for Meta-algorithm'!$F$11='Brace for Meta-algorithm'!$F$13)*('Brace for Meta-algorithm'!$J$11&gt;0),H86)</f>
        <v>0</v>
      </c>
      <c r="I87" s="74">
        <f>IF(4&lt;='Dataset for Meta-algorithm'!$C$12,I86*('Brace for Meta-algorithm'!$F$12='Brace for Meta-algorithm'!$F$13)*('Brace for Meta-algorithm'!$J$12&gt;0),I86)</f>
        <v>0</v>
      </c>
      <c r="J87" s="74">
        <f>IF(4&lt;='Dataset for Meta-algorithm'!$C$12,J86*('Brace for Meta-algorithm'!$F$13='Brace for Meta-algorithm'!$F$13)*('Brace for Meta-algorithm'!$J$13&gt;0),J86)</f>
        <v>0</v>
      </c>
      <c r="K87" s="74">
        <f>IF(4&lt;='Dataset for Meta-algorithm'!$C$12,K86*('Brace for Meta-algorithm'!$F$14='Brace for Meta-algorithm'!$F$13)*('Brace for Meta-algorithm'!$J$14&gt;0),K86)</f>
        <v>0</v>
      </c>
      <c r="L87" s="83">
        <f>SUM(B87:K87)</f>
        <v>2</v>
      </c>
      <c r="M87" s="74">
        <f>IF(4&lt;='Dataset for Meta-algorithm'!$C$12,M86*('Brace for Meta-algorithm'!$F$5='Brace for Meta-algorithm'!$F$13)*('Brace for Meta-algorithm'!$J$5&lt;0),M86)</f>
        <v>0</v>
      </c>
      <c r="N87" s="74">
        <f>IF(4&lt;='Dataset for Meta-algorithm'!$C$12,N86*('Brace for Meta-algorithm'!$F$6='Brace for Meta-algorithm'!$F$13)*('Brace for Meta-algorithm'!$J$6&lt;0),N86)</f>
        <v>0</v>
      </c>
      <c r="O87" s="74">
        <f>IF(4&lt;='Dataset for Meta-algorithm'!$C$12,O86*('Brace for Meta-algorithm'!$F$7='Brace for Meta-algorithm'!$F$13)*('Brace for Meta-algorithm'!$J$7&lt;0),O86)</f>
        <v>0</v>
      </c>
      <c r="P87" s="74">
        <f>IF(4&lt;='Dataset for Meta-algorithm'!$C$12,P86*('Brace for Meta-algorithm'!$F$8='Brace for Meta-algorithm'!$F$13)*('Brace for Meta-algorithm'!$J$8&lt;0),P86)</f>
        <v>0</v>
      </c>
      <c r="Q87" s="74">
        <f>IF(4&lt;='Dataset for Meta-algorithm'!$C$12,Q86*('Brace for Meta-algorithm'!$F$9='Brace for Meta-algorithm'!$F$13)*('Brace for Meta-algorithm'!$J$9&lt;0),Q86)</f>
        <v>0</v>
      </c>
      <c r="R87" s="74">
        <f>IF(4&lt;='Dataset for Meta-algorithm'!$C$12,R86*('Brace for Meta-algorithm'!$F$10='Brace for Meta-algorithm'!$F$13)*('Brace for Meta-algorithm'!$J$10&lt;0),R86)</f>
        <v>0</v>
      </c>
      <c r="S87" s="74">
        <f>IF(4&lt;='Dataset for Meta-algorithm'!$C$12,S86*('Brace for Meta-algorithm'!$F$11='Brace for Meta-algorithm'!$F$13)*('Brace for Meta-algorithm'!$J$11&lt;0),S86)</f>
        <v>1</v>
      </c>
      <c r="T87" s="74">
        <f>IF(4&lt;='Dataset for Meta-algorithm'!$C$12,T86*('Brace for Meta-algorithm'!$F$12='Brace for Meta-algorithm'!$F$13)*('Brace for Meta-algorithm'!$J$12&lt;0),T86)</f>
        <v>1</v>
      </c>
      <c r="U87" s="74">
        <f>IF(4&lt;='Dataset for Meta-algorithm'!$C$12,U86*('Brace for Meta-algorithm'!$F$13='Brace for Meta-algorithm'!$F$13)*('Brace for Meta-algorithm'!$J$13&lt;0),U86)</f>
        <v>1</v>
      </c>
      <c r="V87" s="74">
        <f>IF(4&lt;='Dataset for Meta-algorithm'!$C$12,V86*('Brace for Meta-algorithm'!$F$14='Brace for Meta-algorithm'!$F$13)*('Brace for Meta-algorithm'!$J$14&lt;0),V86)</f>
        <v>1</v>
      </c>
      <c r="W87" s="83">
        <f>SUM(M87:V87)</f>
        <v>4</v>
      </c>
    </row>
    <row r="88"/>
    <row r="89">
      <c r="A89" s="59" t="inlineStr">
        <is>
          <t xml:space="preserve">Query S₁₀  —  its own description (aₜ₀, …, aₜₚ) against the training dataset (B1 flags left, B2 flags right)</t>
        </is>
      </c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</row>
    <row r="90">
      <c r="A90" s="60" t="inlineStr">
        <is>
          <t xml:space="preserve">Step j</t>
        </is>
      </c>
      <c r="B90" s="60" t="inlineStr">
        <is>
          <t xml:space="preserve">S₁</t>
        </is>
      </c>
      <c r="C90" s="60" t="inlineStr">
        <is>
          <t xml:space="preserve">S₂</t>
        </is>
      </c>
      <c r="D90" s="60" t="inlineStr">
        <is>
          <t xml:space="preserve">S₃</t>
        </is>
      </c>
      <c r="E90" s="60" t="inlineStr">
        <is>
          <t xml:space="preserve">S₄</t>
        </is>
      </c>
      <c r="F90" s="60" t="inlineStr">
        <is>
          <t xml:space="preserve">S₅</t>
        </is>
      </c>
      <c r="G90" s="60" t="inlineStr">
        <is>
          <t xml:space="preserve">S₆</t>
        </is>
      </c>
      <c r="H90" s="60" t="inlineStr">
        <is>
          <t xml:space="preserve">S₇</t>
        </is>
      </c>
      <c r="I90" s="60" t="inlineStr">
        <is>
          <t xml:space="preserve">S₈</t>
        </is>
      </c>
      <c r="J90" s="60" t="inlineStr">
        <is>
          <t xml:space="preserve">S₉</t>
        </is>
      </c>
      <c r="K90" s="60" t="inlineStr">
        <is>
          <t xml:space="preserve">S₁₀</t>
        </is>
      </c>
      <c r="L90" s="60" t="inlineStr">
        <is>
          <t xml:space="preserve">|B1|</t>
        </is>
      </c>
      <c r="M90" s="60" t="inlineStr">
        <is>
          <t xml:space="preserve">S₁</t>
        </is>
      </c>
      <c r="N90" s="60" t="inlineStr">
        <is>
          <t xml:space="preserve">S₂</t>
        </is>
      </c>
      <c r="O90" s="60" t="inlineStr">
        <is>
          <t xml:space="preserve">S₃</t>
        </is>
      </c>
      <c r="P90" s="60" t="inlineStr">
        <is>
          <t xml:space="preserve">S₄</t>
        </is>
      </c>
      <c r="Q90" s="60" t="inlineStr">
        <is>
          <t xml:space="preserve">S₅</t>
        </is>
      </c>
      <c r="R90" s="60" t="inlineStr">
        <is>
          <t xml:space="preserve">S₆</t>
        </is>
      </c>
      <c r="S90" s="60" t="inlineStr">
        <is>
          <t xml:space="preserve">S₇</t>
        </is>
      </c>
      <c r="T90" s="60" t="inlineStr">
        <is>
          <t xml:space="preserve">S₈</t>
        </is>
      </c>
      <c r="U90" s="60" t="inlineStr">
        <is>
          <t xml:space="preserve">S₉</t>
        </is>
      </c>
      <c r="V90" s="60" t="inlineStr">
        <is>
          <t xml:space="preserve">S₁₀</t>
        </is>
      </c>
      <c r="W90" s="60" t="inlineStr">
        <is>
          <t xml:space="preserve">|B2|</t>
        </is>
      </c>
    </row>
    <row r="91">
      <c r="A91" s="64">
        <v>0</v>
      </c>
      <c r="B91" s="74">
        <f>IF(AND(Dataset!$O$3=1,'Brace for Meta-algorithm'!$B$5='Brace for Meta-algorithm'!$B$14),1,0)</f>
        <v>0</v>
      </c>
      <c r="C91" s="74">
        <f>IF(AND(Dataset!$O$4=1,'Brace for Meta-algorithm'!$B$6='Brace for Meta-algorithm'!$B$14),1,0)</f>
        <v>1</v>
      </c>
      <c r="D91" s="74">
        <f>IF(AND(Dataset!$O$5=1,'Brace for Meta-algorithm'!$B$7='Brace for Meta-algorithm'!$B$14),1,0)</f>
        <v>0</v>
      </c>
      <c r="E91" s="74">
        <f>IF(AND(Dataset!$O$6=1,'Brace for Meta-algorithm'!$B$8='Brace for Meta-algorithm'!$B$14),1,0)</f>
        <v>1</v>
      </c>
      <c r="F91" s="74">
        <f>IF(AND(Dataset!$O$7=1,'Brace for Meta-algorithm'!$B$9='Brace for Meta-algorithm'!$B$14),1,0)</f>
        <v>1</v>
      </c>
      <c r="G91" s="74">
        <f>IF(AND(Dataset!$O$8=1,'Brace for Meta-algorithm'!$B$10='Brace for Meta-algorithm'!$B$14),1,0)</f>
        <v>1</v>
      </c>
      <c r="H91" s="74">
        <f>IF(AND(Dataset!$O$9=1,'Brace for Meta-algorithm'!$B$11='Brace for Meta-algorithm'!$B$14),1,0)</f>
        <v>0</v>
      </c>
      <c r="I91" s="74">
        <f>IF(AND(Dataset!$O$10=1,'Brace for Meta-algorithm'!$B$12='Brace for Meta-algorithm'!$B$14),1,0)</f>
        <v>0</v>
      </c>
      <c r="J91" s="74">
        <f>IF(AND(Dataset!$O$11=1,'Brace for Meta-algorithm'!$B$13='Brace for Meta-algorithm'!$B$14),1,0)</f>
        <v>0</v>
      </c>
      <c r="K91" s="74">
        <f>IF(AND(Dataset!$O$12=1,'Brace for Meta-algorithm'!$B$14='Brace for Meta-algorithm'!$B$14),1,0)</f>
        <v>0</v>
      </c>
      <c r="L91" s="83">
        <f>SUM(B91:K91)</f>
        <v>4</v>
      </c>
      <c r="M91" s="74">
        <f>IF(AND(Dataset!$O$3=2,'Brace for Meta-algorithm'!$B$5='Brace for Meta-algorithm'!$B$14),1,0)</f>
        <v>1</v>
      </c>
      <c r="N91" s="74">
        <f>IF(AND(Dataset!$O$4=2,'Brace for Meta-algorithm'!$B$6='Brace for Meta-algorithm'!$B$14),1,0)</f>
        <v>0</v>
      </c>
      <c r="O91" s="74">
        <f>IF(AND(Dataset!$O$5=2,'Brace for Meta-algorithm'!$B$7='Brace for Meta-algorithm'!$B$14),1,0)</f>
        <v>0</v>
      </c>
      <c r="P91" s="74">
        <f>IF(AND(Dataset!$O$6=2,'Brace for Meta-algorithm'!$B$8='Brace for Meta-algorithm'!$B$14),1,0)</f>
        <v>0</v>
      </c>
      <c r="Q91" s="74">
        <f>IF(AND(Dataset!$O$7=2,'Brace for Meta-algorithm'!$B$9='Brace for Meta-algorithm'!$B$14),1,0)</f>
        <v>0</v>
      </c>
      <c r="R91" s="74">
        <f>IF(AND(Dataset!$O$8=2,'Brace for Meta-algorithm'!$B$10='Brace for Meta-algorithm'!$B$14),1,0)</f>
        <v>0</v>
      </c>
      <c r="S91" s="74">
        <f>IF(AND(Dataset!$O$9=2,'Brace for Meta-algorithm'!$B$11='Brace for Meta-algorithm'!$B$14),1,0)</f>
        <v>1</v>
      </c>
      <c r="T91" s="74">
        <f>IF(AND(Dataset!$O$10=2,'Brace for Meta-algorithm'!$B$12='Brace for Meta-algorithm'!$B$14),1,0)</f>
        <v>1</v>
      </c>
      <c r="U91" s="74">
        <f>IF(AND(Dataset!$O$11=2,'Brace for Meta-algorithm'!$B$13='Brace for Meta-algorithm'!$B$14),1,0)</f>
        <v>1</v>
      </c>
      <c r="V91" s="74">
        <f>IF(AND(Dataset!$O$12=2,'Brace for Meta-algorithm'!$B$14='Brace for Meta-algorithm'!$B$14),1,0)</f>
        <v>1</v>
      </c>
      <c r="W91" s="83">
        <f>SUM(M91:V91)</f>
        <v>5</v>
      </c>
    </row>
    <row r="92">
      <c r="A92" s="64">
        <v>1</v>
      </c>
      <c r="B92" s="74">
        <f>IF(1&lt;='Dataset for Meta-algorithm'!$C$12,B91*('Brace for Meta-algorithm'!$C$5='Brace for Meta-algorithm'!$C$14)*('Brace for Meta-algorithm'!$G$5&gt;0),B91)</f>
        <v>0</v>
      </c>
      <c r="C92" s="74">
        <f>IF(1&lt;='Dataset for Meta-algorithm'!$C$12,C91*('Brace for Meta-algorithm'!$C$6='Brace for Meta-algorithm'!$C$14)*('Brace for Meta-algorithm'!$G$6&gt;0),C91)</f>
        <v>1</v>
      </c>
      <c r="D92" s="74">
        <f>IF(1&lt;='Dataset for Meta-algorithm'!$C$12,D91*('Brace for Meta-algorithm'!$C$7='Brace for Meta-algorithm'!$C$14)*('Brace for Meta-algorithm'!$G$7&gt;0),D91)</f>
        <v>0</v>
      </c>
      <c r="E92" s="74">
        <f>IF(1&lt;='Dataset for Meta-algorithm'!$C$12,E91*('Brace for Meta-algorithm'!$C$8='Brace for Meta-algorithm'!$C$14)*('Brace for Meta-algorithm'!$G$8&gt;0),E91)</f>
        <v>0</v>
      </c>
      <c r="F92" s="74">
        <f>IF(1&lt;='Dataset for Meta-algorithm'!$C$12,F91*('Brace for Meta-algorithm'!$C$9='Brace for Meta-algorithm'!$C$14)*('Brace for Meta-algorithm'!$G$9&gt;0),F91)</f>
        <v>0</v>
      </c>
      <c r="G92" s="74">
        <f>IF(1&lt;='Dataset for Meta-algorithm'!$C$12,G91*('Brace for Meta-algorithm'!$C$10='Brace for Meta-algorithm'!$C$14)*('Brace for Meta-algorithm'!$G$10&gt;0),G91)</f>
        <v>1</v>
      </c>
      <c r="H92" s="74">
        <f>IF(1&lt;='Dataset for Meta-algorithm'!$C$12,H91*('Brace for Meta-algorithm'!$C$11='Brace for Meta-algorithm'!$C$14)*('Brace for Meta-algorithm'!$G$11&gt;0),H91)</f>
        <v>0</v>
      </c>
      <c r="I92" s="74">
        <f>IF(1&lt;='Dataset for Meta-algorithm'!$C$12,I91*('Brace for Meta-algorithm'!$C$12='Brace for Meta-algorithm'!$C$14)*('Brace for Meta-algorithm'!$G$12&gt;0),I91)</f>
        <v>0</v>
      </c>
      <c r="J92" s="74">
        <f>IF(1&lt;='Dataset for Meta-algorithm'!$C$12,J91*('Brace for Meta-algorithm'!$C$13='Brace for Meta-algorithm'!$C$14)*('Brace for Meta-algorithm'!$G$13&gt;0),J91)</f>
        <v>0</v>
      </c>
      <c r="K92" s="74">
        <f>IF(1&lt;='Dataset for Meta-algorithm'!$C$12,K91*('Brace for Meta-algorithm'!$C$14='Brace for Meta-algorithm'!$C$14)*('Brace for Meta-algorithm'!$G$14&gt;0),K91)</f>
        <v>0</v>
      </c>
      <c r="L92" s="83">
        <f>SUM(B92:K92)</f>
        <v>2</v>
      </c>
      <c r="M92" s="74">
        <f>IF(1&lt;='Dataset for Meta-algorithm'!$C$12,M91*('Brace for Meta-algorithm'!$C$5='Brace for Meta-algorithm'!$C$14)*('Brace for Meta-algorithm'!$G$5&lt;0),M91)</f>
        <v>0</v>
      </c>
      <c r="N92" s="74">
        <f>IF(1&lt;='Dataset for Meta-algorithm'!$C$12,N91*('Brace for Meta-algorithm'!$C$6='Brace for Meta-algorithm'!$C$14)*('Brace for Meta-algorithm'!$G$6&lt;0),N91)</f>
        <v>0</v>
      </c>
      <c r="O92" s="74">
        <f>IF(1&lt;='Dataset for Meta-algorithm'!$C$12,O91*('Brace for Meta-algorithm'!$C$7='Brace for Meta-algorithm'!$C$14)*('Brace for Meta-algorithm'!$G$7&lt;0),O91)</f>
        <v>0</v>
      </c>
      <c r="P92" s="74">
        <f>IF(1&lt;='Dataset for Meta-algorithm'!$C$12,P91*('Brace for Meta-algorithm'!$C$8='Brace for Meta-algorithm'!$C$14)*('Brace for Meta-algorithm'!$G$8&lt;0),P91)</f>
        <v>0</v>
      </c>
      <c r="Q92" s="74">
        <f>IF(1&lt;='Dataset for Meta-algorithm'!$C$12,Q91*('Brace for Meta-algorithm'!$C$9='Brace for Meta-algorithm'!$C$14)*('Brace for Meta-algorithm'!$G$9&lt;0),Q91)</f>
        <v>0</v>
      </c>
      <c r="R92" s="74">
        <f>IF(1&lt;='Dataset for Meta-algorithm'!$C$12,R91*('Brace for Meta-algorithm'!$C$10='Brace for Meta-algorithm'!$C$14)*('Brace for Meta-algorithm'!$G$10&lt;0),R91)</f>
        <v>0</v>
      </c>
      <c r="S92" s="74">
        <f>IF(1&lt;='Dataset for Meta-algorithm'!$C$12,S91*('Brace for Meta-algorithm'!$C$11='Brace for Meta-algorithm'!$C$14)*('Brace for Meta-algorithm'!$G$11&lt;0),S91)</f>
        <v>1</v>
      </c>
      <c r="T92" s="74">
        <f>IF(1&lt;='Dataset for Meta-algorithm'!$C$12,T91*('Brace for Meta-algorithm'!$C$12='Brace for Meta-algorithm'!$C$14)*('Brace for Meta-algorithm'!$G$12&lt;0),T91)</f>
        <v>1</v>
      </c>
      <c r="U92" s="74">
        <f>IF(1&lt;='Dataset for Meta-algorithm'!$C$12,U91*('Brace for Meta-algorithm'!$C$13='Brace for Meta-algorithm'!$C$14)*('Brace for Meta-algorithm'!$G$13&lt;0),U91)</f>
        <v>1</v>
      </c>
      <c r="V92" s="74">
        <f>IF(1&lt;='Dataset for Meta-algorithm'!$C$12,V91*('Brace for Meta-algorithm'!$C$14='Brace for Meta-algorithm'!$C$14)*('Brace for Meta-algorithm'!$G$14&lt;0),V91)</f>
        <v>1</v>
      </c>
      <c r="W92" s="83">
        <f>SUM(M92:V92)</f>
        <v>4</v>
      </c>
    </row>
    <row r="93">
      <c r="A93" s="64">
        <v>2</v>
      </c>
      <c r="B93" s="74">
        <f>IF(2&lt;='Dataset for Meta-algorithm'!$C$12,B92*('Brace for Meta-algorithm'!$D$5='Brace for Meta-algorithm'!$D$14)*('Brace for Meta-algorithm'!$H$5&gt;0),B92)</f>
        <v>0</v>
      </c>
      <c r="C93" s="74">
        <f>IF(2&lt;='Dataset for Meta-algorithm'!$C$12,C92*('Brace for Meta-algorithm'!$D$6='Brace for Meta-algorithm'!$D$14)*('Brace for Meta-algorithm'!$H$6&gt;0),C92)</f>
        <v>1</v>
      </c>
      <c r="D93" s="74">
        <f>IF(2&lt;='Dataset for Meta-algorithm'!$C$12,D92*('Brace for Meta-algorithm'!$D$7='Brace for Meta-algorithm'!$D$14)*('Brace for Meta-algorithm'!$H$7&gt;0),D92)</f>
        <v>0</v>
      </c>
      <c r="E93" s="74">
        <f>IF(2&lt;='Dataset for Meta-algorithm'!$C$12,E92*('Brace for Meta-algorithm'!$D$8='Brace for Meta-algorithm'!$D$14)*('Brace for Meta-algorithm'!$H$8&gt;0),E92)</f>
        <v>0</v>
      </c>
      <c r="F93" s="74">
        <f>IF(2&lt;='Dataset for Meta-algorithm'!$C$12,F92*('Brace for Meta-algorithm'!$D$9='Brace for Meta-algorithm'!$D$14)*('Brace for Meta-algorithm'!$H$9&gt;0),F92)</f>
        <v>0</v>
      </c>
      <c r="G93" s="74">
        <f>IF(2&lt;='Dataset for Meta-algorithm'!$C$12,G92*('Brace for Meta-algorithm'!$D$10='Brace for Meta-algorithm'!$D$14)*('Brace for Meta-algorithm'!$H$10&gt;0),G92)</f>
        <v>1</v>
      </c>
      <c r="H93" s="74">
        <f>IF(2&lt;='Dataset for Meta-algorithm'!$C$12,H92*('Brace for Meta-algorithm'!$D$11='Brace for Meta-algorithm'!$D$14)*('Brace for Meta-algorithm'!$H$11&gt;0),H92)</f>
        <v>0</v>
      </c>
      <c r="I93" s="74">
        <f>IF(2&lt;='Dataset for Meta-algorithm'!$C$12,I92*('Brace for Meta-algorithm'!$D$12='Brace for Meta-algorithm'!$D$14)*('Brace for Meta-algorithm'!$H$12&gt;0),I92)</f>
        <v>0</v>
      </c>
      <c r="J93" s="74">
        <f>IF(2&lt;='Dataset for Meta-algorithm'!$C$12,J92*('Brace for Meta-algorithm'!$D$13='Brace for Meta-algorithm'!$D$14)*('Brace for Meta-algorithm'!$H$13&gt;0),J92)</f>
        <v>0</v>
      </c>
      <c r="K93" s="74">
        <f>IF(2&lt;='Dataset for Meta-algorithm'!$C$12,K92*('Brace for Meta-algorithm'!$D$14='Brace for Meta-algorithm'!$D$14)*('Brace for Meta-algorithm'!$H$14&gt;0),K92)</f>
        <v>0</v>
      </c>
      <c r="L93" s="83">
        <f>SUM(B93:K93)</f>
        <v>2</v>
      </c>
      <c r="M93" s="74">
        <f>IF(2&lt;='Dataset for Meta-algorithm'!$C$12,M92*('Brace for Meta-algorithm'!$D$5='Brace for Meta-algorithm'!$D$14)*('Brace for Meta-algorithm'!$H$5&lt;0),M92)</f>
        <v>0</v>
      </c>
      <c r="N93" s="74">
        <f>IF(2&lt;='Dataset for Meta-algorithm'!$C$12,N92*('Brace for Meta-algorithm'!$D$6='Brace for Meta-algorithm'!$D$14)*('Brace for Meta-algorithm'!$H$6&lt;0),N92)</f>
        <v>0</v>
      </c>
      <c r="O93" s="74">
        <f>IF(2&lt;='Dataset for Meta-algorithm'!$C$12,O92*('Brace for Meta-algorithm'!$D$7='Brace for Meta-algorithm'!$D$14)*('Brace for Meta-algorithm'!$H$7&lt;0),O92)</f>
        <v>0</v>
      </c>
      <c r="P93" s="74">
        <f>IF(2&lt;='Dataset for Meta-algorithm'!$C$12,P92*('Brace for Meta-algorithm'!$D$8='Brace for Meta-algorithm'!$D$14)*('Brace for Meta-algorithm'!$H$8&lt;0),P92)</f>
        <v>0</v>
      </c>
      <c r="Q93" s="74">
        <f>IF(2&lt;='Dataset for Meta-algorithm'!$C$12,Q92*('Brace for Meta-algorithm'!$D$9='Brace for Meta-algorithm'!$D$14)*('Brace for Meta-algorithm'!$H$9&lt;0),Q92)</f>
        <v>0</v>
      </c>
      <c r="R93" s="74">
        <f>IF(2&lt;='Dataset for Meta-algorithm'!$C$12,R92*('Brace for Meta-algorithm'!$D$10='Brace for Meta-algorithm'!$D$14)*('Brace for Meta-algorithm'!$H$10&lt;0),R92)</f>
        <v>0</v>
      </c>
      <c r="S93" s="74">
        <f>IF(2&lt;='Dataset for Meta-algorithm'!$C$12,S92*('Brace for Meta-algorithm'!$D$11='Brace for Meta-algorithm'!$D$14)*('Brace for Meta-algorithm'!$H$11&lt;0),S92)</f>
        <v>1</v>
      </c>
      <c r="T93" s="74">
        <f>IF(2&lt;='Dataset for Meta-algorithm'!$C$12,T92*('Brace for Meta-algorithm'!$D$12='Brace for Meta-algorithm'!$D$14)*('Brace for Meta-algorithm'!$H$12&lt;0),T92)</f>
        <v>1</v>
      </c>
      <c r="U93" s="74">
        <f>IF(2&lt;='Dataset for Meta-algorithm'!$C$12,U92*('Brace for Meta-algorithm'!$D$13='Brace for Meta-algorithm'!$D$14)*('Brace for Meta-algorithm'!$H$13&lt;0),U92)</f>
        <v>1</v>
      </c>
      <c r="V93" s="74">
        <f>IF(2&lt;='Dataset for Meta-algorithm'!$C$12,V92*('Brace for Meta-algorithm'!$D$14='Brace for Meta-algorithm'!$D$14)*('Brace for Meta-algorithm'!$H$14&lt;0),V92)</f>
        <v>1</v>
      </c>
      <c r="W93" s="83">
        <f>SUM(M93:V93)</f>
        <v>4</v>
      </c>
    </row>
    <row r="94">
      <c r="A94" s="64">
        <v>3</v>
      </c>
      <c r="B94" s="74">
        <f>IF(3&lt;='Dataset for Meta-algorithm'!$C$12,B93*('Brace for Meta-algorithm'!$E$5='Brace for Meta-algorithm'!$E$14)*('Brace for Meta-algorithm'!$I$5&gt;0),B93)</f>
        <v>0</v>
      </c>
      <c r="C94" s="74">
        <f>IF(3&lt;='Dataset for Meta-algorithm'!$C$12,C93*('Brace for Meta-algorithm'!$E$6='Brace for Meta-algorithm'!$E$14)*('Brace for Meta-algorithm'!$I$6&gt;0),C93)</f>
        <v>1</v>
      </c>
      <c r="D94" s="74">
        <f>IF(3&lt;='Dataset for Meta-algorithm'!$C$12,D93*('Brace for Meta-algorithm'!$E$7='Brace for Meta-algorithm'!$E$14)*('Brace for Meta-algorithm'!$I$7&gt;0),D93)</f>
        <v>0</v>
      </c>
      <c r="E94" s="74">
        <f>IF(3&lt;='Dataset for Meta-algorithm'!$C$12,E93*('Brace for Meta-algorithm'!$E$8='Brace for Meta-algorithm'!$E$14)*('Brace for Meta-algorithm'!$I$8&gt;0),E93)</f>
        <v>0</v>
      </c>
      <c r="F94" s="74">
        <f>IF(3&lt;='Dataset for Meta-algorithm'!$C$12,F93*('Brace for Meta-algorithm'!$E$9='Brace for Meta-algorithm'!$E$14)*('Brace for Meta-algorithm'!$I$9&gt;0),F93)</f>
        <v>0</v>
      </c>
      <c r="G94" s="74">
        <f>IF(3&lt;='Dataset for Meta-algorithm'!$C$12,G93*('Brace for Meta-algorithm'!$E$10='Brace for Meta-algorithm'!$E$14)*('Brace for Meta-algorithm'!$I$10&gt;0),G93)</f>
        <v>1</v>
      </c>
      <c r="H94" s="74">
        <f>IF(3&lt;='Dataset for Meta-algorithm'!$C$12,H93*('Brace for Meta-algorithm'!$E$11='Brace for Meta-algorithm'!$E$14)*('Brace for Meta-algorithm'!$I$11&gt;0),H93)</f>
        <v>0</v>
      </c>
      <c r="I94" s="74">
        <f>IF(3&lt;='Dataset for Meta-algorithm'!$C$12,I93*('Brace for Meta-algorithm'!$E$12='Brace for Meta-algorithm'!$E$14)*('Brace for Meta-algorithm'!$I$12&gt;0),I93)</f>
        <v>0</v>
      </c>
      <c r="J94" s="74">
        <f>IF(3&lt;='Dataset for Meta-algorithm'!$C$12,J93*('Brace for Meta-algorithm'!$E$13='Brace for Meta-algorithm'!$E$14)*('Brace for Meta-algorithm'!$I$13&gt;0),J93)</f>
        <v>0</v>
      </c>
      <c r="K94" s="74">
        <f>IF(3&lt;='Dataset for Meta-algorithm'!$C$12,K93*('Brace for Meta-algorithm'!$E$14='Brace for Meta-algorithm'!$E$14)*('Brace for Meta-algorithm'!$I$14&gt;0),K93)</f>
        <v>0</v>
      </c>
      <c r="L94" s="83">
        <f>SUM(B94:K94)</f>
        <v>2</v>
      </c>
      <c r="M94" s="74">
        <f>IF(3&lt;='Dataset for Meta-algorithm'!$C$12,M93*('Brace for Meta-algorithm'!$E$5='Brace for Meta-algorithm'!$E$14)*('Brace for Meta-algorithm'!$I$5&lt;0),M93)</f>
        <v>0</v>
      </c>
      <c r="N94" s="74">
        <f>IF(3&lt;='Dataset for Meta-algorithm'!$C$12,N93*('Brace for Meta-algorithm'!$E$6='Brace for Meta-algorithm'!$E$14)*('Brace for Meta-algorithm'!$I$6&lt;0),N93)</f>
        <v>0</v>
      </c>
      <c r="O94" s="74">
        <f>IF(3&lt;='Dataset for Meta-algorithm'!$C$12,O93*('Brace for Meta-algorithm'!$E$7='Brace for Meta-algorithm'!$E$14)*('Brace for Meta-algorithm'!$I$7&lt;0),O93)</f>
        <v>0</v>
      </c>
      <c r="P94" s="74">
        <f>IF(3&lt;='Dataset for Meta-algorithm'!$C$12,P93*('Brace for Meta-algorithm'!$E$8='Brace for Meta-algorithm'!$E$14)*('Brace for Meta-algorithm'!$I$8&lt;0),P93)</f>
        <v>0</v>
      </c>
      <c r="Q94" s="74">
        <f>IF(3&lt;='Dataset for Meta-algorithm'!$C$12,Q93*('Brace for Meta-algorithm'!$E$9='Brace for Meta-algorithm'!$E$14)*('Brace for Meta-algorithm'!$I$9&lt;0),Q93)</f>
        <v>0</v>
      </c>
      <c r="R94" s="74">
        <f>IF(3&lt;='Dataset for Meta-algorithm'!$C$12,R93*('Brace for Meta-algorithm'!$E$10='Brace for Meta-algorithm'!$E$14)*('Brace for Meta-algorithm'!$I$10&lt;0),R93)</f>
        <v>0</v>
      </c>
      <c r="S94" s="74">
        <f>IF(3&lt;='Dataset for Meta-algorithm'!$C$12,S93*('Brace for Meta-algorithm'!$E$11='Brace for Meta-algorithm'!$E$14)*('Brace for Meta-algorithm'!$I$11&lt;0),S93)</f>
        <v>1</v>
      </c>
      <c r="T94" s="74">
        <f>IF(3&lt;='Dataset for Meta-algorithm'!$C$12,T93*('Brace for Meta-algorithm'!$E$12='Brace for Meta-algorithm'!$E$14)*('Brace for Meta-algorithm'!$I$12&lt;0),T93)</f>
        <v>1</v>
      </c>
      <c r="U94" s="74">
        <f>IF(3&lt;='Dataset for Meta-algorithm'!$C$12,U93*('Brace for Meta-algorithm'!$E$13='Brace for Meta-algorithm'!$E$14)*('Brace for Meta-algorithm'!$I$13&lt;0),U93)</f>
        <v>1</v>
      </c>
      <c r="V94" s="74">
        <f>IF(3&lt;='Dataset for Meta-algorithm'!$C$12,V93*('Brace for Meta-algorithm'!$E$14='Brace for Meta-algorithm'!$E$14)*('Brace for Meta-algorithm'!$I$14&lt;0),V93)</f>
        <v>1</v>
      </c>
      <c r="W94" s="83">
        <f>SUM(M94:V94)</f>
        <v>4</v>
      </c>
    </row>
    <row r="95">
      <c r="A95" s="64">
        <v>4</v>
      </c>
      <c r="B95" s="74">
        <f>IF(4&lt;='Dataset for Meta-algorithm'!$C$12,B94*('Brace for Meta-algorithm'!$F$5='Brace for Meta-algorithm'!$F$14)*('Brace for Meta-algorithm'!$J$5&gt;0),B94)</f>
        <v>0</v>
      </c>
      <c r="C95" s="74">
        <f>IF(4&lt;='Dataset for Meta-algorithm'!$C$12,C94*('Brace for Meta-algorithm'!$F$6='Brace for Meta-algorithm'!$F$14)*('Brace for Meta-algorithm'!$J$6&gt;0),C94)</f>
        <v>1</v>
      </c>
      <c r="D95" s="74">
        <f>IF(4&lt;='Dataset for Meta-algorithm'!$C$12,D94*('Brace for Meta-algorithm'!$F$7='Brace for Meta-algorithm'!$F$14)*('Brace for Meta-algorithm'!$J$7&gt;0),D94)</f>
        <v>0</v>
      </c>
      <c r="E95" s="74">
        <f>IF(4&lt;='Dataset for Meta-algorithm'!$C$12,E94*('Brace for Meta-algorithm'!$F$8='Brace for Meta-algorithm'!$F$14)*('Brace for Meta-algorithm'!$J$8&gt;0),E94)</f>
        <v>0</v>
      </c>
      <c r="F95" s="74">
        <f>IF(4&lt;='Dataset for Meta-algorithm'!$C$12,F94*('Brace for Meta-algorithm'!$F$9='Brace for Meta-algorithm'!$F$14)*('Brace for Meta-algorithm'!$J$9&gt;0),F94)</f>
        <v>0</v>
      </c>
      <c r="G95" s="74">
        <f>IF(4&lt;='Dataset for Meta-algorithm'!$C$12,G94*('Brace for Meta-algorithm'!$F$10='Brace for Meta-algorithm'!$F$14)*('Brace for Meta-algorithm'!$J$10&gt;0),G94)</f>
        <v>1</v>
      </c>
      <c r="H95" s="74">
        <f>IF(4&lt;='Dataset for Meta-algorithm'!$C$12,H94*('Brace for Meta-algorithm'!$F$11='Brace for Meta-algorithm'!$F$14)*('Brace for Meta-algorithm'!$J$11&gt;0),H94)</f>
        <v>0</v>
      </c>
      <c r="I95" s="74">
        <f>IF(4&lt;='Dataset for Meta-algorithm'!$C$12,I94*('Brace for Meta-algorithm'!$F$12='Brace for Meta-algorithm'!$F$14)*('Brace for Meta-algorithm'!$J$12&gt;0),I94)</f>
        <v>0</v>
      </c>
      <c r="J95" s="74">
        <f>IF(4&lt;='Dataset for Meta-algorithm'!$C$12,J94*('Brace for Meta-algorithm'!$F$13='Brace for Meta-algorithm'!$F$14)*('Brace for Meta-algorithm'!$J$13&gt;0),J94)</f>
        <v>0</v>
      </c>
      <c r="K95" s="74">
        <f>IF(4&lt;='Dataset for Meta-algorithm'!$C$12,K94*('Brace for Meta-algorithm'!$F$14='Brace for Meta-algorithm'!$F$14)*('Brace for Meta-algorithm'!$J$14&gt;0),K94)</f>
        <v>0</v>
      </c>
      <c r="L95" s="83">
        <f>SUM(B95:K95)</f>
        <v>2</v>
      </c>
      <c r="M95" s="74">
        <f>IF(4&lt;='Dataset for Meta-algorithm'!$C$12,M94*('Brace for Meta-algorithm'!$F$5='Brace for Meta-algorithm'!$F$14)*('Brace for Meta-algorithm'!$J$5&lt;0),M94)</f>
        <v>0</v>
      </c>
      <c r="N95" s="74">
        <f>IF(4&lt;='Dataset for Meta-algorithm'!$C$12,N94*('Brace for Meta-algorithm'!$F$6='Brace for Meta-algorithm'!$F$14)*('Brace for Meta-algorithm'!$J$6&lt;0),N94)</f>
        <v>0</v>
      </c>
      <c r="O95" s="74">
        <f>IF(4&lt;='Dataset for Meta-algorithm'!$C$12,O94*('Brace for Meta-algorithm'!$F$7='Brace for Meta-algorithm'!$F$14)*('Brace for Meta-algorithm'!$J$7&lt;0),O94)</f>
        <v>0</v>
      </c>
      <c r="P95" s="74">
        <f>IF(4&lt;='Dataset for Meta-algorithm'!$C$12,P94*('Brace for Meta-algorithm'!$F$8='Brace for Meta-algorithm'!$F$14)*('Brace for Meta-algorithm'!$J$8&lt;0),P94)</f>
        <v>0</v>
      </c>
      <c r="Q95" s="74">
        <f>IF(4&lt;='Dataset for Meta-algorithm'!$C$12,Q94*('Brace for Meta-algorithm'!$F$9='Brace for Meta-algorithm'!$F$14)*('Brace for Meta-algorithm'!$J$9&lt;0),Q94)</f>
        <v>0</v>
      </c>
      <c r="R95" s="74">
        <f>IF(4&lt;='Dataset for Meta-algorithm'!$C$12,R94*('Brace for Meta-algorithm'!$F$10='Brace for Meta-algorithm'!$F$14)*('Brace for Meta-algorithm'!$J$10&lt;0),R94)</f>
        <v>0</v>
      </c>
      <c r="S95" s="74">
        <f>IF(4&lt;='Dataset for Meta-algorithm'!$C$12,S94*('Brace for Meta-algorithm'!$F$11='Brace for Meta-algorithm'!$F$14)*('Brace for Meta-algorithm'!$J$11&lt;0),S94)</f>
        <v>1</v>
      </c>
      <c r="T95" s="74">
        <f>IF(4&lt;='Dataset for Meta-algorithm'!$C$12,T94*('Brace for Meta-algorithm'!$F$12='Brace for Meta-algorithm'!$F$14)*('Brace for Meta-algorithm'!$J$12&lt;0),T94)</f>
        <v>1</v>
      </c>
      <c r="U95" s="74">
        <f>IF(4&lt;='Dataset for Meta-algorithm'!$C$12,U94*('Brace for Meta-algorithm'!$F$13='Brace for Meta-algorithm'!$F$14)*('Brace for Meta-algorithm'!$J$13&lt;0),U94)</f>
        <v>1</v>
      </c>
      <c r="V95" s="74">
        <f>IF(4&lt;='Dataset for Meta-algorithm'!$C$12,V94*('Brace for Meta-algorithm'!$F$14='Brace for Meta-algorithm'!$F$14)*('Brace for Meta-algorithm'!$J$14&lt;0),V94)</f>
        <v>1</v>
      </c>
      <c r="W95" s="83">
        <f>SUM(M95:V95)</f>
        <v>4</v>
      </c>
    </row>
    <row r="96"/>
    <row r="97">
      <c r="A97" s="99" t="inlineStr">
        <is>
          <t xml:space="preserve">Every training object is classified with its own description (its context excludes itself, as in Steps 3–5). A predicted class 0 is a refusal (equal scores).</t>
        </is>
      </c>
    </row>
    <row r="98">
      <c r="A98" s="99" t="inlineStr">
        <is>
          <t xml:space="preserve">Because the training objects themselves belong to B1/B2, this measures training correctness (Definition 2), not generalization — see the Leave-One-Out sheet for that.</t>
        </is>
      </c>
    </row>
  </sheetData>
  <mergeCells count="12">
    <mergeCell ref="A1:W1"/>
    <mergeCell ref="A3:J3"/>
    <mergeCell ref="A17:W17"/>
    <mergeCell ref="A25:W25"/>
    <mergeCell ref="A33:W33"/>
    <mergeCell ref="A41:W41"/>
    <mergeCell ref="A49:W49"/>
    <mergeCell ref="A57:W57"/>
    <mergeCell ref="A65:W65"/>
    <mergeCell ref="A73:W73"/>
    <mergeCell ref="A81:W81"/>
    <mergeCell ref="A89:W89"/>
  </mergeCells>
  <conditionalFormatting sqref="B19:K23">
    <cfRule type="cellIs" dxfId="0" priority="1" operator="equal">
      <formula>1</formula>
    </cfRule>
  </conditionalFormatting>
  <conditionalFormatting sqref="M19:V23">
    <cfRule type="cellIs" dxfId="0" priority="2" operator="equal">
      <formula>1</formula>
    </cfRule>
  </conditionalFormatting>
  <conditionalFormatting sqref="B27:K31">
    <cfRule type="cellIs" dxfId="0" priority="3" operator="equal">
      <formula>1</formula>
    </cfRule>
  </conditionalFormatting>
  <conditionalFormatting sqref="M27:V31">
    <cfRule type="cellIs" dxfId="0" priority="4" operator="equal">
      <formula>1</formula>
    </cfRule>
  </conditionalFormatting>
  <conditionalFormatting sqref="B35:K39">
    <cfRule type="cellIs" dxfId="0" priority="5" operator="equal">
      <formula>1</formula>
    </cfRule>
  </conditionalFormatting>
  <conditionalFormatting sqref="M35:V39">
    <cfRule type="cellIs" dxfId="0" priority="6" operator="equal">
      <formula>1</formula>
    </cfRule>
  </conditionalFormatting>
  <conditionalFormatting sqref="B43:K47">
    <cfRule type="cellIs" dxfId="0" priority="7" operator="equal">
      <formula>1</formula>
    </cfRule>
  </conditionalFormatting>
  <conditionalFormatting sqref="M43:V47">
    <cfRule type="cellIs" dxfId="0" priority="8" operator="equal">
      <formula>1</formula>
    </cfRule>
  </conditionalFormatting>
  <conditionalFormatting sqref="B51:K55">
    <cfRule type="cellIs" dxfId="0" priority="9" operator="equal">
      <formula>1</formula>
    </cfRule>
  </conditionalFormatting>
  <conditionalFormatting sqref="M51:V55">
    <cfRule type="cellIs" dxfId="0" priority="10" operator="equal">
      <formula>1</formula>
    </cfRule>
  </conditionalFormatting>
  <conditionalFormatting sqref="B59:K63">
    <cfRule type="cellIs" dxfId="0" priority="11" operator="equal">
      <formula>1</formula>
    </cfRule>
  </conditionalFormatting>
  <conditionalFormatting sqref="M59:V63">
    <cfRule type="cellIs" dxfId="0" priority="12" operator="equal">
      <formula>1</formula>
    </cfRule>
  </conditionalFormatting>
  <conditionalFormatting sqref="B67:K71">
    <cfRule type="cellIs" dxfId="0" priority="13" operator="equal">
      <formula>1</formula>
    </cfRule>
  </conditionalFormatting>
  <conditionalFormatting sqref="M67:V71">
    <cfRule type="cellIs" dxfId="0" priority="14" operator="equal">
      <formula>1</formula>
    </cfRule>
  </conditionalFormatting>
  <conditionalFormatting sqref="B75:K79">
    <cfRule type="cellIs" dxfId="0" priority="15" operator="equal">
      <formula>1</formula>
    </cfRule>
  </conditionalFormatting>
  <conditionalFormatting sqref="M75:V79">
    <cfRule type="cellIs" dxfId="0" priority="16" operator="equal">
      <formula>1</formula>
    </cfRule>
  </conditionalFormatting>
  <conditionalFormatting sqref="B83:K87">
    <cfRule type="cellIs" dxfId="0" priority="17" operator="equal">
      <formula>1</formula>
    </cfRule>
  </conditionalFormatting>
  <conditionalFormatting sqref="M83:V87">
    <cfRule type="cellIs" dxfId="0" priority="18" operator="equal">
      <formula>1</formula>
    </cfRule>
  </conditionalFormatting>
  <conditionalFormatting sqref="B91:K95">
    <cfRule type="cellIs" dxfId="0" priority="19" operator="equal">
      <formula>1</formula>
    </cfRule>
  </conditionalFormatting>
  <conditionalFormatting sqref="M91:V95">
    <cfRule type="cellIs" dxfId="0" priority="20" operator="equal">
      <formula>1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X52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17.77734375" customWidth="1"/>
    <col min="2" max="6" width="11.77734375" customWidth="1"/>
    <col min="7" max="7" width="17.77734375" customWidth="1"/>
    <col min="8" max="12" width="11.77734375" customWidth="1"/>
    <col min="13" max="13" width="17.77734375" customWidth="1"/>
    <col min="14" max="18" width="11.77734375" customWidth="1"/>
    <col min="19" max="19" width="17.77734375" customWidth="1"/>
    <col min="20" max="24" width="11.77734375" customWidth="1"/>
  </cols>
  <sheetData>
    <row r="1" ht="20" customHeight="1">
      <c r="A1" s="57" t="inlineStr">
        <is>
          <t xml:space="preserve">Margin Analysis — margins of the latent (additional) training features with and without majorizer functions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</row>
    <row r="2"/>
    <row r="3">
      <c r="A3" s="100" t="inlineStr">
        <is>
          <t xml:space="preserve">Classification rule:  ŷ = 1 if d_ip &gt; b,  ŷ = 2 if d_ip ≤ b    (class 1 = positive +1, class 2 = negative −1)</t>
        </is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</row>
    <row r="4">
      <c r="A4" s="100" t="inlineStr">
        <is>
          <t xml:space="preserve">Decision boundary (centre of the margin):  b = (min over K1 of d + max over K2 of d) / 2</t>
        </is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>
      <c r="A5" s="100" t="inlineStr">
        <is>
          <t xml:space="preserve">Margin width = min over K1 of d − max over K2 of d   (&gt; 0: the classes are separated on this feature)</t>
        </is>
      </c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</row>
    <row r="6">
      <c r="A6" s="100" t="inlineStr">
        <is>
          <t xml:space="preserve">Object margin:  mᵢ = yᵢ · (d_ip − b),  yᵢ ∈ {−1, +1}   (&gt; 0: object on its correct side)</t>
        </is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</row>
    <row r="7"/>
    <row r="8">
      <c r="A8" s="58" t="inlineStr">
        <is>
          <t xml:space="preserve">Margin with majorizer functions — latent features r_j of Step 9 (Dataset for Meta-algorithm)</t>
        </is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</row>
    <row r="9">
      <c r="A9" s="60" t="inlineStr">
        <is>
          <t xml:space="preserve">№</t>
        </is>
      </c>
      <c r="B9" s="63" t="inlineStr">
        <is>
          <t xml:space="preserve">r₁</t>
        </is>
      </c>
      <c r="C9" s="60" t="inlineStr">
        <is>
          <t xml:space="preserve">Class</t>
        </is>
      </c>
      <c r="D9" s="60" t="inlineStr">
        <is>
          <t xml:space="preserve">margin mᵢ</t>
        </is>
      </c>
      <c r="E9" s="60" t="inlineStr">
        <is>
          <t xml:space="preserve">ŷ</t>
        </is>
      </c>
      <c r="G9" s="60" t="inlineStr">
        <is>
          <t xml:space="preserve">№</t>
        </is>
      </c>
      <c r="H9" s="63" t="inlineStr">
        <is>
          <t xml:space="preserve">r₂</t>
        </is>
      </c>
      <c r="I9" s="60" t="inlineStr">
        <is>
          <t xml:space="preserve">Class</t>
        </is>
      </c>
      <c r="J9" s="60" t="inlineStr">
        <is>
          <t xml:space="preserve">margin mᵢ</t>
        </is>
      </c>
      <c r="K9" s="60" t="inlineStr">
        <is>
          <t xml:space="preserve">ŷ</t>
        </is>
      </c>
      <c r="M9" s="60" t="inlineStr">
        <is>
          <t xml:space="preserve">№</t>
        </is>
      </c>
      <c r="N9" s="63" t="inlineStr">
        <is>
          <t xml:space="preserve">r₃</t>
        </is>
      </c>
      <c r="O9" s="60" t="inlineStr">
        <is>
          <t xml:space="preserve">Class</t>
        </is>
      </c>
      <c r="P9" s="60" t="inlineStr">
        <is>
          <t xml:space="preserve">margin mᵢ</t>
        </is>
      </c>
      <c r="Q9" s="60" t="inlineStr">
        <is>
          <t xml:space="preserve">ŷ</t>
        </is>
      </c>
      <c r="S9" s="60" t="inlineStr">
        <is>
          <t xml:space="preserve">№</t>
        </is>
      </c>
      <c r="T9" s="63" t="inlineStr">
        <is>
          <t xml:space="preserve">r₄</t>
        </is>
      </c>
      <c r="U9" s="60" t="inlineStr">
        <is>
          <t xml:space="preserve">Class</t>
        </is>
      </c>
      <c r="V9" s="60" t="inlineStr">
        <is>
          <t xml:space="preserve">margin mᵢ</t>
        </is>
      </c>
      <c r="W9" s="60" t="inlineStr">
        <is>
          <t xml:space="preserve">ŷ</t>
        </is>
      </c>
    </row>
    <row r="10">
      <c r="A10" s="64" t="inlineStr">
        <is>
          <t xml:space="preserve">S₁</t>
        </is>
      </c>
      <c r="B10" s="94">
        <f>'Dataset for Meta-algorithm'!J17</f>
        <v>0.112062246971304</v>
      </c>
      <c r="C10" s="68">
        <f>Dataset!O3</f>
        <v>2</v>
      </c>
      <c r="D10" s="72">
        <f>IF(ISNUMBER(B10),IF(C10=1,1,-1)*(B10-B$21),"—")</f>
        <v>0.0740886335491426</v>
      </c>
      <c r="E10" s="74">
        <f>IF(ISNUMBER(B10),IF(B10&gt;B$21,1,2),"—")</f>
        <v>2</v>
      </c>
      <c r="G10" s="64" t="inlineStr">
        <is>
          <t xml:space="preserve">S₁</t>
        </is>
      </c>
      <c r="H10" s="94">
        <f>'Dataset for Meta-algorithm'!K17</f>
        <v>-0.00853863373958766</v>
      </c>
      <c r="I10" s="68">
        <f>Dataset!O3</f>
        <v>2</v>
      </c>
      <c r="J10" s="72">
        <f>IF(ISNUMBER(H10),IF(I10=1,1,-1)*(H10-H$21),"—")</f>
        <v>0.324798452090117</v>
      </c>
      <c r="K10" s="74">
        <f>IF(ISNUMBER(H10),IF(H10&gt;H$21,1,2),"—")</f>
        <v>2</v>
      </c>
      <c r="M10" s="64" t="inlineStr">
        <is>
          <t xml:space="preserve">S₁</t>
        </is>
      </c>
      <c r="N10" s="94">
        <f>'Dataset for Meta-algorithm'!L17</f>
        <v>-0.147792690313897</v>
      </c>
      <c r="O10" s="68">
        <f>Dataset!O3</f>
        <v>2</v>
      </c>
      <c r="P10" s="72">
        <f>IF(ISNUMBER(N10),IF(O10=1,1,-1)*(N10-N$21),"—")</f>
        <v>0.560049257763692</v>
      </c>
      <c r="Q10" s="74">
        <f>IF(ISNUMBER(N10),IF(N10&gt;N$21,1,2),"—")</f>
        <v>2</v>
      </c>
      <c r="S10" s="64" t="inlineStr">
        <is>
          <t xml:space="preserve">S₁</t>
        </is>
      </c>
      <c r="T10" s="94">
        <f>'Dataset for Meta-algorithm'!M17</f>
        <v>-0.30867911309098</v>
      </c>
      <c r="U10" s="68">
        <f>Dataset!O3</f>
        <v>2</v>
      </c>
      <c r="V10" s="72">
        <f>IF(ISNUMBER(T10),IF(U10=1,1,-1)*(T10-T$21),"—")</f>
        <v>0.787158685798135</v>
      </c>
      <c r="W10" s="74">
        <f>IF(ISNUMBER(T10),IF(T10&gt;T$21,1,2),"—")</f>
        <v>2</v>
      </c>
    </row>
    <row r="11">
      <c r="A11" s="64" t="inlineStr">
        <is>
          <t xml:space="preserve">S₂</t>
        </is>
      </c>
      <c r="B11" s="94">
        <f>'Dataset for Meta-algorithm'!J18</f>
        <v>0.260239514069589</v>
      </c>
      <c r="C11" s="68">
        <f>Dataset!O4</f>
        <v>1</v>
      </c>
      <c r="D11" s="72">
        <f>IF(ISNUMBER(B11),IF(C11=1,1,-1)*(B11-B$21),"—")</f>
        <v>0.0740886335491426</v>
      </c>
      <c r="E11" s="74">
        <f>IF(ISNUMBER(B11),IF(B11&gt;B$21,1,2),"—")</f>
        <v>1</v>
      </c>
      <c r="G11" s="64" t="inlineStr">
        <is>
          <t xml:space="preserve">S₂</t>
        </is>
      </c>
      <c r="H11" s="94">
        <f>'Dataset for Meta-algorithm'!K18</f>
        <v>0.641058270440647</v>
      </c>
      <c r="I11" s="68">
        <f>Dataset!O4</f>
        <v>1</v>
      </c>
      <c r="J11" s="72">
        <f>IF(ISNUMBER(H11),IF(I11=1,1,-1)*(H11-H$21),"—")</f>
        <v>0.324798452090117</v>
      </c>
      <c r="K11" s="74">
        <f>IF(ISNUMBER(H11),IF(H11&gt;H$21,1,2),"—")</f>
        <v>1</v>
      </c>
      <c r="M11" s="64" t="inlineStr">
        <is>
          <t xml:space="preserve">S₂</t>
        </is>
      </c>
      <c r="N11" s="94">
        <f>'Dataset for Meta-algorithm'!L18</f>
        <v>0.972305825213487</v>
      </c>
      <c r="O11" s="68">
        <f>Dataset!O4</f>
        <v>1</v>
      </c>
      <c r="P11" s="72">
        <f>IF(ISNUMBER(N11),IF(O11=1,1,-1)*(N11-N$21),"—")</f>
        <v>0.560049257763692</v>
      </c>
      <c r="Q11" s="74">
        <f>IF(ISNUMBER(N11),IF(N11&gt;N$21,1,2),"—")</f>
        <v>1</v>
      </c>
      <c r="S11" s="64" t="inlineStr">
        <is>
          <t xml:space="preserve">S₂</t>
        </is>
      </c>
      <c r="T11" s="94">
        <f>'Dataset for Meta-algorithm'!M18</f>
        <v>1.26563825850529</v>
      </c>
      <c r="U11" s="68">
        <f>Dataset!O4</f>
        <v>1</v>
      </c>
      <c r="V11" s="72">
        <f>IF(ISNUMBER(T11),IF(U11=1,1,-1)*(T11-T$21),"—")</f>
        <v>0.787158685798135</v>
      </c>
      <c r="W11" s="74">
        <f>IF(ISNUMBER(T11),IF(T11&gt;T$21,1,2),"—")</f>
        <v>1</v>
      </c>
    </row>
    <row r="12">
      <c r="A12" s="64" t="inlineStr">
        <is>
          <t xml:space="preserve">S₃</t>
        </is>
      </c>
      <c r="B12" s="94">
        <f>'Dataset for Meta-algorithm'!J19</f>
        <v>-0.733675804638555</v>
      </c>
      <c r="C12" s="68">
        <f>Dataset!O5</f>
        <v>2</v>
      </c>
      <c r="D12" s="72">
        <f>IF(ISNUMBER(B12),IF(C12=1,1,-1)*(B12-B$21),"—")</f>
        <v>0.919826685159001</v>
      </c>
      <c r="E12" s="74">
        <f>IF(ISNUMBER(B12),IF(B12&gt;B$21,1,2),"—")</f>
        <v>2</v>
      </c>
      <c r="G12" s="64" t="inlineStr">
        <is>
          <t xml:space="preserve">S₃</t>
        </is>
      </c>
      <c r="H12" s="94">
        <f>'Dataset for Meta-algorithm'!K19</f>
        <v>-1.32080100458638</v>
      </c>
      <c r="I12" s="68">
        <f>Dataset!O5</f>
        <v>2</v>
      </c>
      <c r="J12" s="72">
        <f>IF(ISNUMBER(H12),IF(I12=1,1,-1)*(H12-H$21),"—")</f>
        <v>1.63706082293691</v>
      </c>
      <c r="K12" s="74">
        <f>IF(ISNUMBER(H12),IF(H12&gt;H$21,1,2),"—")</f>
        <v>2</v>
      </c>
      <c r="M12" s="64" t="inlineStr">
        <is>
          <t xml:space="preserve">S₃</t>
        </is>
      </c>
      <c r="N12" s="94">
        <f>'Dataset for Meta-algorithm'!L19</f>
        <v>-1.96899032950218</v>
      </c>
      <c r="O12" s="68">
        <f>Dataset!O5</f>
        <v>2</v>
      </c>
      <c r="P12" s="72">
        <f>IF(ISNUMBER(N12),IF(O12=1,1,-1)*(N12-N$21),"—")</f>
        <v>2.38124689695197</v>
      </c>
      <c r="Q12" s="74">
        <f>IF(ISNUMBER(N12),IF(N12&gt;N$21,1,2),"—")</f>
        <v>2</v>
      </c>
      <c r="S12" s="64" t="inlineStr">
        <is>
          <t xml:space="preserve">S₃</t>
        </is>
      </c>
      <c r="T12" s="94">
        <f>'Dataset for Meta-algorithm'!M19</f>
        <v>-2.66155572180793</v>
      </c>
      <c r="U12" s="68">
        <f>Dataset!O5</f>
        <v>2</v>
      </c>
      <c r="V12" s="72">
        <f>IF(ISNUMBER(T12),IF(U12=1,1,-1)*(T12-T$21),"—")</f>
        <v>3.14003529451509</v>
      </c>
      <c r="W12" s="74">
        <f>IF(ISNUMBER(T12),IF(T12&gt;T$21,1,2),"—")</f>
        <v>2</v>
      </c>
    </row>
    <row r="13">
      <c r="A13" s="64" t="inlineStr">
        <is>
          <t xml:space="preserve">S₄</t>
        </is>
      </c>
      <c r="B13" s="94">
        <f>'Dataset for Meta-algorithm'!J20</f>
        <v>0.603476162679314</v>
      </c>
      <c r="C13" s="68">
        <f>Dataset!O6</f>
        <v>1</v>
      </c>
      <c r="D13" s="72">
        <f>IF(ISNUMBER(B13),IF(C13=1,1,-1)*(B13-B$21),"—")</f>
        <v>0.417325282158868</v>
      </c>
      <c r="E13" s="74">
        <f>IF(ISNUMBER(B13),IF(B13&gt;B$21,1,2),"—")</f>
        <v>1</v>
      </c>
      <c r="G13" s="64" t="inlineStr">
        <is>
          <t xml:space="preserve">S₄</t>
        </is>
      </c>
      <c r="H13" s="94">
        <f>'Dataset for Meta-algorithm'!K20</f>
        <v>0.939357074977029</v>
      </c>
      <c r="I13" s="68">
        <f>Dataset!O6</f>
        <v>1</v>
      </c>
      <c r="J13" s="72">
        <f>IF(ISNUMBER(H13),IF(I13=1,1,-1)*(H13-H$21),"—")</f>
        <v>0.6230972566265</v>
      </c>
      <c r="K13" s="74">
        <f>IF(ISNUMBER(H13),IF(H13&gt;H$21,1,2),"—")</f>
        <v>1</v>
      </c>
      <c r="M13" s="64" t="inlineStr">
        <is>
          <t xml:space="preserve">S₄</t>
        </is>
      </c>
      <c r="N13" s="94">
        <f>'Dataset for Meta-algorithm'!L20</f>
        <v>1.23621345350815</v>
      </c>
      <c r="O13" s="68">
        <f>Dataset!O6</f>
        <v>1</v>
      </c>
      <c r="P13" s="72">
        <f>IF(ISNUMBER(N13),IF(O13=1,1,-1)*(N13-N$21),"—")</f>
        <v>0.823956886058355</v>
      </c>
      <c r="Q13" s="74">
        <f>IF(ISNUMBER(N13),IF(N13&gt;N$21,1,2),"—")</f>
        <v>1</v>
      </c>
      <c r="S13" s="64" t="inlineStr">
        <is>
          <t xml:space="preserve">S₄</t>
        </is>
      </c>
      <c r="T13" s="94">
        <f>'Dataset for Meta-algorithm'!M20</f>
        <v>1.50339265844291</v>
      </c>
      <c r="U13" s="68">
        <f>Dataset!O6</f>
        <v>1</v>
      </c>
      <c r="V13" s="72">
        <f>IF(ISNUMBER(T13),IF(U13=1,1,-1)*(T13-T$21),"—")</f>
        <v>1.02491308573575</v>
      </c>
      <c r="W13" s="74">
        <f>IF(ISNUMBER(T13),IF(T13&gt;T$21,1,2),"—")</f>
        <v>1</v>
      </c>
    </row>
    <row r="14">
      <c r="A14" s="64" t="inlineStr">
        <is>
          <t xml:space="preserve">S₅</t>
        </is>
      </c>
      <c r="B14" s="94">
        <f>'Dataset for Meta-algorithm'!J21</f>
        <v>0.603476162679314</v>
      </c>
      <c r="C14" s="68">
        <f>Dataset!O7</f>
        <v>1</v>
      </c>
      <c r="D14" s="72">
        <f>IF(ISNUMBER(B14),IF(C14=1,1,-1)*(B14-B$21),"—")</f>
        <v>0.417325282158868</v>
      </c>
      <c r="E14" s="74">
        <f>IF(ISNUMBER(B14),IF(B14&gt;B$21,1,2),"—")</f>
        <v>1</v>
      </c>
      <c r="G14" s="64" t="inlineStr">
        <is>
          <t xml:space="preserve">S₅</t>
        </is>
      </c>
      <c r="H14" s="94">
        <f>'Dataset for Meta-algorithm'!K21</f>
        <v>0.939357074977029</v>
      </c>
      <c r="I14" s="68">
        <f>Dataset!O7</f>
        <v>1</v>
      </c>
      <c r="J14" s="72">
        <f>IF(ISNUMBER(H14),IF(I14=1,1,-1)*(H14-H$21),"—")</f>
        <v>0.6230972566265</v>
      </c>
      <c r="K14" s="74">
        <f>IF(ISNUMBER(H14),IF(H14&gt;H$21,1,2),"—")</f>
        <v>1</v>
      </c>
      <c r="M14" s="64" t="inlineStr">
        <is>
          <t xml:space="preserve">S₅</t>
        </is>
      </c>
      <c r="N14" s="94">
        <f>'Dataset for Meta-algorithm'!L21</f>
        <v>1.23621345350815</v>
      </c>
      <c r="O14" s="68">
        <f>Dataset!O7</f>
        <v>1</v>
      </c>
      <c r="P14" s="72">
        <f>IF(ISNUMBER(N14),IF(O14=1,1,-1)*(N14-N$21),"—")</f>
        <v>0.823956886058355</v>
      </c>
      <c r="Q14" s="74">
        <f>IF(ISNUMBER(N14),IF(N14&gt;N$21,1,2),"—")</f>
        <v>1</v>
      </c>
      <c r="S14" s="64" t="inlineStr">
        <is>
          <t xml:space="preserve">S₅</t>
        </is>
      </c>
      <c r="T14" s="94">
        <f>'Dataset for Meta-algorithm'!M21</f>
        <v>1.50339265844291</v>
      </c>
      <c r="U14" s="68">
        <f>Dataset!O7</f>
        <v>1</v>
      </c>
      <c r="V14" s="72">
        <f>IF(ISNUMBER(T14),IF(U14=1,1,-1)*(T14-T$21),"—")</f>
        <v>1.02491308573575</v>
      </c>
      <c r="W14" s="74">
        <f>IF(ISNUMBER(T14),IF(T14&gt;T$21,1,2),"—")</f>
        <v>1</v>
      </c>
    </row>
    <row r="15">
      <c r="A15" s="64" t="inlineStr">
        <is>
          <t xml:space="preserve">S₆</t>
        </is>
      </c>
      <c r="B15" s="94">
        <f>'Dataset for Meta-algorithm'!J22</f>
        <v>0.260239514069589</v>
      </c>
      <c r="C15" s="68">
        <f>Dataset!O8</f>
        <v>1</v>
      </c>
      <c r="D15" s="72">
        <f>IF(ISNUMBER(B15),IF(C15=1,1,-1)*(B15-B$21),"—")</f>
        <v>0.0740886335491426</v>
      </c>
      <c r="E15" s="74">
        <f>IF(ISNUMBER(B15),IF(B15&gt;B$21,1,2),"—")</f>
        <v>1</v>
      </c>
      <c r="G15" s="64" t="inlineStr">
        <is>
          <t xml:space="preserve">S₆</t>
        </is>
      </c>
      <c r="H15" s="94">
        <f>'Dataset for Meta-algorithm'!K22</f>
        <v>0.641058270440647</v>
      </c>
      <c r="I15" s="68">
        <f>Dataset!O8</f>
        <v>1</v>
      </c>
      <c r="J15" s="72">
        <f>IF(ISNUMBER(H15),IF(I15=1,1,-1)*(H15-H$21),"—")</f>
        <v>0.324798452090117</v>
      </c>
      <c r="K15" s="74">
        <f>IF(ISNUMBER(H15),IF(H15&gt;H$21,1,2),"—")</f>
        <v>1</v>
      </c>
      <c r="M15" s="64" t="inlineStr">
        <is>
          <t xml:space="preserve">S₆</t>
        </is>
      </c>
      <c r="N15" s="94">
        <f>'Dataset for Meta-algorithm'!L22</f>
        <v>0.972305825213487</v>
      </c>
      <c r="O15" s="68">
        <f>Dataset!O8</f>
        <v>1</v>
      </c>
      <c r="P15" s="72">
        <f>IF(ISNUMBER(N15),IF(O15=1,1,-1)*(N15-N$21),"—")</f>
        <v>0.560049257763692</v>
      </c>
      <c r="Q15" s="74">
        <f>IF(ISNUMBER(N15),IF(N15&gt;N$21,1,2),"—")</f>
        <v>1</v>
      </c>
      <c r="S15" s="64" t="inlineStr">
        <is>
          <t xml:space="preserve">S₆</t>
        </is>
      </c>
      <c r="T15" s="94">
        <f>'Dataset for Meta-algorithm'!M22</f>
        <v>1.26563825850529</v>
      </c>
      <c r="U15" s="68">
        <f>Dataset!O8</f>
        <v>1</v>
      </c>
      <c r="V15" s="72">
        <f>IF(ISNUMBER(T15),IF(U15=1,1,-1)*(T15-T$21),"—")</f>
        <v>0.787158685798135</v>
      </c>
      <c r="W15" s="74">
        <f>IF(ISNUMBER(T15),IF(T15&gt;T$21,1,2),"—")</f>
        <v>1</v>
      </c>
    </row>
    <row r="16">
      <c r="A16" s="64" t="inlineStr">
        <is>
          <t xml:space="preserve">S₇</t>
        </is>
      </c>
      <c r="B16" s="94">
        <f>'Dataset for Meta-algorithm'!J23</f>
        <v>-0.34973061286611</v>
      </c>
      <c r="C16" s="68">
        <f>Dataset!O9</f>
        <v>2</v>
      </c>
      <c r="D16" s="72">
        <f>IF(ISNUMBER(B16),IF(C16=1,1,-1)*(B16-B$21),"—")</f>
        <v>0.535881493386556</v>
      </c>
      <c r="E16" s="74">
        <f>IF(ISNUMBER(B16),IF(B16&gt;B$21,1,2),"—")</f>
        <v>2</v>
      </c>
      <c r="G16" s="64" t="inlineStr">
        <is>
          <t xml:space="preserve">S₇</t>
        </is>
      </c>
      <c r="H16" s="94">
        <f>'Dataset for Meta-algorithm'!K23</f>
        <v>-0.541711272743112</v>
      </c>
      <c r="I16" s="68">
        <f>Dataset!O9</f>
        <v>2</v>
      </c>
      <c r="J16" s="72">
        <f>IF(ISNUMBER(H16),IF(I16=1,1,-1)*(H16-H$21),"—")</f>
        <v>0.857971091093642</v>
      </c>
      <c r="K16" s="74">
        <f>IF(ISNUMBER(H16),IF(H16&gt;H$21,1,2),"—")</f>
        <v>2</v>
      </c>
      <c r="M16" s="64" t="inlineStr">
        <is>
          <t xml:space="preserve">S₇</t>
        </is>
      </c>
      <c r="N16" s="94">
        <f>'Dataset for Meta-algorithm'!L23</f>
        <v>-0.762398412464542</v>
      </c>
      <c r="O16" s="68">
        <f>Dataset!O9</f>
        <v>2</v>
      </c>
      <c r="P16" s="72">
        <f>IF(ISNUMBER(N16),IF(O16=1,1,-1)*(N16-N$21),"—")</f>
        <v>1.17465497991434</v>
      </c>
      <c r="Q16" s="74">
        <f>IF(ISNUMBER(N16),IF(N16&gt;N$21,1,2),"—")</f>
        <v>2</v>
      </c>
      <c r="S16" s="64" t="inlineStr">
        <is>
          <t xml:space="preserve">S₇</t>
        </is>
      </c>
      <c r="T16" s="94">
        <f>'Dataset for Meta-algorithm'!M23</f>
        <v>-1.01438214662853</v>
      </c>
      <c r="U16" s="68">
        <f>Dataset!O9</f>
        <v>2</v>
      </c>
      <c r="V16" s="72">
        <f>IF(ISNUMBER(T16),IF(U16=1,1,-1)*(T16-T$21),"—")</f>
        <v>1.49286171933569</v>
      </c>
      <c r="W16" s="74">
        <f>IF(ISNUMBER(T16),IF(T16&gt;T$21,1,2),"—")</f>
        <v>2</v>
      </c>
    </row>
    <row r="17">
      <c r="A17" s="64" t="inlineStr">
        <is>
          <t xml:space="preserve">S₈</t>
        </is>
      </c>
      <c r="B17" s="94">
        <f>'Dataset for Meta-algorithm'!J24</f>
        <v>-0.34973061286611</v>
      </c>
      <c r="C17" s="68">
        <f>Dataset!O10</f>
        <v>2</v>
      </c>
      <c r="D17" s="72">
        <f>IF(ISNUMBER(B17),IF(C17=1,1,-1)*(B17-B$21),"—")</f>
        <v>0.535881493386556</v>
      </c>
      <c r="E17" s="74">
        <f>IF(ISNUMBER(B17),IF(B17&gt;B$21,1,2),"—")</f>
        <v>2</v>
      </c>
      <c r="G17" s="64" t="inlineStr">
        <is>
          <t xml:space="preserve">S₈</t>
        </is>
      </c>
      <c r="H17" s="94">
        <f>'Dataset for Meta-algorithm'!K24</f>
        <v>-0.541711272743112</v>
      </c>
      <c r="I17" s="68">
        <f>Dataset!O10</f>
        <v>2</v>
      </c>
      <c r="J17" s="72">
        <f>IF(ISNUMBER(H17),IF(I17=1,1,-1)*(H17-H$21),"—")</f>
        <v>0.857971091093642</v>
      </c>
      <c r="K17" s="74">
        <f>IF(ISNUMBER(H17),IF(H17&gt;H$21,1,2),"—")</f>
        <v>2</v>
      </c>
      <c r="M17" s="64" t="inlineStr">
        <is>
          <t xml:space="preserve">S₈</t>
        </is>
      </c>
      <c r="N17" s="94">
        <f>'Dataset for Meta-algorithm'!L24</f>
        <v>-0.762398412464542</v>
      </c>
      <c r="O17" s="68">
        <f>Dataset!O10</f>
        <v>2</v>
      </c>
      <c r="P17" s="72">
        <f>IF(ISNUMBER(N17),IF(O17=1,1,-1)*(N17-N$21),"—")</f>
        <v>1.17465497991434</v>
      </c>
      <c r="Q17" s="74">
        <f>IF(ISNUMBER(N17),IF(N17&gt;N$21,1,2),"—")</f>
        <v>2</v>
      </c>
      <c r="S17" s="64" t="inlineStr">
        <is>
          <t xml:space="preserve">S₈</t>
        </is>
      </c>
      <c r="T17" s="94">
        <f>'Dataset for Meta-algorithm'!M24</f>
        <v>-1.01438214662853</v>
      </c>
      <c r="U17" s="68">
        <f>Dataset!O10</f>
        <v>2</v>
      </c>
      <c r="V17" s="72">
        <f>IF(ISNUMBER(T17),IF(U17=1,1,-1)*(T17-T$21),"—")</f>
        <v>1.49286171933569</v>
      </c>
      <c r="W17" s="74">
        <f>IF(ISNUMBER(T17),IF(T17&gt;T$21,1,2),"—")</f>
        <v>2</v>
      </c>
    </row>
    <row r="18">
      <c r="A18" s="64" t="inlineStr">
        <is>
          <t xml:space="preserve">S₉</t>
        </is>
      </c>
      <c r="B18" s="94">
        <f>'Dataset for Meta-algorithm'!J25</f>
        <v>-0.34973061286611</v>
      </c>
      <c r="C18" s="68">
        <f>Dataset!O11</f>
        <v>2</v>
      </c>
      <c r="D18" s="72">
        <f>IF(ISNUMBER(B18),IF(C18=1,1,-1)*(B18-B$21),"—")</f>
        <v>0.535881493386556</v>
      </c>
      <c r="E18" s="74">
        <f>IF(ISNUMBER(B18),IF(B18&gt;B$21,1,2),"—")</f>
        <v>2</v>
      </c>
      <c r="G18" s="64" t="inlineStr">
        <is>
          <t xml:space="preserve">S₉</t>
        </is>
      </c>
      <c r="H18" s="94">
        <f>'Dataset for Meta-algorithm'!K25</f>
        <v>-0.541711272743112</v>
      </c>
      <c r="I18" s="68">
        <f>Dataset!O11</f>
        <v>2</v>
      </c>
      <c r="J18" s="72">
        <f>IF(ISNUMBER(H18),IF(I18=1,1,-1)*(H18-H$21),"—")</f>
        <v>0.857971091093642</v>
      </c>
      <c r="K18" s="74">
        <f>IF(ISNUMBER(H18),IF(H18&gt;H$21,1,2),"—")</f>
        <v>2</v>
      </c>
      <c r="M18" s="64" t="inlineStr">
        <is>
          <t xml:space="preserve">S₉</t>
        </is>
      </c>
      <c r="N18" s="94">
        <f>'Dataset for Meta-algorithm'!L25</f>
        <v>-0.762398412464542</v>
      </c>
      <c r="O18" s="68">
        <f>Dataset!O11</f>
        <v>2</v>
      </c>
      <c r="P18" s="72">
        <f>IF(ISNUMBER(N18),IF(O18=1,1,-1)*(N18-N$21),"—")</f>
        <v>1.17465497991434</v>
      </c>
      <c r="Q18" s="74">
        <f>IF(ISNUMBER(N18),IF(N18&gt;N$21,1,2),"—")</f>
        <v>2</v>
      </c>
      <c r="S18" s="64" t="inlineStr">
        <is>
          <t xml:space="preserve">S₉</t>
        </is>
      </c>
      <c r="T18" s="94">
        <f>'Dataset for Meta-algorithm'!M25</f>
        <v>-1.01438214662853</v>
      </c>
      <c r="U18" s="68">
        <f>Dataset!O11</f>
        <v>2</v>
      </c>
      <c r="V18" s="72">
        <f>IF(ISNUMBER(T18),IF(U18=1,1,-1)*(T18-T$21),"—")</f>
        <v>1.49286171933569</v>
      </c>
      <c r="W18" s="74">
        <f>IF(ISNUMBER(T18),IF(T18&gt;T$21,1,2),"—")</f>
        <v>2</v>
      </c>
    </row>
    <row r="19">
      <c r="A19" s="64" t="inlineStr">
        <is>
          <t xml:space="preserve">S₁₀</t>
        </is>
      </c>
      <c r="B19" s="94">
        <f>'Dataset for Meta-algorithm'!J26</f>
        <v>-0.34973061286611</v>
      </c>
      <c r="C19" s="68">
        <f>Dataset!O12</f>
        <v>2</v>
      </c>
      <c r="D19" s="72">
        <f>IF(ISNUMBER(B19),IF(C19=1,1,-1)*(B19-B$21),"—")</f>
        <v>0.535881493386556</v>
      </c>
      <c r="E19" s="74">
        <f>IF(ISNUMBER(B19),IF(B19&gt;B$21,1,2),"—")</f>
        <v>2</v>
      </c>
      <c r="G19" s="64" t="inlineStr">
        <is>
          <t xml:space="preserve">S₁₀</t>
        </is>
      </c>
      <c r="H19" s="94">
        <f>'Dataset for Meta-algorithm'!K26</f>
        <v>-0.541711272743112</v>
      </c>
      <c r="I19" s="68">
        <f>Dataset!O12</f>
        <v>2</v>
      </c>
      <c r="J19" s="72">
        <f>IF(ISNUMBER(H19),IF(I19=1,1,-1)*(H19-H$21),"—")</f>
        <v>0.857971091093642</v>
      </c>
      <c r="K19" s="74">
        <f>IF(ISNUMBER(H19),IF(H19&gt;H$21,1,2),"—")</f>
        <v>2</v>
      </c>
      <c r="M19" s="64" t="inlineStr">
        <is>
          <t xml:space="preserve">S₁₀</t>
        </is>
      </c>
      <c r="N19" s="94">
        <f>'Dataset for Meta-algorithm'!L26</f>
        <v>-0.762398412464542</v>
      </c>
      <c r="O19" s="68">
        <f>Dataset!O12</f>
        <v>2</v>
      </c>
      <c r="P19" s="72">
        <f>IF(ISNUMBER(N19),IF(O19=1,1,-1)*(N19-N$21),"—")</f>
        <v>1.17465497991434</v>
      </c>
      <c r="Q19" s="74">
        <f>IF(ISNUMBER(N19),IF(N19&gt;N$21,1,2),"—")</f>
        <v>2</v>
      </c>
      <c r="S19" s="64" t="inlineStr">
        <is>
          <t xml:space="preserve">S₁₀</t>
        </is>
      </c>
      <c r="T19" s="94">
        <f>'Dataset for Meta-algorithm'!M26</f>
        <v>-1.01438214662853</v>
      </c>
      <c r="U19" s="68">
        <f>Dataset!O12</f>
        <v>2</v>
      </c>
      <c r="V19" s="72">
        <f>IF(ISNUMBER(T19),IF(U19=1,1,-1)*(T19-T$21),"—")</f>
        <v>1.49286171933569</v>
      </c>
      <c r="W19" s="74">
        <f>IF(ISNUMBER(T19),IF(T19&gt;T$21,1,2),"—")</f>
        <v>2</v>
      </c>
    </row>
    <row r="20"/>
    <row r="21">
      <c r="A21" s="82" t="inlineStr">
        <is>
          <t xml:space="preserve">b (boundary)</t>
        </is>
      </c>
      <c r="B21" s="85">
        <f>IF(ISNUMBER(B10),(_xlfn.MINIFS($B$10:$B$19,$C$10:$C$19,1)+_xlfn.MAXIFS($B$10:$B$19,$C$10:$C$19,2))/2,"—")</f>
        <v>0.186150880520446</v>
      </c>
      <c r="G21" s="82" t="inlineStr">
        <is>
          <t xml:space="preserve">b (boundary)</t>
        </is>
      </c>
      <c r="H21" s="85">
        <f>IF(ISNUMBER(H10),(_xlfn.MINIFS($H$10:$H$19,$I$10:$I$19,1)+_xlfn.MAXIFS($H$10:$H$19,$I$10:$I$19,2))/2,"—")</f>
        <v>0.31625981835053</v>
      </c>
      <c r="M21" s="82" t="inlineStr">
        <is>
          <t xml:space="preserve">b (boundary)</t>
        </is>
      </c>
      <c r="N21" s="85">
        <f>IF(ISNUMBER(N10),(_xlfn.MINIFS($N$10:$N$19,$O$10:$O$19,1)+_xlfn.MAXIFS($N$10:$N$19,$O$10:$O$19,2))/2,"—")</f>
        <v>0.412256567449795</v>
      </c>
      <c r="S21" s="82" t="inlineStr">
        <is>
          <t xml:space="preserve">b (boundary)</t>
        </is>
      </c>
      <c r="T21" s="85">
        <f>IF(ISNUMBER(T10),(_xlfn.MINIFS($T$10:$T$19,$U$10:$U$19,1)+_xlfn.MAXIFS($T$10:$T$19,$U$10:$U$19,2))/2,"—")</f>
        <v>0.478479572707156</v>
      </c>
    </row>
    <row r="22">
      <c r="A22" s="82" t="inlineStr">
        <is>
          <t xml:space="preserve">left: max K2</t>
        </is>
      </c>
      <c r="B22" s="85">
        <f>IF(ISNUMBER(B10),_xlfn.MAXIFS($B$10:$B$19,$C$10:$C$19,2),"—")</f>
        <v>0.112062246971304</v>
      </c>
      <c r="C22" s="84" t="str">
        <f>IF(ISNUMBER(B10),INDEX($A$10:$A$19,MATCH(B22,$B$10:$B$19,0)),"")</f>
        <v>S₁</v>
      </c>
      <c r="G22" s="82" t="inlineStr">
        <is>
          <t xml:space="preserve">left: max K2</t>
        </is>
      </c>
      <c r="H22" s="85">
        <f>IF(ISNUMBER(H10),_xlfn.MAXIFS($H$10:$H$19,$I$10:$I$19,2),"—")</f>
        <v>-0.00853863373958766</v>
      </c>
      <c r="I22" s="84" t="str">
        <f>IF(ISNUMBER(H10),INDEX($G$10:$G$19,MATCH(H22,$H$10:$H$19,0)),"")</f>
        <v>S₁</v>
      </c>
      <c r="M22" s="82" t="inlineStr">
        <is>
          <t xml:space="preserve">left: max K2</t>
        </is>
      </c>
      <c r="N22" s="85">
        <f>IF(ISNUMBER(N10),_xlfn.MAXIFS($N$10:$N$19,$O$10:$O$19,2),"—")</f>
        <v>-0.147792690313897</v>
      </c>
      <c r="O22" s="84" t="str">
        <f>IF(ISNUMBER(N10),INDEX($M$10:$M$19,MATCH(N22,$N$10:$N$19,0)),"")</f>
        <v>S₁</v>
      </c>
      <c r="S22" s="82" t="inlineStr">
        <is>
          <t xml:space="preserve">left: max K2</t>
        </is>
      </c>
      <c r="T22" s="85">
        <f>IF(ISNUMBER(T10),_xlfn.MAXIFS($T$10:$T$19,$U$10:$U$19,2),"—")</f>
        <v>-0.30867911309098</v>
      </c>
      <c r="U22" s="84" t="str">
        <f>IF(ISNUMBER(T10),INDEX($S$10:$S$19,MATCH(T22,$T$10:$T$19,0)),"")</f>
        <v>S₁</v>
      </c>
    </row>
    <row r="23">
      <c r="A23" s="82" t="inlineStr">
        <is>
          <t xml:space="preserve">right: min K1</t>
        </is>
      </c>
      <c r="B23" s="85">
        <f>IF(ISNUMBER(B10),_xlfn.MINIFS($B$10:$B$19,$C$10:$C$19,1),"—")</f>
        <v>0.260239514069589</v>
      </c>
      <c r="C23" s="84" t="str">
        <f>IF(ISNUMBER(B10),INDEX($A$10:$A$19,MATCH(B23,$B$10:$B$19,0)),"")</f>
        <v>S₂</v>
      </c>
      <c r="G23" s="82" t="inlineStr">
        <is>
          <t xml:space="preserve">right: min K1</t>
        </is>
      </c>
      <c r="H23" s="85">
        <f>IF(ISNUMBER(H10),_xlfn.MINIFS($H$10:$H$19,$I$10:$I$19,1),"—")</f>
        <v>0.641058270440647</v>
      </c>
      <c r="I23" s="84" t="str">
        <f>IF(ISNUMBER(H10),INDEX($G$10:$G$19,MATCH(H23,$H$10:$H$19,0)),"")</f>
        <v>S₂</v>
      </c>
      <c r="M23" s="82" t="inlineStr">
        <is>
          <t xml:space="preserve">right: min K1</t>
        </is>
      </c>
      <c r="N23" s="85">
        <f>IF(ISNUMBER(N10),_xlfn.MINIFS($N$10:$N$19,$O$10:$O$19,1),"—")</f>
        <v>0.972305825213487</v>
      </c>
      <c r="O23" s="84" t="str">
        <f>IF(ISNUMBER(N10),INDEX($M$10:$M$19,MATCH(N23,$N$10:$N$19,0)),"")</f>
        <v>S₂</v>
      </c>
      <c r="S23" s="82" t="inlineStr">
        <is>
          <t xml:space="preserve">right: min K1</t>
        </is>
      </c>
      <c r="T23" s="85">
        <f>IF(ISNUMBER(T10),_xlfn.MINIFS($T$10:$T$19,$U$10:$U$19,1),"—")</f>
        <v>1.26563825850529</v>
      </c>
      <c r="U23" s="84" t="str">
        <f>IF(ISNUMBER(T10),INDEX($S$10:$S$19,MATCH(T23,$T$10:$T$19,0)),"")</f>
        <v>S₂</v>
      </c>
    </row>
    <row r="24">
      <c r="A24" s="82" t="inlineStr">
        <is>
          <t xml:space="preserve">margin width</t>
        </is>
      </c>
      <c r="B24" s="85">
        <f>IF(ISNUMBER(B10),B23-B22,"—")</f>
        <v>0.148177267098285</v>
      </c>
      <c r="G24" s="82" t="inlineStr">
        <is>
          <t xml:space="preserve">margin width</t>
        </is>
      </c>
      <c r="H24" s="85">
        <f>IF(ISNUMBER(H10),H23-H22,"—")</f>
        <v>0.649596904180235</v>
      </c>
      <c r="M24" s="82" t="inlineStr">
        <is>
          <t xml:space="preserve">margin width</t>
        </is>
      </c>
      <c r="N24" s="85">
        <f>IF(ISNUMBER(N10),N23-N22,"—")</f>
        <v>1.12009851552738</v>
      </c>
      <c r="S24" s="82" t="inlineStr">
        <is>
          <t xml:space="preserve">margin width</t>
        </is>
      </c>
      <c r="T24" s="85">
        <f>IF(ISNUMBER(T10),T23-T22,"—")</f>
        <v>1.57431737159627</v>
      </c>
    </row>
    <row r="25">
      <c r="A25" s="82" t="inlineStr">
        <is>
          <t xml:space="preserve">ŷ correct (count)</t>
        </is>
      </c>
      <c r="B25" s="83">
        <f>IF(ISNUMBER(B10),SUMPRODUCT(--($E$10:$E$19=$C$10:$C$19)),"—")</f>
        <v>10</v>
      </c>
      <c r="G25" s="82" t="inlineStr">
        <is>
          <t xml:space="preserve">ŷ correct (count)</t>
        </is>
      </c>
      <c r="H25" s="83">
        <f>IF(ISNUMBER(H10),SUMPRODUCT(--($K$10:$K$19=$I$10:$I$19)),"—")</f>
        <v>10</v>
      </c>
      <c r="M25" s="82" t="inlineStr">
        <is>
          <t xml:space="preserve">ŷ correct (count)</t>
        </is>
      </c>
      <c r="N25" s="83">
        <f>IF(ISNUMBER(N10),SUMPRODUCT(--($Q$10:$Q$19=$O$10:$O$19)),"—")</f>
        <v>10</v>
      </c>
      <c r="S25" s="82" t="inlineStr">
        <is>
          <t xml:space="preserve">ŷ correct (count)</t>
        </is>
      </c>
      <c r="T25" s="83">
        <f>IF(ISNUMBER(T10),SUMPRODUCT(--($W$10:$W$19=$U$10:$U$19)),"—")</f>
        <v>10</v>
      </c>
    </row>
    <row r="26"/>
    <row r="27">
      <c r="A27" s="58" t="inlineStr">
        <is>
          <t xml:space="preserve">Margin without majorizer functions — generalized estimate R(Sₜ) = Σ ηᵤ(a_tu) over the same TUPLAM features, no majorizing function</t>
        </is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</row>
    <row r="28">
      <c r="A28" s="60" t="inlineStr">
        <is>
          <t xml:space="preserve">№</t>
        </is>
      </c>
      <c r="B28" s="63" t="inlineStr">
        <is>
          <t xml:space="preserve">r₁ (no ϕ)</t>
        </is>
      </c>
      <c r="C28" s="60" t="inlineStr">
        <is>
          <t xml:space="preserve">Class</t>
        </is>
      </c>
      <c r="D28" s="60" t="inlineStr">
        <is>
          <t xml:space="preserve">margin mᵢ</t>
        </is>
      </c>
      <c r="E28" s="60" t="inlineStr">
        <is>
          <t xml:space="preserve">ŷ</t>
        </is>
      </c>
      <c r="G28" s="60" t="inlineStr">
        <is>
          <t xml:space="preserve">№</t>
        </is>
      </c>
      <c r="H28" s="63" t="inlineStr">
        <is>
          <t xml:space="preserve">r₂ (no ϕ)</t>
        </is>
      </c>
      <c r="I28" s="60" t="inlineStr">
        <is>
          <t xml:space="preserve">Class</t>
        </is>
      </c>
      <c r="J28" s="60" t="inlineStr">
        <is>
          <t xml:space="preserve">margin mᵢ</t>
        </is>
      </c>
      <c r="K28" s="60" t="inlineStr">
        <is>
          <t xml:space="preserve">ŷ</t>
        </is>
      </c>
      <c r="M28" s="60" t="inlineStr">
        <is>
          <t xml:space="preserve">№</t>
        </is>
      </c>
      <c r="N28" s="63" t="inlineStr">
        <is>
          <t xml:space="preserve">r₃ (no ϕ)</t>
        </is>
      </c>
      <c r="O28" s="60" t="inlineStr">
        <is>
          <t xml:space="preserve">Class</t>
        </is>
      </c>
      <c r="P28" s="60" t="inlineStr">
        <is>
          <t xml:space="preserve">margin mᵢ</t>
        </is>
      </c>
      <c r="Q28" s="60" t="inlineStr">
        <is>
          <t xml:space="preserve">ŷ</t>
        </is>
      </c>
      <c r="S28" s="60" t="inlineStr">
        <is>
          <t xml:space="preserve">№</t>
        </is>
      </c>
      <c r="T28" s="63" t="inlineStr">
        <is>
          <t xml:space="preserve">r₄ (no ϕ)</t>
        </is>
      </c>
      <c r="U28" s="60" t="inlineStr">
        <is>
          <t xml:space="preserve">Class</t>
        </is>
      </c>
      <c r="V28" s="60" t="inlineStr">
        <is>
          <t xml:space="preserve">margin mᵢ</t>
        </is>
      </c>
      <c r="W28" s="60" t="inlineStr">
        <is>
          <t xml:space="preserve">ŷ</t>
        </is>
      </c>
    </row>
    <row r="29">
      <c r="A29" s="64" t="inlineStr">
        <is>
          <t xml:space="preserve">S₁</t>
        </is>
      </c>
      <c r="B29" s="94">
        <f>IF(ISNUMBER('Dataset for Meta-algorithm'!J17),SUM('Dataset for Meta-algorithm'!$B17:C17),"—")</f>
        <v>0.366666666666667</v>
      </c>
      <c r="C29" s="68">
        <f>Dataset!O3</f>
        <v>2</v>
      </c>
      <c r="D29" s="72">
        <f>IF(ISNUMBER(B29),IF(C29=1,1,-1)*(B29-B$40),"—")</f>
        <v>-0.2</v>
      </c>
      <c r="E29" s="74">
        <f>IF(ISNUMBER(B29),IF(B29&gt;B$40,1,2),"—")</f>
        <v>1</v>
      </c>
      <c r="G29" s="64" t="inlineStr">
        <is>
          <t xml:space="preserve">S₁</t>
        </is>
      </c>
      <c r="H29" s="94">
        <f>IF(ISNUMBER('Dataset for Meta-algorithm'!K17),SUM('Dataset for Meta-algorithm'!$B17:D17),"—")</f>
        <v>0.516666666666667</v>
      </c>
      <c r="I29" s="68">
        <f>Dataset!O3</f>
        <v>2</v>
      </c>
      <c r="J29" s="72">
        <f>IF(ISNUMBER(H29),IF(I29=1,1,-1)*(H29-H$40),"—")</f>
        <v>-0.2</v>
      </c>
      <c r="K29" s="74">
        <f>IF(ISNUMBER(H29),IF(H29&gt;H$40,1,2),"—")</f>
        <v>1</v>
      </c>
      <c r="M29" s="64" t="inlineStr">
        <is>
          <t xml:space="preserve">S₁</t>
        </is>
      </c>
      <c r="N29" s="94">
        <f>IF(ISNUMBER('Dataset for Meta-algorithm'!L17),SUM('Dataset for Meta-algorithm'!$B17:E17),"—")</f>
        <v>0.666666666666667</v>
      </c>
      <c r="O29" s="68">
        <f>Dataset!O3</f>
        <v>2</v>
      </c>
      <c r="P29" s="72">
        <f>IF(ISNUMBER(N29),IF(O29=1,1,-1)*(N29-N$40),"—")</f>
        <v>-0.2</v>
      </c>
      <c r="Q29" s="74">
        <f>IF(ISNUMBER(N29),IF(N29&gt;N$40,1,2),"—")</f>
        <v>1</v>
      </c>
      <c r="S29" s="64" t="inlineStr">
        <is>
          <t xml:space="preserve">S₁</t>
        </is>
      </c>
      <c r="T29" s="94">
        <f>IF(ISNUMBER('Dataset for Meta-algorithm'!M17),SUM('Dataset for Meta-algorithm'!$B17:F17),"—")</f>
        <v>0.816666666666666</v>
      </c>
      <c r="U29" s="68">
        <f>Dataset!O3</f>
        <v>2</v>
      </c>
      <c r="V29" s="72">
        <f>IF(ISNUMBER(T29),IF(U29=1,1,-1)*(T29-T$40),"—")</f>
        <v>-0.2</v>
      </c>
      <c r="W29" s="74">
        <f>IF(ISNUMBER(T29),IF(T29&gt;T$40,1,2),"—")</f>
        <v>1</v>
      </c>
    </row>
    <row r="30">
      <c r="A30" s="64" t="inlineStr">
        <is>
          <t xml:space="preserve">S₂</t>
        </is>
      </c>
      <c r="B30" s="94">
        <f>IF(ISNUMBER('Dataset for Meta-algorithm'!J18),SUM('Dataset for Meta-algorithm'!$B18:C18),"—")</f>
        <v>-0.0333333333333334</v>
      </c>
      <c r="C30" s="68">
        <f>Dataset!O4</f>
        <v>1</v>
      </c>
      <c r="D30" s="72">
        <f>IF(ISNUMBER(B30),IF(C30=1,1,-1)*(B30-B$40),"—")</f>
        <v>-0.2</v>
      </c>
      <c r="E30" s="74">
        <f>IF(ISNUMBER(B30),IF(B30&gt;B$40,1,2),"—")</f>
        <v>2</v>
      </c>
      <c r="G30" s="64" t="inlineStr">
        <is>
          <t xml:space="preserve">S₂</t>
        </is>
      </c>
      <c r="H30" s="94">
        <f>IF(ISNUMBER('Dataset for Meta-algorithm'!K18),SUM('Dataset for Meta-algorithm'!$B18:D18),"—")</f>
        <v>0.116666666666667</v>
      </c>
      <c r="I30" s="68">
        <f>Dataset!O4</f>
        <v>1</v>
      </c>
      <c r="J30" s="72">
        <f>IF(ISNUMBER(H30),IF(I30=1,1,-1)*(H30-H$40),"—")</f>
        <v>-0.2</v>
      </c>
      <c r="K30" s="74">
        <f>IF(ISNUMBER(H30),IF(H30&gt;H$40,1,2),"—")</f>
        <v>2</v>
      </c>
      <c r="M30" s="64" t="inlineStr">
        <is>
          <t xml:space="preserve">S₂</t>
        </is>
      </c>
      <c r="N30" s="94">
        <f>IF(ISNUMBER('Dataset for Meta-algorithm'!L18),SUM('Dataset for Meta-algorithm'!$B18:E18),"—")</f>
        <v>0.266666666666667</v>
      </c>
      <c r="O30" s="68">
        <f>Dataset!O4</f>
        <v>1</v>
      </c>
      <c r="P30" s="72">
        <f>IF(ISNUMBER(N30),IF(O30=1,1,-1)*(N30-N$40),"—")</f>
        <v>-0.2</v>
      </c>
      <c r="Q30" s="74">
        <f>IF(ISNUMBER(N30),IF(N30&gt;N$40,1,2),"—")</f>
        <v>2</v>
      </c>
      <c r="S30" s="64" t="inlineStr">
        <is>
          <t xml:space="preserve">S₂</t>
        </is>
      </c>
      <c r="T30" s="94">
        <f>IF(ISNUMBER('Dataset for Meta-algorithm'!M18),SUM('Dataset for Meta-algorithm'!$B18:F18),"—")</f>
        <v>0.416666666666667</v>
      </c>
      <c r="U30" s="68">
        <f>Dataset!O4</f>
        <v>1</v>
      </c>
      <c r="V30" s="72">
        <f>IF(ISNUMBER(T30),IF(U30=1,1,-1)*(T30-T$40),"—")</f>
        <v>-0.2</v>
      </c>
      <c r="W30" s="74">
        <f>IF(ISNUMBER(T30),IF(T30&gt;T$40,1,2),"—")</f>
        <v>2</v>
      </c>
    </row>
    <row r="31">
      <c r="A31" s="64" t="inlineStr">
        <is>
          <t xml:space="preserve">S₃</t>
        </is>
      </c>
      <c r="B31" s="94">
        <f>IF(ISNUMBER('Dataset for Meta-algorithm'!J19),SUM('Dataset for Meta-algorithm'!$B19:C19),"—")</f>
        <v>-0.366666666666667</v>
      </c>
      <c r="C31" s="68">
        <f>Dataset!O5</f>
        <v>2</v>
      </c>
      <c r="D31" s="72">
        <f>IF(ISNUMBER(B31),IF(C31=1,1,-1)*(B31-B$40),"—")</f>
        <v>0.533333333333333</v>
      </c>
      <c r="E31" s="74">
        <f>IF(ISNUMBER(B31),IF(B31&gt;B$40,1,2),"—")</f>
        <v>2</v>
      </c>
      <c r="G31" s="64" t="inlineStr">
        <is>
          <t xml:space="preserve">S₃</t>
        </is>
      </c>
      <c r="H31" s="94">
        <f>IF(ISNUMBER('Dataset for Meta-algorithm'!K19),SUM('Dataset for Meta-algorithm'!$B19:D19),"—")</f>
        <v>-0.516666666666667</v>
      </c>
      <c r="I31" s="68">
        <f>Dataset!O5</f>
        <v>2</v>
      </c>
      <c r="J31" s="72">
        <f>IF(ISNUMBER(H31),IF(I31=1,1,-1)*(H31-H$40),"—")</f>
        <v>0.833333333333333</v>
      </c>
      <c r="K31" s="74">
        <f>IF(ISNUMBER(H31),IF(H31&gt;H$40,1,2),"—")</f>
        <v>2</v>
      </c>
      <c r="M31" s="64" t="inlineStr">
        <is>
          <t xml:space="preserve">S₃</t>
        </is>
      </c>
      <c r="N31" s="94">
        <f>IF(ISNUMBER('Dataset for Meta-algorithm'!L19),SUM('Dataset for Meta-algorithm'!$B19:E19),"—")</f>
        <v>-0.666666666666667</v>
      </c>
      <c r="O31" s="68">
        <f>Dataset!O5</f>
        <v>2</v>
      </c>
      <c r="P31" s="72">
        <f>IF(ISNUMBER(N31),IF(O31=1,1,-1)*(N31-N$40),"—")</f>
        <v>1.13333333333333</v>
      </c>
      <c r="Q31" s="74">
        <f>IF(ISNUMBER(N31),IF(N31&gt;N$40,1,2),"—")</f>
        <v>2</v>
      </c>
      <c r="S31" s="64" t="inlineStr">
        <is>
          <t xml:space="preserve">S₃</t>
        </is>
      </c>
      <c r="T31" s="94">
        <f>IF(ISNUMBER('Dataset for Meta-algorithm'!M19),SUM('Dataset for Meta-algorithm'!$B19:F19),"—")</f>
        <v>-0.816666666666667</v>
      </c>
      <c r="U31" s="68">
        <f>Dataset!O5</f>
        <v>2</v>
      </c>
      <c r="V31" s="72">
        <f>IF(ISNUMBER(T31),IF(U31=1,1,-1)*(T31-T$40),"—")</f>
        <v>1.43333333333333</v>
      </c>
      <c r="W31" s="74">
        <f>IF(ISNUMBER(T31),IF(T31&gt;T$40,1,2),"—")</f>
        <v>2</v>
      </c>
    </row>
    <row r="32">
      <c r="A32" s="64" t="inlineStr">
        <is>
          <t xml:space="preserve">S₄</t>
        </is>
      </c>
      <c r="B32" s="94">
        <f>IF(ISNUMBER('Dataset for Meta-algorithm'!J20),SUM('Dataset for Meta-algorithm'!$B20:C20),"—")</f>
        <v>0.366666666666667</v>
      </c>
      <c r="C32" s="68">
        <f>Dataset!O6</f>
        <v>1</v>
      </c>
      <c r="D32" s="72">
        <f>IF(ISNUMBER(B32),IF(C32=1,1,-1)*(B32-B$40),"—")</f>
        <v>0.2</v>
      </c>
      <c r="E32" s="74">
        <f>IF(ISNUMBER(B32),IF(B32&gt;B$40,1,2),"—")</f>
        <v>1</v>
      </c>
      <c r="G32" s="64" t="inlineStr">
        <is>
          <t xml:space="preserve">S₄</t>
        </is>
      </c>
      <c r="H32" s="94">
        <f>IF(ISNUMBER('Dataset for Meta-algorithm'!K20),SUM('Dataset for Meta-algorithm'!$B20:D20),"—")</f>
        <v>0.516666666666667</v>
      </c>
      <c r="I32" s="68">
        <f>Dataset!O6</f>
        <v>1</v>
      </c>
      <c r="J32" s="72">
        <f>IF(ISNUMBER(H32),IF(I32=1,1,-1)*(H32-H$40),"—")</f>
        <v>0.2</v>
      </c>
      <c r="K32" s="74">
        <f>IF(ISNUMBER(H32),IF(H32&gt;H$40,1,2),"—")</f>
        <v>1</v>
      </c>
      <c r="M32" s="64" t="inlineStr">
        <is>
          <t xml:space="preserve">S₄</t>
        </is>
      </c>
      <c r="N32" s="94">
        <f>IF(ISNUMBER('Dataset for Meta-algorithm'!L20),SUM('Dataset for Meta-algorithm'!$B20:E20),"—")</f>
        <v>0.666666666666667</v>
      </c>
      <c r="O32" s="68">
        <f>Dataset!O6</f>
        <v>1</v>
      </c>
      <c r="P32" s="72">
        <f>IF(ISNUMBER(N32),IF(O32=1,1,-1)*(N32-N$40),"—")</f>
        <v>0.2</v>
      </c>
      <c r="Q32" s="74">
        <f>IF(ISNUMBER(N32),IF(N32&gt;N$40,1,2),"—")</f>
        <v>1</v>
      </c>
      <c r="S32" s="64" t="inlineStr">
        <is>
          <t xml:space="preserve">S₄</t>
        </is>
      </c>
      <c r="T32" s="94">
        <f>IF(ISNUMBER('Dataset for Meta-algorithm'!M20),SUM('Dataset for Meta-algorithm'!$B20:F20),"—")</f>
        <v>0.816666666666666</v>
      </c>
      <c r="U32" s="68">
        <f>Dataset!O6</f>
        <v>1</v>
      </c>
      <c r="V32" s="72">
        <f>IF(ISNUMBER(T32),IF(U32=1,1,-1)*(T32-T$40),"—")</f>
        <v>0.2</v>
      </c>
      <c r="W32" s="74">
        <f>IF(ISNUMBER(T32),IF(T32&gt;T$40,1,2),"—")</f>
        <v>1</v>
      </c>
    </row>
    <row r="33">
      <c r="A33" s="64" t="inlineStr">
        <is>
          <t xml:space="preserve">S₅</t>
        </is>
      </c>
      <c r="B33" s="94">
        <f>IF(ISNUMBER('Dataset for Meta-algorithm'!J21),SUM('Dataset for Meta-algorithm'!$B21:C21),"—")</f>
        <v>0.366666666666667</v>
      </c>
      <c r="C33" s="68">
        <f>Dataset!O7</f>
        <v>1</v>
      </c>
      <c r="D33" s="72">
        <f>IF(ISNUMBER(B33),IF(C33=1,1,-1)*(B33-B$40),"—")</f>
        <v>0.2</v>
      </c>
      <c r="E33" s="74">
        <f>IF(ISNUMBER(B33),IF(B33&gt;B$40,1,2),"—")</f>
        <v>1</v>
      </c>
      <c r="G33" s="64" t="inlineStr">
        <is>
          <t xml:space="preserve">S₅</t>
        </is>
      </c>
      <c r="H33" s="94">
        <f>IF(ISNUMBER('Dataset for Meta-algorithm'!K21),SUM('Dataset for Meta-algorithm'!$B21:D21),"—")</f>
        <v>0.516666666666667</v>
      </c>
      <c r="I33" s="68">
        <f>Dataset!O7</f>
        <v>1</v>
      </c>
      <c r="J33" s="72">
        <f>IF(ISNUMBER(H33),IF(I33=1,1,-1)*(H33-H$40),"—")</f>
        <v>0.2</v>
      </c>
      <c r="K33" s="74">
        <f>IF(ISNUMBER(H33),IF(H33&gt;H$40,1,2),"—")</f>
        <v>1</v>
      </c>
      <c r="M33" s="64" t="inlineStr">
        <is>
          <t xml:space="preserve">S₅</t>
        </is>
      </c>
      <c r="N33" s="94">
        <f>IF(ISNUMBER('Dataset for Meta-algorithm'!L21),SUM('Dataset for Meta-algorithm'!$B21:E21),"—")</f>
        <v>0.666666666666667</v>
      </c>
      <c r="O33" s="68">
        <f>Dataset!O7</f>
        <v>1</v>
      </c>
      <c r="P33" s="72">
        <f>IF(ISNUMBER(N33),IF(O33=1,1,-1)*(N33-N$40),"—")</f>
        <v>0.2</v>
      </c>
      <c r="Q33" s="74">
        <f>IF(ISNUMBER(N33),IF(N33&gt;N$40,1,2),"—")</f>
        <v>1</v>
      </c>
      <c r="S33" s="64" t="inlineStr">
        <is>
          <t xml:space="preserve">S₅</t>
        </is>
      </c>
      <c r="T33" s="94">
        <f>IF(ISNUMBER('Dataset for Meta-algorithm'!M21),SUM('Dataset for Meta-algorithm'!$B21:F21),"—")</f>
        <v>0.816666666666666</v>
      </c>
      <c r="U33" s="68">
        <f>Dataset!O7</f>
        <v>1</v>
      </c>
      <c r="V33" s="72">
        <f>IF(ISNUMBER(T33),IF(U33=1,1,-1)*(T33-T$40),"—")</f>
        <v>0.2</v>
      </c>
      <c r="W33" s="74">
        <f>IF(ISNUMBER(T33),IF(T33&gt;T$40,1,2),"—")</f>
        <v>1</v>
      </c>
    </row>
    <row r="34">
      <c r="A34" s="64" t="inlineStr">
        <is>
          <t xml:space="preserve">S₆</t>
        </is>
      </c>
      <c r="B34" s="94">
        <f>IF(ISNUMBER('Dataset for Meta-algorithm'!J22),SUM('Dataset for Meta-algorithm'!$B22:C22),"—")</f>
        <v>-0.0333333333333334</v>
      </c>
      <c r="C34" s="68">
        <f>Dataset!O8</f>
        <v>1</v>
      </c>
      <c r="D34" s="72">
        <f>IF(ISNUMBER(B34),IF(C34=1,1,-1)*(B34-B$40),"—")</f>
        <v>-0.2</v>
      </c>
      <c r="E34" s="74">
        <f>IF(ISNUMBER(B34),IF(B34&gt;B$40,1,2),"—")</f>
        <v>2</v>
      </c>
      <c r="G34" s="64" t="inlineStr">
        <is>
          <t xml:space="preserve">S₆</t>
        </is>
      </c>
      <c r="H34" s="94">
        <f>IF(ISNUMBER('Dataset for Meta-algorithm'!K22),SUM('Dataset for Meta-algorithm'!$B22:D22),"—")</f>
        <v>0.116666666666667</v>
      </c>
      <c r="I34" s="68">
        <f>Dataset!O8</f>
        <v>1</v>
      </c>
      <c r="J34" s="72">
        <f>IF(ISNUMBER(H34),IF(I34=1,1,-1)*(H34-H$40),"—")</f>
        <v>-0.2</v>
      </c>
      <c r="K34" s="74">
        <f>IF(ISNUMBER(H34),IF(H34&gt;H$40,1,2),"—")</f>
        <v>2</v>
      </c>
      <c r="M34" s="64" t="inlineStr">
        <is>
          <t xml:space="preserve">S₆</t>
        </is>
      </c>
      <c r="N34" s="94">
        <f>IF(ISNUMBER('Dataset for Meta-algorithm'!L22),SUM('Dataset for Meta-algorithm'!$B22:E22),"—")</f>
        <v>0.266666666666667</v>
      </c>
      <c r="O34" s="68">
        <f>Dataset!O8</f>
        <v>1</v>
      </c>
      <c r="P34" s="72">
        <f>IF(ISNUMBER(N34),IF(O34=1,1,-1)*(N34-N$40),"—")</f>
        <v>-0.2</v>
      </c>
      <c r="Q34" s="74">
        <f>IF(ISNUMBER(N34),IF(N34&gt;N$40,1,2),"—")</f>
        <v>2</v>
      </c>
      <c r="S34" s="64" t="inlineStr">
        <is>
          <t xml:space="preserve">S₆</t>
        </is>
      </c>
      <c r="T34" s="94">
        <f>IF(ISNUMBER('Dataset for Meta-algorithm'!M22),SUM('Dataset for Meta-algorithm'!$B22:F22),"—")</f>
        <v>0.416666666666667</v>
      </c>
      <c r="U34" s="68">
        <f>Dataset!O8</f>
        <v>1</v>
      </c>
      <c r="V34" s="72">
        <f>IF(ISNUMBER(T34),IF(U34=1,1,-1)*(T34-T$40),"—")</f>
        <v>-0.2</v>
      </c>
      <c r="W34" s="74">
        <f>IF(ISNUMBER(T34),IF(T34&gt;T$40,1,2),"—")</f>
        <v>2</v>
      </c>
    </row>
    <row r="35">
      <c r="A35" s="64" t="inlineStr">
        <is>
          <t xml:space="preserve">S₇</t>
        </is>
      </c>
      <c r="B35" s="94">
        <f>IF(ISNUMBER('Dataset for Meta-algorithm'!J23),SUM('Dataset for Meta-algorithm'!$B23:C23),"—")</f>
        <v>-0.0333333333333334</v>
      </c>
      <c r="C35" s="68">
        <f>Dataset!O9</f>
        <v>2</v>
      </c>
      <c r="D35" s="72">
        <f>IF(ISNUMBER(B35),IF(C35=1,1,-1)*(B35-B$40),"—")</f>
        <v>0.2</v>
      </c>
      <c r="E35" s="74">
        <f>IF(ISNUMBER(B35),IF(B35&gt;B$40,1,2),"—")</f>
        <v>2</v>
      </c>
      <c r="G35" s="64" t="inlineStr">
        <is>
          <t xml:space="preserve">S₇</t>
        </is>
      </c>
      <c r="H35" s="94">
        <f>IF(ISNUMBER('Dataset for Meta-algorithm'!K23),SUM('Dataset for Meta-algorithm'!$B23:D23),"—")</f>
        <v>0.116666666666667</v>
      </c>
      <c r="I35" s="68">
        <f>Dataset!O9</f>
        <v>2</v>
      </c>
      <c r="J35" s="72">
        <f>IF(ISNUMBER(H35),IF(I35=1,1,-1)*(H35-H$40),"—")</f>
        <v>0.2</v>
      </c>
      <c r="K35" s="74">
        <f>IF(ISNUMBER(H35),IF(H35&gt;H$40,1,2),"—")</f>
        <v>2</v>
      </c>
      <c r="M35" s="64" t="inlineStr">
        <is>
          <t xml:space="preserve">S₇</t>
        </is>
      </c>
      <c r="N35" s="94">
        <f>IF(ISNUMBER('Dataset for Meta-algorithm'!L23),SUM('Dataset for Meta-algorithm'!$B23:E23),"—")</f>
        <v>0.266666666666667</v>
      </c>
      <c r="O35" s="68">
        <f>Dataset!O9</f>
        <v>2</v>
      </c>
      <c r="P35" s="72">
        <f>IF(ISNUMBER(N35),IF(O35=1,1,-1)*(N35-N$40),"—")</f>
        <v>0.2</v>
      </c>
      <c r="Q35" s="74">
        <f>IF(ISNUMBER(N35),IF(N35&gt;N$40,1,2),"—")</f>
        <v>2</v>
      </c>
      <c r="S35" s="64" t="inlineStr">
        <is>
          <t xml:space="preserve">S₇</t>
        </is>
      </c>
      <c r="T35" s="94">
        <f>IF(ISNUMBER('Dataset for Meta-algorithm'!M23),SUM('Dataset for Meta-algorithm'!$B23:F23),"—")</f>
        <v>0.416666666666667</v>
      </c>
      <c r="U35" s="68">
        <f>Dataset!O9</f>
        <v>2</v>
      </c>
      <c r="V35" s="72">
        <f>IF(ISNUMBER(T35),IF(U35=1,1,-1)*(T35-T$40),"—")</f>
        <v>0.2</v>
      </c>
      <c r="W35" s="74">
        <f>IF(ISNUMBER(T35),IF(T35&gt;T$40,1,2),"—")</f>
        <v>2</v>
      </c>
    </row>
    <row r="36">
      <c r="A36" s="64" t="inlineStr">
        <is>
          <t xml:space="preserve">S₈</t>
        </is>
      </c>
      <c r="B36" s="94">
        <f>IF(ISNUMBER('Dataset for Meta-algorithm'!J24),SUM('Dataset for Meta-algorithm'!$B24:C24),"—")</f>
        <v>-0.0333333333333334</v>
      </c>
      <c r="C36" s="68">
        <f>Dataset!O10</f>
        <v>2</v>
      </c>
      <c r="D36" s="72">
        <f>IF(ISNUMBER(B36),IF(C36=1,1,-1)*(B36-B$40),"—")</f>
        <v>0.2</v>
      </c>
      <c r="E36" s="74">
        <f>IF(ISNUMBER(B36),IF(B36&gt;B$40,1,2),"—")</f>
        <v>2</v>
      </c>
      <c r="G36" s="64" t="inlineStr">
        <is>
          <t xml:space="preserve">S₈</t>
        </is>
      </c>
      <c r="H36" s="94">
        <f>IF(ISNUMBER('Dataset for Meta-algorithm'!K24),SUM('Dataset for Meta-algorithm'!$B24:D24),"—")</f>
        <v>0.116666666666667</v>
      </c>
      <c r="I36" s="68">
        <f>Dataset!O10</f>
        <v>2</v>
      </c>
      <c r="J36" s="72">
        <f>IF(ISNUMBER(H36),IF(I36=1,1,-1)*(H36-H$40),"—")</f>
        <v>0.2</v>
      </c>
      <c r="K36" s="74">
        <f>IF(ISNUMBER(H36),IF(H36&gt;H$40,1,2),"—")</f>
        <v>2</v>
      </c>
      <c r="M36" s="64" t="inlineStr">
        <is>
          <t xml:space="preserve">S₈</t>
        </is>
      </c>
      <c r="N36" s="94">
        <f>IF(ISNUMBER('Dataset for Meta-algorithm'!L24),SUM('Dataset for Meta-algorithm'!$B24:E24),"—")</f>
        <v>0.266666666666667</v>
      </c>
      <c r="O36" s="68">
        <f>Dataset!O10</f>
        <v>2</v>
      </c>
      <c r="P36" s="72">
        <f>IF(ISNUMBER(N36),IF(O36=1,1,-1)*(N36-N$40),"—")</f>
        <v>0.2</v>
      </c>
      <c r="Q36" s="74">
        <f>IF(ISNUMBER(N36),IF(N36&gt;N$40,1,2),"—")</f>
        <v>2</v>
      </c>
      <c r="S36" s="64" t="inlineStr">
        <is>
          <t xml:space="preserve">S₈</t>
        </is>
      </c>
      <c r="T36" s="94">
        <f>IF(ISNUMBER('Dataset for Meta-algorithm'!M24),SUM('Dataset for Meta-algorithm'!$B24:F24),"—")</f>
        <v>0.416666666666667</v>
      </c>
      <c r="U36" s="68">
        <f>Dataset!O10</f>
        <v>2</v>
      </c>
      <c r="V36" s="72">
        <f>IF(ISNUMBER(T36),IF(U36=1,1,-1)*(T36-T$40),"—")</f>
        <v>0.2</v>
      </c>
      <c r="W36" s="74">
        <f>IF(ISNUMBER(T36),IF(T36&gt;T$40,1,2),"—")</f>
        <v>2</v>
      </c>
    </row>
    <row r="37">
      <c r="A37" s="64" t="inlineStr">
        <is>
          <t xml:space="preserve">S₉</t>
        </is>
      </c>
      <c r="B37" s="94">
        <f>IF(ISNUMBER('Dataset for Meta-algorithm'!J25),SUM('Dataset for Meta-algorithm'!$B25:C25),"—")</f>
        <v>-0.0333333333333334</v>
      </c>
      <c r="C37" s="68">
        <f>Dataset!O11</f>
        <v>2</v>
      </c>
      <c r="D37" s="72">
        <f>IF(ISNUMBER(B37),IF(C37=1,1,-1)*(B37-B$40),"—")</f>
        <v>0.2</v>
      </c>
      <c r="E37" s="74">
        <f>IF(ISNUMBER(B37),IF(B37&gt;B$40,1,2),"—")</f>
        <v>2</v>
      </c>
      <c r="G37" s="64" t="inlineStr">
        <is>
          <t xml:space="preserve">S₉</t>
        </is>
      </c>
      <c r="H37" s="94">
        <f>IF(ISNUMBER('Dataset for Meta-algorithm'!K25),SUM('Dataset for Meta-algorithm'!$B25:D25),"—")</f>
        <v>0.116666666666667</v>
      </c>
      <c r="I37" s="68">
        <f>Dataset!O11</f>
        <v>2</v>
      </c>
      <c r="J37" s="72">
        <f>IF(ISNUMBER(H37),IF(I37=1,1,-1)*(H37-H$40),"—")</f>
        <v>0.2</v>
      </c>
      <c r="K37" s="74">
        <f>IF(ISNUMBER(H37),IF(H37&gt;H$40,1,2),"—")</f>
        <v>2</v>
      </c>
      <c r="M37" s="64" t="inlineStr">
        <is>
          <t xml:space="preserve">S₉</t>
        </is>
      </c>
      <c r="N37" s="94">
        <f>IF(ISNUMBER('Dataset for Meta-algorithm'!L25),SUM('Dataset for Meta-algorithm'!$B25:E25),"—")</f>
        <v>0.266666666666667</v>
      </c>
      <c r="O37" s="68">
        <f>Dataset!O11</f>
        <v>2</v>
      </c>
      <c r="P37" s="72">
        <f>IF(ISNUMBER(N37),IF(O37=1,1,-1)*(N37-N$40),"—")</f>
        <v>0.2</v>
      </c>
      <c r="Q37" s="74">
        <f>IF(ISNUMBER(N37),IF(N37&gt;N$40,1,2),"—")</f>
        <v>2</v>
      </c>
      <c r="S37" s="64" t="inlineStr">
        <is>
          <t xml:space="preserve">S₉</t>
        </is>
      </c>
      <c r="T37" s="94">
        <f>IF(ISNUMBER('Dataset for Meta-algorithm'!M25),SUM('Dataset for Meta-algorithm'!$B25:F25),"—")</f>
        <v>0.416666666666667</v>
      </c>
      <c r="U37" s="68">
        <f>Dataset!O11</f>
        <v>2</v>
      </c>
      <c r="V37" s="72">
        <f>IF(ISNUMBER(T37),IF(U37=1,1,-1)*(T37-T$40),"—")</f>
        <v>0.2</v>
      </c>
      <c r="W37" s="74">
        <f>IF(ISNUMBER(T37),IF(T37&gt;T$40,1,2),"—")</f>
        <v>2</v>
      </c>
    </row>
    <row r="38">
      <c r="A38" s="64" t="inlineStr">
        <is>
          <t xml:space="preserve">S₁₀</t>
        </is>
      </c>
      <c r="B38" s="94">
        <f>IF(ISNUMBER('Dataset for Meta-algorithm'!J26),SUM('Dataset for Meta-algorithm'!$B26:C26),"—")</f>
        <v>-0.0333333333333334</v>
      </c>
      <c r="C38" s="68">
        <f>Dataset!O12</f>
        <v>2</v>
      </c>
      <c r="D38" s="72">
        <f>IF(ISNUMBER(B38),IF(C38=1,1,-1)*(B38-B$40),"—")</f>
        <v>0.2</v>
      </c>
      <c r="E38" s="74">
        <f>IF(ISNUMBER(B38),IF(B38&gt;B$40,1,2),"—")</f>
        <v>2</v>
      </c>
      <c r="G38" s="64" t="inlineStr">
        <is>
          <t xml:space="preserve">S₁₀</t>
        </is>
      </c>
      <c r="H38" s="94">
        <f>IF(ISNUMBER('Dataset for Meta-algorithm'!K26),SUM('Dataset for Meta-algorithm'!$B26:D26),"—")</f>
        <v>0.116666666666667</v>
      </c>
      <c r="I38" s="68">
        <f>Dataset!O12</f>
        <v>2</v>
      </c>
      <c r="J38" s="72">
        <f>IF(ISNUMBER(H38),IF(I38=1,1,-1)*(H38-H$40),"—")</f>
        <v>0.2</v>
      </c>
      <c r="K38" s="74">
        <f>IF(ISNUMBER(H38),IF(H38&gt;H$40,1,2),"—")</f>
        <v>2</v>
      </c>
      <c r="M38" s="64" t="inlineStr">
        <is>
          <t xml:space="preserve">S₁₀</t>
        </is>
      </c>
      <c r="N38" s="94">
        <f>IF(ISNUMBER('Dataset for Meta-algorithm'!L26),SUM('Dataset for Meta-algorithm'!$B26:E26),"—")</f>
        <v>0.266666666666667</v>
      </c>
      <c r="O38" s="68">
        <f>Dataset!O12</f>
        <v>2</v>
      </c>
      <c r="P38" s="72">
        <f>IF(ISNUMBER(N38),IF(O38=1,1,-1)*(N38-N$40),"—")</f>
        <v>0.2</v>
      </c>
      <c r="Q38" s="74">
        <f>IF(ISNUMBER(N38),IF(N38&gt;N$40,1,2),"—")</f>
        <v>2</v>
      </c>
      <c r="S38" s="64" t="inlineStr">
        <is>
          <t xml:space="preserve">S₁₀</t>
        </is>
      </c>
      <c r="T38" s="94">
        <f>IF(ISNUMBER('Dataset for Meta-algorithm'!M26),SUM('Dataset for Meta-algorithm'!$B26:F26),"—")</f>
        <v>0.416666666666667</v>
      </c>
      <c r="U38" s="68">
        <f>Dataset!O12</f>
        <v>2</v>
      </c>
      <c r="V38" s="72">
        <f>IF(ISNUMBER(T38),IF(U38=1,1,-1)*(T38-T$40),"—")</f>
        <v>0.2</v>
      </c>
      <c r="W38" s="74">
        <f>IF(ISNUMBER(T38),IF(T38&gt;T$40,1,2),"—")</f>
        <v>2</v>
      </c>
    </row>
    <row r="39"/>
    <row r="40">
      <c r="A40" s="82" t="inlineStr">
        <is>
          <t xml:space="preserve">b (boundary)</t>
        </is>
      </c>
      <c r="B40" s="85">
        <f>IF(ISNUMBER(B29),(_xlfn.MINIFS($B$29:$B$38,$C$29:$C$38,1)+_xlfn.MAXIFS($B$29:$B$38,$C$29:$C$38,2))/2,"—")</f>
        <v>0.166666666666667</v>
      </c>
      <c r="G40" s="82" t="inlineStr">
        <is>
          <t xml:space="preserve">b (boundary)</t>
        </is>
      </c>
      <c r="H40" s="85">
        <f>IF(ISNUMBER(H29),(_xlfn.MINIFS($H$29:$H$38,$I$29:$I$38,1)+_xlfn.MAXIFS($H$29:$H$38,$I$29:$I$38,2))/2,"—")</f>
        <v>0.316666666666667</v>
      </c>
      <c r="M40" s="82" t="inlineStr">
        <is>
          <t xml:space="preserve">b (boundary)</t>
        </is>
      </c>
      <c r="N40" s="85">
        <f>IF(ISNUMBER(N29),(_xlfn.MINIFS($N$29:$N$38,$O$29:$O$38,1)+_xlfn.MAXIFS($N$29:$N$38,$O$29:$O$38,2))/2,"—")</f>
        <v>0.466666666666667</v>
      </c>
      <c r="S40" s="82" t="inlineStr">
        <is>
          <t xml:space="preserve">b (boundary)</t>
        </is>
      </c>
      <c r="T40" s="85">
        <f>IF(ISNUMBER(T29),(_xlfn.MINIFS($T$29:$T$38,$U$29:$U$38,1)+_xlfn.MAXIFS($T$29:$T$38,$U$29:$U$38,2))/2,"—")</f>
        <v>0.616666666666667</v>
      </c>
    </row>
    <row r="41">
      <c r="A41" s="82" t="inlineStr">
        <is>
          <t xml:space="preserve">left: max K2</t>
        </is>
      </c>
      <c r="B41" s="85">
        <f>IF(ISNUMBER(B29),_xlfn.MAXIFS($B$29:$B$38,$C$29:$C$38,2),"—")</f>
        <v>0.366666666666667</v>
      </c>
      <c r="C41" s="84" t="str">
        <f>IF(ISNUMBER(B29),INDEX($A$29:$A$38,MATCH(B41,$B$29:$B$38,0)),"")</f>
        <v>S₁</v>
      </c>
      <c r="G41" s="82" t="inlineStr">
        <is>
          <t xml:space="preserve">left: max K2</t>
        </is>
      </c>
      <c r="H41" s="85">
        <f>IF(ISNUMBER(H29),_xlfn.MAXIFS($H$29:$H$38,$I$29:$I$38,2),"—")</f>
        <v>0.516666666666667</v>
      </c>
      <c r="I41" s="84" t="str">
        <f>IF(ISNUMBER(H29),INDEX($G$29:$G$38,MATCH(H41,$H$29:$H$38,0)),"")</f>
        <v>S₁</v>
      </c>
      <c r="M41" s="82" t="inlineStr">
        <is>
          <t xml:space="preserve">left: max K2</t>
        </is>
      </c>
      <c r="N41" s="85">
        <f>IF(ISNUMBER(N29),_xlfn.MAXIFS($N$29:$N$38,$O$29:$O$38,2),"—")</f>
        <v>0.666666666666667</v>
      </c>
      <c r="O41" s="84" t="str">
        <f>IF(ISNUMBER(N29),INDEX($M$29:$M$38,MATCH(N41,$N$29:$N$38,0)),"")</f>
        <v>S₁</v>
      </c>
      <c r="S41" s="82" t="inlineStr">
        <is>
          <t xml:space="preserve">left: max K2</t>
        </is>
      </c>
      <c r="T41" s="85">
        <f>IF(ISNUMBER(T29),_xlfn.MAXIFS($T$29:$T$38,$U$29:$U$38,2),"—")</f>
        <v>0.816666666666666</v>
      </c>
      <c r="U41" s="84" t="str">
        <f>IF(ISNUMBER(T29),INDEX($S$29:$S$38,MATCH(T41,$T$29:$T$38,0)),"")</f>
        <v>S₁</v>
      </c>
    </row>
    <row r="42">
      <c r="A42" s="82" t="inlineStr">
        <is>
          <t xml:space="preserve">right: min K1</t>
        </is>
      </c>
      <c r="B42" s="85">
        <f>IF(ISNUMBER(B29),_xlfn.MINIFS($B$29:$B$38,$C$29:$C$38,1),"—")</f>
        <v>-0.0333333333333334</v>
      </c>
      <c r="C42" s="84" t="str">
        <f>IF(ISNUMBER(B29),INDEX($A$29:$A$38,MATCH(B42,$B$29:$B$38,0)),"")</f>
        <v>S₂</v>
      </c>
      <c r="G42" s="82" t="inlineStr">
        <is>
          <t xml:space="preserve">right: min K1</t>
        </is>
      </c>
      <c r="H42" s="85">
        <f>IF(ISNUMBER(H29),_xlfn.MINIFS($H$29:$H$38,$I$29:$I$38,1),"—")</f>
        <v>0.116666666666667</v>
      </c>
      <c r="I42" s="84" t="str">
        <f>IF(ISNUMBER(H29),INDEX($G$29:$G$38,MATCH(H42,$H$29:$H$38,0)),"")</f>
        <v>S₂</v>
      </c>
      <c r="M42" s="82" t="inlineStr">
        <is>
          <t xml:space="preserve">right: min K1</t>
        </is>
      </c>
      <c r="N42" s="85">
        <f>IF(ISNUMBER(N29),_xlfn.MINIFS($N$29:$N$38,$O$29:$O$38,1),"—")</f>
        <v>0.266666666666667</v>
      </c>
      <c r="O42" s="84" t="str">
        <f>IF(ISNUMBER(N29),INDEX($M$29:$M$38,MATCH(N42,$N$29:$N$38,0)),"")</f>
        <v>S₂</v>
      </c>
      <c r="S42" s="82" t="inlineStr">
        <is>
          <t xml:space="preserve">right: min K1</t>
        </is>
      </c>
      <c r="T42" s="85">
        <f>IF(ISNUMBER(T29),_xlfn.MINIFS($T$29:$T$38,$U$29:$U$38,1),"—")</f>
        <v>0.416666666666667</v>
      </c>
      <c r="U42" s="84" t="str">
        <f>IF(ISNUMBER(T29),INDEX($S$29:$S$38,MATCH(T42,$T$29:$T$38,0)),"")</f>
        <v>S₂</v>
      </c>
    </row>
    <row r="43">
      <c r="A43" s="82" t="inlineStr">
        <is>
          <t xml:space="preserve">margin width</t>
        </is>
      </c>
      <c r="B43" s="85">
        <f>IF(ISNUMBER(B29),B42-B41,"—")</f>
        <v>-0.4</v>
      </c>
      <c r="G43" s="82" t="inlineStr">
        <is>
          <t xml:space="preserve">margin width</t>
        </is>
      </c>
      <c r="H43" s="85">
        <f>IF(ISNUMBER(H29),H42-H41,"—")</f>
        <v>-0.4</v>
      </c>
      <c r="M43" s="82" t="inlineStr">
        <is>
          <t xml:space="preserve">margin width</t>
        </is>
      </c>
      <c r="N43" s="85">
        <f>IF(ISNUMBER(N29),N42-N41,"—")</f>
        <v>-0.4</v>
      </c>
      <c r="S43" s="82" t="inlineStr">
        <is>
          <t xml:space="preserve">margin width</t>
        </is>
      </c>
      <c r="T43" s="85">
        <f>IF(ISNUMBER(T29),T42-T41,"—")</f>
        <v>-0.4</v>
      </c>
    </row>
    <row r="44">
      <c r="A44" s="82" t="inlineStr">
        <is>
          <t xml:space="preserve">ŷ correct (count)</t>
        </is>
      </c>
      <c r="B44" s="83">
        <f>IF(ISNUMBER(B29),SUMPRODUCT(--($E$29:$E$38=$C$29:$C$38)),"—")</f>
        <v>7</v>
      </c>
      <c r="G44" s="82" t="inlineStr">
        <is>
          <t xml:space="preserve">ŷ correct (count)</t>
        </is>
      </c>
      <c r="H44" s="83">
        <f>IF(ISNUMBER(H29),SUMPRODUCT(--($K$29:$K$38=$I$29:$I$38)),"—")</f>
        <v>7</v>
      </c>
      <c r="M44" s="82" t="inlineStr">
        <is>
          <t xml:space="preserve">ŷ correct (count)</t>
        </is>
      </c>
      <c r="N44" s="83">
        <f>IF(ISNUMBER(N29),SUMPRODUCT(--($Q$29:$Q$38=$O$29:$O$38)),"—")</f>
        <v>7</v>
      </c>
      <c r="S44" s="82" t="inlineStr">
        <is>
          <t xml:space="preserve">ŷ correct (count)</t>
        </is>
      </c>
      <c r="T44" s="83">
        <f>IF(ISNUMBER(T29),SUMPRODUCT(--($W$29:$W$38=$U$29:$U$38)),"—")</f>
        <v>7</v>
      </c>
    </row>
    <row r="45"/>
    <row r="46">
      <c r="A46" s="58" t="inlineStr">
        <is>
          <t xml:space="preserve">Comparing margin widths with and without majorizer</t>
        </is>
      </c>
      <c r="B46" s="58"/>
      <c r="C46" s="58"/>
      <c r="D46" s="58"/>
      <c r="E46" s="58"/>
    </row>
    <row r="47">
      <c r="A47" s="60" t="inlineStr">
        <is>
          <t xml:space="preserve"/>
        </is>
      </c>
      <c r="B47" s="63" t="inlineStr">
        <is>
          <t xml:space="preserve">r₁</t>
        </is>
      </c>
      <c r="C47" s="63" t="inlineStr">
        <is>
          <t xml:space="preserve">r₂</t>
        </is>
      </c>
      <c r="D47" s="63" t="inlineStr">
        <is>
          <t xml:space="preserve">r₃</t>
        </is>
      </c>
      <c r="E47" s="63" t="inlineStr">
        <is>
          <t xml:space="preserve">r₄</t>
        </is>
      </c>
    </row>
    <row r="48">
      <c r="A48" s="65" t="inlineStr">
        <is>
          <t xml:space="preserve">With</t>
        </is>
      </c>
      <c r="B48" s="85">
        <f>B24</f>
        <v>0.148177267098285</v>
      </c>
      <c r="C48" s="85">
        <f>H24</f>
        <v>0.649596904180235</v>
      </c>
      <c r="D48" s="85">
        <f>N24</f>
        <v>1.12009851552738</v>
      </c>
      <c r="E48" s="85">
        <f>T24</f>
        <v>1.57431737159627</v>
      </c>
    </row>
    <row r="49">
      <c r="A49" s="65" t="inlineStr">
        <is>
          <t xml:space="preserve">Without</t>
        </is>
      </c>
      <c r="B49" s="85">
        <f>B43</f>
        <v>-0.4</v>
      </c>
      <c r="C49" s="85">
        <f>H43</f>
        <v>-0.4</v>
      </c>
      <c r="D49" s="85">
        <f>N43</f>
        <v>-0.4</v>
      </c>
      <c r="E49" s="85">
        <f>T43</f>
        <v>-0.4</v>
      </c>
    </row>
    <row r="50">
      <c r="A50" s="65" t="inlineStr">
        <is>
          <t xml:space="preserve">Gain (with − without)</t>
        </is>
      </c>
      <c r="B50" s="92">
        <f>IF(ISNUMBER(B48),B48-B49,"—")</f>
        <v>0.548177267098285</v>
      </c>
      <c r="C50" s="92">
        <f>IF(ISNUMBER(C48),C48-C49,"—")</f>
        <v>1.04959690418023</v>
      </c>
      <c r="D50" s="92">
        <f>IF(ISNUMBER(D48),D48-D49,"—")</f>
        <v>1.52009851552738</v>
      </c>
      <c r="E50" s="92">
        <f>IF(ISNUMBER(E48),E48-E49,"—")</f>
        <v>1.97431737159627</v>
      </c>
    </row>
    <row r="51"/>
    <row r="52">
      <c r="A52" s="99" t="inlineStr">
        <is>
          <t xml:space="preserve">The majorizer pushes K1 objects up and K2 objects down by α·σ(−b), so a positive gain means the regularisation widened the margin of that latent feature.</t>
        </is>
      </c>
    </row>
  </sheetData>
  <mergeCells count="8">
    <mergeCell ref="A1:X1"/>
    <mergeCell ref="A3:W3"/>
    <mergeCell ref="A4:W4"/>
    <mergeCell ref="A5:W5"/>
    <mergeCell ref="A6:W6"/>
    <mergeCell ref="A8:W8"/>
    <mergeCell ref="A27:W27"/>
    <mergeCell ref="A46:E46"/>
  </mergeCells>
  <conditionalFormatting sqref="D10:D19">
    <cfRule type="expression" dxfId="2" priority="1">
      <formula>AND(ISNUMBER(D10),D10&lt;=0)</formula>
    </cfRule>
  </conditionalFormatting>
  <conditionalFormatting sqref="J10:J19">
    <cfRule type="expression" dxfId="2" priority="2">
      <formula>AND(ISNUMBER(J10),J10&lt;=0)</formula>
    </cfRule>
  </conditionalFormatting>
  <conditionalFormatting sqref="P10:P19">
    <cfRule type="expression" dxfId="2" priority="3">
      <formula>AND(ISNUMBER(P10),P10&lt;=0)</formula>
    </cfRule>
  </conditionalFormatting>
  <conditionalFormatting sqref="V10:V19">
    <cfRule type="expression" dxfId="2" priority="4">
      <formula>AND(ISNUMBER(V10),V10&lt;=0)</formula>
    </cfRule>
  </conditionalFormatting>
  <conditionalFormatting sqref="D29:D38">
    <cfRule type="expression" dxfId="2" priority="5">
      <formula>AND(ISNUMBER(D29),D29&lt;=0)</formula>
    </cfRule>
  </conditionalFormatting>
  <conditionalFormatting sqref="J29:J38">
    <cfRule type="expression" dxfId="2" priority="6">
      <formula>AND(ISNUMBER(J29),J29&lt;=0)</formula>
    </cfRule>
  </conditionalFormatting>
  <conditionalFormatting sqref="P29:P38">
    <cfRule type="expression" dxfId="2" priority="7">
      <formula>AND(ISNUMBER(P29),P29&lt;=0)</formula>
    </cfRule>
  </conditionalFormatting>
  <conditionalFormatting sqref="V29:V38">
    <cfRule type="expression" dxfId="2" priority="8">
      <formula>AND(ISNUMBER(V29),V29&lt;=0)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K14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0.77734375" customWidth="1"/>
    <col min="2" max="2" width="24.77734375" customWidth="1"/>
    <col min="3" max="11" width="12.77734375" customWidth="1"/>
  </cols>
  <sheetData>
    <row r="1" ht="20" customHeight="1">
      <c r="A1" s="57" t="inlineStr">
        <is>
          <t xml:space="preserve">Accuracy  =  (TP + TN) / (TP + TN + FP + FN)   ·   positive class = 1;  a refusal (0) counts as an error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/>
    <row r="3">
      <c r="A3" s="60" t="inlineStr">
        <is>
          <t xml:space="preserve">Method</t>
        </is>
      </c>
      <c r="B3" s="60" t="inlineStr">
        <is>
          <t xml:space="preserve">Evaluation</t>
        </is>
      </c>
      <c r="C3" s="60" t="inlineStr">
        <is>
          <t xml:space="preserve">TP</t>
        </is>
      </c>
      <c r="D3" s="60" t="inlineStr">
        <is>
          <t xml:space="preserve">TN</t>
        </is>
      </c>
      <c r="E3" s="60" t="inlineStr">
        <is>
          <t xml:space="preserve">FP</t>
        </is>
      </c>
      <c r="F3" s="60" t="inlineStr">
        <is>
          <t xml:space="preserve">FN</t>
        </is>
      </c>
      <c r="G3" s="60" t="inlineStr">
        <is>
          <t xml:space="preserve">Refusals</t>
        </is>
      </c>
      <c r="H3" s="60" t="inlineStr">
        <is>
          <t xml:space="preserve">Accuracy</t>
        </is>
      </c>
      <c r="I3" s="60" t="inlineStr">
        <is>
          <t xml:space="preserve">Coverage</t>
        </is>
      </c>
      <c r="J3" s="60" t="inlineStr">
        <is>
          <t xml:space="preserve">Accuracy on answered</t>
        </is>
      </c>
      <c r="K3" s="60" t="inlineStr">
        <is>
          <t xml:space="preserve">Correct / m</t>
        </is>
      </c>
    </row>
    <row r="4">
      <c r="A4" s="65" t="inlineStr">
        <is>
          <t xml:space="preserve">Meta-algorithm</t>
        </is>
      </c>
      <c r="B4" s="65" t="inlineStr">
        <is>
          <t xml:space="preserve">resubstitution (live)</t>
        </is>
      </c>
      <c r="C4" s="74">
        <f>SUMPRODUCT(('Meta-algorithm (All Objects)'!$H$5:$H$14=1)*('Meta-algorithm (All Objects)'!$I$5:$I$14=1))</f>
        <v>2</v>
      </c>
      <c r="D4" s="74">
        <f>SUMPRODUCT(('Meta-algorithm (All Objects)'!$H$5:$H$14=2)*('Meta-algorithm (All Objects)'!$I$5:$I$14=2))</f>
        <v>5</v>
      </c>
      <c r="E4" s="74">
        <f>SUMPRODUCT(('Meta-algorithm (All Objects)'!$H$5:$H$14=1)*('Meta-algorithm (All Objects)'!$I$5:$I$14=2))</f>
        <v>1</v>
      </c>
      <c r="F4" s="74">
        <f>SUMPRODUCT(('Meta-algorithm (All Objects)'!$H$5:$H$14=2)*('Meta-algorithm (All Objects)'!$I$5:$I$14=1))</f>
        <v>2</v>
      </c>
      <c r="G4" s="74">
        <f>COUNTIF('Meta-algorithm (All Objects)'!$H$5:$H$14,0)</f>
        <v>0</v>
      </c>
      <c r="H4" s="92">
        <f>(C4+D4)/'Parameters'!$B$5</f>
        <v>0.7</v>
      </c>
      <c r="I4" s="72">
        <f>('Parameters'!$B$5-G4)/'Parameters'!$B$5</f>
        <v>1</v>
      </c>
      <c r="J4" s="72">
        <f>IF('Parameters'!$B$5-G4&gt;0,(C4+D4)/('Parameters'!$B$5-G4),"—")</f>
        <v>0.7</v>
      </c>
      <c r="K4" s="83" t="str">
        <f>(C4+D4)&amp;" / "&amp;'Parameters'!$B$5</f>
        <v>7 / 10</v>
      </c>
    </row>
    <row r="5">
      <c r="A5" s="65" t="inlineStr">
        <is>
          <t xml:space="preserve">Meta-algorithm</t>
        </is>
      </c>
      <c r="B5" s="65" t="inlineStr">
        <is>
          <t xml:space="preserve">leave-one-out (engine)</t>
        </is>
      </c>
      <c r="C5" s="74">
        <f>SUMPRODUCT(('Leave-One-Out'!$L$5:$L$14=1)*('Leave-One-Out'!$B$5:$B$14=1))</f>
        <v>1</v>
      </c>
      <c r="D5" s="74">
        <f>SUMPRODUCT(('Leave-One-Out'!$L$5:$L$14=2)*('Leave-One-Out'!$B$5:$B$14=2))</f>
        <v>1</v>
      </c>
      <c r="E5" s="74">
        <f>SUMPRODUCT(('Leave-One-Out'!$L$5:$L$14=1)*('Leave-One-Out'!$B$5:$B$14=2))</f>
        <v>4</v>
      </c>
      <c r="F5" s="74">
        <f>SUMPRODUCT(('Leave-One-Out'!$L$5:$L$14=2)*('Leave-One-Out'!$B$5:$B$14=1))</f>
        <v>0</v>
      </c>
      <c r="G5" s="74">
        <f>COUNTIF('Leave-One-Out'!$L$5:$L$14,0)</f>
        <v>4</v>
      </c>
      <c r="H5" s="92">
        <f>(C5+D5)/'Parameters'!$B$5</f>
        <v>0.2</v>
      </c>
      <c r="I5" s="72">
        <f>('Parameters'!$B$5-G5)/'Parameters'!$B$5</f>
        <v>0.6</v>
      </c>
      <c r="J5" s="72">
        <f>IF('Parameters'!$B$5-G5&gt;0,(C5+D5)/('Parameters'!$B$5-G5),"—")</f>
        <v>0.333333333333333</v>
      </c>
      <c r="K5" s="83" t="str">
        <f>(C5+D5)&amp;" / "&amp;'Parameters'!$B$5</f>
        <v>2 / 10</v>
      </c>
    </row>
    <row r="6">
      <c r="A6" s="65" t="inlineStr">
        <is>
          <t xml:space="preserve">k-NN vote ρ, k = 3</t>
        </is>
      </c>
      <c r="B6" s="65" t="inlineStr">
        <is>
          <t xml:space="preserve">leave-one-out (engine)</t>
        </is>
      </c>
      <c r="C6" s="74">
        <f>SUMPRODUCT(('Leave-One-Out'!$M$5:$M$14=1)*('Leave-One-Out'!$B$5:$B$14=1))</f>
        <v>0</v>
      </c>
      <c r="D6" s="74">
        <f>SUMPRODUCT(('Leave-One-Out'!$M$5:$M$14=2)*('Leave-One-Out'!$B$5:$B$14=2))</f>
        <v>5</v>
      </c>
      <c r="E6" s="74">
        <f>SUMPRODUCT(('Leave-One-Out'!$M$5:$M$14=1)*('Leave-One-Out'!$B$5:$B$14=2))</f>
        <v>1</v>
      </c>
      <c r="F6" s="74">
        <f>SUMPRODUCT(('Leave-One-Out'!$M$5:$M$14=2)*('Leave-One-Out'!$B$5:$B$14=1))</f>
        <v>4</v>
      </c>
      <c r="G6" s="74">
        <f>COUNTIF('Leave-One-Out'!$M$5:$M$14,0)</f>
        <v>0</v>
      </c>
      <c r="H6" s="92">
        <f>(C6+D6)/'Parameters'!$B$5</f>
        <v>0.5</v>
      </c>
      <c r="I6" s="72">
        <f>('Parameters'!$B$5-G6)/'Parameters'!$B$5</f>
        <v>1</v>
      </c>
      <c r="J6" s="72">
        <f>IF('Parameters'!$B$5-G6&gt;0,(C6+D6)/('Parameters'!$B$5-G6),"—")</f>
        <v>0.5</v>
      </c>
      <c r="K6" s="83" t="str">
        <f>(C6+D6)&amp;" / "&amp;'Parameters'!$B$5</f>
        <v>5 / 10</v>
      </c>
    </row>
    <row r="7">
      <c r="A7" s="65" t="inlineStr">
        <is>
          <t xml:space="preserve">k-NN vote ρ, k = 5</t>
        </is>
      </c>
      <c r="B7" s="65" t="inlineStr">
        <is>
          <t xml:space="preserve">leave-one-out (engine)</t>
        </is>
      </c>
      <c r="C7" s="74">
        <f>SUMPRODUCT(('Leave-One-Out'!$N$5:$N$14=1)*('Leave-One-Out'!$B$5:$B$14=1))</f>
        <v>0</v>
      </c>
      <c r="D7" s="74">
        <f>SUMPRODUCT(('Leave-One-Out'!$N$5:$N$14=2)*('Leave-One-Out'!$B$5:$B$14=2))</f>
        <v>5</v>
      </c>
      <c r="E7" s="74">
        <f>SUMPRODUCT(('Leave-One-Out'!$N$5:$N$14=1)*('Leave-One-Out'!$B$5:$B$14=2))</f>
        <v>1</v>
      </c>
      <c r="F7" s="74">
        <f>SUMPRODUCT(('Leave-One-Out'!$N$5:$N$14=2)*('Leave-One-Out'!$B$5:$B$14=1))</f>
        <v>4</v>
      </c>
      <c r="G7" s="74">
        <f>COUNTIF('Leave-One-Out'!$N$5:$N$14,0)</f>
        <v>0</v>
      </c>
      <c r="H7" s="92">
        <f>(C7+D7)/'Parameters'!$B$5</f>
        <v>0.5</v>
      </c>
      <c r="I7" s="72">
        <f>('Parameters'!$B$5-G7)/'Parameters'!$B$5</f>
        <v>1</v>
      </c>
      <c r="J7" s="72">
        <f>IF('Parameters'!$B$5-G7&gt;0,(C7+D7)/('Parameters'!$B$5-G7),"—")</f>
        <v>0.5</v>
      </c>
      <c r="K7" s="83" t="str">
        <f>(C7+D7)&amp;" / "&amp;'Parameters'!$B$5</f>
        <v>5 / 10</v>
      </c>
    </row>
    <row r="8">
      <c r="A8" s="65" t="inlineStr">
        <is>
          <t xml:space="preserve">k-NN vote ρ_I, k = 3</t>
        </is>
      </c>
      <c r="B8" s="65" t="inlineStr">
        <is>
          <t xml:space="preserve">leave-one-out (engine)</t>
        </is>
      </c>
      <c r="C8" s="74">
        <f>SUMPRODUCT(('Leave-One-Out'!$O$5:$O$14=1)*('Leave-One-Out'!$B$5:$B$14=1))</f>
        <v>2</v>
      </c>
      <c r="D8" s="74">
        <f>SUMPRODUCT(('Leave-One-Out'!$O$5:$O$14=2)*('Leave-One-Out'!$B$5:$B$14=2))</f>
        <v>5</v>
      </c>
      <c r="E8" s="74">
        <f>SUMPRODUCT(('Leave-One-Out'!$O$5:$O$14=1)*('Leave-One-Out'!$B$5:$B$14=2))</f>
        <v>1</v>
      </c>
      <c r="F8" s="74">
        <f>SUMPRODUCT(('Leave-One-Out'!$O$5:$O$14=2)*('Leave-One-Out'!$B$5:$B$14=1))</f>
        <v>2</v>
      </c>
      <c r="G8" s="74">
        <f>COUNTIF('Leave-One-Out'!$O$5:$O$14,0)</f>
        <v>0</v>
      </c>
      <c r="H8" s="92">
        <f>(C8+D8)/'Parameters'!$B$5</f>
        <v>0.7</v>
      </c>
      <c r="I8" s="72">
        <f>('Parameters'!$B$5-G8)/'Parameters'!$B$5</f>
        <v>1</v>
      </c>
      <c r="J8" s="72">
        <f>IF('Parameters'!$B$5-G8&gt;0,(C8+D8)/('Parameters'!$B$5-G8),"—")</f>
        <v>0.7</v>
      </c>
      <c r="K8" s="83" t="str">
        <f>(C8+D8)&amp;" / "&amp;'Parameters'!$B$5</f>
        <v>7 / 10</v>
      </c>
    </row>
    <row r="9">
      <c r="A9" s="65" t="inlineStr">
        <is>
          <t xml:space="preserve">k-NN vote ρ_I, k = 5</t>
        </is>
      </c>
      <c r="B9" s="65" t="inlineStr">
        <is>
          <t xml:space="preserve">leave-one-out (engine)</t>
        </is>
      </c>
      <c r="C9" s="74">
        <f>SUMPRODUCT(('Leave-One-Out'!$P$5:$P$14=1)*('Leave-One-Out'!$B$5:$B$14=1))</f>
        <v>0</v>
      </c>
      <c r="D9" s="74">
        <f>SUMPRODUCT(('Leave-One-Out'!$P$5:$P$14=2)*('Leave-One-Out'!$B$5:$B$14=2))</f>
        <v>4</v>
      </c>
      <c r="E9" s="74">
        <f>SUMPRODUCT(('Leave-One-Out'!$P$5:$P$14=1)*('Leave-One-Out'!$B$5:$B$14=2))</f>
        <v>2</v>
      </c>
      <c r="F9" s="74">
        <f>SUMPRODUCT(('Leave-One-Out'!$P$5:$P$14=2)*('Leave-One-Out'!$B$5:$B$14=1))</f>
        <v>4</v>
      </c>
      <c r="G9" s="74">
        <f>COUNTIF('Leave-One-Out'!$P$5:$P$14,0)</f>
        <v>0</v>
      </c>
      <c r="H9" s="92">
        <f>(C9+D9)/'Parameters'!$B$5</f>
        <v>0.4</v>
      </c>
      <c r="I9" s="72">
        <f>('Parameters'!$B$5-G9)/'Parameters'!$B$5</f>
        <v>1</v>
      </c>
      <c r="J9" s="72">
        <f>IF('Parameters'!$B$5-G9&gt;0,(C9+D9)/('Parameters'!$B$5-G9),"—")</f>
        <v>0.4</v>
      </c>
      <c r="K9" s="83" t="str">
        <f>(C9+D9)&amp;" / "&amp;'Parameters'!$B$5</f>
        <v>4 / 10</v>
      </c>
    </row>
    <row r="10">
      <c r="A10" s="65" t="inlineStr">
        <is>
          <t xml:space="preserve">k-NN vote ρ_J, k = 3</t>
        </is>
      </c>
      <c r="B10" s="65" t="inlineStr">
        <is>
          <t xml:space="preserve">leave-one-out (engine)</t>
        </is>
      </c>
      <c r="C10" s="74">
        <f>SUMPRODUCT(('Leave-One-Out'!$Q$5:$Q$14=1)*('Leave-One-Out'!$B$5:$B$14=1))</f>
        <v>0</v>
      </c>
      <c r="D10" s="74">
        <f>SUMPRODUCT(('Leave-One-Out'!$Q$5:$Q$14=2)*('Leave-One-Out'!$B$5:$B$14=2))</f>
        <v>5</v>
      </c>
      <c r="E10" s="74">
        <f>SUMPRODUCT(('Leave-One-Out'!$Q$5:$Q$14=1)*('Leave-One-Out'!$B$5:$B$14=2))</f>
        <v>1</v>
      </c>
      <c r="F10" s="74">
        <f>SUMPRODUCT(('Leave-One-Out'!$Q$5:$Q$14=2)*('Leave-One-Out'!$B$5:$B$14=1))</f>
        <v>4</v>
      </c>
      <c r="G10" s="74">
        <f>COUNTIF('Leave-One-Out'!$Q$5:$Q$14,0)</f>
        <v>0</v>
      </c>
      <c r="H10" s="92">
        <f>(C10+D10)/'Parameters'!$B$5</f>
        <v>0.5</v>
      </c>
      <c r="I10" s="72">
        <f>('Parameters'!$B$5-G10)/'Parameters'!$B$5</f>
        <v>1</v>
      </c>
      <c r="J10" s="72">
        <f>IF('Parameters'!$B$5-G10&gt;0,(C10+D10)/('Parameters'!$B$5-G10),"—")</f>
        <v>0.5</v>
      </c>
      <c r="K10" s="83" t="str">
        <f>(C10+D10)&amp;" / "&amp;'Parameters'!$B$5</f>
        <v>5 / 10</v>
      </c>
    </row>
    <row r="11">
      <c r="A11" s="65" t="inlineStr">
        <is>
          <t xml:space="preserve">k-NN vote ρ_J, k = 5</t>
        </is>
      </c>
      <c r="B11" s="65" t="inlineStr">
        <is>
          <t xml:space="preserve">leave-one-out (engine)</t>
        </is>
      </c>
      <c r="C11" s="74">
        <f>SUMPRODUCT(('Leave-One-Out'!$R$5:$R$14=1)*('Leave-One-Out'!$B$5:$B$14=1))</f>
        <v>0</v>
      </c>
      <c r="D11" s="74">
        <f>SUMPRODUCT(('Leave-One-Out'!$R$5:$R$14=2)*('Leave-One-Out'!$B$5:$B$14=2))</f>
        <v>5</v>
      </c>
      <c r="E11" s="74">
        <f>SUMPRODUCT(('Leave-One-Out'!$R$5:$R$14=1)*('Leave-One-Out'!$B$5:$B$14=2))</f>
        <v>1</v>
      </c>
      <c r="F11" s="74">
        <f>SUMPRODUCT(('Leave-One-Out'!$R$5:$R$14=2)*('Leave-One-Out'!$B$5:$B$14=1))</f>
        <v>4</v>
      </c>
      <c r="G11" s="74">
        <f>COUNTIF('Leave-One-Out'!$R$5:$R$14,0)</f>
        <v>0</v>
      </c>
      <c r="H11" s="92">
        <f>(C11+D11)/'Parameters'!$B$5</f>
        <v>0.5</v>
      </c>
      <c r="I11" s="72">
        <f>('Parameters'!$B$5-G11)/'Parameters'!$B$5</f>
        <v>1</v>
      </c>
      <c r="J11" s="72">
        <f>IF('Parameters'!$B$5-G11&gt;0,(C11+D11)/('Parameters'!$B$5-G11),"—")</f>
        <v>0.5</v>
      </c>
      <c r="K11" s="83" t="str">
        <f>(C11+D11)&amp;" / "&amp;'Parameters'!$B$5</f>
        <v>5 / 10</v>
      </c>
    </row>
    <row r="12"/>
    <row r="13">
      <c r="A13" s="99" t="inlineStr">
        <is>
          <t xml:space="preserve">TP = predicted 1 and true 1;  TN = predicted 2 and true 2;  FP = predicted 1 and true 2;  FN = predicted 2 and true 1;  refusal = predicted 0 (equal scores in Step 4).</t>
        </is>
      </c>
    </row>
    <row r="14">
      <c r="A14" s="99" t="inlineStr">
        <is>
          <t xml:space="preserve">Coverage = share of objects that received a class; "Accuracy on answered" ignores refusals.</t>
        </is>
      </c>
    </row>
  </sheetData>
  <mergeCells count="1">
    <mergeCell ref="A1:K1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M10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3" width="13.77734375" customWidth="1"/>
  </cols>
  <sheetData>
    <row r="1" ht="20" customHeight="1">
      <c r="A1" s="57" t="inlineStr">
        <is>
          <t xml:space="preserve">Confusion Matrix — actual class (rows) × predicted class (columns), refusals shown separately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</row>
    <row r="2"/>
    <row r="3">
      <c r="A3" s="58" t="inlineStr">
        <is>
          <t xml:space="preserve">Meta-algorithm · resubstitution (live)</t>
        </is>
      </c>
      <c r="B3" s="58"/>
      <c r="C3" s="58"/>
      <c r="D3" s="58"/>
      <c r="E3" s="58"/>
      <c r="F3" s="58"/>
      <c r="H3" s="58" t="inlineStr">
        <is>
          <t xml:space="preserve">Meta-algorithm · leave-one-out (engine)</t>
        </is>
      </c>
      <c r="I3" s="58"/>
      <c r="J3" s="58"/>
      <c r="K3" s="58"/>
      <c r="L3" s="58"/>
      <c r="M3" s="58"/>
    </row>
    <row r="4">
      <c r="A4" s="60" t="inlineStr">
        <is>
          <t xml:space="preserve">Actual \ Predicted</t>
        </is>
      </c>
      <c r="B4" s="60" t="inlineStr">
        <is>
          <t xml:space="preserve">Class 1</t>
        </is>
      </c>
      <c r="C4" s="60" t="inlineStr">
        <is>
          <t xml:space="preserve">Class 2</t>
        </is>
      </c>
      <c r="D4" s="60" t="inlineStr">
        <is>
          <t xml:space="preserve">Refusal (0)</t>
        </is>
      </c>
      <c r="E4" s="60" t="inlineStr">
        <is>
          <t xml:space="preserve">Total</t>
        </is>
      </c>
      <c r="F4" s="60" t="inlineStr">
        <is>
          <t xml:space="preserve">Recall</t>
        </is>
      </c>
      <c r="H4" s="60" t="inlineStr">
        <is>
          <t xml:space="preserve">Actual \ Predicted</t>
        </is>
      </c>
      <c r="I4" s="60" t="inlineStr">
        <is>
          <t xml:space="preserve">Class 1</t>
        </is>
      </c>
      <c r="J4" s="60" t="inlineStr">
        <is>
          <t xml:space="preserve">Class 2</t>
        </is>
      </c>
      <c r="K4" s="60" t="inlineStr">
        <is>
          <t xml:space="preserve">Refusal (0)</t>
        </is>
      </c>
      <c r="L4" s="60" t="inlineStr">
        <is>
          <t xml:space="preserve">Total</t>
        </is>
      </c>
      <c r="M4" s="60" t="inlineStr">
        <is>
          <t xml:space="preserve">Recall</t>
        </is>
      </c>
    </row>
    <row r="5">
      <c r="A5" s="64" t="inlineStr">
        <is>
          <t xml:space="preserve">Class 1</t>
        </is>
      </c>
      <c r="B5" s="91">
        <f>SUMPRODUCT(('Meta-algorithm (All Objects)'!$I$5:$I$14=1)*('Meta-algorithm (All Objects)'!$H$5:$H$14=1))</f>
        <v>2</v>
      </c>
      <c r="C5" s="74">
        <f>SUMPRODUCT(('Meta-algorithm (All Objects)'!$I$5:$I$14=1)*('Meta-algorithm (All Objects)'!$H$5:$H$14=2))</f>
        <v>2</v>
      </c>
      <c r="D5" s="74">
        <f>SUMPRODUCT(('Meta-algorithm (All Objects)'!$I$5:$I$14=1)*('Meta-algorithm (All Objects)'!$H$5:$H$14=0))</f>
        <v>0</v>
      </c>
      <c r="E5" s="83">
        <f>SUM(B5:D5)</f>
        <v>4</v>
      </c>
      <c r="F5" s="72">
        <f>IF(E5&gt;0,B5/E5,"—")</f>
        <v>0.5</v>
      </c>
      <c r="H5" s="64" t="inlineStr">
        <is>
          <t xml:space="preserve">Class 1</t>
        </is>
      </c>
      <c r="I5" s="91">
        <f>SUMPRODUCT(('Leave-One-Out'!$B$5:$B$14=1)*('Leave-One-Out'!$L$5:$L$14=1))</f>
        <v>1</v>
      </c>
      <c r="J5" s="74">
        <f>SUMPRODUCT(('Leave-One-Out'!$B$5:$B$14=1)*('Leave-One-Out'!$L$5:$L$14=2))</f>
        <v>0</v>
      </c>
      <c r="K5" s="74">
        <f>SUMPRODUCT(('Leave-One-Out'!$B$5:$B$14=1)*('Leave-One-Out'!$L$5:$L$14=0))</f>
        <v>3</v>
      </c>
      <c r="L5" s="83">
        <f>SUM(I5:K5)</f>
        <v>4</v>
      </c>
      <c r="M5" s="72">
        <f>IF(L5&gt;0,I5/L5,"—")</f>
        <v>0.25</v>
      </c>
    </row>
    <row r="6">
      <c r="A6" s="64" t="inlineStr">
        <is>
          <t xml:space="preserve">Class 2</t>
        </is>
      </c>
      <c r="B6" s="74">
        <f>SUMPRODUCT(('Meta-algorithm (All Objects)'!$I$5:$I$14=2)*('Meta-algorithm (All Objects)'!$H$5:$H$14=1))</f>
        <v>1</v>
      </c>
      <c r="C6" s="91">
        <f>SUMPRODUCT(('Meta-algorithm (All Objects)'!$I$5:$I$14=2)*('Meta-algorithm (All Objects)'!$H$5:$H$14=2))</f>
        <v>5</v>
      </c>
      <c r="D6" s="74">
        <f>SUMPRODUCT(('Meta-algorithm (All Objects)'!$I$5:$I$14=2)*('Meta-algorithm (All Objects)'!$H$5:$H$14=0))</f>
        <v>0</v>
      </c>
      <c r="E6" s="83">
        <f>SUM(B6:D6)</f>
        <v>6</v>
      </c>
      <c r="F6" s="72">
        <f>IF(E6&gt;0,C6/E6,"—")</f>
        <v>0.833333333333333</v>
      </c>
      <c r="H6" s="64" t="inlineStr">
        <is>
          <t xml:space="preserve">Class 2</t>
        </is>
      </c>
      <c r="I6" s="74">
        <f>SUMPRODUCT(('Leave-One-Out'!$B$5:$B$14=2)*('Leave-One-Out'!$L$5:$L$14=1))</f>
        <v>4</v>
      </c>
      <c r="J6" s="91">
        <f>SUMPRODUCT(('Leave-One-Out'!$B$5:$B$14=2)*('Leave-One-Out'!$L$5:$L$14=2))</f>
        <v>1</v>
      </c>
      <c r="K6" s="74">
        <f>SUMPRODUCT(('Leave-One-Out'!$B$5:$B$14=2)*('Leave-One-Out'!$L$5:$L$14=0))</f>
        <v>1</v>
      </c>
      <c r="L6" s="83">
        <f>SUM(I6:K6)</f>
        <v>6</v>
      </c>
      <c r="M6" s="72">
        <f>IF(L6&gt;0,J6/L6,"—")</f>
        <v>0.166666666666667</v>
      </c>
    </row>
    <row r="7">
      <c r="A7" s="64" t="inlineStr">
        <is>
          <t xml:space="preserve">Total</t>
        </is>
      </c>
      <c r="B7" s="83">
        <f>SUM(B5:B6)</f>
        <v>3</v>
      </c>
      <c r="C7" s="83">
        <f>SUM(C5:C6)</f>
        <v>7</v>
      </c>
      <c r="D7" s="83">
        <f>SUM(D5:D6)</f>
        <v>0</v>
      </c>
      <c r="E7" s="83">
        <f>SUM(E5:E6)</f>
        <v>10</v>
      </c>
      <c r="H7" s="64" t="inlineStr">
        <is>
          <t xml:space="preserve">Total</t>
        </is>
      </c>
      <c r="I7" s="83">
        <f>SUM(I5:I6)</f>
        <v>5</v>
      </c>
      <c r="J7" s="83">
        <f>SUM(J5:J6)</f>
        <v>1</v>
      </c>
      <c r="K7" s="83">
        <f>SUM(K5:K6)</f>
        <v>4</v>
      </c>
      <c r="L7" s="83">
        <f>SUM(L5:L6)</f>
        <v>10</v>
      </c>
    </row>
    <row r="8">
      <c r="A8" s="64" t="inlineStr">
        <is>
          <t xml:space="preserve">Precision</t>
        </is>
      </c>
      <c r="B8" s="72">
        <f>IF(B7&gt;0,B5/B7,"—")</f>
        <v>0.666666666666667</v>
      </c>
      <c r="C8" s="72">
        <f>IF(C7&gt;0,C6/C7,"—")</f>
        <v>0.714285714285714</v>
      </c>
      <c r="H8" s="64" t="inlineStr">
        <is>
          <t xml:space="preserve">Precision</t>
        </is>
      </c>
      <c r="I8" s="72">
        <f>IF(I7&gt;0,I5/I7,"—")</f>
        <v>0.2</v>
      </c>
      <c r="J8" s="72">
        <f>IF(J7&gt;0,J6/J7,"—")</f>
        <v>1</v>
      </c>
    </row>
    <row r="9"/>
    <row r="10">
      <c r="A10" s="99" t="inlineStr">
        <is>
          <t xml:space="preserve">Diagonal (green) = correct decisions. Class 1 is the positive class: TP = [Class 1, Class 1], FN = [Class 1, Class 2], FP = [Class 2, Class 1], TN = [Class 2, Class 2].</t>
        </is>
      </c>
    </row>
  </sheetData>
  <mergeCells count="3">
    <mergeCell ref="A1:L1"/>
    <mergeCell ref="A3:F3"/>
    <mergeCell ref="H3:M3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I2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0.77734375" customWidth="1"/>
    <col min="2" max="2" width="24.77734375" customWidth="1"/>
    <col min="3" max="8" width="13.77734375" customWidth="1"/>
  </cols>
  <sheetData>
    <row r="1" ht="20" customHeight="1">
      <c r="A1" s="57" t="inlineStr">
        <is>
          <t xml:space="preserve">Precision, Recall, F1 Score — per class and macro average (refusals count as not predicted)</t>
        </is>
      </c>
      <c r="B1" s="57"/>
      <c r="C1" s="57"/>
      <c r="D1" s="57"/>
      <c r="E1" s="57"/>
      <c r="F1" s="57"/>
      <c r="G1" s="57"/>
      <c r="H1" s="57"/>
      <c r="I1" s="57"/>
    </row>
    <row r="2"/>
    <row r="3">
      <c r="A3" s="60" t="inlineStr">
        <is>
          <t xml:space="preserve">Method</t>
        </is>
      </c>
      <c r="B3" s="60" t="inlineStr">
        <is>
          <t xml:space="preserve">Evaluation</t>
        </is>
      </c>
      <c r="C3" s="60" t="inlineStr">
        <is>
          <t xml:space="preserve">Class</t>
        </is>
      </c>
      <c r="D3" s="60" t="inlineStr">
        <is>
          <t xml:space="preserve">Predicted as class</t>
        </is>
      </c>
      <c r="E3" s="60" t="inlineStr">
        <is>
          <t xml:space="preserve">True positives</t>
        </is>
      </c>
      <c r="F3" s="60" t="inlineStr">
        <is>
          <t xml:space="preserve">Precision</t>
        </is>
      </c>
      <c r="G3" s="60" t="inlineStr">
        <is>
          <t xml:space="preserve">Recall</t>
        </is>
      </c>
      <c r="H3" s="60" t="inlineStr">
        <is>
          <t xml:space="preserve">F1</t>
        </is>
      </c>
    </row>
    <row r="4">
      <c r="A4" s="65" t="inlineStr">
        <is>
          <t xml:space="preserve">Meta-algorithm</t>
        </is>
      </c>
      <c r="B4" s="65" t="inlineStr">
        <is>
          <t xml:space="preserve">resubstitution (live)</t>
        </is>
      </c>
      <c r="C4" s="68">
        <v>1</v>
      </c>
      <c r="D4" s="74">
        <f>COUNTIF('Meta-algorithm (All Objects)'!$H$5:$H$14,1)</f>
        <v>3</v>
      </c>
      <c r="E4" s="74">
        <f>SUMPRODUCT(('Meta-algorithm (All Objects)'!$H$5:$H$14=1)*('Meta-algorithm (All Objects)'!$I$5:$I$14=1))</f>
        <v>2</v>
      </c>
      <c r="F4" s="72">
        <f>IF(D4&gt;0,E4/D4,0)</f>
        <v>0.666666666666667</v>
      </c>
      <c r="G4" s="72">
        <f>E4/COUNTIF('Meta-algorithm (All Objects)'!$I$5:$I$14,1)</f>
        <v>0.5</v>
      </c>
      <c r="H4" s="92">
        <f>IF(F4+G4&gt;0,2*F4*G4/(F4+G4),0)</f>
        <v>0.571428571428572</v>
      </c>
    </row>
    <row r="5">
      <c r="A5" s="65" t="inlineStr">
        <is>
          <t xml:space="preserve">Meta-algorithm</t>
        </is>
      </c>
      <c r="B5" s="65" t="inlineStr">
        <is>
          <t xml:space="preserve">resubstitution (live)</t>
        </is>
      </c>
      <c r="C5" s="68">
        <v>2</v>
      </c>
      <c r="D5" s="74">
        <f>COUNTIF('Meta-algorithm (All Objects)'!$H$5:$H$14,2)</f>
        <v>7</v>
      </c>
      <c r="E5" s="74">
        <f>SUMPRODUCT(('Meta-algorithm (All Objects)'!$H$5:$H$14=2)*('Meta-algorithm (All Objects)'!$I$5:$I$14=2))</f>
        <v>5</v>
      </c>
      <c r="F5" s="72">
        <f>IF(D5&gt;0,E5/D5,0)</f>
        <v>0.714285714285714</v>
      </c>
      <c r="G5" s="72">
        <f>E5/COUNTIF('Meta-algorithm (All Objects)'!$I$5:$I$14,2)</f>
        <v>0.833333333333333</v>
      </c>
      <c r="H5" s="92">
        <f>IF(F5+G5&gt;0,2*F5*G5/(F5+G5),0)</f>
        <v>0.769230769230769</v>
      </c>
    </row>
    <row r="6">
      <c r="A6" s="65" t="inlineStr">
        <is>
          <t xml:space="preserve">Meta-algorithm</t>
        </is>
      </c>
      <c r="B6" s="65" t="inlineStr">
        <is>
          <t xml:space="preserve">resubstitution (live)</t>
        </is>
      </c>
      <c r="C6" s="82" t="inlineStr">
        <is>
          <t xml:space="preserve">macro</t>
        </is>
      </c>
      <c r="F6" s="85">
        <f>AVERAGE(F4:F5)</f>
        <v>0.690476190476191</v>
      </c>
      <c r="G6" s="85">
        <f>AVERAGE(G4:G5)</f>
        <v>0.666666666666667</v>
      </c>
      <c r="H6" s="85">
        <f>AVERAGE(H4:H5)</f>
        <v>0.67032967032967</v>
      </c>
    </row>
    <row r="7">
      <c r="A7" s="65" t="inlineStr">
        <is>
          <t xml:space="preserve">Meta-algorithm</t>
        </is>
      </c>
      <c r="B7" s="65" t="inlineStr">
        <is>
          <t xml:space="preserve">leave-one-out (engine)</t>
        </is>
      </c>
      <c r="C7" s="68">
        <v>1</v>
      </c>
      <c r="D7" s="74">
        <f>COUNTIF('Leave-One-Out'!$L$5:$L$14,1)</f>
        <v>5</v>
      </c>
      <c r="E7" s="74">
        <f>SUMPRODUCT(('Leave-One-Out'!$L$5:$L$14=1)*('Leave-One-Out'!$B$5:$B$14=1))</f>
        <v>1</v>
      </c>
      <c r="F7" s="72">
        <f>IF(D7&gt;0,E7/D7,0)</f>
        <v>0.2</v>
      </c>
      <c r="G7" s="72">
        <f>E7/COUNTIF('Leave-One-Out'!$B$5:$B$14,1)</f>
        <v>0.25</v>
      </c>
      <c r="H7" s="92">
        <f>IF(F7+G7&gt;0,2*F7*G7/(F7+G7),0)</f>
        <v>0.222222222222222</v>
      </c>
    </row>
    <row r="8">
      <c r="A8" s="65" t="inlineStr">
        <is>
          <t xml:space="preserve">Meta-algorithm</t>
        </is>
      </c>
      <c r="B8" s="65" t="inlineStr">
        <is>
          <t xml:space="preserve">leave-one-out (engine)</t>
        </is>
      </c>
      <c r="C8" s="68">
        <v>2</v>
      </c>
      <c r="D8" s="74">
        <f>COUNTIF('Leave-One-Out'!$L$5:$L$14,2)</f>
        <v>1</v>
      </c>
      <c r="E8" s="74">
        <f>SUMPRODUCT(('Leave-One-Out'!$L$5:$L$14=2)*('Leave-One-Out'!$B$5:$B$14=2))</f>
        <v>1</v>
      </c>
      <c r="F8" s="72">
        <f>IF(D8&gt;0,E8/D8,0)</f>
        <v>1</v>
      </c>
      <c r="G8" s="72">
        <f>E8/COUNTIF('Leave-One-Out'!$B$5:$B$14,2)</f>
        <v>0.166666666666667</v>
      </c>
      <c r="H8" s="92">
        <f>IF(F8+G8&gt;0,2*F8*G8/(F8+G8),0)</f>
        <v>0.285714285714286</v>
      </c>
    </row>
    <row r="9">
      <c r="A9" s="65" t="inlineStr">
        <is>
          <t xml:space="preserve">Meta-algorithm</t>
        </is>
      </c>
      <c r="B9" s="65" t="inlineStr">
        <is>
          <t xml:space="preserve">leave-one-out (engine)</t>
        </is>
      </c>
      <c r="C9" s="82" t="inlineStr">
        <is>
          <t xml:space="preserve">macro</t>
        </is>
      </c>
      <c r="F9" s="85">
        <f>AVERAGE(F7:F8)</f>
        <v>0.6</v>
      </c>
      <c r="G9" s="85">
        <f>AVERAGE(G7:G8)</f>
        <v>0.208333333333333</v>
      </c>
      <c r="H9" s="85">
        <f>AVERAGE(H7:H8)</f>
        <v>0.253968253968254</v>
      </c>
    </row>
    <row r="10">
      <c r="A10" s="65" t="inlineStr">
        <is>
          <t xml:space="preserve">k-NN vote ρ, k = 3</t>
        </is>
      </c>
      <c r="B10" s="65" t="inlineStr">
        <is>
          <t xml:space="preserve">leave-one-out (engine)</t>
        </is>
      </c>
      <c r="C10" s="68">
        <v>1</v>
      </c>
      <c r="D10" s="74">
        <f>COUNTIF('Leave-One-Out'!$M$5:$M$14,1)</f>
        <v>1</v>
      </c>
      <c r="E10" s="74">
        <f>SUMPRODUCT(('Leave-One-Out'!$M$5:$M$14=1)*('Leave-One-Out'!$B$5:$B$14=1))</f>
        <v>0</v>
      </c>
      <c r="F10" s="72">
        <f>IF(D10&gt;0,E10/D10,0)</f>
        <v>0</v>
      </c>
      <c r="G10" s="72">
        <f>E10/COUNTIF('Leave-One-Out'!$B$5:$B$14,1)</f>
        <v>0</v>
      </c>
      <c r="H10" s="92">
        <f>IF(F10+G10&gt;0,2*F10*G10/(F10+G10),0)</f>
        <v>0</v>
      </c>
    </row>
    <row r="11">
      <c r="A11" s="65" t="inlineStr">
        <is>
          <t xml:space="preserve">k-NN vote ρ, k = 3</t>
        </is>
      </c>
      <c r="B11" s="65" t="inlineStr">
        <is>
          <t xml:space="preserve">leave-one-out (engine)</t>
        </is>
      </c>
      <c r="C11" s="68">
        <v>2</v>
      </c>
      <c r="D11" s="74">
        <f>COUNTIF('Leave-One-Out'!$M$5:$M$14,2)</f>
        <v>9</v>
      </c>
      <c r="E11" s="74">
        <f>SUMPRODUCT(('Leave-One-Out'!$M$5:$M$14=2)*('Leave-One-Out'!$B$5:$B$14=2))</f>
        <v>5</v>
      </c>
      <c r="F11" s="72">
        <f>IF(D11&gt;0,E11/D11,0)</f>
        <v>0.555555555555556</v>
      </c>
      <c r="G11" s="72">
        <f>E11/COUNTIF('Leave-One-Out'!$B$5:$B$14,2)</f>
        <v>0.833333333333333</v>
      </c>
      <c r="H11" s="92">
        <f>IF(F11+G11&gt;0,2*F11*G11/(F11+G11),0)</f>
        <v>0.666666666666667</v>
      </c>
    </row>
    <row r="12">
      <c r="A12" s="65" t="inlineStr">
        <is>
          <t xml:space="preserve">k-NN vote ρ, k = 3</t>
        </is>
      </c>
      <c r="B12" s="65" t="inlineStr">
        <is>
          <t xml:space="preserve">leave-one-out (engine)</t>
        </is>
      </c>
      <c r="C12" s="82" t="inlineStr">
        <is>
          <t xml:space="preserve">macro</t>
        </is>
      </c>
      <c r="F12" s="85">
        <f>AVERAGE(F10:F11)</f>
        <v>0.277777777777778</v>
      </c>
      <c r="G12" s="85">
        <f>AVERAGE(G10:G11)</f>
        <v>0.416666666666667</v>
      </c>
      <c r="H12" s="85">
        <f>AVERAGE(H10:H11)</f>
        <v>0.333333333333333</v>
      </c>
    </row>
    <row r="13">
      <c r="A13" s="65" t="inlineStr">
        <is>
          <t xml:space="preserve">k-NN vote ρ, k = 5</t>
        </is>
      </c>
      <c r="B13" s="65" t="inlineStr">
        <is>
          <t xml:space="preserve">leave-one-out (engine)</t>
        </is>
      </c>
      <c r="C13" s="68">
        <v>1</v>
      </c>
      <c r="D13" s="74">
        <f>COUNTIF('Leave-One-Out'!$N$5:$N$14,1)</f>
        <v>1</v>
      </c>
      <c r="E13" s="74">
        <f>SUMPRODUCT(('Leave-One-Out'!$N$5:$N$14=1)*('Leave-One-Out'!$B$5:$B$14=1))</f>
        <v>0</v>
      </c>
      <c r="F13" s="72">
        <f>IF(D13&gt;0,E13/D13,0)</f>
        <v>0</v>
      </c>
      <c r="G13" s="72">
        <f>E13/COUNTIF('Leave-One-Out'!$B$5:$B$14,1)</f>
        <v>0</v>
      </c>
      <c r="H13" s="92">
        <f>IF(F13+G13&gt;0,2*F13*G13/(F13+G13),0)</f>
        <v>0</v>
      </c>
    </row>
    <row r="14">
      <c r="A14" s="65" t="inlineStr">
        <is>
          <t xml:space="preserve">k-NN vote ρ, k = 5</t>
        </is>
      </c>
      <c r="B14" s="65" t="inlineStr">
        <is>
          <t xml:space="preserve">leave-one-out (engine)</t>
        </is>
      </c>
      <c r="C14" s="68">
        <v>2</v>
      </c>
      <c r="D14" s="74">
        <f>COUNTIF('Leave-One-Out'!$N$5:$N$14,2)</f>
        <v>9</v>
      </c>
      <c r="E14" s="74">
        <f>SUMPRODUCT(('Leave-One-Out'!$N$5:$N$14=2)*('Leave-One-Out'!$B$5:$B$14=2))</f>
        <v>5</v>
      </c>
      <c r="F14" s="72">
        <f>IF(D14&gt;0,E14/D14,0)</f>
        <v>0.555555555555556</v>
      </c>
      <c r="G14" s="72">
        <f>E14/COUNTIF('Leave-One-Out'!$B$5:$B$14,2)</f>
        <v>0.833333333333333</v>
      </c>
      <c r="H14" s="92">
        <f>IF(F14+G14&gt;0,2*F14*G14/(F14+G14),0)</f>
        <v>0.666666666666667</v>
      </c>
    </row>
    <row r="15">
      <c r="A15" s="65" t="inlineStr">
        <is>
          <t xml:space="preserve">k-NN vote ρ, k = 5</t>
        </is>
      </c>
      <c r="B15" s="65" t="inlineStr">
        <is>
          <t xml:space="preserve">leave-one-out (engine)</t>
        </is>
      </c>
      <c r="C15" s="82" t="inlineStr">
        <is>
          <t xml:space="preserve">macro</t>
        </is>
      </c>
      <c r="F15" s="85">
        <f>AVERAGE(F13:F14)</f>
        <v>0.277777777777778</v>
      </c>
      <c r="G15" s="85">
        <f>AVERAGE(G13:G14)</f>
        <v>0.416666666666667</v>
      </c>
      <c r="H15" s="85">
        <f>AVERAGE(H13:H14)</f>
        <v>0.333333333333333</v>
      </c>
    </row>
    <row r="16">
      <c r="A16" s="65" t="inlineStr">
        <is>
          <t xml:space="preserve">k-NN vote ρ_I, k = 3</t>
        </is>
      </c>
      <c r="B16" s="65" t="inlineStr">
        <is>
          <t xml:space="preserve">leave-one-out (engine)</t>
        </is>
      </c>
      <c r="C16" s="68">
        <v>1</v>
      </c>
      <c r="D16" s="74">
        <f>COUNTIF('Leave-One-Out'!$O$5:$O$14,1)</f>
        <v>3</v>
      </c>
      <c r="E16" s="74">
        <f>SUMPRODUCT(('Leave-One-Out'!$O$5:$O$14=1)*('Leave-One-Out'!$B$5:$B$14=1))</f>
        <v>2</v>
      </c>
      <c r="F16" s="72">
        <f>IF(D16&gt;0,E16/D16,0)</f>
        <v>0.666666666666667</v>
      </c>
      <c r="G16" s="72">
        <f>E16/COUNTIF('Leave-One-Out'!$B$5:$B$14,1)</f>
        <v>0.5</v>
      </c>
      <c r="H16" s="92">
        <f>IF(F16+G16&gt;0,2*F16*G16/(F16+G16),0)</f>
        <v>0.571428571428572</v>
      </c>
    </row>
    <row r="17">
      <c r="A17" s="65" t="inlineStr">
        <is>
          <t xml:space="preserve">k-NN vote ρ_I, k = 3</t>
        </is>
      </c>
      <c r="B17" s="65" t="inlineStr">
        <is>
          <t xml:space="preserve">leave-one-out (engine)</t>
        </is>
      </c>
      <c r="C17" s="68">
        <v>2</v>
      </c>
      <c r="D17" s="74">
        <f>COUNTIF('Leave-One-Out'!$O$5:$O$14,2)</f>
        <v>7</v>
      </c>
      <c r="E17" s="74">
        <f>SUMPRODUCT(('Leave-One-Out'!$O$5:$O$14=2)*('Leave-One-Out'!$B$5:$B$14=2))</f>
        <v>5</v>
      </c>
      <c r="F17" s="72">
        <f>IF(D17&gt;0,E17/D17,0)</f>
        <v>0.714285714285714</v>
      </c>
      <c r="G17" s="72">
        <f>E17/COUNTIF('Leave-One-Out'!$B$5:$B$14,2)</f>
        <v>0.833333333333333</v>
      </c>
      <c r="H17" s="92">
        <f>IF(F17+G17&gt;0,2*F17*G17/(F17+G17),0)</f>
        <v>0.769230769230769</v>
      </c>
    </row>
    <row r="18">
      <c r="A18" s="65" t="inlineStr">
        <is>
          <t xml:space="preserve">k-NN vote ρ_I, k = 3</t>
        </is>
      </c>
      <c r="B18" s="65" t="inlineStr">
        <is>
          <t xml:space="preserve">leave-one-out (engine)</t>
        </is>
      </c>
      <c r="C18" s="82" t="inlineStr">
        <is>
          <t xml:space="preserve">macro</t>
        </is>
      </c>
      <c r="F18" s="85">
        <f>AVERAGE(F16:F17)</f>
        <v>0.690476190476191</v>
      </c>
      <c r="G18" s="85">
        <f>AVERAGE(G16:G17)</f>
        <v>0.666666666666667</v>
      </c>
      <c r="H18" s="85">
        <f>AVERAGE(H16:H17)</f>
        <v>0.67032967032967</v>
      </c>
    </row>
    <row r="19">
      <c r="A19" s="65" t="inlineStr">
        <is>
          <t xml:space="preserve">k-NN vote ρ_I, k = 5</t>
        </is>
      </c>
      <c r="B19" s="65" t="inlineStr">
        <is>
          <t xml:space="preserve">leave-one-out (engine)</t>
        </is>
      </c>
      <c r="C19" s="68">
        <v>1</v>
      </c>
      <c r="D19" s="74">
        <f>COUNTIF('Leave-One-Out'!$P$5:$P$14,1)</f>
        <v>2</v>
      </c>
      <c r="E19" s="74">
        <f>SUMPRODUCT(('Leave-One-Out'!$P$5:$P$14=1)*('Leave-One-Out'!$B$5:$B$14=1))</f>
        <v>0</v>
      </c>
      <c r="F19" s="72">
        <f>IF(D19&gt;0,E19/D19,0)</f>
        <v>0</v>
      </c>
      <c r="G19" s="72">
        <f>E19/COUNTIF('Leave-One-Out'!$B$5:$B$14,1)</f>
        <v>0</v>
      </c>
      <c r="H19" s="92">
        <f>IF(F19+G19&gt;0,2*F19*G19/(F19+G19),0)</f>
        <v>0</v>
      </c>
    </row>
    <row r="20">
      <c r="A20" s="65" t="inlineStr">
        <is>
          <t xml:space="preserve">k-NN vote ρ_I, k = 5</t>
        </is>
      </c>
      <c r="B20" s="65" t="inlineStr">
        <is>
          <t xml:space="preserve">leave-one-out (engine)</t>
        </is>
      </c>
      <c r="C20" s="68">
        <v>2</v>
      </c>
      <c r="D20" s="74">
        <f>COUNTIF('Leave-One-Out'!$P$5:$P$14,2)</f>
        <v>8</v>
      </c>
      <c r="E20" s="74">
        <f>SUMPRODUCT(('Leave-One-Out'!$P$5:$P$14=2)*('Leave-One-Out'!$B$5:$B$14=2))</f>
        <v>4</v>
      </c>
      <c r="F20" s="72">
        <f>IF(D20&gt;0,E20/D20,0)</f>
        <v>0.5</v>
      </c>
      <c r="G20" s="72">
        <f>E20/COUNTIF('Leave-One-Out'!$B$5:$B$14,2)</f>
        <v>0.666666666666667</v>
      </c>
      <c r="H20" s="92">
        <f>IF(F20+G20&gt;0,2*F20*G20/(F20+G20),0)</f>
        <v>0.571428571428572</v>
      </c>
    </row>
    <row r="21">
      <c r="A21" s="65" t="inlineStr">
        <is>
          <t xml:space="preserve">k-NN vote ρ_I, k = 5</t>
        </is>
      </c>
      <c r="B21" s="65" t="inlineStr">
        <is>
          <t xml:space="preserve">leave-one-out (engine)</t>
        </is>
      </c>
      <c r="C21" s="82" t="inlineStr">
        <is>
          <t xml:space="preserve">macro</t>
        </is>
      </c>
      <c r="F21" s="85">
        <f>AVERAGE(F19:F20)</f>
        <v>0.25</v>
      </c>
      <c r="G21" s="85">
        <f>AVERAGE(G19:G20)</f>
        <v>0.333333333333333</v>
      </c>
      <c r="H21" s="85">
        <f>AVERAGE(H19:H20)</f>
        <v>0.285714285714286</v>
      </c>
    </row>
    <row r="22">
      <c r="A22" s="65" t="inlineStr">
        <is>
          <t xml:space="preserve">k-NN vote ρ_J, k = 3</t>
        </is>
      </c>
      <c r="B22" s="65" t="inlineStr">
        <is>
          <t xml:space="preserve">leave-one-out (engine)</t>
        </is>
      </c>
      <c r="C22" s="68">
        <v>1</v>
      </c>
      <c r="D22" s="74">
        <f>COUNTIF('Leave-One-Out'!$Q$5:$Q$14,1)</f>
        <v>1</v>
      </c>
      <c r="E22" s="74">
        <f>SUMPRODUCT(('Leave-One-Out'!$Q$5:$Q$14=1)*('Leave-One-Out'!$B$5:$B$14=1))</f>
        <v>0</v>
      </c>
      <c r="F22" s="72">
        <f>IF(D22&gt;0,E22/D22,0)</f>
        <v>0</v>
      </c>
      <c r="G22" s="72">
        <f>E22/COUNTIF('Leave-One-Out'!$B$5:$B$14,1)</f>
        <v>0</v>
      </c>
      <c r="H22" s="92">
        <f>IF(F22+G22&gt;0,2*F22*G22/(F22+G22),0)</f>
        <v>0</v>
      </c>
    </row>
    <row r="23">
      <c r="A23" s="65" t="inlineStr">
        <is>
          <t xml:space="preserve">k-NN vote ρ_J, k = 3</t>
        </is>
      </c>
      <c r="B23" s="65" t="inlineStr">
        <is>
          <t xml:space="preserve">leave-one-out (engine)</t>
        </is>
      </c>
      <c r="C23" s="68">
        <v>2</v>
      </c>
      <c r="D23" s="74">
        <f>COUNTIF('Leave-One-Out'!$Q$5:$Q$14,2)</f>
        <v>9</v>
      </c>
      <c r="E23" s="74">
        <f>SUMPRODUCT(('Leave-One-Out'!$Q$5:$Q$14=2)*('Leave-One-Out'!$B$5:$B$14=2))</f>
        <v>5</v>
      </c>
      <c r="F23" s="72">
        <f>IF(D23&gt;0,E23/D23,0)</f>
        <v>0.555555555555556</v>
      </c>
      <c r="G23" s="72">
        <f>E23/COUNTIF('Leave-One-Out'!$B$5:$B$14,2)</f>
        <v>0.833333333333333</v>
      </c>
      <c r="H23" s="92">
        <f>IF(F23+G23&gt;0,2*F23*G23/(F23+G23),0)</f>
        <v>0.666666666666667</v>
      </c>
    </row>
    <row r="24">
      <c r="A24" s="65" t="inlineStr">
        <is>
          <t xml:space="preserve">k-NN vote ρ_J, k = 3</t>
        </is>
      </c>
      <c r="B24" s="65" t="inlineStr">
        <is>
          <t xml:space="preserve">leave-one-out (engine)</t>
        </is>
      </c>
      <c r="C24" s="82" t="inlineStr">
        <is>
          <t xml:space="preserve">macro</t>
        </is>
      </c>
      <c r="F24" s="85">
        <f>AVERAGE(F22:F23)</f>
        <v>0.277777777777778</v>
      </c>
      <c r="G24" s="85">
        <f>AVERAGE(G22:G23)</f>
        <v>0.416666666666667</v>
      </c>
      <c r="H24" s="85">
        <f>AVERAGE(H22:H23)</f>
        <v>0.333333333333333</v>
      </c>
    </row>
    <row r="25">
      <c r="A25" s="65" t="inlineStr">
        <is>
          <t xml:space="preserve">k-NN vote ρ_J, k = 5</t>
        </is>
      </c>
      <c r="B25" s="65" t="inlineStr">
        <is>
          <t xml:space="preserve">leave-one-out (engine)</t>
        </is>
      </c>
      <c r="C25" s="68">
        <v>1</v>
      </c>
      <c r="D25" s="74">
        <f>COUNTIF('Leave-One-Out'!$R$5:$R$14,1)</f>
        <v>1</v>
      </c>
      <c r="E25" s="74">
        <f>SUMPRODUCT(('Leave-One-Out'!$R$5:$R$14=1)*('Leave-One-Out'!$B$5:$B$14=1))</f>
        <v>0</v>
      </c>
      <c r="F25" s="72">
        <f>IF(D25&gt;0,E25/D25,0)</f>
        <v>0</v>
      </c>
      <c r="G25" s="72">
        <f>E25/COUNTIF('Leave-One-Out'!$B$5:$B$14,1)</f>
        <v>0</v>
      </c>
      <c r="H25" s="92">
        <f>IF(F25+G25&gt;0,2*F25*G25/(F25+G25),0)</f>
        <v>0</v>
      </c>
    </row>
    <row r="26">
      <c r="A26" s="65" t="inlineStr">
        <is>
          <t xml:space="preserve">k-NN vote ρ_J, k = 5</t>
        </is>
      </c>
      <c r="B26" s="65" t="inlineStr">
        <is>
          <t xml:space="preserve">leave-one-out (engine)</t>
        </is>
      </c>
      <c r="C26" s="68">
        <v>2</v>
      </c>
      <c r="D26" s="74">
        <f>COUNTIF('Leave-One-Out'!$R$5:$R$14,2)</f>
        <v>9</v>
      </c>
      <c r="E26" s="74">
        <f>SUMPRODUCT(('Leave-One-Out'!$R$5:$R$14=2)*('Leave-One-Out'!$B$5:$B$14=2))</f>
        <v>5</v>
      </c>
      <c r="F26" s="72">
        <f>IF(D26&gt;0,E26/D26,0)</f>
        <v>0.555555555555556</v>
      </c>
      <c r="G26" s="72">
        <f>E26/COUNTIF('Leave-One-Out'!$B$5:$B$14,2)</f>
        <v>0.833333333333333</v>
      </c>
      <c r="H26" s="92">
        <f>IF(F26+G26&gt;0,2*F26*G26/(F26+G26),0)</f>
        <v>0.666666666666667</v>
      </c>
    </row>
    <row r="27">
      <c r="A27" s="65" t="inlineStr">
        <is>
          <t xml:space="preserve">k-NN vote ρ_J, k = 5</t>
        </is>
      </c>
      <c r="B27" s="65" t="inlineStr">
        <is>
          <t xml:space="preserve">leave-one-out (engine)</t>
        </is>
      </c>
      <c r="C27" s="82" t="inlineStr">
        <is>
          <t xml:space="preserve">macro</t>
        </is>
      </c>
      <c r="F27" s="85">
        <f>AVERAGE(F25:F26)</f>
        <v>0.277777777777778</v>
      </c>
      <c r="G27" s="85">
        <f>AVERAGE(G25:G26)</f>
        <v>0.416666666666667</v>
      </c>
      <c r="H27" s="85">
        <f>AVERAGE(H25:H26)</f>
        <v>0.333333333333333</v>
      </c>
    </row>
    <row r="28"/>
    <row r="29">
      <c r="A29" s="99" t="inlineStr">
        <is>
          <t xml:space="preserve">Precision = TP / predicted as the class;  Recall = TP / actual members;  F1 = 2·P·R / (P + R);  0 when undefined.</t>
        </is>
      </c>
    </row>
  </sheetData>
  <mergeCells count="1">
    <mergeCell ref="A1:I1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O30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6" width="12.77734375" customWidth="1"/>
  </cols>
  <sheetData>
    <row r="1" ht="20" customHeight="1">
      <c r="A1" s="57" t="inlineStr">
        <is>
          <t xml:space="preserve">ROC Curve &amp; AUC — score = score₁ − score₂ of the meta-algorithm (Step 4), class 1 positive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</row>
    <row r="2"/>
    <row r="3">
      <c r="A3" s="58" t="inlineStr">
        <is>
          <t xml:space="preserve">Resubstitution (live)</t>
        </is>
      </c>
      <c r="B3" s="58"/>
      <c r="C3" s="58"/>
      <c r="D3" s="58"/>
      <c r="E3" s="58"/>
      <c r="F3" s="58"/>
      <c r="G3" s="58"/>
      <c r="I3" s="58" t="inlineStr">
        <is>
          <t xml:space="preserve">Leave-one-out (engine)</t>
        </is>
      </c>
      <c r="J3" s="58"/>
      <c r="K3" s="58"/>
      <c r="L3" s="58"/>
      <c r="M3" s="58"/>
      <c r="N3" s="58"/>
      <c r="O3" s="58"/>
    </row>
    <row r="4">
      <c r="A4" s="60" t="inlineStr">
        <is>
          <t xml:space="preserve">№</t>
        </is>
      </c>
      <c r="B4" s="60" t="inlineStr">
        <is>
          <t xml:space="preserve">Score</t>
        </is>
      </c>
      <c r="C4" s="60" t="inlineStr">
        <is>
          <t xml:space="preserve">Class</t>
        </is>
      </c>
      <c r="D4" s="60" t="inlineStr">
        <is>
          <t xml:space="preserve">Pairs won (K1 object vs K2)</t>
        </is>
      </c>
      <c r="I4" s="60" t="inlineStr">
        <is>
          <t xml:space="preserve">№</t>
        </is>
      </c>
      <c r="J4" s="60" t="inlineStr">
        <is>
          <t xml:space="preserve">Score</t>
        </is>
      </c>
      <c r="K4" s="60" t="inlineStr">
        <is>
          <t xml:space="preserve">Class</t>
        </is>
      </c>
      <c r="L4" s="60" t="inlineStr">
        <is>
          <t xml:space="preserve">Pairs won (K1 object vs K2)</t>
        </is>
      </c>
    </row>
    <row r="5">
      <c r="A5" s="64" t="inlineStr">
        <is>
          <t xml:space="preserve">S₁</t>
        </is>
      </c>
      <c r="B5" s="72">
        <f>INDEX('Meta-algorithm (All Objects)'!$G$5:$G$14,1)</f>
        <v>0.5</v>
      </c>
      <c r="C5" s="68">
        <f>INDEX('Meta-algorithm (All Objects)'!$I$5:$I$14,1)</f>
        <v>2</v>
      </c>
      <c r="D5" s="72" t="str">
        <f>IF(C5=1,SUMPRODUCT(($C$5:$C$14=2)*((B5&gt;$B$5:$B$14)+0.5*(B5=$B$5:$B$14))),"—")</f>
        <v>—</v>
      </c>
      <c r="I5" s="64" t="inlineStr">
        <is>
          <t xml:space="preserve">S₁</t>
        </is>
      </c>
      <c r="J5" s="72">
        <f>INDEX('Leave-One-Out'!$K$5:$K$14,1)</f>
        <v>0.75</v>
      </c>
      <c r="K5" s="68">
        <f>INDEX('Leave-One-Out'!$B$5:$B$14,1)</f>
        <v>2</v>
      </c>
      <c r="L5" s="72" t="str">
        <f>IF(K5=1,SUMPRODUCT(($K$5:$K$14=2)*((J5&gt;$J$5:$J$14)+0.5*(J5=$J$5:$J$14))),"—")</f>
        <v>—</v>
      </c>
    </row>
    <row r="6">
      <c r="A6" s="64" t="inlineStr">
        <is>
          <t xml:space="preserve">S₂</t>
        </is>
      </c>
      <c r="B6" s="72">
        <f>INDEX('Meta-algorithm (All Objects)'!$G$5:$G$14,2)</f>
        <v>-0.1666666667</v>
      </c>
      <c r="C6" s="68">
        <f>INDEX('Meta-algorithm (All Objects)'!$I$5:$I$14,2)</f>
        <v>1</v>
      </c>
      <c r="D6" s="72">
        <f>IF(C6=1,SUMPRODUCT(($C$5:$C$14=2)*((B6&gt;$B$5:$B$14)+0.5*(B6=$B$5:$B$14))),"—")</f>
        <v>2.5</v>
      </c>
      <c r="I6" s="64" t="inlineStr">
        <is>
          <t xml:space="preserve">S₂</t>
        </is>
      </c>
      <c r="J6" s="72">
        <f>INDEX('Leave-One-Out'!$K$5:$K$14,2)</f>
        <v>0</v>
      </c>
      <c r="K6" s="68">
        <f>INDEX('Leave-One-Out'!$B$5:$B$14,2)</f>
        <v>1</v>
      </c>
      <c r="L6" s="72">
        <f>IF(K6=1,SUMPRODUCT(($K$5:$K$14=2)*((J6&gt;$J$5:$J$14)+0.5*(J6=$J$5:$J$14))),"—")</f>
        <v>1.5</v>
      </c>
    </row>
    <row r="7">
      <c r="A7" s="64" t="inlineStr">
        <is>
          <t xml:space="preserve">S₃</t>
        </is>
      </c>
      <c r="B7" s="72">
        <f>INDEX('Meta-algorithm (All Objects)'!$G$5:$G$14,3)</f>
        <v>-0.1666666667</v>
      </c>
      <c r="C7" s="68">
        <f>INDEX('Meta-algorithm (All Objects)'!$I$5:$I$14,3)</f>
        <v>2</v>
      </c>
      <c r="D7" s="72" t="str">
        <f>IF(C7=1,SUMPRODUCT(($C$5:$C$14=2)*((B7&gt;$B$5:$B$14)+0.5*(B7=$B$5:$B$14))),"—")</f>
        <v>—</v>
      </c>
      <c r="I7" s="64" t="inlineStr">
        <is>
          <t xml:space="preserve">S₃</t>
        </is>
      </c>
      <c r="J7" s="72">
        <f>INDEX('Leave-One-Out'!$K$5:$K$14,3)</f>
        <v>0</v>
      </c>
      <c r="K7" s="68">
        <f>INDEX('Leave-One-Out'!$B$5:$B$14,3)</f>
        <v>2</v>
      </c>
      <c r="L7" s="72" t="str">
        <f>IF(K7=1,SUMPRODUCT(($K$5:$K$14=2)*((J7&gt;$J$5:$J$14)+0.5*(J7=$J$5:$J$14))),"—")</f>
        <v>—</v>
      </c>
    </row>
    <row r="8">
      <c r="A8" s="64" t="inlineStr">
        <is>
          <t xml:space="preserve">S₄</t>
        </is>
      </c>
      <c r="B8" s="72">
        <f>INDEX('Meta-algorithm (All Objects)'!$G$5:$G$14,4)</f>
        <v>0.5</v>
      </c>
      <c r="C8" s="68">
        <f>INDEX('Meta-algorithm (All Objects)'!$I$5:$I$14,4)</f>
        <v>1</v>
      </c>
      <c r="D8" s="72">
        <f>IF(C8=1,SUMPRODUCT(($C$5:$C$14=2)*((B8&gt;$B$5:$B$14)+0.5*(B8=$B$5:$B$14))),"—")</f>
        <v>5.5</v>
      </c>
      <c r="I8" s="64" t="inlineStr">
        <is>
          <t xml:space="preserve">S₄</t>
        </is>
      </c>
      <c r="J8" s="72">
        <f>INDEX('Leave-One-Out'!$K$5:$K$14,4)</f>
        <v>0</v>
      </c>
      <c r="K8" s="68">
        <f>INDEX('Leave-One-Out'!$B$5:$B$14,4)</f>
        <v>1</v>
      </c>
      <c r="L8" s="72">
        <f>IF(K8=1,SUMPRODUCT(($K$5:$K$14=2)*((J8&gt;$J$5:$J$14)+0.5*(J8=$J$5:$J$14))),"—")</f>
        <v>1.5</v>
      </c>
    </row>
    <row r="9">
      <c r="A9" s="64" t="inlineStr">
        <is>
          <t xml:space="preserve">S₅</t>
        </is>
      </c>
      <c r="B9" s="72">
        <f>INDEX('Meta-algorithm (All Objects)'!$G$5:$G$14,5)</f>
        <v>0.5</v>
      </c>
      <c r="C9" s="68">
        <f>INDEX('Meta-algorithm (All Objects)'!$I$5:$I$14,5)</f>
        <v>1</v>
      </c>
      <c r="D9" s="72">
        <f>IF(C9=1,SUMPRODUCT(($C$5:$C$14=2)*((B9&gt;$B$5:$B$14)+0.5*(B9=$B$5:$B$14))),"—")</f>
        <v>5.5</v>
      </c>
      <c r="I9" s="64" t="inlineStr">
        <is>
          <t xml:space="preserve">S₅</t>
        </is>
      </c>
      <c r="J9" s="72">
        <f>INDEX('Leave-One-Out'!$K$5:$K$14,5)</f>
        <v>0</v>
      </c>
      <c r="K9" s="68">
        <f>INDEX('Leave-One-Out'!$B$5:$B$14,5)</f>
        <v>1</v>
      </c>
      <c r="L9" s="72">
        <f>IF(K9=1,SUMPRODUCT(($K$5:$K$14=2)*((J9&gt;$J$5:$J$14)+0.5*(J9=$J$5:$J$14))),"—")</f>
        <v>1.5</v>
      </c>
    </row>
    <row r="10">
      <c r="A10" s="64" t="inlineStr">
        <is>
          <t xml:space="preserve">S₆</t>
        </is>
      </c>
      <c r="B10" s="72">
        <f>INDEX('Meta-algorithm (All Objects)'!$G$5:$G$14,6)</f>
        <v>-0.1666666667</v>
      </c>
      <c r="C10" s="68">
        <f>INDEX('Meta-algorithm (All Objects)'!$I$5:$I$14,6)</f>
        <v>1</v>
      </c>
      <c r="D10" s="72">
        <f>IF(C10=1,SUMPRODUCT(($C$5:$C$14=2)*((B10&gt;$B$5:$B$14)+0.5*(B10=$B$5:$B$14))),"—")</f>
        <v>2.5</v>
      </c>
      <c r="I10" s="64" t="inlineStr">
        <is>
          <t xml:space="preserve">S₆</t>
        </is>
      </c>
      <c r="J10" s="72">
        <f>INDEX('Leave-One-Out'!$K$5:$K$14,6)</f>
        <v>0.1666666667</v>
      </c>
      <c r="K10" s="68">
        <f>INDEX('Leave-One-Out'!$B$5:$B$14,6)</f>
        <v>1</v>
      </c>
      <c r="L10" s="72">
        <f>IF(K10=1,SUMPRODUCT(($K$5:$K$14=2)*((J10&gt;$J$5:$J$14)+0.5*(J10=$J$5:$J$14))),"—")</f>
        <v>2</v>
      </c>
    </row>
    <row r="11">
      <c r="A11" s="64" t="inlineStr">
        <is>
          <t xml:space="preserve">S₇</t>
        </is>
      </c>
      <c r="B11" s="72">
        <f>INDEX('Meta-algorithm (All Objects)'!$G$5:$G$14,7)</f>
        <v>-0.1666666667</v>
      </c>
      <c r="C11" s="68">
        <f>INDEX('Meta-algorithm (All Objects)'!$I$5:$I$14,7)</f>
        <v>2</v>
      </c>
      <c r="D11" s="72" t="str">
        <f>IF(C11=1,SUMPRODUCT(($C$5:$C$14=2)*((B11&gt;$B$5:$B$14)+0.5*(B11=$B$5:$B$14))),"—")</f>
        <v>—</v>
      </c>
      <c r="I11" s="64" t="inlineStr">
        <is>
          <t xml:space="preserve">S₇</t>
        </is>
      </c>
      <c r="J11" s="72">
        <f>INDEX('Leave-One-Out'!$K$5:$K$14,7)</f>
        <v>-0.15</v>
      </c>
      <c r="K11" s="68">
        <f>INDEX('Leave-One-Out'!$B$5:$B$14,7)</f>
        <v>2</v>
      </c>
      <c r="L11" s="72" t="str">
        <f>IF(K11=1,SUMPRODUCT(($K$5:$K$14=2)*((J11&gt;$J$5:$J$14)+0.5*(J11=$J$5:$J$14))),"—")</f>
        <v>—</v>
      </c>
    </row>
    <row r="12">
      <c r="A12" s="64" t="inlineStr">
        <is>
          <t xml:space="preserve">S₈</t>
        </is>
      </c>
      <c r="B12" s="72">
        <f>INDEX('Meta-algorithm (All Objects)'!$G$5:$G$14,8)</f>
        <v>-0.1666666667</v>
      </c>
      <c r="C12" s="68">
        <f>INDEX('Meta-algorithm (All Objects)'!$I$5:$I$14,8)</f>
        <v>2</v>
      </c>
      <c r="D12" s="72" t="str">
        <f>IF(C12=1,SUMPRODUCT(($C$5:$C$14=2)*((B12&gt;$B$5:$B$14)+0.5*(B12=$B$5:$B$14))),"—")</f>
        <v>—</v>
      </c>
      <c r="I12" s="64" t="inlineStr">
        <is>
          <t xml:space="preserve">S₈</t>
        </is>
      </c>
      <c r="J12" s="72">
        <f>INDEX('Leave-One-Out'!$K$5:$K$14,8)</f>
        <v>0.25</v>
      </c>
      <c r="K12" s="68">
        <f>INDEX('Leave-One-Out'!$B$5:$B$14,8)</f>
        <v>2</v>
      </c>
      <c r="L12" s="72" t="str">
        <f>IF(K12=1,SUMPRODUCT(($K$5:$K$14=2)*((J12&gt;$J$5:$J$14)+0.5*(J12=$J$5:$J$14))),"—")</f>
        <v>—</v>
      </c>
    </row>
    <row r="13">
      <c r="A13" s="64" t="inlineStr">
        <is>
          <t xml:space="preserve">S₉</t>
        </is>
      </c>
      <c r="B13" s="72">
        <f>INDEX('Meta-algorithm (All Objects)'!$G$5:$G$14,9)</f>
        <v>-0.1666666667</v>
      </c>
      <c r="C13" s="68">
        <f>INDEX('Meta-algorithm (All Objects)'!$I$5:$I$14,9)</f>
        <v>2</v>
      </c>
      <c r="D13" s="72" t="str">
        <f>IF(C13=1,SUMPRODUCT(($C$5:$C$14=2)*((B13&gt;$B$5:$B$14)+0.5*(B13=$B$5:$B$14))),"—")</f>
        <v>—</v>
      </c>
      <c r="I13" s="64" t="inlineStr">
        <is>
          <t xml:space="preserve">S₉</t>
        </is>
      </c>
      <c r="J13" s="72">
        <f>INDEX('Leave-One-Out'!$K$5:$K$14,9)</f>
        <v>0.5</v>
      </c>
      <c r="K13" s="68">
        <f>INDEX('Leave-One-Out'!$B$5:$B$14,9)</f>
        <v>2</v>
      </c>
      <c r="L13" s="72" t="str">
        <f>IF(K13=1,SUMPRODUCT(($K$5:$K$14=2)*((J13&gt;$J$5:$J$14)+0.5*(J13=$J$5:$J$14))),"—")</f>
        <v>—</v>
      </c>
    </row>
    <row r="14">
      <c r="A14" s="64" t="inlineStr">
        <is>
          <t xml:space="preserve">S₁₀</t>
        </is>
      </c>
      <c r="B14" s="72">
        <f>INDEX('Meta-algorithm (All Objects)'!$G$5:$G$14,10)</f>
        <v>-0.1666666667</v>
      </c>
      <c r="C14" s="68">
        <f>INDEX('Meta-algorithm (All Objects)'!$I$5:$I$14,10)</f>
        <v>2</v>
      </c>
      <c r="D14" s="72" t="str">
        <f>IF(C14=1,SUMPRODUCT(($C$5:$C$14=2)*((B14&gt;$B$5:$B$14)+0.5*(B14=$B$5:$B$14))),"—")</f>
        <v>—</v>
      </c>
      <c r="I14" s="64" t="inlineStr">
        <is>
          <t xml:space="preserve">S₁₀</t>
        </is>
      </c>
      <c r="J14" s="72">
        <f>INDEX('Leave-One-Out'!$K$5:$K$14,10)</f>
        <v>0.75</v>
      </c>
      <c r="K14" s="68">
        <f>INDEX('Leave-One-Out'!$B$5:$B$14,10)</f>
        <v>2</v>
      </c>
      <c r="L14" s="72" t="str">
        <f>IF(K14=1,SUMPRODUCT(($K$5:$K$14=2)*((J14&gt;$J$5:$J$14)+0.5*(J14=$J$5:$J$14))),"—")</f>
        <v>—</v>
      </c>
    </row>
    <row r="15">
      <c r="A15" s="82" t="inlineStr">
        <is>
          <t xml:space="preserve">AUC</t>
        </is>
      </c>
      <c r="B15" s="82"/>
      <c r="C15" s="82"/>
      <c r="D15" s="92">
        <f>SUM(D5:D14)/('Parameters'!$B$6*'Parameters'!$B$7)</f>
        <v>0.666666666666667</v>
      </c>
      <c r="I15" s="82" t="inlineStr">
        <is>
          <t xml:space="preserve">AUC</t>
        </is>
      </c>
      <c r="J15" s="82"/>
      <c r="K15" s="82"/>
      <c r="L15" s="92">
        <f>SUM(L5:L14)/('Parameters'!$B$6*'Parameters'!$B$7)</f>
        <v>0.270833333333333</v>
      </c>
    </row>
    <row r="16"/>
    <row r="17">
      <c r="A17" s="60" t="inlineStr">
        <is>
          <t xml:space="preserve">Threshold</t>
        </is>
      </c>
      <c r="B17" s="60" t="inlineStr">
        <is>
          <t xml:space="preserve">TPR (recall)</t>
        </is>
      </c>
      <c r="C17" s="60" t="inlineStr">
        <is>
          <t xml:space="preserve">FPR</t>
        </is>
      </c>
      <c r="I17" s="60" t="inlineStr">
        <is>
          <t xml:space="preserve">Threshold</t>
        </is>
      </c>
      <c r="J17" s="60" t="inlineStr">
        <is>
          <t xml:space="preserve">TPR (recall)</t>
        </is>
      </c>
      <c r="K17" s="60" t="inlineStr">
        <is>
          <t xml:space="preserve">FPR</t>
        </is>
      </c>
    </row>
    <row r="18">
      <c r="A18" s="83" t="inlineStr">
        <is>
          <t xml:space="preserve">+∞</t>
        </is>
      </c>
      <c r="B18" s="72">
        <v>0</v>
      </c>
      <c r="C18" s="72">
        <v>0</v>
      </c>
      <c r="I18" s="83" t="inlineStr">
        <is>
          <t xml:space="preserve">+∞</t>
        </is>
      </c>
      <c r="J18" s="72">
        <v>0</v>
      </c>
      <c r="K18" s="72">
        <v>0</v>
      </c>
    </row>
    <row r="19">
      <c r="A19" s="72">
        <f>LARGE($B$5:$B$14,1)</f>
        <v>0.5</v>
      </c>
      <c r="B19" s="72">
        <f>COUNTIFS($C$5:$C$14,1,$B$5:$B$14,"&gt;="&amp;A19)/'Parameters'!$B$6</f>
        <v>0.5</v>
      </c>
      <c r="C19" s="72">
        <f>COUNTIFS($C$5:$C$14,2,$B$5:$B$14,"&gt;="&amp;A19)/'Parameters'!$B$7</f>
        <v>0.166666666666667</v>
      </c>
      <c r="I19" s="72">
        <f>LARGE($J$5:$J$14,1)</f>
        <v>0.75</v>
      </c>
      <c r="J19" s="72">
        <f>COUNTIFS($K$5:$K$14,1,$J$5:$J$14,"&gt;="&amp;I19)/'Parameters'!$B$6</f>
        <v>0</v>
      </c>
      <c r="K19" s="72">
        <f>COUNTIFS($K$5:$K$14,2,$J$5:$J$14,"&gt;="&amp;I19)/'Parameters'!$B$7</f>
        <v>0.333333333333333</v>
      </c>
    </row>
    <row r="20">
      <c r="A20" s="72">
        <f>LARGE($B$5:$B$14,2)</f>
        <v>0.5</v>
      </c>
      <c r="B20" s="72">
        <f>COUNTIFS($C$5:$C$14,1,$B$5:$B$14,"&gt;="&amp;A20)/'Parameters'!$B$6</f>
        <v>0.5</v>
      </c>
      <c r="C20" s="72">
        <f>COUNTIFS($C$5:$C$14,2,$B$5:$B$14,"&gt;="&amp;A20)/'Parameters'!$B$7</f>
        <v>0.166666666666667</v>
      </c>
      <c r="I20" s="72">
        <f>LARGE($J$5:$J$14,2)</f>
        <v>0.75</v>
      </c>
      <c r="J20" s="72">
        <f>COUNTIFS($K$5:$K$14,1,$J$5:$J$14,"&gt;="&amp;I20)/'Parameters'!$B$6</f>
        <v>0</v>
      </c>
      <c r="K20" s="72">
        <f>COUNTIFS($K$5:$K$14,2,$J$5:$J$14,"&gt;="&amp;I20)/'Parameters'!$B$7</f>
        <v>0.333333333333333</v>
      </c>
    </row>
    <row r="21">
      <c r="A21" s="72">
        <f>LARGE($B$5:$B$14,3)</f>
        <v>0.5</v>
      </c>
      <c r="B21" s="72">
        <f>COUNTIFS($C$5:$C$14,1,$B$5:$B$14,"&gt;="&amp;A21)/'Parameters'!$B$6</f>
        <v>0.5</v>
      </c>
      <c r="C21" s="72">
        <f>COUNTIFS($C$5:$C$14,2,$B$5:$B$14,"&gt;="&amp;A21)/'Parameters'!$B$7</f>
        <v>0.166666666666667</v>
      </c>
      <c r="I21" s="72">
        <f>LARGE($J$5:$J$14,3)</f>
        <v>0.5</v>
      </c>
      <c r="J21" s="72">
        <f>COUNTIFS($K$5:$K$14,1,$J$5:$J$14,"&gt;="&amp;I21)/'Parameters'!$B$6</f>
        <v>0</v>
      </c>
      <c r="K21" s="72">
        <f>COUNTIFS($K$5:$K$14,2,$J$5:$J$14,"&gt;="&amp;I21)/'Parameters'!$B$7</f>
        <v>0.5</v>
      </c>
    </row>
    <row r="22">
      <c r="A22" s="72">
        <f>LARGE($B$5:$B$14,4)</f>
        <v>-0.1666666667</v>
      </c>
      <c r="B22" s="72">
        <f>COUNTIFS($C$5:$C$14,1,$B$5:$B$14,"&gt;="&amp;A22)/'Parameters'!$B$6</f>
        <v>1</v>
      </c>
      <c r="C22" s="72">
        <f>COUNTIFS($C$5:$C$14,2,$B$5:$B$14,"&gt;="&amp;A22)/'Parameters'!$B$7</f>
        <v>1</v>
      </c>
      <c r="I22" s="72">
        <f>LARGE($J$5:$J$14,4)</f>
        <v>0.25</v>
      </c>
      <c r="J22" s="72">
        <f>COUNTIFS($K$5:$K$14,1,$J$5:$J$14,"&gt;="&amp;I22)/'Parameters'!$B$6</f>
        <v>0</v>
      </c>
      <c r="K22" s="72">
        <f>COUNTIFS($K$5:$K$14,2,$J$5:$J$14,"&gt;="&amp;I22)/'Parameters'!$B$7</f>
        <v>0.666666666666667</v>
      </c>
    </row>
    <row r="23">
      <c r="A23" s="72">
        <f>LARGE($B$5:$B$14,5)</f>
        <v>-0.1666666667</v>
      </c>
      <c r="B23" s="72">
        <f>COUNTIFS($C$5:$C$14,1,$B$5:$B$14,"&gt;="&amp;A23)/'Parameters'!$B$6</f>
        <v>1</v>
      </c>
      <c r="C23" s="72">
        <f>COUNTIFS($C$5:$C$14,2,$B$5:$B$14,"&gt;="&amp;A23)/'Parameters'!$B$7</f>
        <v>1</v>
      </c>
      <c r="I23" s="72">
        <f>LARGE($J$5:$J$14,5)</f>
        <v>0.1666666667</v>
      </c>
      <c r="J23" s="72">
        <f>COUNTIFS($K$5:$K$14,1,$J$5:$J$14,"&gt;="&amp;I23)/'Parameters'!$B$6</f>
        <v>0.25</v>
      </c>
      <c r="K23" s="72">
        <f>COUNTIFS($K$5:$K$14,2,$J$5:$J$14,"&gt;="&amp;I23)/'Parameters'!$B$7</f>
        <v>0.666666666666667</v>
      </c>
    </row>
    <row r="24">
      <c r="A24" s="72">
        <f>LARGE($B$5:$B$14,6)</f>
        <v>-0.1666666667</v>
      </c>
      <c r="B24" s="72">
        <f>COUNTIFS($C$5:$C$14,1,$B$5:$B$14,"&gt;="&amp;A24)/'Parameters'!$B$6</f>
        <v>1</v>
      </c>
      <c r="C24" s="72">
        <f>COUNTIFS($C$5:$C$14,2,$B$5:$B$14,"&gt;="&amp;A24)/'Parameters'!$B$7</f>
        <v>1</v>
      </c>
      <c r="I24" s="72">
        <f>LARGE($J$5:$J$14,6)</f>
        <v>0</v>
      </c>
      <c r="J24" s="72">
        <f>COUNTIFS($K$5:$K$14,1,$J$5:$J$14,"&gt;="&amp;I24)/'Parameters'!$B$6</f>
        <v>1</v>
      </c>
      <c r="K24" s="72">
        <f>COUNTIFS($K$5:$K$14,2,$J$5:$J$14,"&gt;="&amp;I24)/'Parameters'!$B$7</f>
        <v>0.833333333333333</v>
      </c>
    </row>
    <row r="25">
      <c r="A25" s="72">
        <f>LARGE($B$5:$B$14,7)</f>
        <v>-0.1666666667</v>
      </c>
      <c r="B25" s="72">
        <f>COUNTIFS($C$5:$C$14,1,$B$5:$B$14,"&gt;="&amp;A25)/'Parameters'!$B$6</f>
        <v>1</v>
      </c>
      <c r="C25" s="72">
        <f>COUNTIFS($C$5:$C$14,2,$B$5:$B$14,"&gt;="&amp;A25)/'Parameters'!$B$7</f>
        <v>1</v>
      </c>
      <c r="I25" s="72">
        <f>LARGE($J$5:$J$14,7)</f>
        <v>0</v>
      </c>
      <c r="J25" s="72">
        <f>COUNTIFS($K$5:$K$14,1,$J$5:$J$14,"&gt;="&amp;I25)/'Parameters'!$B$6</f>
        <v>1</v>
      </c>
      <c r="K25" s="72">
        <f>COUNTIFS($K$5:$K$14,2,$J$5:$J$14,"&gt;="&amp;I25)/'Parameters'!$B$7</f>
        <v>0.833333333333333</v>
      </c>
    </row>
    <row r="26">
      <c r="A26" s="72">
        <f>LARGE($B$5:$B$14,8)</f>
        <v>-0.1666666667</v>
      </c>
      <c r="B26" s="72">
        <f>COUNTIFS($C$5:$C$14,1,$B$5:$B$14,"&gt;="&amp;A26)/'Parameters'!$B$6</f>
        <v>1</v>
      </c>
      <c r="C26" s="72">
        <f>COUNTIFS($C$5:$C$14,2,$B$5:$B$14,"&gt;="&amp;A26)/'Parameters'!$B$7</f>
        <v>1</v>
      </c>
      <c r="I26" s="72">
        <f>LARGE($J$5:$J$14,8)</f>
        <v>0</v>
      </c>
      <c r="J26" s="72">
        <f>COUNTIFS($K$5:$K$14,1,$J$5:$J$14,"&gt;="&amp;I26)/'Parameters'!$B$6</f>
        <v>1</v>
      </c>
      <c r="K26" s="72">
        <f>COUNTIFS($K$5:$K$14,2,$J$5:$J$14,"&gt;="&amp;I26)/'Parameters'!$B$7</f>
        <v>0.833333333333333</v>
      </c>
    </row>
    <row r="27">
      <c r="A27" s="72">
        <f>LARGE($B$5:$B$14,9)</f>
        <v>-0.1666666667</v>
      </c>
      <c r="B27" s="72">
        <f>COUNTIFS($C$5:$C$14,1,$B$5:$B$14,"&gt;="&amp;A27)/'Parameters'!$B$6</f>
        <v>1</v>
      </c>
      <c r="C27" s="72">
        <f>COUNTIFS($C$5:$C$14,2,$B$5:$B$14,"&gt;="&amp;A27)/'Parameters'!$B$7</f>
        <v>1</v>
      </c>
      <c r="I27" s="72">
        <f>LARGE($J$5:$J$14,9)</f>
        <v>0</v>
      </c>
      <c r="J27" s="72">
        <f>COUNTIFS($K$5:$K$14,1,$J$5:$J$14,"&gt;="&amp;I27)/'Parameters'!$B$6</f>
        <v>1</v>
      </c>
      <c r="K27" s="72">
        <f>COUNTIFS($K$5:$K$14,2,$J$5:$J$14,"&gt;="&amp;I27)/'Parameters'!$B$7</f>
        <v>0.833333333333333</v>
      </c>
    </row>
    <row r="28">
      <c r="A28" s="72">
        <f>LARGE($B$5:$B$14,10)</f>
        <v>-0.1666666667</v>
      </c>
      <c r="B28" s="72">
        <f>COUNTIFS($C$5:$C$14,1,$B$5:$B$14,"&gt;="&amp;A28)/'Parameters'!$B$6</f>
        <v>1</v>
      </c>
      <c r="C28" s="72">
        <f>COUNTIFS($C$5:$C$14,2,$B$5:$B$14,"&gt;="&amp;A28)/'Parameters'!$B$7</f>
        <v>1</v>
      </c>
      <c r="I28" s="72">
        <f>LARGE($J$5:$J$14,10)</f>
        <v>-0.15</v>
      </c>
      <c r="J28" s="72">
        <f>COUNTIFS($K$5:$K$14,1,$J$5:$J$14,"&gt;="&amp;I28)/'Parameters'!$B$6</f>
        <v>1</v>
      </c>
      <c r="K28" s="72">
        <f>COUNTIFS($K$5:$K$14,2,$J$5:$J$14,"&gt;="&amp;I28)/'Parameters'!$B$7</f>
        <v>1</v>
      </c>
    </row>
    <row r="29"/>
    <row r="30">
      <c r="A30" s="99" t="inlineStr">
        <is>
          <t xml:space="preserve">AUC = Mann–Whitney statistic: share of (K1, K2) pairs in which the K1 object has the larger score (ties count ½). The ROC table lists TPR and FPR for every score threshold.</t>
        </is>
      </c>
    </row>
  </sheetData>
  <mergeCells count="5">
    <mergeCell ref="A1:O1"/>
    <mergeCell ref="A3:G3"/>
    <mergeCell ref="A15:C15"/>
    <mergeCell ref="I3:O3"/>
    <mergeCell ref="I15:K15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R18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6" width="11.77734375" customWidth="1"/>
    <col min="7" max="7" width="34.77734375" customWidth="1"/>
    <col min="8" max="8" width="24.77734375" customWidth="1"/>
    <col min="9" max="12" width="12.77734375" customWidth="1"/>
    <col min="13" max="18" width="12.77734375" customWidth="1"/>
  </cols>
  <sheetData>
    <row r="1" ht="20" customHeight="1">
      <c r="A1" s="57" t="inlineStr">
        <is>
          <t xml:space="preserve">Leave-One-Out — generalization correctness (Definition 3): the whole pipeline re-fitted without the held-out object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</row>
    <row r="2"/>
    <row r="3">
      <c r="A3" s="58" t="inlineStr">
        <is>
          <t xml:space="preserve">CS-model: each fold re-computes scaling, k range, Ψ(r), ω, η, HAG and the meta-algorithm on the other 9 objects (engine output — values)</t>
        </is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 t="inlineStr">
        <is>
          <t xml:space="preserve">Baselines · plain k-NN majority vote (same operators), leave-one-out</t>
        </is>
      </c>
      <c r="N3" s="58"/>
      <c r="O3" s="58"/>
      <c r="P3" s="58"/>
      <c r="Q3" s="58"/>
      <c r="R3" s="58"/>
    </row>
    <row r="4">
      <c r="A4" s="60" t="inlineStr">
        <is>
          <t xml:space="preserve">Held out</t>
        </is>
      </c>
      <c r="B4" s="60" t="inlineStr">
        <is>
          <t xml:space="preserve">True class</t>
        </is>
      </c>
      <c r="C4" s="60" t="inlineStr">
        <is>
          <t xml:space="preserve">|K1| in fold</t>
        </is>
      </c>
      <c r="D4" s="60" t="inlineStr">
        <is>
          <t xml:space="preserve">|K2| in fold</t>
        </is>
      </c>
      <c r="E4" s="60" t="inlineStr">
        <is>
          <t xml:space="preserve">Permitted k</t>
        </is>
      </c>
      <c r="F4" s="60" t="inlineStr">
        <is>
          <t xml:space="preserve">r = |Ψ(r)|</t>
        </is>
      </c>
      <c r="G4" s="60" t="inlineStr">
        <is>
          <t xml:space="preserve">TUPLAM (operator·k)</t>
        </is>
      </c>
      <c r="H4" s="60" t="inlineStr">
        <is>
          <t xml:space="preserve">(a₀, …, a_p) of the held-out</t>
        </is>
      </c>
      <c r="I4" s="60" t="inlineStr">
        <is>
          <t xml:space="preserve">score₁</t>
        </is>
      </c>
      <c r="J4" s="60" t="inlineStr">
        <is>
          <t xml:space="preserve">score₂</t>
        </is>
      </c>
      <c r="K4" s="60" t="inlineStr">
        <is>
          <t xml:space="preserve">score₁ − score₂</t>
        </is>
      </c>
      <c r="L4" s="60" t="inlineStr">
        <is>
          <t xml:space="preserve">Predicted</t>
        </is>
      </c>
      <c r="M4" s="60" t="inlineStr">
        <is>
          <t xml:space="preserve">ρ · k = 3</t>
        </is>
      </c>
      <c r="N4" s="60" t="inlineStr">
        <is>
          <t xml:space="preserve">ρ · k = 5</t>
        </is>
      </c>
      <c r="O4" s="60" t="inlineStr">
        <is>
          <t xml:space="preserve">ρ_I · k = 3</t>
        </is>
      </c>
      <c r="P4" s="60" t="inlineStr">
        <is>
          <t xml:space="preserve">ρ_I · k = 5</t>
        </is>
      </c>
      <c r="Q4" s="60" t="inlineStr">
        <is>
          <t xml:space="preserve">ρ_J · k = 3</t>
        </is>
      </c>
      <c r="R4" s="60" t="inlineStr">
        <is>
          <t xml:space="preserve">ρ_J · k = 5</t>
        </is>
      </c>
    </row>
    <row r="5">
      <c r="A5" s="64" t="inlineStr">
        <is>
          <t xml:space="preserve">S₁</t>
        </is>
      </c>
      <c r="B5" s="68">
        <v>2</v>
      </c>
      <c r="C5" s="83">
        <v>4</v>
      </c>
      <c r="D5" s="83">
        <v>5</v>
      </c>
      <c r="E5" s="83" t="inlineStr">
        <is>
          <t xml:space="preserve">3, 5</t>
        </is>
      </c>
      <c r="F5" s="83">
        <v>6</v>
      </c>
      <c r="G5" s="84" t="inlineStr">
        <is>
          <t xml:space="preserve">{ρ·3, ρ_J·5, ρ_I·5, ρ·5, ρ_J·3}</t>
        </is>
      </c>
      <c r="H5" s="84" t="inlineStr">
        <is>
          <t xml:space="preserve">(2, 2, 2, 2, 2)</t>
        </is>
      </c>
      <c r="I5" s="72">
        <v>0.75</v>
      </c>
      <c r="J5" s="72">
        <v>0.0</v>
      </c>
      <c r="K5" s="72">
        <v>0.75</v>
      </c>
      <c r="L5" s="91">
        <v>1</v>
      </c>
      <c r="M5" s="74">
        <v>2</v>
      </c>
      <c r="N5" s="74">
        <v>2</v>
      </c>
      <c r="O5" s="74">
        <v>1</v>
      </c>
      <c r="P5" s="74">
        <v>2</v>
      </c>
      <c r="Q5" s="74">
        <v>2</v>
      </c>
      <c r="R5" s="74">
        <v>2</v>
      </c>
    </row>
    <row r="6">
      <c r="A6" s="64" t="inlineStr">
        <is>
          <t xml:space="preserve">S₂</t>
        </is>
      </c>
      <c r="B6" s="68">
        <v>1</v>
      </c>
      <c r="C6" s="83">
        <v>3</v>
      </c>
      <c r="D6" s="83">
        <v>6</v>
      </c>
      <c r="E6" s="83" t="inlineStr">
        <is>
          <t xml:space="preserve">3</t>
        </is>
      </c>
      <c r="F6" s="83">
        <v>3</v>
      </c>
      <c r="G6" s="84" t="inlineStr">
        <is>
          <t xml:space="preserve">{ρ·3, ρ_I·3, ρ_J·3}</t>
        </is>
      </c>
      <c r="H6" s="84" t="inlineStr">
        <is>
          <t xml:space="preserve">(2, 2, 2)</t>
        </is>
      </c>
      <c r="I6" s="72">
        <v>0.6666666666666666</v>
      </c>
      <c r="J6" s="72">
        <v>0.6666666666666666</v>
      </c>
      <c r="K6" s="72">
        <v>0.0</v>
      </c>
      <c r="L6" s="91">
        <v>0</v>
      </c>
      <c r="M6" s="74">
        <v>2</v>
      </c>
      <c r="N6" s="74">
        <v>2</v>
      </c>
      <c r="O6" s="74">
        <v>2</v>
      </c>
      <c r="P6" s="74">
        <v>2</v>
      </c>
      <c r="Q6" s="74">
        <v>2</v>
      </c>
      <c r="R6" s="74">
        <v>2</v>
      </c>
    </row>
    <row r="7">
      <c r="A7" s="64" t="inlineStr">
        <is>
          <t xml:space="preserve">S₃</t>
        </is>
      </c>
      <c r="B7" s="68">
        <v>2</v>
      </c>
      <c r="C7" s="83">
        <v>4</v>
      </c>
      <c r="D7" s="83">
        <v>5</v>
      </c>
      <c r="E7" s="83" t="inlineStr">
        <is>
          <t xml:space="preserve">3, 5</t>
        </is>
      </c>
      <c r="F7" s="83">
        <v>6</v>
      </c>
      <c r="G7" s="84" t="inlineStr">
        <is>
          <t xml:space="preserve">{ρ·3, ρ_J·3, ρ_J·5, ρ_I·5, ρ_I·3}</t>
        </is>
      </c>
      <c r="H7" s="84" t="inlineStr">
        <is>
          <t xml:space="preserve">(1, 1, 1, 1, 2)</t>
        </is>
      </c>
      <c r="I7" s="72">
        <v>0.0</v>
      </c>
      <c r="J7" s="72">
        <v>0.0</v>
      </c>
      <c r="K7" s="72">
        <v>0.0</v>
      </c>
      <c r="L7" s="91">
        <v>0</v>
      </c>
      <c r="M7" s="74">
        <v>1</v>
      </c>
      <c r="N7" s="74">
        <v>1</v>
      </c>
      <c r="O7" s="74">
        <v>2</v>
      </c>
      <c r="P7" s="74">
        <v>1</v>
      </c>
      <c r="Q7" s="74">
        <v>1</v>
      </c>
      <c r="R7" s="74">
        <v>1</v>
      </c>
    </row>
    <row r="8">
      <c r="A8" s="64" t="inlineStr">
        <is>
          <t xml:space="preserve">S₄</t>
        </is>
      </c>
      <c r="B8" s="68">
        <v>1</v>
      </c>
      <c r="C8" s="83">
        <v>3</v>
      </c>
      <c r="D8" s="83">
        <v>6</v>
      </c>
      <c r="E8" s="83" t="inlineStr">
        <is>
          <t xml:space="preserve">3</t>
        </is>
      </c>
      <c r="F8" s="83">
        <v>3</v>
      </c>
      <c r="G8" s="84" t="inlineStr">
        <is>
          <t xml:space="preserve">{ρ·3, ρ_I·3, ρ_J·3}</t>
        </is>
      </c>
      <c r="H8" s="84" t="inlineStr">
        <is>
          <t xml:space="preserve">(2, 1, 2)</t>
        </is>
      </c>
      <c r="I8" s="72">
        <v>0.0</v>
      </c>
      <c r="J8" s="72">
        <v>0.0</v>
      </c>
      <c r="K8" s="72">
        <v>0.0</v>
      </c>
      <c r="L8" s="91">
        <v>0</v>
      </c>
      <c r="M8" s="74">
        <v>2</v>
      </c>
      <c r="N8" s="74">
        <v>2</v>
      </c>
      <c r="O8" s="74">
        <v>1</v>
      </c>
      <c r="P8" s="74">
        <v>2</v>
      </c>
      <c r="Q8" s="74">
        <v>2</v>
      </c>
      <c r="R8" s="74">
        <v>2</v>
      </c>
    </row>
    <row r="9">
      <c r="A9" s="64" t="inlineStr">
        <is>
          <t xml:space="preserve">S₅</t>
        </is>
      </c>
      <c r="B9" s="68">
        <v>1</v>
      </c>
      <c r="C9" s="83">
        <v>3</v>
      </c>
      <c r="D9" s="83">
        <v>6</v>
      </c>
      <c r="E9" s="83" t="inlineStr">
        <is>
          <t xml:space="preserve">3</t>
        </is>
      </c>
      <c r="F9" s="83">
        <v>3</v>
      </c>
      <c r="G9" s="84" t="inlineStr">
        <is>
          <t xml:space="preserve">{ρ_I·3, ρ·3, ρ_J·3}</t>
        </is>
      </c>
      <c r="H9" s="84" t="inlineStr">
        <is>
          <t xml:space="preserve">(1, 2, 2)</t>
        </is>
      </c>
      <c r="I9" s="72">
        <v>0.0</v>
      </c>
      <c r="J9" s="72">
        <v>0.0</v>
      </c>
      <c r="K9" s="72">
        <v>0.0</v>
      </c>
      <c r="L9" s="91">
        <v>0</v>
      </c>
      <c r="M9" s="74">
        <v>2</v>
      </c>
      <c r="N9" s="74">
        <v>2</v>
      </c>
      <c r="O9" s="74">
        <v>1</v>
      </c>
      <c r="P9" s="74">
        <v>2</v>
      </c>
      <c r="Q9" s="74">
        <v>2</v>
      </c>
      <c r="R9" s="74">
        <v>2</v>
      </c>
    </row>
    <row r="10">
      <c r="A10" s="64" t="inlineStr">
        <is>
          <t xml:space="preserve">S₆</t>
        </is>
      </c>
      <c r="B10" s="68">
        <v>1</v>
      </c>
      <c r="C10" s="83">
        <v>3</v>
      </c>
      <c r="D10" s="83">
        <v>6</v>
      </c>
      <c r="E10" s="83" t="inlineStr">
        <is>
          <t xml:space="preserve">3</t>
        </is>
      </c>
      <c r="F10" s="83">
        <v>3</v>
      </c>
      <c r="G10" s="84" t="inlineStr">
        <is>
          <t xml:space="preserve">{ρ·3, ρ_J·3, ρ_I·3}</t>
        </is>
      </c>
      <c r="H10" s="84" t="inlineStr">
        <is>
          <t xml:space="preserve">(2, 2, 2)</t>
        </is>
      </c>
      <c r="I10" s="72">
        <v>1.0</v>
      </c>
      <c r="J10" s="72">
        <v>0.8333333333333334</v>
      </c>
      <c r="K10" s="72">
        <v>0.1666666667</v>
      </c>
      <c r="L10" s="91">
        <v>1</v>
      </c>
      <c r="M10" s="74">
        <v>2</v>
      </c>
      <c r="N10" s="74">
        <v>2</v>
      </c>
      <c r="O10" s="74">
        <v>2</v>
      </c>
      <c r="P10" s="74">
        <v>2</v>
      </c>
      <c r="Q10" s="74">
        <v>2</v>
      </c>
      <c r="R10" s="74">
        <v>2</v>
      </c>
    </row>
    <row r="11">
      <c r="A11" s="64" t="inlineStr">
        <is>
          <t xml:space="preserve">S₇</t>
        </is>
      </c>
      <c r="B11" s="68">
        <v>2</v>
      </c>
      <c r="C11" s="83">
        <v>4</v>
      </c>
      <c r="D11" s="83">
        <v>5</v>
      </c>
      <c r="E11" s="83" t="inlineStr">
        <is>
          <t xml:space="preserve">3, 5</t>
        </is>
      </c>
      <c r="F11" s="83">
        <v>6</v>
      </c>
      <c r="G11" s="84" t="inlineStr">
        <is>
          <t xml:space="preserve">{ρ_J·5, ρ_I·3, ρ·5, ρ_I·5, ρ_J·3}</t>
        </is>
      </c>
      <c r="H11" s="84" t="inlineStr">
        <is>
          <t xml:space="preserve">(2, 2, 2, 2, 2)</t>
        </is>
      </c>
      <c r="I11" s="72">
        <v>0.25</v>
      </c>
      <c r="J11" s="72">
        <v>0.4</v>
      </c>
      <c r="K11" s="72">
        <v>-0.15</v>
      </c>
      <c r="L11" s="91">
        <v>2</v>
      </c>
      <c r="M11" s="74">
        <v>2</v>
      </c>
      <c r="N11" s="74">
        <v>2</v>
      </c>
      <c r="O11" s="74">
        <v>2</v>
      </c>
      <c r="P11" s="74">
        <v>2</v>
      </c>
      <c r="Q11" s="74">
        <v>2</v>
      </c>
      <c r="R11" s="74">
        <v>2</v>
      </c>
    </row>
    <row r="12">
      <c r="A12" s="64" t="inlineStr">
        <is>
          <t xml:space="preserve">S₈</t>
        </is>
      </c>
      <c r="B12" s="68">
        <v>2</v>
      </c>
      <c r="C12" s="83">
        <v>4</v>
      </c>
      <c r="D12" s="83">
        <v>5</v>
      </c>
      <c r="E12" s="83" t="inlineStr">
        <is>
          <t xml:space="preserve">3, 5</t>
        </is>
      </c>
      <c r="F12" s="83">
        <v>6</v>
      </c>
      <c r="G12" s="84" t="inlineStr">
        <is>
          <t xml:space="preserve">{ρ·3, ρ_J·5, ρ·5, ρ_I·5, ρ_I·3}</t>
        </is>
      </c>
      <c r="H12" s="84" t="inlineStr">
        <is>
          <t xml:space="preserve">(2, 2, 2, 1, 2)</t>
        </is>
      </c>
      <c r="I12" s="72">
        <v>0.25</v>
      </c>
      <c r="J12" s="72">
        <v>0.0</v>
      </c>
      <c r="K12" s="72">
        <v>0.25</v>
      </c>
      <c r="L12" s="91">
        <v>1</v>
      </c>
      <c r="M12" s="74">
        <v>2</v>
      </c>
      <c r="N12" s="74">
        <v>2</v>
      </c>
      <c r="O12" s="74">
        <v>2</v>
      </c>
      <c r="P12" s="74">
        <v>1</v>
      </c>
      <c r="Q12" s="74">
        <v>2</v>
      </c>
      <c r="R12" s="74">
        <v>2</v>
      </c>
    </row>
    <row r="13">
      <c r="A13" s="64" t="inlineStr">
        <is>
          <t xml:space="preserve">S₉</t>
        </is>
      </c>
      <c r="B13" s="68">
        <v>2</v>
      </c>
      <c r="C13" s="83">
        <v>4</v>
      </c>
      <c r="D13" s="83">
        <v>5</v>
      </c>
      <c r="E13" s="83" t="inlineStr">
        <is>
          <t xml:space="preserve">3, 5</t>
        </is>
      </c>
      <c r="F13" s="83">
        <v>6</v>
      </c>
      <c r="G13" s="84" t="inlineStr">
        <is>
          <t xml:space="preserve">{ρ_J·3, ρ_J·5, ρ·5, ρ·3, ρ_I·3}</t>
        </is>
      </c>
      <c r="H13" s="84" t="inlineStr">
        <is>
          <t xml:space="preserve">(2, 2, 2, 2, 2)</t>
        </is>
      </c>
      <c r="I13" s="72">
        <v>0.5</v>
      </c>
      <c r="J13" s="72">
        <v>0.0</v>
      </c>
      <c r="K13" s="72">
        <v>0.5</v>
      </c>
      <c r="L13" s="91">
        <v>1</v>
      </c>
      <c r="M13" s="74">
        <v>2</v>
      </c>
      <c r="N13" s="74">
        <v>2</v>
      </c>
      <c r="O13" s="74">
        <v>2</v>
      </c>
      <c r="P13" s="74">
        <v>2</v>
      </c>
      <c r="Q13" s="74">
        <v>2</v>
      </c>
      <c r="R13" s="74">
        <v>2</v>
      </c>
    </row>
    <row r="14">
      <c r="A14" s="64" t="inlineStr">
        <is>
          <t xml:space="preserve">S₁₀</t>
        </is>
      </c>
      <c r="B14" s="68">
        <v>2</v>
      </c>
      <c r="C14" s="83">
        <v>4</v>
      </c>
      <c r="D14" s="83">
        <v>5</v>
      </c>
      <c r="E14" s="83" t="inlineStr">
        <is>
          <t xml:space="preserve">3, 5</t>
        </is>
      </c>
      <c r="F14" s="83">
        <v>6</v>
      </c>
      <c r="G14" s="84" t="inlineStr">
        <is>
          <t xml:space="preserve">{ρ·3, ρ_I·3, ρ_I·5, ρ_J·3, ρ_J·5}</t>
        </is>
      </c>
      <c r="H14" s="84" t="inlineStr">
        <is>
          <t xml:space="preserve">(2, 2, 2, 2, 2)</t>
        </is>
      </c>
      <c r="I14" s="72">
        <v>0.75</v>
      </c>
      <c r="J14" s="72">
        <v>0.0</v>
      </c>
      <c r="K14" s="72">
        <v>0.75</v>
      </c>
      <c r="L14" s="91">
        <v>1</v>
      </c>
      <c r="M14" s="74">
        <v>2</v>
      </c>
      <c r="N14" s="74">
        <v>2</v>
      </c>
      <c r="O14" s="74">
        <v>2</v>
      </c>
      <c r="P14" s="74">
        <v>2</v>
      </c>
      <c r="Q14" s="74">
        <v>2</v>
      </c>
      <c r="R14" s="74">
        <v>2</v>
      </c>
    </row>
    <row r="15"/>
    <row r="16">
      <c r="A16" s="99" t="inlineStr">
        <is>
          <t xml:space="preserve">Values are produced by the Python reference engine (csmodel.pipeline.fit / predict) — the same formulas as the live sheets, run ten times on nine objects each.</t>
        </is>
      </c>
    </row>
    <row r="17">
      <c r="A17" s="99" t="inlineStr">
        <is>
          <t xml:space="preserve">A fold whose held-out object is of class 1 has |K1| = 3, so k_max = 2·3 − 3 = 3 and only k = 3 is permitted: the formula-based k range adapts per fold.</t>
        </is>
      </c>
    </row>
    <row r="18">
      <c r="A18" s="99" t="inlineStr">
        <is>
          <t xml:space="preserve">Predicted 0 = refusal (equal scores). Red cells = wrong or refused. Baselines use the same scaling and tie rule; they are not bound to the permitted-k rule.</t>
        </is>
      </c>
    </row>
  </sheetData>
  <mergeCells count="3">
    <mergeCell ref="A1:R1"/>
    <mergeCell ref="A3:L3"/>
    <mergeCell ref="M3:R3"/>
  </mergeCells>
  <conditionalFormatting sqref="L5:L14">
    <cfRule type="expression" dxfId="2" priority="1">
      <formula>L5&lt;&gt;B5</formula>
    </cfRule>
  </conditionalFormatting>
  <conditionalFormatting sqref="M5:R14">
    <cfRule type="expression" dxfId="2" priority="2">
      <formula>M5&lt;&gt;$B5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>
    <tabColor rgb="FFBF8F00"/>
    <pageSetUpPr fitToPage="1"/>
  </sheetPr>
  <dimension ref="A1:I20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2" width="14.77734375" customWidth="1"/>
    <col min="3" max="3" width="26.77734375" customWidth="1"/>
    <col min="4" max="4" width="30.77734375" customWidth="1"/>
    <col min="5" max="5" width="36.77734375" customWidth="1"/>
    <col min="6" max="9" width="14.77734375" customWidth="1"/>
  </cols>
  <sheetData>
    <row r="1" ht="20" customHeight="1">
      <c r="A1" s="57" t="inlineStr">
        <is>
          <t xml:space="preserve">Sensitivity — the two calculation switches (template cells vs article) and their effect on the results</t>
        </is>
      </c>
      <c r="B1" s="57"/>
      <c r="C1" s="57"/>
      <c r="D1" s="57"/>
      <c r="E1" s="57"/>
      <c r="F1" s="57"/>
      <c r="G1" s="57"/>
      <c r="H1" s="57"/>
      <c r="I1" s="57"/>
    </row>
    <row r="2"/>
    <row r="3">
      <c r="A3" s="58" t="inlineStr">
        <is>
          <t xml:space="preserve">⚠ Two template calculations differ from the article and from the template’s own formula boxes</t>
        </is>
      </c>
      <c r="B3" s="58"/>
      <c r="C3" s="58"/>
      <c r="D3" s="58"/>
      <c r="E3" s="58"/>
      <c r="F3" s="58"/>
      <c r="G3" s="58"/>
      <c r="H3" s="58"/>
      <c r="I3" s="58"/>
    </row>
    <row r="4">
      <c r="A4" s="98" t="inlineStr">
        <is>
          <t xml:space="preserve">1.  θ and γ are measured from running partial class means instead of the final class means M₁ and M₂ (template cells: |bₜ − M| uses the partial mean up to row t).</t>
        </is>
      </c>
      <c r="B4" s="98"/>
      <c r="C4" s="98"/>
      <c r="D4" s="98"/>
      <c r="E4" s="98"/>
      <c r="F4" s="98"/>
      <c r="G4" s="98"/>
      <c r="H4" s="98"/>
      <c r="I4" s="98"/>
    </row>
    <row r="5">
      <c r="A5" s="98" t="inlineStr">
        <is>
          <t xml:space="preserve">2.  In STEP 4 the majorizer is applied twice instead of once (the template applies it again to the already-majorized bₜ of STEP 3).</t>
        </is>
      </c>
      <c r="B5" s="98"/>
      <c r="C5" s="98"/>
      <c r="D5" s="98"/>
      <c r="E5" s="98"/>
      <c r="F5" s="98"/>
      <c r="G5" s="98"/>
      <c r="H5" s="98"/>
      <c r="I5" s="98"/>
    </row>
    <row r="6">
      <c r="A6" s="99" t="inlineStr">
        <is>
          <t xml:space="preserve">Both are switches on the Parameters sheet (class centres 1/2, STEP 4 passes 2/1). The default reproduces the templates; the table shows all four combinations (engine output).</t>
        </is>
      </c>
    </row>
    <row r="7"/>
    <row r="8">
      <c r="A8" s="60" t="inlineStr">
        <is>
          <t xml:space="preserve">Class centres</t>
        </is>
      </c>
      <c r="B8" s="60" t="inlineStr">
        <is>
          <t xml:space="preserve">STEP 4 passes</t>
        </is>
      </c>
      <c r="C8" s="60" t="inlineStr">
        <is>
          <t xml:space="preserve">Setting</t>
        </is>
      </c>
      <c r="D8" s="60" t="inlineStr">
        <is>
          <t xml:space="preserve">TUPLAM</t>
        </is>
      </c>
      <c r="E8" s="60" t="inlineStr">
        <is>
          <t xml:space="preserve">crit per iteration</t>
        </is>
      </c>
      <c r="F8" s="60" t="inlineStr">
        <is>
          <t xml:space="preserve">Resubstitution accuracy</t>
        </is>
      </c>
      <c r="G8" s="60" t="inlineStr">
        <is>
          <t xml:space="preserve">LOO accuracy</t>
        </is>
      </c>
      <c r="H8" s="60" t="inlineStr">
        <is>
          <t xml:space="preserve">AUC resub.</t>
        </is>
      </c>
      <c r="I8" s="60" t="inlineStr">
        <is>
          <t xml:space="preserve">AUC LOO</t>
        </is>
      </c>
    </row>
    <row r="9">
      <c r="A9" s="83" t="inlineStr">
        <is>
          <t xml:space="preserve">1 · running</t>
        </is>
      </c>
      <c r="B9" s="83">
        <v>2</v>
      </c>
      <c r="C9" s="91" t="inlineStr">
        <is>
          <t xml:space="preserve">template (default)</t>
        </is>
      </c>
      <c r="D9" s="84" t="inlineStr">
        <is>
          <t xml:space="preserve">{a₆, a₃, a₁, a₂, a₄}</t>
        </is>
      </c>
      <c r="E9" s="84" t="inlineStr">
        <is>
          <t xml:space="preserve">0.4282, 0.3053, 0.2734, 0.2710</t>
        </is>
      </c>
      <c r="F9" s="72">
        <v>0.7</v>
      </c>
      <c r="G9" s="72">
        <v>0.2</v>
      </c>
      <c r="H9" s="72">
        <v>0.6666666666666666</v>
      </c>
      <c r="I9" s="72">
        <v>0.2708333333333333</v>
      </c>
    </row>
    <row r="10">
      <c r="A10" s="83" t="inlineStr">
        <is>
          <t xml:space="preserve">1 · running</t>
        </is>
      </c>
      <c r="B10" s="83">
        <v>1</v>
      </c>
      <c r="C10" s="84" t="inlineStr">
        <is>
          <t xml:space="preserve">running centres, 1 pass</t>
        </is>
      </c>
      <c r="D10" s="84" t="inlineStr">
        <is>
          <t xml:space="preserve">{a₆, a₃, a₁, a₂, a₄}</t>
        </is>
      </c>
      <c r="E10" s="84" t="inlineStr">
        <is>
          <t xml:space="preserve">0.4282, 0.3420, 0.3272, 0.3348</t>
        </is>
      </c>
      <c r="F10" s="72">
        <v>0.7</v>
      </c>
      <c r="G10" s="72">
        <v>0.1</v>
      </c>
      <c r="H10" s="72">
        <v>0.6666666666666666</v>
      </c>
      <c r="I10" s="72">
        <v>0.10416666666666667</v>
      </c>
    </row>
    <row r="11">
      <c r="A11" s="83" t="inlineStr">
        <is>
          <t xml:space="preserve">2 · final</t>
        </is>
      </c>
      <c r="B11" s="83">
        <v>2</v>
      </c>
      <c r="C11" s="84" t="inlineStr">
        <is>
          <t xml:space="preserve">final centres, 2 passes</t>
        </is>
      </c>
      <c r="D11" s="84" t="inlineStr">
        <is>
          <t xml:space="preserve">{a₆, a₁, a₂, a₄, a₅}</t>
        </is>
      </c>
      <c r="E11" s="84" t="inlineStr">
        <is>
          <t xml:space="preserve">0.3096, 0.1993, 0.1799, 0.1744</t>
        </is>
      </c>
      <c r="F11" s="72">
        <v>0.5</v>
      </c>
      <c r="G11" s="72">
        <v>0.1</v>
      </c>
      <c r="H11" s="72">
        <v>0.5833333333333334</v>
      </c>
      <c r="I11" s="72">
        <v>0.25</v>
      </c>
    </row>
    <row r="12">
      <c r="A12" s="83" t="inlineStr">
        <is>
          <t xml:space="preserve">2 · final</t>
        </is>
      </c>
      <c r="B12" s="83">
        <v>1</v>
      </c>
      <c r="C12" s="84" t="inlineStr">
        <is>
          <t xml:space="preserve">article</t>
        </is>
      </c>
      <c r="D12" s="84" t="inlineStr">
        <is>
          <t xml:space="preserve">{a₆, a₁, a₂, a₄, a₅}</t>
        </is>
      </c>
      <c r="E12" s="84" t="inlineStr">
        <is>
          <t xml:space="preserve">0.3096, 0.2658, 0.2571, 0.2581</t>
        </is>
      </c>
      <c r="F12" s="72">
        <v>0.5</v>
      </c>
      <c r="G12" s="72">
        <v>0.0</v>
      </c>
      <c r="H12" s="72">
        <v>0.5833333333333334</v>
      </c>
      <c r="I12" s="72">
        <v>0.08333333333333333</v>
      </c>
    </row>
    <row r="13"/>
    <row r="14">
      <c r="A14" s="58" t="inlineStr">
        <is>
          <t xml:space="preserve">Replication of the templates by the reference engine (same data as the template workbooks)</t>
        </is>
      </c>
      <c r="B14" s="58"/>
      <c r="C14" s="58"/>
      <c r="D14" s="58"/>
      <c r="E14" s="58"/>
      <c r="F14" s="58"/>
      <c r="G14" s="58"/>
      <c r="H14" s="58"/>
      <c r="I14" s="58"/>
    </row>
    <row r="15">
      <c r="A15" s="60" t="inlineStr">
        <is>
          <t xml:space="preserve">Class centres</t>
        </is>
      </c>
      <c r="B15" s="60" t="inlineStr">
        <is>
          <t xml:space="preserve">STEP 4 passes</t>
        </is>
      </c>
      <c r="C15" s="60" t="inlineStr">
        <is>
          <t xml:space="preserve">Setting</t>
        </is>
      </c>
      <c r="D15" s="60" t="inlineStr">
        <is>
          <t xml:space="preserve">SET / TUPLAM (template features)</t>
        </is>
      </c>
      <c r="E15" s="60" t="inlineStr">
        <is>
          <t xml:space="preserve">max |r − template r|</t>
        </is>
      </c>
    </row>
    <row r="16">
      <c r="A16" s="83" t="inlineStr">
        <is>
          <t xml:space="preserve">1 · running</t>
        </is>
      </c>
      <c r="B16" s="83">
        <v>2</v>
      </c>
      <c r="C16" s="91" t="inlineStr">
        <is>
          <t xml:space="preserve">template cells</t>
        </is>
      </c>
      <c r="D16" s="84" t="inlineStr">
        <is>
          <t xml:space="preserve">{x₃, x₆, x₁₃, x₄, x₉}</t>
        </is>
      </c>
      <c r="E16" s="84" t="inlineStr">
        <is>
          <t xml:space="preserve">4.4e-16  (identical)</t>
        </is>
      </c>
    </row>
    <row r="17">
      <c r="A17" s="83" t="inlineStr">
        <is>
          <t xml:space="preserve">1 · running</t>
        </is>
      </c>
      <c r="B17" s="83">
        <v>1</v>
      </c>
      <c r="C17" s="84" t="inlineStr">
        <is>
          <t xml:space="preserve">running centres, 1 pass</t>
        </is>
      </c>
      <c r="D17" s="84" t="inlineStr">
        <is>
          <t xml:space="preserve">{x₃, x₆, x₁₃, x₅, x₁₂}</t>
        </is>
      </c>
      <c r="E17" s="84" t="inlineStr">
        <is>
          <t xml:space="preserve">1.2e+00</t>
        </is>
      </c>
    </row>
    <row r="18">
      <c r="A18" s="83" t="inlineStr">
        <is>
          <t xml:space="preserve">2 · final</t>
        </is>
      </c>
      <c r="B18" s="83">
        <v>2</v>
      </c>
      <c r="C18" s="84" t="inlineStr">
        <is>
          <t xml:space="preserve">final centres, 2 passes</t>
        </is>
      </c>
      <c r="D18" s="84" t="inlineStr">
        <is>
          <t xml:space="preserve">{x₃, x₁, x₅, x₉}</t>
        </is>
      </c>
      <c r="E18" s="84" t="inlineStr">
        <is>
          <t xml:space="preserve">1.2e+00</t>
        </is>
      </c>
    </row>
    <row r="19">
      <c r="A19" s="83" t="inlineStr">
        <is>
          <t xml:space="preserve">2 · final</t>
        </is>
      </c>
      <c r="B19" s="83">
        <v>1</v>
      </c>
      <c r="C19" s="84" t="inlineStr">
        <is>
          <t xml:space="preserve">article</t>
        </is>
      </c>
      <c r="D19" s="84" t="inlineStr">
        <is>
          <t xml:space="preserve">{x₃, x₁, x₅, x₉, x₆}</t>
        </is>
      </c>
      <c r="E19" s="84" t="inlineStr">
        <is>
          <t xml:space="preserve">1.7e+00</t>
        </is>
      </c>
    </row>
    <row r="20">
      <c r="A20" s="84" t="inlineStr">
        <is>
          <t xml:space="preserve">Meta-algorithm template: the engine reproduces its decision for the template's new object — B1(a₄) = ∅, B2(a₄) = {S₉, S₁₀}  ⇒  Class 2  (template: Class 2)</t>
        </is>
      </c>
      <c r="B20" s="84"/>
      <c r="C20" s="84"/>
      <c r="D20" s="84"/>
      <c r="E20" s="84"/>
      <c r="F20" s="84"/>
      <c r="G20" s="84"/>
      <c r="H20" s="84"/>
      <c r="I20" s="84"/>
    </row>
  </sheetData>
  <mergeCells count="6">
    <mergeCell ref="A1:I1"/>
    <mergeCell ref="A3:I3"/>
    <mergeCell ref="A4:I4"/>
    <mergeCell ref="A5:I5"/>
    <mergeCell ref="A14:I14"/>
    <mergeCell ref="A20:I20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U49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36.77734375" customWidth="1"/>
    <col min="2" max="3" width="16.77734375" customWidth="1"/>
    <col min="4" max="4" width="26.77734375" customWidth="1"/>
    <col min="5" max="6" width="22.77734375" customWidth="1"/>
    <col min="7" max="7" width="16.77734375" customWidth="1"/>
    <col min="8" max="8" width="3.77734375" customWidth="1"/>
    <col min="9" max="9" width="8.77734375" customWidth="1"/>
    <col min="10" max="10" width="20.77734375" customWidth="1"/>
    <col min="11" max="11" width="9.77734375" customWidth="1"/>
    <col min="12" max="12" width="14.77734375" customWidth="1"/>
    <col min="13" max="14" width="9.77734375" customWidth="1"/>
    <col min="15" max="21" width="12.77734375" customWidth="1"/>
  </cols>
  <sheetData>
    <row r="1" ht="20" customHeight="1">
      <c r="A1" s="57" t="inlineStr">
        <is>
          <t xml:space="preserve">Model Properties — determinacy, correctness, sufficiency and contextual equivalence (Definitions 1–6 and the Theorem of the article)</t>
        </is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/>
    <row r="3">
      <c r="A3" s="58" t="inlineStr">
        <is>
          <t xml:space="preserve">Definition 1 · Property 1 — determinacy: every stage of the pipeline is defined for every object</t>
        </is>
      </c>
      <c r="B3" s="58"/>
      <c r="C3" s="58"/>
      <c r="D3" s="58"/>
      <c r="E3" s="58"/>
      <c r="F3" s="58"/>
      <c r="I3" s="58" t="inlineStr">
        <is>
          <t xml:space="preserve">Helper · representation keys</t>
        </is>
      </c>
      <c r="J3" s="58"/>
      <c r="K3" s="58"/>
      <c r="L3" s="58"/>
      <c r="M3" s="58"/>
      <c r="O3" s="58" t="inlineStr">
        <is>
          <t xml:space="preserve">Helper · equal k-neighbour sets (1 = yes)</t>
        </is>
      </c>
      <c r="P3" s="58"/>
      <c r="Q3" s="58"/>
      <c r="R3" s="58"/>
      <c r="S3" s="58"/>
      <c r="T3" s="58"/>
      <c r="U3" s="58"/>
    </row>
    <row r="4">
      <c r="A4" s="61" t="inlineStr">
        <is>
          <t xml:space="preserve">Check</t>
        </is>
      </c>
      <c r="B4" s="61"/>
      <c r="C4" s="61"/>
      <c r="D4" s="60" t="inlineStr">
        <is>
          <t xml:space="preserve">Result</t>
        </is>
      </c>
      <c r="E4" s="60" t="inlineStr">
        <is>
          <t xml:space="preserve">Status</t>
        </is>
      </c>
      <c r="F4" s="60" t="inlineStr">
        <is>
          <t xml:space="preserve"/>
        </is>
      </c>
      <c r="I4" s="60" t="inlineStr">
        <is>
          <t xml:space="preserve">№</t>
        </is>
      </c>
      <c r="J4" s="60" t="inlineStr">
        <is>
          <t xml:space="preserve">TUPLAM key</t>
        </is>
      </c>
      <c r="K4" s="60" t="inlineStr">
        <is>
          <t xml:space="preserve">conflicts</t>
        </is>
      </c>
      <c r="L4" s="60" t="inlineStr">
        <is>
          <t xml:space="preserve">Ψ(r) key</t>
        </is>
      </c>
      <c r="M4" s="60" t="inlineStr">
        <is>
          <t xml:space="preserve">conflicts</t>
        </is>
      </c>
      <c r="O4" s="60" t="inlineStr">
        <is>
          <t xml:space="preserve">№</t>
        </is>
      </c>
      <c r="P4" s="60" t="str">
        <f>"ρ/ρ_I k="&amp;'Synthetic Features (k-NN)'!$B$4</f>
        <v>ρ/ρ_I k=3</v>
      </c>
      <c r="Q4" s="60" t="str">
        <f>"ρ/ρ_I k="&amp;'Synthetic Features (k-NN)'!$C$4</f>
        <v>ρ/ρ_I k=5</v>
      </c>
      <c r="R4" s="60" t="str">
        <f>"ρ/ρ_J k="&amp;'Synthetic Features (k-NN)'!$B$4</f>
        <v>ρ/ρ_J k=3</v>
      </c>
      <c r="S4" s="60" t="str">
        <f>"ρ/ρ_J k="&amp;'Synthetic Features (k-NN)'!$C$4</f>
        <v>ρ/ρ_J k=5</v>
      </c>
      <c r="T4" s="60" t="str">
        <f>"ρ_I/ρ_J k="&amp;'Synthetic Features (k-NN)'!$B$4</f>
        <v>ρ_I/ρ_J k=3</v>
      </c>
      <c r="U4" s="60" t="str">
        <f>"ρ_I/ρ_J k="&amp;'Synthetic Features (k-NN)'!$C$4</f>
        <v>ρ_I/ρ_J k=5</v>
      </c>
    </row>
    <row r="5">
      <c r="A5" s="65" t="inlineStr">
        <is>
          <t xml:space="preserve">Enough neighbours for every permitted k  (m − 1 ≥ k_max)</t>
        </is>
      </c>
      <c r="B5" s="65"/>
      <c r="C5" s="65"/>
      <c r="D5" s="83" t="str">
        <f>('Parameters'!$B$5-1)&amp;" ≥ "&amp;'Parameters'!$B$10</f>
        <v>9 ≥ 5</v>
      </c>
      <c r="E5" s="97" t="str">
        <f>IF('Parameters'!$B$5-1&gt;='Parameters'!$B$10,"✓ defined","✗ too few objects")</f>
        <v>✓ defined</v>
      </c>
      <c r="F5" s="97"/>
      <c r="I5" s="64" t="inlineStr">
        <is>
          <t xml:space="preserve">S₁</t>
        </is>
      </c>
      <c r="J5" s="84" t="str">
        <f>'Meta-algorithm (All Objects)'!B5</f>
        <v>(2, 1, 2, 2, 2)</v>
      </c>
      <c r="K5" s="74">
        <f>COUNTIFS($J$5:$J$14,J5,Dataset!$O$3:$O$12,"&lt;&gt;"&amp;Dataset!$O$3)</f>
        <v>2</v>
      </c>
      <c r="L5" s="84" t="str">
        <f>'Ψ(r) Binary Features'!B40&amp;'Ψ(r) Binary Features'!C40&amp;'Ψ(r) Binary Features'!D40&amp;'Ψ(r) Binary Features'!E40&amp;'Ψ(r) Binary Features'!F40&amp;'Ψ(r) Binary Features'!G40</f>
        <v>221222</v>
      </c>
      <c r="M5" s="74">
        <f>COUNTIFS($L$5:$L$14,L5,Dataset!$O$3:$O$12,"&lt;&gt;"&amp;Dataset!$O$3)</f>
        <v>2</v>
      </c>
      <c r="O5" s="64" t="inlineStr">
        <is>
          <t xml:space="preserve">S₁</t>
        </is>
      </c>
      <c r="P5" s="74">
        <f>IF(ISNUMBER('Synthetic Features (k-NN)'!$B$4),IF(SUMPRODUCT(--(('Sorted Neighbors (ρ)'!$B$5:$K$5&lt;='Synthetic Features (k-NN)'!$B$4)&lt;&gt;('Sorted Neighbors (ρ_I)'!$B$5:$K$5&lt;='Synthetic Features (k-NN)'!$B$4)))=0,1,0),"—")</f>
        <v>0</v>
      </c>
      <c r="Q5" s="74">
        <f>IF(ISNUMBER('Synthetic Features (k-NN)'!$C$4),IF(SUMPRODUCT(--(('Sorted Neighbors (ρ)'!$B$5:$K$5&lt;='Synthetic Features (k-NN)'!$C$4)&lt;&gt;('Sorted Neighbors (ρ_I)'!$B$5:$K$5&lt;='Synthetic Features (k-NN)'!$C$4)))=0,1,0),"—")</f>
        <v>0</v>
      </c>
      <c r="R5" s="74">
        <f>IF(ISNUMBER('Synthetic Features (k-NN)'!$B$4),IF(SUMPRODUCT(--(('Sorted Neighbors (ρ)'!$B$5:$K$5&lt;='Synthetic Features (k-NN)'!$B$4)&lt;&gt;('Sorted Neighbors (ρ_J)'!$B$5:$K$5&lt;='Synthetic Features (k-NN)'!$B$4)))=0,1,0),"—")</f>
        <v>1</v>
      </c>
      <c r="S5" s="74">
        <f>IF(ISNUMBER('Synthetic Features (k-NN)'!$C$4),IF(SUMPRODUCT(--(('Sorted Neighbors (ρ)'!$B$5:$K$5&lt;='Synthetic Features (k-NN)'!$C$4)&lt;&gt;('Sorted Neighbors (ρ_J)'!$B$5:$K$5&lt;='Synthetic Features (k-NN)'!$C$4)))=0,1,0),"—")</f>
        <v>0</v>
      </c>
      <c r="T5" s="74">
        <f>IF(ISNUMBER('Synthetic Features (k-NN)'!$B$4),IF(SUMPRODUCT(--(('Sorted Neighbors (ρ_I)'!$B$5:$K$5&lt;='Synthetic Features (k-NN)'!$B$4)&lt;&gt;('Sorted Neighbors (ρ_J)'!$B$5:$K$5&lt;='Synthetic Features (k-NN)'!$B$4)))=0,1,0),"—")</f>
        <v>0</v>
      </c>
      <c r="U5" s="74">
        <f>IF(ISNUMBER('Synthetic Features (k-NN)'!$C$4),IF(SUMPRODUCT(--(('Sorted Neighbors (ρ_I)'!$B$5:$K$5&lt;='Synthetic Features (k-NN)'!$C$4)&lt;&gt;('Sorted Neighbors (ρ_J)'!$B$5:$K$5&lt;='Synthetic Features (k-NN)'!$C$4)))=0,1,0),"—")</f>
        <v>0</v>
      </c>
    </row>
    <row r="6">
      <c r="A6" s="65" t="inlineStr">
        <is>
          <t xml:space="preserve">f_k(μ) defined at the gradation of every object (formula (1))</t>
        </is>
      </c>
      <c r="B6" s="65"/>
      <c r="C6" s="65"/>
      <c r="D6" s="83">
        <f>COUNTIF('Informativeness ω'!$B$16:$G$25,"—")</f>
        <v>0</v>
      </c>
      <c r="E6" s="97" t="str">
        <f>IF(D6=0,"✓ defined","✗ undefined values")</f>
        <v>✓ defined</v>
      </c>
      <c r="F6" s="97"/>
      <c r="I6" s="64" t="inlineStr">
        <is>
          <t xml:space="preserve">S₂</t>
        </is>
      </c>
      <c r="J6" s="84" t="str">
        <f>'Meta-algorithm (All Objects)'!B6</f>
        <v>(2, 2, 2, 2, 2)</v>
      </c>
      <c r="K6" s="74">
        <f>COUNTIFS($J$5:$J$14,J6,Dataset!$O$3:$O$12,"&lt;&gt;"&amp;Dataset!$O$4)</f>
        <v>4</v>
      </c>
      <c r="L6" s="84" t="str">
        <f>'Ψ(r) Binary Features'!B41&amp;'Ψ(r) Binary Features'!C41&amp;'Ψ(r) Binary Features'!D41&amp;'Ψ(r) Binary Features'!E41&amp;'Ψ(r) Binary Features'!F41&amp;'Ψ(r) Binary Features'!G41</f>
        <v>222222</v>
      </c>
      <c r="M6" s="74">
        <f>COUNTIFS($L$5:$L$14,L6,Dataset!$O$3:$O$12,"&lt;&gt;"&amp;Dataset!$O$4)</f>
        <v>4</v>
      </c>
      <c r="O6" s="64" t="inlineStr">
        <is>
          <t xml:space="preserve">S₂</t>
        </is>
      </c>
      <c r="P6" s="74">
        <f>IF(ISNUMBER('Synthetic Features (k-NN)'!$B$4),IF(SUMPRODUCT(--(('Sorted Neighbors (ρ)'!$B$6:$K$6&lt;='Synthetic Features (k-NN)'!$B$4)&lt;&gt;('Sorted Neighbors (ρ_I)'!$B$6:$K$6&lt;='Synthetic Features (k-NN)'!$B$4)))=0,1,0),"—")</f>
        <v>0</v>
      </c>
      <c r="Q6" s="74">
        <f>IF(ISNUMBER('Synthetic Features (k-NN)'!$C$4),IF(SUMPRODUCT(--(('Sorted Neighbors (ρ)'!$B$6:$K$6&lt;='Synthetic Features (k-NN)'!$C$4)&lt;&gt;('Sorted Neighbors (ρ_I)'!$B$6:$K$6&lt;='Synthetic Features (k-NN)'!$C$4)))=0,1,0),"—")</f>
        <v>0</v>
      </c>
      <c r="R6" s="74">
        <f>IF(ISNUMBER('Synthetic Features (k-NN)'!$B$4),IF(SUMPRODUCT(--(('Sorted Neighbors (ρ)'!$B$6:$K$6&lt;='Synthetic Features (k-NN)'!$B$4)&lt;&gt;('Sorted Neighbors (ρ_J)'!$B$6:$K$6&lt;='Synthetic Features (k-NN)'!$B$4)))=0,1,0),"—")</f>
        <v>0</v>
      </c>
      <c r="S6" s="74">
        <f>IF(ISNUMBER('Synthetic Features (k-NN)'!$C$4),IF(SUMPRODUCT(--(('Sorted Neighbors (ρ)'!$B$6:$K$6&lt;='Synthetic Features (k-NN)'!$C$4)&lt;&gt;('Sorted Neighbors (ρ_J)'!$B$6:$K$6&lt;='Synthetic Features (k-NN)'!$C$4)))=0,1,0),"—")</f>
        <v>0</v>
      </c>
      <c r="T6" s="74">
        <f>IF(ISNUMBER('Synthetic Features (k-NN)'!$B$4),IF(SUMPRODUCT(--(('Sorted Neighbors (ρ_I)'!$B$6:$K$6&lt;='Synthetic Features (k-NN)'!$B$4)&lt;&gt;('Sorted Neighbors (ρ_J)'!$B$6:$K$6&lt;='Synthetic Features (k-NN)'!$B$4)))=0,1,0),"—")</f>
        <v>0</v>
      </c>
      <c r="U6" s="74">
        <f>IF(ISNUMBER('Synthetic Features (k-NN)'!$C$4),IF(SUMPRODUCT(--(('Sorted Neighbors (ρ_I)'!$B$6:$K$6&lt;='Synthetic Features (k-NN)'!$C$4)&lt;&gt;('Sorted Neighbors (ρ_J)'!$B$6:$K$6&lt;='Synthetic Features (k-NN)'!$C$4)))=0,1,0),"—")</f>
        <v>0</v>
      </c>
    </row>
    <row r="7">
      <c r="A7" s="65" t="inlineStr">
        <is>
          <t xml:space="preserve">q₁ and q₂ exist for every feature (formula (3))</t>
        </is>
      </c>
      <c r="B7" s="65"/>
      <c r="C7" s="65"/>
      <c r="D7" s="83">
        <f>COUNTIF('Informativeness ω'!$B$7:$G$8,"none")</f>
        <v>0</v>
      </c>
      <c r="E7" s="97" t="str">
        <f>IF(D7=0,"✓ both sides exist","⚠ 0.5 used for "&amp;D7&amp;" side(s)")</f>
        <v>✓ both sides exist</v>
      </c>
      <c r="F7" s="97"/>
      <c r="I7" s="64" t="inlineStr">
        <is>
          <t xml:space="preserve">S₃</t>
        </is>
      </c>
      <c r="J7" s="84" t="str">
        <f>'Meta-algorithm (All Objects)'!B7</f>
        <v>(1, 2, 1, 1, 1)</v>
      </c>
      <c r="K7" s="74">
        <f>COUNTIFS($J$5:$J$14,J7,Dataset!$O$3:$O$12,"&lt;&gt;"&amp;Dataset!$O$5)</f>
        <v>0</v>
      </c>
      <c r="L7" s="84" t="str">
        <f>'Ψ(r) Binary Features'!B42&amp;'Ψ(r) Binary Features'!C42&amp;'Ψ(r) Binary Features'!D42&amp;'Ψ(r) Binary Features'!E42&amp;'Ψ(r) Binary Features'!F42&amp;'Ψ(r) Binary Features'!G42</f>
        <v>112111</v>
      </c>
      <c r="M7" s="74">
        <f>COUNTIFS($L$5:$L$14,L7,Dataset!$O$3:$O$12,"&lt;&gt;"&amp;Dataset!$O$5)</f>
        <v>0</v>
      </c>
      <c r="O7" s="64" t="inlineStr">
        <is>
          <t xml:space="preserve">S₃</t>
        </is>
      </c>
      <c r="P7" s="74">
        <f>IF(ISNUMBER('Synthetic Features (k-NN)'!$B$4),IF(SUMPRODUCT(--(('Sorted Neighbors (ρ)'!$B$7:$K$7&lt;='Synthetic Features (k-NN)'!$B$4)&lt;&gt;('Sorted Neighbors (ρ_I)'!$B$7:$K$7&lt;='Synthetic Features (k-NN)'!$B$4)))=0,1,0),"—")</f>
        <v>0</v>
      </c>
      <c r="Q7" s="74">
        <f>IF(ISNUMBER('Synthetic Features (k-NN)'!$C$4),IF(SUMPRODUCT(--(('Sorted Neighbors (ρ)'!$B$7:$K$7&lt;='Synthetic Features (k-NN)'!$C$4)&lt;&gt;('Sorted Neighbors (ρ_I)'!$B$7:$K$7&lt;='Synthetic Features (k-NN)'!$C$4)))=0,1,0),"—")</f>
        <v>0</v>
      </c>
      <c r="R7" s="74">
        <f>IF(ISNUMBER('Synthetic Features (k-NN)'!$B$4),IF(SUMPRODUCT(--(('Sorted Neighbors (ρ)'!$B$7:$K$7&lt;='Synthetic Features (k-NN)'!$B$4)&lt;&gt;('Sorted Neighbors (ρ_J)'!$B$7:$K$7&lt;='Synthetic Features (k-NN)'!$B$4)))=0,1,0),"—")</f>
        <v>1</v>
      </c>
      <c r="S7" s="74">
        <f>IF(ISNUMBER('Synthetic Features (k-NN)'!$C$4),IF(SUMPRODUCT(--(('Sorted Neighbors (ρ)'!$B$7:$K$7&lt;='Synthetic Features (k-NN)'!$C$4)&lt;&gt;('Sorted Neighbors (ρ_J)'!$B$7:$K$7&lt;='Synthetic Features (k-NN)'!$C$4)))=0,1,0),"—")</f>
        <v>0</v>
      </c>
      <c r="T7" s="74">
        <f>IF(ISNUMBER('Synthetic Features (k-NN)'!$B$4),IF(SUMPRODUCT(--(('Sorted Neighbors (ρ_I)'!$B$7:$K$7&lt;='Synthetic Features (k-NN)'!$B$4)&lt;&gt;('Sorted Neighbors (ρ_J)'!$B$7:$K$7&lt;='Synthetic Features (k-NN)'!$B$4)))=0,1,0),"—")</f>
        <v>0</v>
      </c>
      <c r="U7" s="74">
        <f>IF(ISNUMBER('Synthetic Features (k-NN)'!$C$4),IF(SUMPRODUCT(--(('Sorted Neighbors (ρ_I)'!$B$7:$K$7&lt;='Synthetic Features (k-NN)'!$C$4)&lt;&gt;('Sorted Neighbors (ρ_J)'!$B$7:$K$7&lt;='Synthetic Features (k-NN)'!$C$4)))=0,1,0),"—")</f>
        <v>0</v>
      </c>
    </row>
    <row r="8">
      <c r="A8" s="65" t="inlineStr">
        <is>
          <t xml:space="preserve">Synthetic feature (5) defined for every object</t>
        </is>
      </c>
      <c r="B8" s="65"/>
      <c r="C8" s="65"/>
      <c r="D8" s="83">
        <f>COUNTIF('Ψ(r) Binary Features'!$B$40:$G$49,"—")</f>
        <v>0</v>
      </c>
      <c r="E8" s="97" t="str">
        <f>IF(D8=0,"✓ defined","✗ undefined values")</f>
        <v>✓ defined</v>
      </c>
      <c r="F8" s="97"/>
      <c r="I8" s="64" t="inlineStr">
        <is>
          <t xml:space="preserve">S₄</t>
        </is>
      </c>
      <c r="J8" s="84" t="str">
        <f>'Meta-algorithm (All Objects)'!B8</f>
        <v>(2, 1, 2, 2, 2)</v>
      </c>
      <c r="K8" s="74">
        <f>COUNTIFS($J$5:$J$14,J8,Dataset!$O$3:$O$12,"&lt;&gt;"&amp;Dataset!$O$6)</f>
        <v>1</v>
      </c>
      <c r="L8" s="84" t="str">
        <f>'Ψ(r) Binary Features'!B43&amp;'Ψ(r) Binary Features'!C43&amp;'Ψ(r) Binary Features'!D43&amp;'Ψ(r) Binary Features'!E43&amp;'Ψ(r) Binary Features'!F43&amp;'Ψ(r) Binary Features'!G43</f>
        <v>221222</v>
      </c>
      <c r="M8" s="74">
        <f>COUNTIFS($L$5:$L$14,L8,Dataset!$O$3:$O$12,"&lt;&gt;"&amp;Dataset!$O$6)</f>
        <v>1</v>
      </c>
      <c r="O8" s="64" t="inlineStr">
        <is>
          <t xml:space="preserve">S₄</t>
        </is>
      </c>
      <c r="P8" s="74">
        <f>IF(ISNUMBER('Synthetic Features (k-NN)'!$B$4),IF(SUMPRODUCT(--(('Sorted Neighbors (ρ)'!$B$8:$K$8&lt;='Synthetic Features (k-NN)'!$B$4)&lt;&gt;('Sorted Neighbors (ρ_I)'!$B$8:$K$8&lt;='Synthetic Features (k-NN)'!$B$4)))=0,1,0),"—")</f>
        <v>0</v>
      </c>
      <c r="Q8" s="74">
        <f>IF(ISNUMBER('Synthetic Features (k-NN)'!$C$4),IF(SUMPRODUCT(--(('Sorted Neighbors (ρ)'!$B$8:$K$8&lt;='Synthetic Features (k-NN)'!$C$4)&lt;&gt;('Sorted Neighbors (ρ_I)'!$B$8:$K$8&lt;='Synthetic Features (k-NN)'!$C$4)))=0,1,0),"—")</f>
        <v>0</v>
      </c>
      <c r="R8" s="74">
        <f>IF(ISNUMBER('Synthetic Features (k-NN)'!$B$4),IF(SUMPRODUCT(--(('Sorted Neighbors (ρ)'!$B$8:$K$8&lt;='Synthetic Features (k-NN)'!$B$4)&lt;&gt;('Sorted Neighbors (ρ_J)'!$B$8:$K$8&lt;='Synthetic Features (k-NN)'!$B$4)))=0,1,0),"—")</f>
        <v>1</v>
      </c>
      <c r="S8" s="74">
        <f>IF(ISNUMBER('Synthetic Features (k-NN)'!$C$4),IF(SUMPRODUCT(--(('Sorted Neighbors (ρ)'!$B$8:$K$8&lt;='Synthetic Features (k-NN)'!$C$4)&lt;&gt;('Sorted Neighbors (ρ_J)'!$B$8:$K$8&lt;='Synthetic Features (k-NN)'!$C$4)))=0,1,0),"—")</f>
        <v>1</v>
      </c>
      <c r="T8" s="74">
        <f>IF(ISNUMBER('Synthetic Features (k-NN)'!$B$4),IF(SUMPRODUCT(--(('Sorted Neighbors (ρ_I)'!$B$8:$K$8&lt;='Synthetic Features (k-NN)'!$B$4)&lt;&gt;('Sorted Neighbors (ρ_J)'!$B$8:$K$8&lt;='Synthetic Features (k-NN)'!$B$4)))=0,1,0),"—")</f>
        <v>0</v>
      </c>
      <c r="U8" s="74">
        <f>IF(ISNUMBER('Synthetic Features (k-NN)'!$C$4),IF(SUMPRODUCT(--(('Sorted Neighbors (ρ_I)'!$B$8:$K$8&lt;='Synthetic Features (k-NN)'!$C$4)&lt;&gt;('Sorted Neighbors (ρ_J)'!$B$8:$K$8&lt;='Synthetic Features (k-NN)'!$C$4)))=0,1,0),"—")</f>
        <v>0</v>
      </c>
    </row>
    <row r="9">
      <c r="A9" s="65" t="inlineStr">
        <is>
          <t xml:space="preserve">Meta-algorithm gives a class or an explicit refusal</t>
        </is>
      </c>
      <c r="B9" s="65"/>
      <c r="C9" s="65"/>
      <c r="D9" s="83" t="str">
        <f>COUNTIF('Meta-algorithm (All Objects)'!$H$5:$H$14,0)&amp;" refusal(s)"</f>
        <v>0 refusal(s)</v>
      </c>
      <c r="E9" s="97" t="str">
        <f>"✓ always defined (0 = refusal)"</f>
        <v>✓ always defined (0 = refusal)</v>
      </c>
      <c r="F9" s="97"/>
      <c r="I9" s="64" t="inlineStr">
        <is>
          <t xml:space="preserve">S₅</t>
        </is>
      </c>
      <c r="J9" s="84" t="str">
        <f>'Meta-algorithm (All Objects)'!B9</f>
        <v>(2, 1, 2, 2, 2)</v>
      </c>
      <c r="K9" s="74">
        <f>COUNTIFS($J$5:$J$14,J9,Dataset!$O$3:$O$12,"&lt;&gt;"&amp;Dataset!$O$7)</f>
        <v>1</v>
      </c>
      <c r="L9" s="84" t="str">
        <f>'Ψ(r) Binary Features'!B44&amp;'Ψ(r) Binary Features'!C44&amp;'Ψ(r) Binary Features'!D44&amp;'Ψ(r) Binary Features'!E44&amp;'Ψ(r) Binary Features'!F44&amp;'Ψ(r) Binary Features'!G44</f>
        <v>221222</v>
      </c>
      <c r="M9" s="74">
        <f>COUNTIFS($L$5:$L$14,L9,Dataset!$O$3:$O$12,"&lt;&gt;"&amp;Dataset!$O$7)</f>
        <v>1</v>
      </c>
      <c r="O9" s="64" t="inlineStr">
        <is>
          <t xml:space="preserve">S₅</t>
        </is>
      </c>
      <c r="P9" s="74">
        <f>IF(ISNUMBER('Synthetic Features (k-NN)'!$B$4),IF(SUMPRODUCT(--(('Sorted Neighbors (ρ)'!$B$9:$K$9&lt;='Synthetic Features (k-NN)'!$B$4)&lt;&gt;('Sorted Neighbors (ρ_I)'!$B$9:$K$9&lt;='Synthetic Features (k-NN)'!$B$4)))=0,1,0),"—")</f>
        <v>0</v>
      </c>
      <c r="Q9" s="74">
        <f>IF(ISNUMBER('Synthetic Features (k-NN)'!$C$4),IF(SUMPRODUCT(--(('Sorted Neighbors (ρ)'!$B$9:$K$9&lt;='Synthetic Features (k-NN)'!$C$4)&lt;&gt;('Sorted Neighbors (ρ_I)'!$B$9:$K$9&lt;='Synthetic Features (k-NN)'!$C$4)))=0,1,0),"—")</f>
        <v>0</v>
      </c>
      <c r="R9" s="74">
        <f>IF(ISNUMBER('Synthetic Features (k-NN)'!$B$4),IF(SUMPRODUCT(--(('Sorted Neighbors (ρ)'!$B$9:$K$9&lt;='Synthetic Features (k-NN)'!$B$4)&lt;&gt;('Sorted Neighbors (ρ_J)'!$B$9:$K$9&lt;='Synthetic Features (k-NN)'!$B$4)))=0,1,0),"—")</f>
        <v>0</v>
      </c>
      <c r="S9" s="74">
        <f>IF(ISNUMBER('Synthetic Features (k-NN)'!$C$4),IF(SUMPRODUCT(--(('Sorted Neighbors (ρ)'!$B$9:$K$9&lt;='Synthetic Features (k-NN)'!$C$4)&lt;&gt;('Sorted Neighbors (ρ_J)'!$B$9:$K$9&lt;='Synthetic Features (k-NN)'!$C$4)))=0,1,0),"—")</f>
        <v>0</v>
      </c>
      <c r="T9" s="74">
        <f>IF(ISNUMBER('Synthetic Features (k-NN)'!$B$4),IF(SUMPRODUCT(--(('Sorted Neighbors (ρ_I)'!$B$9:$K$9&lt;='Synthetic Features (k-NN)'!$B$4)&lt;&gt;('Sorted Neighbors (ρ_J)'!$B$9:$K$9&lt;='Synthetic Features (k-NN)'!$B$4)))=0,1,0),"—")</f>
        <v>0</v>
      </c>
      <c r="U9" s="74">
        <f>IF(ISNUMBER('Synthetic Features (k-NN)'!$C$4),IF(SUMPRODUCT(--(('Sorted Neighbors (ρ_I)'!$B$9:$K$9&lt;='Synthetic Features (k-NN)'!$C$4)&lt;&gt;('Sorted Neighbors (ρ_J)'!$B$9:$K$9&lt;='Synthetic Features (k-NN)'!$C$4)))=0,1,0),"—")</f>
        <v>0</v>
      </c>
    </row>
    <row r="10">
      <c r="I10" s="64" t="inlineStr">
        <is>
          <t xml:space="preserve">S₆</t>
        </is>
      </c>
      <c r="J10" s="84" t="str">
        <f>'Meta-algorithm (All Objects)'!B10</f>
        <v>(2, 2, 2, 2, 2)</v>
      </c>
      <c r="K10" s="74">
        <f>COUNTIFS($J$5:$J$14,J10,Dataset!$O$3:$O$12,"&lt;&gt;"&amp;Dataset!$O$8)</f>
        <v>4</v>
      </c>
      <c r="L10" s="84" t="str">
        <f>'Ψ(r) Binary Features'!B45&amp;'Ψ(r) Binary Features'!C45&amp;'Ψ(r) Binary Features'!D45&amp;'Ψ(r) Binary Features'!E45&amp;'Ψ(r) Binary Features'!F45&amp;'Ψ(r) Binary Features'!G45</f>
        <v>222222</v>
      </c>
      <c r="M10" s="74">
        <f>COUNTIFS($L$5:$L$14,L10,Dataset!$O$3:$O$12,"&lt;&gt;"&amp;Dataset!$O$8)</f>
        <v>4</v>
      </c>
      <c r="O10" s="64" t="inlineStr">
        <is>
          <t xml:space="preserve">S₆</t>
        </is>
      </c>
      <c r="P10" s="74">
        <f>IF(ISNUMBER('Synthetic Features (k-NN)'!$B$4),IF(SUMPRODUCT(--(('Sorted Neighbors (ρ)'!$B$10:$K$10&lt;='Synthetic Features (k-NN)'!$B$4)&lt;&gt;('Sorted Neighbors (ρ_I)'!$B$10:$K$10&lt;='Synthetic Features (k-NN)'!$B$4)))=0,1,0),"—")</f>
        <v>0</v>
      </c>
      <c r="Q10" s="74">
        <f>IF(ISNUMBER('Synthetic Features (k-NN)'!$C$4),IF(SUMPRODUCT(--(('Sorted Neighbors (ρ)'!$B$10:$K$10&lt;='Synthetic Features (k-NN)'!$C$4)&lt;&gt;('Sorted Neighbors (ρ_I)'!$B$10:$K$10&lt;='Synthetic Features (k-NN)'!$C$4)))=0,1,0),"—")</f>
        <v>0</v>
      </c>
      <c r="R10" s="74">
        <f>IF(ISNUMBER('Synthetic Features (k-NN)'!$B$4),IF(SUMPRODUCT(--(('Sorted Neighbors (ρ)'!$B$10:$K$10&lt;='Synthetic Features (k-NN)'!$B$4)&lt;&gt;('Sorted Neighbors (ρ_J)'!$B$10:$K$10&lt;='Synthetic Features (k-NN)'!$B$4)))=0,1,0),"—")</f>
        <v>0</v>
      </c>
      <c r="S10" s="74">
        <f>IF(ISNUMBER('Synthetic Features (k-NN)'!$C$4),IF(SUMPRODUCT(--(('Sorted Neighbors (ρ)'!$B$10:$K$10&lt;='Synthetic Features (k-NN)'!$C$4)&lt;&gt;('Sorted Neighbors (ρ_J)'!$B$10:$K$10&lt;='Synthetic Features (k-NN)'!$C$4)))=0,1,0),"—")</f>
        <v>0</v>
      </c>
      <c r="T10" s="74">
        <f>IF(ISNUMBER('Synthetic Features (k-NN)'!$B$4),IF(SUMPRODUCT(--(('Sorted Neighbors (ρ_I)'!$B$10:$K$10&lt;='Synthetic Features (k-NN)'!$B$4)&lt;&gt;('Sorted Neighbors (ρ_J)'!$B$10:$K$10&lt;='Synthetic Features (k-NN)'!$B$4)))=0,1,0),"—")</f>
        <v>0</v>
      </c>
      <c r="U10" s="74">
        <f>IF(ISNUMBER('Synthetic Features (k-NN)'!$C$4),IF(SUMPRODUCT(--(('Sorted Neighbors (ρ_I)'!$B$10:$K$10&lt;='Synthetic Features (k-NN)'!$C$4)&lt;&gt;('Sorted Neighbors (ρ_J)'!$B$10:$K$10&lt;='Synthetic Features (k-NN)'!$C$4)))=0,1,0),"—")</f>
        <v>0</v>
      </c>
    </row>
    <row r="11">
      <c r="A11" s="58" t="inlineStr">
        <is>
          <t xml:space="preserve">Definition 2 — training correctness:  R(Y(Sᵢ, E₀)) = Kᵢ for every Sᵢ ∈ E₀  (resubstitution)</t>
        </is>
      </c>
      <c r="B11" s="58"/>
      <c r="C11" s="58"/>
      <c r="D11" s="58"/>
      <c r="E11" s="58"/>
      <c r="F11" s="58"/>
      <c r="I11" s="64" t="inlineStr">
        <is>
          <t xml:space="preserve">S₇</t>
        </is>
      </c>
      <c r="J11" s="84" t="str">
        <f>'Meta-algorithm (All Objects)'!B11</f>
        <v>(2, 2, 2, 2, 2)</v>
      </c>
      <c r="K11" s="74">
        <f>COUNTIFS($J$5:$J$14,J11,Dataset!$O$3:$O$12,"&lt;&gt;"&amp;Dataset!$O$9)</f>
        <v>2</v>
      </c>
      <c r="L11" s="84" t="str">
        <f>'Ψ(r) Binary Features'!B46&amp;'Ψ(r) Binary Features'!C46&amp;'Ψ(r) Binary Features'!D46&amp;'Ψ(r) Binary Features'!E46&amp;'Ψ(r) Binary Features'!F46&amp;'Ψ(r) Binary Features'!G46</f>
        <v>222222</v>
      </c>
      <c r="M11" s="74">
        <f>COUNTIFS($L$5:$L$14,L11,Dataset!$O$3:$O$12,"&lt;&gt;"&amp;Dataset!$O$9)</f>
        <v>2</v>
      </c>
      <c r="O11" s="64" t="inlineStr">
        <is>
          <t xml:space="preserve">S₇</t>
        </is>
      </c>
      <c r="P11" s="74">
        <f>IF(ISNUMBER('Synthetic Features (k-NN)'!$B$4),IF(SUMPRODUCT(--(('Sorted Neighbors (ρ)'!$B$11:$K$11&lt;='Synthetic Features (k-NN)'!$B$4)&lt;&gt;('Sorted Neighbors (ρ_I)'!$B$11:$K$11&lt;='Synthetic Features (k-NN)'!$B$4)))=0,1,0),"—")</f>
        <v>0</v>
      </c>
      <c r="Q11" s="74">
        <f>IF(ISNUMBER('Synthetic Features (k-NN)'!$C$4),IF(SUMPRODUCT(--(('Sorted Neighbors (ρ)'!$B$11:$K$11&lt;='Synthetic Features (k-NN)'!$C$4)&lt;&gt;('Sorted Neighbors (ρ_I)'!$B$11:$K$11&lt;='Synthetic Features (k-NN)'!$C$4)))=0,1,0),"—")</f>
        <v>0</v>
      </c>
      <c r="R11" s="74">
        <f>IF(ISNUMBER('Synthetic Features (k-NN)'!$B$4),IF(SUMPRODUCT(--(('Sorted Neighbors (ρ)'!$B$11:$K$11&lt;='Synthetic Features (k-NN)'!$B$4)&lt;&gt;('Sorted Neighbors (ρ_J)'!$B$11:$K$11&lt;='Synthetic Features (k-NN)'!$B$4)))=0,1,0),"—")</f>
        <v>0</v>
      </c>
      <c r="S11" s="74">
        <f>IF(ISNUMBER('Synthetic Features (k-NN)'!$C$4),IF(SUMPRODUCT(--(('Sorted Neighbors (ρ)'!$B$11:$K$11&lt;='Synthetic Features (k-NN)'!$C$4)&lt;&gt;('Sorted Neighbors (ρ_J)'!$B$11:$K$11&lt;='Synthetic Features (k-NN)'!$C$4)))=0,1,0),"—")</f>
        <v>0</v>
      </c>
      <c r="T11" s="74">
        <f>IF(ISNUMBER('Synthetic Features (k-NN)'!$B$4),IF(SUMPRODUCT(--(('Sorted Neighbors (ρ_I)'!$B$11:$K$11&lt;='Synthetic Features (k-NN)'!$B$4)&lt;&gt;('Sorted Neighbors (ρ_J)'!$B$11:$K$11&lt;='Synthetic Features (k-NN)'!$B$4)))=0,1,0),"—")</f>
        <v>0</v>
      </c>
      <c r="U11" s="74">
        <f>IF(ISNUMBER('Synthetic Features (k-NN)'!$C$4),IF(SUMPRODUCT(--(('Sorted Neighbors (ρ_I)'!$B$11:$K$11&lt;='Synthetic Features (k-NN)'!$C$4)&lt;&gt;('Sorted Neighbors (ρ_J)'!$B$11:$K$11&lt;='Synthetic Features (k-NN)'!$C$4)))=0,1,0),"—")</f>
        <v>0</v>
      </c>
    </row>
    <row r="12">
      <c r="A12" s="61" t="inlineStr">
        <is>
          <t xml:space="preserve">Check</t>
        </is>
      </c>
      <c r="B12" s="61"/>
      <c r="C12" s="61"/>
      <c r="D12" s="60" t="inlineStr">
        <is>
          <t xml:space="preserve">Result</t>
        </is>
      </c>
      <c r="E12" s="60" t="inlineStr">
        <is>
          <t xml:space="preserve">Status</t>
        </is>
      </c>
      <c r="F12" s="60" t="inlineStr">
        <is>
          <t xml:space="preserve"/>
        </is>
      </c>
      <c r="I12" s="64" t="inlineStr">
        <is>
          <t xml:space="preserve">S₈</t>
        </is>
      </c>
      <c r="J12" s="84" t="str">
        <f>'Meta-algorithm (All Objects)'!B12</f>
        <v>(2, 2, 2, 2, 2)</v>
      </c>
      <c r="K12" s="74">
        <f>COUNTIFS($J$5:$J$14,J12,Dataset!$O$3:$O$12,"&lt;&gt;"&amp;Dataset!$O$10)</f>
        <v>2</v>
      </c>
      <c r="L12" s="84" t="str">
        <f>'Ψ(r) Binary Features'!B47&amp;'Ψ(r) Binary Features'!C47&amp;'Ψ(r) Binary Features'!D47&amp;'Ψ(r) Binary Features'!E47&amp;'Ψ(r) Binary Features'!F47&amp;'Ψ(r) Binary Features'!G47</f>
        <v>222222</v>
      </c>
      <c r="M12" s="74">
        <f>COUNTIFS($L$5:$L$14,L12,Dataset!$O$3:$O$12,"&lt;&gt;"&amp;Dataset!$O$10)</f>
        <v>2</v>
      </c>
      <c r="O12" s="64" t="inlineStr">
        <is>
          <t xml:space="preserve">S₈</t>
        </is>
      </c>
      <c r="P12" s="74">
        <f>IF(ISNUMBER('Synthetic Features (k-NN)'!$B$4),IF(SUMPRODUCT(--(('Sorted Neighbors (ρ)'!$B$12:$K$12&lt;='Synthetic Features (k-NN)'!$B$4)&lt;&gt;('Sorted Neighbors (ρ_I)'!$B$12:$K$12&lt;='Synthetic Features (k-NN)'!$B$4)))=0,1,0),"—")</f>
        <v>0</v>
      </c>
      <c r="Q12" s="74">
        <f>IF(ISNUMBER('Synthetic Features (k-NN)'!$C$4),IF(SUMPRODUCT(--(('Sorted Neighbors (ρ)'!$B$12:$K$12&lt;='Synthetic Features (k-NN)'!$C$4)&lt;&gt;('Sorted Neighbors (ρ_I)'!$B$12:$K$12&lt;='Synthetic Features (k-NN)'!$C$4)))=0,1,0),"—")</f>
        <v>0</v>
      </c>
      <c r="R12" s="74">
        <f>IF(ISNUMBER('Synthetic Features (k-NN)'!$B$4),IF(SUMPRODUCT(--(('Sorted Neighbors (ρ)'!$B$12:$K$12&lt;='Synthetic Features (k-NN)'!$B$4)&lt;&gt;('Sorted Neighbors (ρ_J)'!$B$12:$K$12&lt;='Synthetic Features (k-NN)'!$B$4)))=0,1,0),"—")</f>
        <v>0</v>
      </c>
      <c r="S12" s="74">
        <f>IF(ISNUMBER('Synthetic Features (k-NN)'!$C$4),IF(SUMPRODUCT(--(('Sorted Neighbors (ρ)'!$B$12:$K$12&lt;='Synthetic Features (k-NN)'!$C$4)&lt;&gt;('Sorted Neighbors (ρ_J)'!$B$12:$K$12&lt;='Synthetic Features (k-NN)'!$C$4)))=0,1,0),"—")</f>
        <v>0</v>
      </c>
      <c r="T12" s="74">
        <f>IF(ISNUMBER('Synthetic Features (k-NN)'!$B$4),IF(SUMPRODUCT(--(('Sorted Neighbors (ρ_I)'!$B$12:$K$12&lt;='Synthetic Features (k-NN)'!$B$4)&lt;&gt;('Sorted Neighbors (ρ_J)'!$B$12:$K$12&lt;='Synthetic Features (k-NN)'!$B$4)))=0,1,0),"—")</f>
        <v>0</v>
      </c>
      <c r="U12" s="74">
        <f>IF(ISNUMBER('Synthetic Features (k-NN)'!$C$4),IF(SUMPRODUCT(--(('Sorted Neighbors (ρ_I)'!$B$12:$K$12&lt;='Synthetic Features (k-NN)'!$C$4)&lt;&gt;('Sorted Neighbors (ρ_J)'!$B$12:$K$12&lt;='Synthetic Features (k-NN)'!$C$4)))=0,1,0),"—")</f>
        <v>0</v>
      </c>
    </row>
    <row r="13">
      <c r="A13" s="65" t="inlineStr">
        <is>
          <t xml:space="preserve">Correctly classified training objects</t>
        </is>
      </c>
      <c r="B13" s="65"/>
      <c r="C13" s="65"/>
      <c r="D13" s="83" t="str">
        <f>'Accuracy'!$K$4</f>
        <v>7 / 10</v>
      </c>
      <c r="E13" s="97" t="str">
        <f>IF('Accuracy'!$H$4=1,"✓ correct on E₀","✗ not correct on "&amp;('Parameters'!$B$5-'Accuracy'!$C$4-'Accuracy'!$D$4)&amp;" object(s)")</f>
        <v>✗ not correct on 3 object(s)</v>
      </c>
      <c r="F13" s="97"/>
      <c r="I13" s="64" t="inlineStr">
        <is>
          <t xml:space="preserve">S₉</t>
        </is>
      </c>
      <c r="J13" s="84" t="str">
        <f>'Meta-algorithm (All Objects)'!B13</f>
        <v>(2, 2, 2, 2, 2)</v>
      </c>
      <c r="K13" s="74">
        <f>COUNTIFS($J$5:$J$14,J13,Dataset!$O$3:$O$12,"&lt;&gt;"&amp;Dataset!$O$11)</f>
        <v>2</v>
      </c>
      <c r="L13" s="84" t="str">
        <f>'Ψ(r) Binary Features'!B48&amp;'Ψ(r) Binary Features'!C48&amp;'Ψ(r) Binary Features'!D48&amp;'Ψ(r) Binary Features'!E48&amp;'Ψ(r) Binary Features'!F48&amp;'Ψ(r) Binary Features'!G48</f>
        <v>222222</v>
      </c>
      <c r="M13" s="74">
        <f>COUNTIFS($L$5:$L$14,L13,Dataset!$O$3:$O$12,"&lt;&gt;"&amp;Dataset!$O$11)</f>
        <v>2</v>
      </c>
      <c r="O13" s="64" t="inlineStr">
        <is>
          <t xml:space="preserve">S₉</t>
        </is>
      </c>
      <c r="P13" s="74">
        <f>IF(ISNUMBER('Synthetic Features (k-NN)'!$B$4),IF(SUMPRODUCT(--(('Sorted Neighbors (ρ)'!$B$13:$K$13&lt;='Synthetic Features (k-NN)'!$B$4)&lt;&gt;('Sorted Neighbors (ρ_I)'!$B$13:$K$13&lt;='Synthetic Features (k-NN)'!$B$4)))=0,1,0),"—")</f>
        <v>0</v>
      </c>
      <c r="Q13" s="74">
        <f>IF(ISNUMBER('Synthetic Features (k-NN)'!$C$4),IF(SUMPRODUCT(--(('Sorted Neighbors (ρ)'!$B$13:$K$13&lt;='Synthetic Features (k-NN)'!$C$4)&lt;&gt;('Sorted Neighbors (ρ_I)'!$B$13:$K$13&lt;='Synthetic Features (k-NN)'!$C$4)))=0,1,0),"—")</f>
        <v>0</v>
      </c>
      <c r="R13" s="74">
        <f>IF(ISNUMBER('Synthetic Features (k-NN)'!$B$4),IF(SUMPRODUCT(--(('Sorted Neighbors (ρ)'!$B$13:$K$13&lt;='Synthetic Features (k-NN)'!$B$4)&lt;&gt;('Sorted Neighbors (ρ_J)'!$B$13:$K$13&lt;='Synthetic Features (k-NN)'!$B$4)))=0,1,0),"—")</f>
        <v>1</v>
      </c>
      <c r="S13" s="74">
        <f>IF(ISNUMBER('Synthetic Features (k-NN)'!$C$4),IF(SUMPRODUCT(--(('Sorted Neighbors (ρ)'!$B$13:$K$13&lt;='Synthetic Features (k-NN)'!$C$4)&lt;&gt;('Sorted Neighbors (ρ_J)'!$B$13:$K$13&lt;='Synthetic Features (k-NN)'!$C$4)))=0,1,0),"—")</f>
        <v>0</v>
      </c>
      <c r="T13" s="74">
        <f>IF(ISNUMBER('Synthetic Features (k-NN)'!$B$4),IF(SUMPRODUCT(--(('Sorted Neighbors (ρ_I)'!$B$13:$K$13&lt;='Synthetic Features (k-NN)'!$B$4)&lt;&gt;('Sorted Neighbors (ρ_J)'!$B$13:$K$13&lt;='Synthetic Features (k-NN)'!$B$4)))=0,1,0),"—")</f>
        <v>0</v>
      </c>
      <c r="U13" s="74">
        <f>IF(ISNUMBER('Synthetic Features (k-NN)'!$C$4),IF(SUMPRODUCT(--(('Sorted Neighbors (ρ_I)'!$B$13:$K$13&lt;='Synthetic Features (k-NN)'!$C$4)&lt;&gt;('Sorted Neighbors (ρ_J)'!$B$13:$K$13&lt;='Synthetic Features (k-NN)'!$C$4)))=0,1,0),"—")</f>
        <v>0</v>
      </c>
    </row>
    <row r="14">
      <c r="I14" s="64" t="inlineStr">
        <is>
          <t xml:space="preserve">S₁₀</t>
        </is>
      </c>
      <c r="J14" s="84" t="str">
        <f>'Meta-algorithm (All Objects)'!B14</f>
        <v>(2, 2, 2, 2, 2)</v>
      </c>
      <c r="K14" s="74">
        <f>COUNTIFS($J$5:$J$14,J14,Dataset!$O$3:$O$12,"&lt;&gt;"&amp;Dataset!$O$12)</f>
        <v>2</v>
      </c>
      <c r="L14" s="84" t="str">
        <f>'Ψ(r) Binary Features'!B49&amp;'Ψ(r) Binary Features'!C49&amp;'Ψ(r) Binary Features'!D49&amp;'Ψ(r) Binary Features'!E49&amp;'Ψ(r) Binary Features'!F49&amp;'Ψ(r) Binary Features'!G49</f>
        <v>222222</v>
      </c>
      <c r="M14" s="74">
        <f>COUNTIFS($L$5:$L$14,L14,Dataset!$O$3:$O$12,"&lt;&gt;"&amp;Dataset!$O$12)</f>
        <v>2</v>
      </c>
      <c r="O14" s="64" t="inlineStr">
        <is>
          <t xml:space="preserve">S₁₀</t>
        </is>
      </c>
      <c r="P14" s="74">
        <f>IF(ISNUMBER('Synthetic Features (k-NN)'!$B$4),IF(SUMPRODUCT(--(('Sorted Neighbors (ρ)'!$B$14:$K$14&lt;='Synthetic Features (k-NN)'!$B$4)&lt;&gt;('Sorted Neighbors (ρ_I)'!$B$14:$K$14&lt;='Synthetic Features (k-NN)'!$B$4)))=0,1,0),"—")</f>
        <v>0</v>
      </c>
      <c r="Q14" s="74">
        <f>IF(ISNUMBER('Synthetic Features (k-NN)'!$C$4),IF(SUMPRODUCT(--(('Sorted Neighbors (ρ)'!$B$14:$K$14&lt;='Synthetic Features (k-NN)'!$C$4)&lt;&gt;('Sorted Neighbors (ρ_I)'!$B$14:$K$14&lt;='Synthetic Features (k-NN)'!$C$4)))=0,1,0),"—")</f>
        <v>0</v>
      </c>
      <c r="R14" s="74">
        <f>IF(ISNUMBER('Synthetic Features (k-NN)'!$B$4),IF(SUMPRODUCT(--(('Sorted Neighbors (ρ)'!$B$14:$K$14&lt;='Synthetic Features (k-NN)'!$B$4)&lt;&gt;('Sorted Neighbors (ρ_J)'!$B$14:$K$14&lt;='Synthetic Features (k-NN)'!$B$4)))=0,1,0),"—")</f>
        <v>1</v>
      </c>
      <c r="S14" s="74">
        <f>IF(ISNUMBER('Synthetic Features (k-NN)'!$C$4),IF(SUMPRODUCT(--(('Sorted Neighbors (ρ)'!$B$14:$K$14&lt;='Synthetic Features (k-NN)'!$C$4)&lt;&gt;('Sorted Neighbors (ρ_J)'!$B$14:$K$14&lt;='Synthetic Features (k-NN)'!$C$4)))=0,1,0),"—")</f>
        <v>1</v>
      </c>
      <c r="T14" s="74">
        <f>IF(ISNUMBER('Synthetic Features (k-NN)'!$B$4),IF(SUMPRODUCT(--(('Sorted Neighbors (ρ_I)'!$B$14:$K$14&lt;='Synthetic Features (k-NN)'!$B$4)&lt;&gt;('Sorted Neighbors (ρ_J)'!$B$14:$K$14&lt;='Synthetic Features (k-NN)'!$B$4)))=0,1,0),"—")</f>
        <v>0</v>
      </c>
      <c r="U14" s="74">
        <f>IF(ISNUMBER('Synthetic Features (k-NN)'!$C$4),IF(SUMPRODUCT(--(('Sorted Neighbors (ρ_I)'!$B$14:$K$14&lt;='Synthetic Features (k-NN)'!$C$4)&lt;&gt;('Sorted Neighbors (ρ_J)'!$B$14:$K$14&lt;='Synthetic Features (k-NN)'!$C$4)))=0,1,0),"—")</f>
        <v>0</v>
      </c>
    </row>
    <row r="15">
      <c r="A15" s="58" t="inlineStr">
        <is>
          <t xml:space="preserve">Definition 3 — generalization correctness (leave-one-out; the held-out class is never used before its prediction)</t>
        </is>
      </c>
      <c r="B15" s="58"/>
      <c r="C15" s="58"/>
      <c r="D15" s="58"/>
      <c r="E15" s="58"/>
      <c r="F15" s="58"/>
    </row>
    <row r="16">
      <c r="A16" s="61" t="inlineStr">
        <is>
          <t xml:space="preserve">Check</t>
        </is>
      </c>
      <c r="B16" s="61"/>
      <c r="C16" s="61"/>
      <c r="D16" s="60" t="inlineStr">
        <is>
          <t xml:space="preserve">Result</t>
        </is>
      </c>
      <c r="E16" s="60" t="inlineStr">
        <is>
          <t xml:space="preserve">Status</t>
        </is>
      </c>
      <c r="F16" s="60" t="inlineStr">
        <is>
          <t xml:space="preserve"/>
        </is>
      </c>
    </row>
    <row r="17">
      <c r="A17" s="65" t="inlineStr">
        <is>
          <t xml:space="preserve">Correctly classified held-out objects</t>
        </is>
      </c>
      <c r="B17" s="65"/>
      <c r="C17" s="65"/>
      <c r="D17" s="83" t="str">
        <f>'Accuracy'!$K$5</f>
        <v>2 / 10</v>
      </c>
      <c r="E17" s="97" t="str">
        <f>"accuracy "&amp;TEXT('Accuracy'!$H$5,"0.0%")&amp;",  refusals "&amp;'Accuracy'!$G$5</f>
        <v>accuracy 20.0%,  refusals 4</v>
      </c>
      <c r="F17" s="97"/>
    </row>
    <row r="18"/>
    <row r="19">
      <c r="A19" s="58" t="inlineStr">
        <is>
          <t xml:space="preserve">Definition 4 — sufficiency: objects with an identical representation but different classes</t>
        </is>
      </c>
      <c r="B19" s="58"/>
      <c r="C19" s="58"/>
      <c r="D19" s="58"/>
      <c r="E19" s="58"/>
      <c r="F19" s="58"/>
    </row>
    <row r="20">
      <c r="A20" s="61" t="inlineStr">
        <is>
          <t xml:space="preserve">Check</t>
        </is>
      </c>
      <c r="B20" s="61"/>
      <c r="C20" s="61"/>
      <c r="D20" s="60" t="inlineStr">
        <is>
          <t xml:space="preserve">Result</t>
        </is>
      </c>
      <c r="E20" s="60" t="inlineStr">
        <is>
          <t xml:space="preserve">Status</t>
        </is>
      </c>
      <c r="F20" s="60" t="inlineStr">
        <is>
          <t xml:space="preserve"/>
        </is>
      </c>
    </row>
    <row r="21">
      <c r="A21" s="65" t="inlineStr">
        <is>
          <t xml:space="preserve">Pairs with the same TUPLAM description (a₀, …, a_p) and different classes</t>
        </is>
      </c>
      <c r="B21" s="65"/>
      <c r="C21" s="65"/>
      <c r="D21" s="83">
        <f>SUM($K$5:$K$14)/2</f>
        <v>10</v>
      </c>
      <c r="E21" s="97" t="str">
        <f>IF(D21=0,"✓ sufficient on E₀","✗ insufficient: "&amp;D21&amp;" conflicting pair(s)")</f>
        <v>✗ insufficient: 10 conflicting pair(s)</v>
      </c>
      <c r="F21" s="97"/>
    </row>
    <row r="22">
      <c r="A22" s="65" t="inlineStr">
        <is>
          <t xml:space="preserve">Pairs with the same full Ψ(r) description and different classes</t>
        </is>
      </c>
      <c r="B22" s="65"/>
      <c r="C22" s="65"/>
      <c r="D22" s="83">
        <f>SUM($M$5:$M$14)/2</f>
        <v>10</v>
      </c>
      <c r="E22" s="97" t="str">
        <f>IF(D22=0,"✓ sufficient on E₀","✗ insufficient: "&amp;D22&amp;" conflicting pair(s)")</f>
        <v>✗ insufficient: 10 conflicting pair(s)</v>
      </c>
      <c r="F22" s="97"/>
    </row>
    <row r="23"/>
    <row r="24">
      <c r="A24" s="58" t="inlineStr">
        <is>
          <t xml:space="preserve">Definition 6 — contextual equivalence of the base operators (identical k-neighbour sets)</t>
        </is>
      </c>
      <c r="B24" s="58"/>
      <c r="C24" s="58"/>
      <c r="D24" s="58"/>
      <c r="E24" s="58"/>
      <c r="F24" s="58"/>
    </row>
    <row r="25">
      <c r="A25" s="61" t="inlineStr">
        <is>
          <t xml:space="preserve">Operator pair</t>
        </is>
      </c>
      <c r="B25" s="61"/>
      <c r="C25" s="61"/>
      <c r="D25" s="60" t="str">
        <f>"objects with equal sets, k = "&amp;'Synthetic Features (k-NN)'!$B$4</f>
        <v>objects with equal sets, k = 3</v>
      </c>
      <c r="E25" s="60" t="str">
        <f>"objects with equal sets, k = "&amp;'Synthetic Features (k-NN)'!$C$4</f>
        <v>objects with equal sets, k = 5</v>
      </c>
    </row>
    <row r="26">
      <c r="A26" s="65" t="inlineStr">
        <is>
          <t xml:space="preserve">ρ  vs  ρ_I</t>
        </is>
      </c>
      <c r="B26" s="65"/>
      <c r="C26" s="65"/>
      <c r="D26" s="83" t="str">
        <f>SUM(P5:P14)&amp;" / "&amp;'Parameters'!$B$5</f>
        <v>0 / 10</v>
      </c>
      <c r="E26" s="83" t="str">
        <f>SUM(Q5:Q14)&amp;" / "&amp;'Parameters'!$B$5</f>
        <v>0 / 10</v>
      </c>
    </row>
    <row r="27">
      <c r="A27" s="65" t="inlineStr">
        <is>
          <t xml:space="preserve">ρ  vs  ρ_J</t>
        </is>
      </c>
      <c r="B27" s="65"/>
      <c r="C27" s="65"/>
      <c r="D27" s="83" t="str">
        <f>SUM(R5:R14)&amp;" / "&amp;'Parameters'!$B$5</f>
        <v>5 / 10</v>
      </c>
      <c r="E27" s="83" t="str">
        <f>SUM(S5:S14)&amp;" / "&amp;'Parameters'!$B$5</f>
        <v>2 / 10</v>
      </c>
    </row>
    <row r="28">
      <c r="A28" s="65" t="inlineStr">
        <is>
          <t xml:space="preserve">ρ_I  vs  ρ_J</t>
        </is>
      </c>
      <c r="B28" s="65"/>
      <c r="C28" s="65"/>
      <c r="D28" s="83" t="str">
        <f>SUM(T5:T14)&amp;" / "&amp;'Parameters'!$B$5</f>
        <v>0 / 10</v>
      </c>
      <c r="E28" s="83" t="str">
        <f>SUM(U5:U14)&amp;" / "&amp;'Parameters'!$B$5</f>
        <v>0 / 10</v>
      </c>
    </row>
    <row r="29"/>
    <row r="30">
      <c r="A30" s="58" t="inlineStr">
        <is>
          <t xml:space="preserve">Identical synthetic features (= : the two features take the same value on every object)</t>
        </is>
      </c>
      <c r="B30" s="58"/>
      <c r="C30" s="58"/>
      <c r="D30" s="58"/>
      <c r="E30" s="58"/>
      <c r="F30" s="58"/>
      <c r="G30" s="58"/>
    </row>
    <row r="31">
      <c r="A31" s="60" t="inlineStr">
        <is>
          <t xml:space="preserve"/>
        </is>
      </c>
      <c r="B31" s="60" t="inlineStr">
        <is>
          <t xml:space="preserve">a₁</t>
        </is>
      </c>
      <c r="C31" s="60" t="inlineStr">
        <is>
          <t xml:space="preserve">a₂</t>
        </is>
      </c>
      <c r="D31" s="60" t="inlineStr">
        <is>
          <t xml:space="preserve">a₃</t>
        </is>
      </c>
      <c r="E31" s="60" t="inlineStr">
        <is>
          <t xml:space="preserve">a₄</t>
        </is>
      </c>
      <c r="F31" s="60" t="inlineStr">
        <is>
          <t xml:space="preserve">a₅</t>
        </is>
      </c>
      <c r="G31" s="60" t="inlineStr">
        <is>
          <t xml:space="preserve">a₆</t>
        </is>
      </c>
    </row>
    <row r="32">
      <c r="A32" s="60" t="inlineStr">
        <is>
          <t xml:space="preserve">a₁</t>
        </is>
      </c>
      <c r="B32" s="74" t="str">
        <f>IF(SUMPRODUCT(--('Ψ(r) Binary Features'!$B$40:$B$49&lt;&gt;'Ψ(r) Binary Features'!$B$40:$B$49))=0,"=","≠")</f>
        <v>=</v>
      </c>
      <c r="C32" s="74" t="str">
        <f>IF(SUMPRODUCT(--('Ψ(r) Binary Features'!$B$40:$B$49&lt;&gt;'Ψ(r) Binary Features'!$C$40:$C$49))=0,"=","≠")</f>
        <v>=</v>
      </c>
      <c r="D32" s="74" t="str">
        <f>IF(SUMPRODUCT(--('Ψ(r) Binary Features'!$B$40:$B$49&lt;&gt;'Ψ(r) Binary Features'!$D$40:$D$49))=0,"=","≠")</f>
        <v>≠</v>
      </c>
      <c r="E32" s="74" t="str">
        <f>IF(SUMPRODUCT(--('Ψ(r) Binary Features'!$B$40:$B$49&lt;&gt;'Ψ(r) Binary Features'!$E$40:$E$49))=0,"=","≠")</f>
        <v>=</v>
      </c>
      <c r="F32" s="74" t="str">
        <f>IF(SUMPRODUCT(--('Ψ(r) Binary Features'!$B$40:$B$49&lt;&gt;'Ψ(r) Binary Features'!$F$40:$F$49))=0,"=","≠")</f>
        <v>=</v>
      </c>
      <c r="G32" s="74" t="str">
        <f>IF(SUMPRODUCT(--('Ψ(r) Binary Features'!$B$40:$B$49&lt;&gt;'Ψ(r) Binary Features'!$G$40:$G$49))=0,"=","≠")</f>
        <v>=</v>
      </c>
    </row>
    <row r="33">
      <c r="A33" s="60" t="inlineStr">
        <is>
          <t xml:space="preserve">a₂</t>
        </is>
      </c>
      <c r="B33" s="74" t="str">
        <f>IF(SUMPRODUCT(--('Ψ(r) Binary Features'!$C$40:$C$49&lt;&gt;'Ψ(r) Binary Features'!$B$40:$B$49))=0,"=","≠")</f>
        <v>=</v>
      </c>
      <c r="C33" s="74" t="str">
        <f>IF(SUMPRODUCT(--('Ψ(r) Binary Features'!$C$40:$C$49&lt;&gt;'Ψ(r) Binary Features'!$C$40:$C$49))=0,"=","≠")</f>
        <v>=</v>
      </c>
      <c r="D33" s="74" t="str">
        <f>IF(SUMPRODUCT(--('Ψ(r) Binary Features'!$C$40:$C$49&lt;&gt;'Ψ(r) Binary Features'!$D$40:$D$49))=0,"=","≠")</f>
        <v>≠</v>
      </c>
      <c r="E33" s="74" t="str">
        <f>IF(SUMPRODUCT(--('Ψ(r) Binary Features'!$C$40:$C$49&lt;&gt;'Ψ(r) Binary Features'!$E$40:$E$49))=0,"=","≠")</f>
        <v>=</v>
      </c>
      <c r="F33" s="74" t="str">
        <f>IF(SUMPRODUCT(--('Ψ(r) Binary Features'!$C$40:$C$49&lt;&gt;'Ψ(r) Binary Features'!$F$40:$F$49))=0,"=","≠")</f>
        <v>=</v>
      </c>
      <c r="G33" s="74" t="str">
        <f>IF(SUMPRODUCT(--('Ψ(r) Binary Features'!$C$40:$C$49&lt;&gt;'Ψ(r) Binary Features'!$G$40:$G$49))=0,"=","≠")</f>
        <v>=</v>
      </c>
    </row>
    <row r="34">
      <c r="A34" s="60" t="inlineStr">
        <is>
          <t xml:space="preserve">a₃</t>
        </is>
      </c>
      <c r="B34" s="74" t="str">
        <f>IF(SUMPRODUCT(--('Ψ(r) Binary Features'!$D$40:$D$49&lt;&gt;'Ψ(r) Binary Features'!$B$40:$B$49))=0,"=","≠")</f>
        <v>≠</v>
      </c>
      <c r="C34" s="74" t="str">
        <f>IF(SUMPRODUCT(--('Ψ(r) Binary Features'!$D$40:$D$49&lt;&gt;'Ψ(r) Binary Features'!$C$40:$C$49))=0,"=","≠")</f>
        <v>≠</v>
      </c>
      <c r="D34" s="74" t="str">
        <f>IF(SUMPRODUCT(--('Ψ(r) Binary Features'!$D$40:$D$49&lt;&gt;'Ψ(r) Binary Features'!$D$40:$D$49))=0,"=","≠")</f>
        <v>=</v>
      </c>
      <c r="E34" s="74" t="str">
        <f>IF(SUMPRODUCT(--('Ψ(r) Binary Features'!$D$40:$D$49&lt;&gt;'Ψ(r) Binary Features'!$E$40:$E$49))=0,"=","≠")</f>
        <v>≠</v>
      </c>
      <c r="F34" s="74" t="str">
        <f>IF(SUMPRODUCT(--('Ψ(r) Binary Features'!$D$40:$D$49&lt;&gt;'Ψ(r) Binary Features'!$F$40:$F$49))=0,"=","≠")</f>
        <v>≠</v>
      </c>
      <c r="G34" s="74" t="str">
        <f>IF(SUMPRODUCT(--('Ψ(r) Binary Features'!$D$40:$D$49&lt;&gt;'Ψ(r) Binary Features'!$G$40:$G$49))=0,"=","≠")</f>
        <v>≠</v>
      </c>
    </row>
    <row r="35">
      <c r="A35" s="60" t="inlineStr">
        <is>
          <t xml:space="preserve">a₄</t>
        </is>
      </c>
      <c r="B35" s="74" t="str">
        <f>IF(SUMPRODUCT(--('Ψ(r) Binary Features'!$E$40:$E$49&lt;&gt;'Ψ(r) Binary Features'!$B$40:$B$49))=0,"=","≠")</f>
        <v>=</v>
      </c>
      <c r="C35" s="74" t="str">
        <f>IF(SUMPRODUCT(--('Ψ(r) Binary Features'!$E$40:$E$49&lt;&gt;'Ψ(r) Binary Features'!$C$40:$C$49))=0,"=","≠")</f>
        <v>=</v>
      </c>
      <c r="D35" s="74" t="str">
        <f>IF(SUMPRODUCT(--('Ψ(r) Binary Features'!$E$40:$E$49&lt;&gt;'Ψ(r) Binary Features'!$D$40:$D$49))=0,"=","≠")</f>
        <v>≠</v>
      </c>
      <c r="E35" s="74" t="str">
        <f>IF(SUMPRODUCT(--('Ψ(r) Binary Features'!$E$40:$E$49&lt;&gt;'Ψ(r) Binary Features'!$E$40:$E$49))=0,"=","≠")</f>
        <v>=</v>
      </c>
      <c r="F35" s="74" t="str">
        <f>IF(SUMPRODUCT(--('Ψ(r) Binary Features'!$E$40:$E$49&lt;&gt;'Ψ(r) Binary Features'!$F$40:$F$49))=0,"=","≠")</f>
        <v>=</v>
      </c>
      <c r="G35" s="74" t="str">
        <f>IF(SUMPRODUCT(--('Ψ(r) Binary Features'!$E$40:$E$49&lt;&gt;'Ψ(r) Binary Features'!$G$40:$G$49))=0,"=","≠")</f>
        <v>=</v>
      </c>
    </row>
    <row r="36">
      <c r="A36" s="60" t="inlineStr">
        <is>
          <t xml:space="preserve">a₅</t>
        </is>
      </c>
      <c r="B36" s="74" t="str">
        <f>IF(SUMPRODUCT(--('Ψ(r) Binary Features'!$F$40:$F$49&lt;&gt;'Ψ(r) Binary Features'!$B$40:$B$49))=0,"=","≠")</f>
        <v>=</v>
      </c>
      <c r="C36" s="74" t="str">
        <f>IF(SUMPRODUCT(--('Ψ(r) Binary Features'!$F$40:$F$49&lt;&gt;'Ψ(r) Binary Features'!$C$40:$C$49))=0,"=","≠")</f>
        <v>=</v>
      </c>
      <c r="D36" s="74" t="str">
        <f>IF(SUMPRODUCT(--('Ψ(r) Binary Features'!$F$40:$F$49&lt;&gt;'Ψ(r) Binary Features'!$D$40:$D$49))=0,"=","≠")</f>
        <v>≠</v>
      </c>
      <c r="E36" s="74" t="str">
        <f>IF(SUMPRODUCT(--('Ψ(r) Binary Features'!$F$40:$F$49&lt;&gt;'Ψ(r) Binary Features'!$E$40:$E$49))=0,"=","≠")</f>
        <v>=</v>
      </c>
      <c r="F36" s="74" t="str">
        <f>IF(SUMPRODUCT(--('Ψ(r) Binary Features'!$F$40:$F$49&lt;&gt;'Ψ(r) Binary Features'!$F$40:$F$49))=0,"=","≠")</f>
        <v>=</v>
      </c>
      <c r="G36" s="74" t="str">
        <f>IF(SUMPRODUCT(--('Ψ(r) Binary Features'!$F$40:$F$49&lt;&gt;'Ψ(r) Binary Features'!$G$40:$G$49))=0,"=","≠")</f>
        <v>=</v>
      </c>
    </row>
    <row r="37">
      <c r="A37" s="60" t="inlineStr">
        <is>
          <t xml:space="preserve">a₆</t>
        </is>
      </c>
      <c r="B37" s="74" t="str">
        <f>IF(SUMPRODUCT(--('Ψ(r) Binary Features'!$G$40:$G$49&lt;&gt;'Ψ(r) Binary Features'!$B$40:$B$49))=0,"=","≠")</f>
        <v>=</v>
      </c>
      <c r="C37" s="74" t="str">
        <f>IF(SUMPRODUCT(--('Ψ(r) Binary Features'!$G$40:$G$49&lt;&gt;'Ψ(r) Binary Features'!$C$40:$C$49))=0,"=","≠")</f>
        <v>=</v>
      </c>
      <c r="D37" s="74" t="str">
        <f>IF(SUMPRODUCT(--('Ψ(r) Binary Features'!$G$40:$G$49&lt;&gt;'Ψ(r) Binary Features'!$D$40:$D$49))=0,"=","≠")</f>
        <v>≠</v>
      </c>
      <c r="E37" s="74" t="str">
        <f>IF(SUMPRODUCT(--('Ψ(r) Binary Features'!$G$40:$G$49&lt;&gt;'Ψ(r) Binary Features'!$E$40:$E$49))=0,"=","≠")</f>
        <v>=</v>
      </c>
      <c r="F37" s="74" t="str">
        <f>IF(SUMPRODUCT(--('Ψ(r) Binary Features'!$G$40:$G$49&lt;&gt;'Ψ(r) Binary Features'!$F$40:$F$49))=0,"=","≠")</f>
        <v>=</v>
      </c>
      <c r="G37" s="74" t="str">
        <f>IF(SUMPRODUCT(--('Ψ(r) Binary Features'!$G$40:$G$49&lt;&gt;'Ψ(r) Binary Features'!$G$40:$G$49))=0,"=","≠")</f>
        <v>=</v>
      </c>
    </row>
    <row r="38"/>
    <row r="39">
      <c r="A39" s="58" t="inlineStr">
        <is>
          <t xml:space="preserve">Ties at the k-boundary (k-th and (k+1)-th neighbour at the same distance → the tie rule decides)</t>
        </is>
      </c>
      <c r="B39" s="58"/>
      <c r="C39" s="58"/>
      <c r="D39" s="58"/>
      <c r="E39" s="58"/>
    </row>
    <row r="40">
      <c r="A40" s="61" t="inlineStr">
        <is>
          <t xml:space="preserve">Operator</t>
        </is>
      </c>
      <c r="B40" s="61"/>
      <c r="C40" s="61"/>
      <c r="D40" s="60" t="str">
        <f>"objects with a tie, k = "&amp;'Synthetic Features (k-NN)'!$B$4</f>
        <v>objects with a tie, k = 3</v>
      </c>
      <c r="E40" s="60" t="str">
        <f>"objects with a tie, k = "&amp;'Synthetic Features (k-NN)'!$C$4</f>
        <v>objects with a tie, k = 5</v>
      </c>
    </row>
    <row r="41">
      <c r="A41" s="65" t="inlineStr">
        <is>
          <t xml:space="preserve">ρ</t>
        </is>
      </c>
      <c r="B41" s="65"/>
      <c r="C41" s="65"/>
      <c r="D41" s="83" t="str">
        <f>IF(AND(ISNUMBER('Synthetic Features (k-NN)'!$B$4),'Synthetic Features (k-NN)'!$B$4&lt;9),(IF(INDEX('Sorted Neighbors (ρ)'!$B$21:$J$21,'Synthetic Features (k-NN)'!$B$4)=INDEX('Sorted Neighbors (ρ)'!$B$21:$J$21,'Synthetic Features (k-NN)'!$B$4+1),1,0)+IF(INDEX('Sorted Neighbors (ρ)'!$B$32:$J$32,'Synthetic Features (k-NN)'!$B$4)=INDEX('Sorted Neighbors (ρ)'!$B$32:$J$32,'Synthetic Features (k-NN)'!$B$4+1),1,0)+IF(INDEX('Sorted Neighbors (ρ)'!$B$43:$J$43,'Synthetic Features (k-NN)'!$B$4)=INDEX('Sorted Neighbors (ρ)'!$B$43:$J$43,'Synthetic Features (k-NN)'!$B$4+1),1,0)+IF(INDEX('Sorted Neighbors (ρ)'!$B$54:$J$54,'Synthetic Features (k-NN)'!$B$4)=INDEX('Sorted Neighbors (ρ)'!$B$54:$J$54,'Synthetic Features (k-NN)'!$B$4+1),1,0)+IF(INDEX('Sorted Neighbors (ρ)'!$B$65:$J$65,'Synthetic Features (k-NN)'!$B$4)=INDEX('Sorted Neighbors (ρ)'!$B$65:$J$65,'Synthetic Features (k-NN)'!$B$4+1),1,0)+IF(INDEX('Sorted Neighbors (ρ)'!$B$76:$J$76,'Synthetic Features (k-NN)'!$B$4)=INDEX('Sorted Neighbors (ρ)'!$B$76:$J$76,'Synthetic Features (k-NN)'!$B$4+1),1,0)+IF(INDEX('Sorted Neighbors (ρ)'!$B$87:$J$87,'Synthetic Features (k-NN)'!$B$4)=INDEX('Sorted Neighbors (ρ)'!$B$87:$J$87,'Synthetic Features (k-NN)'!$B$4+1),1,0)+IF(INDEX('Sorted Neighbors (ρ)'!$B$98:$J$98,'Synthetic Features (k-NN)'!$B$4)=INDEX('Sorted Neighbors (ρ)'!$B$98:$J$98,'Synthetic Features (k-NN)'!$B$4+1),1,0)+IF(INDEX('Sorted Neighbors (ρ)'!$B$109:$J$109,'Synthetic Features (k-NN)'!$B$4)=INDEX('Sorted Neighbors (ρ)'!$B$109:$J$109,'Synthetic Features (k-NN)'!$B$4+1),1,0)+IF(INDEX('Sorted Neighbors (ρ)'!$B$120:$J$120,'Synthetic Features (k-NN)'!$B$4)=INDEX('Sorted Neighbors (ρ)'!$B$120:$J$120,'Synthetic Features (k-NN)'!$B$4+1),1,0))&amp;" / "&amp;'Parameters'!$B$5,"—")</f>
        <v>0 / 10</v>
      </c>
      <c r="E41" s="83" t="str">
        <f>IF(AND(ISNUMBER('Synthetic Features (k-NN)'!$C$4),'Synthetic Features (k-NN)'!$C$4&lt;9),(IF(INDEX('Sorted Neighbors (ρ)'!$B$21:$J$21,'Synthetic Features (k-NN)'!$C$4)=INDEX('Sorted Neighbors (ρ)'!$B$21:$J$21,'Synthetic Features (k-NN)'!$C$4+1),1,0)+IF(INDEX('Sorted Neighbors (ρ)'!$B$32:$J$32,'Synthetic Features (k-NN)'!$C$4)=INDEX('Sorted Neighbors (ρ)'!$B$32:$J$32,'Synthetic Features (k-NN)'!$C$4+1),1,0)+IF(INDEX('Sorted Neighbors (ρ)'!$B$43:$J$43,'Synthetic Features (k-NN)'!$C$4)=INDEX('Sorted Neighbors (ρ)'!$B$43:$J$43,'Synthetic Features (k-NN)'!$C$4+1),1,0)+IF(INDEX('Sorted Neighbors (ρ)'!$B$54:$J$54,'Synthetic Features (k-NN)'!$C$4)=INDEX('Sorted Neighbors (ρ)'!$B$54:$J$54,'Synthetic Features (k-NN)'!$C$4+1),1,0)+IF(INDEX('Sorted Neighbors (ρ)'!$B$65:$J$65,'Synthetic Features (k-NN)'!$C$4)=INDEX('Sorted Neighbors (ρ)'!$B$65:$J$65,'Synthetic Features (k-NN)'!$C$4+1),1,0)+IF(INDEX('Sorted Neighbors (ρ)'!$B$76:$J$76,'Synthetic Features (k-NN)'!$C$4)=INDEX('Sorted Neighbors (ρ)'!$B$76:$J$76,'Synthetic Features (k-NN)'!$C$4+1),1,0)+IF(INDEX('Sorted Neighbors (ρ)'!$B$87:$J$87,'Synthetic Features (k-NN)'!$C$4)=INDEX('Sorted Neighbors (ρ)'!$B$87:$J$87,'Synthetic Features (k-NN)'!$C$4+1),1,0)+IF(INDEX('Sorted Neighbors (ρ)'!$B$98:$J$98,'Synthetic Features (k-NN)'!$C$4)=INDEX('Sorted Neighbors (ρ)'!$B$98:$J$98,'Synthetic Features (k-NN)'!$C$4+1),1,0)+IF(INDEX('Sorted Neighbors (ρ)'!$B$109:$J$109,'Synthetic Features (k-NN)'!$C$4)=INDEX('Sorted Neighbors (ρ)'!$B$109:$J$109,'Synthetic Features (k-NN)'!$C$4+1),1,0)+IF(INDEX('Sorted Neighbors (ρ)'!$B$120:$J$120,'Synthetic Features (k-NN)'!$C$4)=INDEX('Sorted Neighbors (ρ)'!$B$120:$J$120,'Synthetic Features (k-NN)'!$C$4+1),1,0))&amp;" / "&amp;'Parameters'!$B$5,"—")</f>
        <v>0 / 10</v>
      </c>
    </row>
    <row r="42">
      <c r="A42" s="65" t="inlineStr">
        <is>
          <t xml:space="preserve">ρ_I</t>
        </is>
      </c>
      <c r="B42" s="65"/>
      <c r="C42" s="65"/>
      <c r="D42" s="83" t="str">
        <f>IF(AND(ISNUMBER('Synthetic Features (k-NN)'!$B$4),'Synthetic Features (k-NN)'!$B$4&lt;9),(IF(INDEX('Sorted Neighbors (ρ_I)'!$B$21:$J$21,'Synthetic Features (k-NN)'!$B$4)=INDEX('Sorted Neighbors (ρ_I)'!$B$21:$J$21,'Synthetic Features (k-NN)'!$B$4+1),1,0)+IF(INDEX('Sorted Neighbors (ρ_I)'!$B$32:$J$32,'Synthetic Features (k-NN)'!$B$4)=INDEX('Sorted Neighbors (ρ_I)'!$B$32:$J$32,'Synthetic Features (k-NN)'!$B$4+1),1,0)+IF(INDEX('Sorted Neighbors (ρ_I)'!$B$43:$J$43,'Synthetic Features (k-NN)'!$B$4)=INDEX('Sorted Neighbors (ρ_I)'!$B$43:$J$43,'Synthetic Features (k-NN)'!$B$4+1),1,0)+IF(INDEX('Sorted Neighbors (ρ_I)'!$B$54:$J$54,'Synthetic Features (k-NN)'!$B$4)=INDEX('Sorted Neighbors (ρ_I)'!$B$54:$J$54,'Synthetic Features (k-NN)'!$B$4+1),1,0)+IF(INDEX('Sorted Neighbors (ρ_I)'!$B$65:$J$65,'Synthetic Features (k-NN)'!$B$4)=INDEX('Sorted Neighbors (ρ_I)'!$B$65:$J$65,'Synthetic Features (k-NN)'!$B$4+1),1,0)+IF(INDEX('Sorted Neighbors (ρ_I)'!$B$76:$J$76,'Synthetic Features (k-NN)'!$B$4)=INDEX('Sorted Neighbors (ρ_I)'!$B$76:$J$76,'Synthetic Features (k-NN)'!$B$4+1),1,0)+IF(INDEX('Sorted Neighbors (ρ_I)'!$B$87:$J$87,'Synthetic Features (k-NN)'!$B$4)=INDEX('Sorted Neighbors (ρ_I)'!$B$87:$J$87,'Synthetic Features (k-NN)'!$B$4+1),1,0)+IF(INDEX('Sorted Neighbors (ρ_I)'!$B$98:$J$98,'Synthetic Features (k-NN)'!$B$4)=INDEX('Sorted Neighbors (ρ_I)'!$B$98:$J$98,'Synthetic Features (k-NN)'!$B$4+1),1,0)+IF(INDEX('Sorted Neighbors (ρ_I)'!$B$109:$J$109,'Synthetic Features (k-NN)'!$B$4)=INDEX('Sorted Neighbors (ρ_I)'!$B$109:$J$109,'Synthetic Features (k-NN)'!$B$4+1),1,0)+IF(INDEX('Sorted Neighbors (ρ_I)'!$B$120:$J$120,'Synthetic Features (k-NN)'!$B$4)=INDEX('Sorted Neighbors (ρ_I)'!$B$120:$J$120,'Synthetic Features (k-NN)'!$B$4+1),1,0))&amp;" / "&amp;'Parameters'!$B$5,"—")</f>
        <v>0 / 10</v>
      </c>
      <c r="E42" s="83" t="str">
        <f>IF(AND(ISNUMBER('Synthetic Features (k-NN)'!$C$4),'Synthetic Features (k-NN)'!$C$4&lt;9),(IF(INDEX('Sorted Neighbors (ρ_I)'!$B$21:$J$21,'Synthetic Features (k-NN)'!$C$4)=INDEX('Sorted Neighbors (ρ_I)'!$B$21:$J$21,'Synthetic Features (k-NN)'!$C$4+1),1,0)+IF(INDEX('Sorted Neighbors (ρ_I)'!$B$32:$J$32,'Synthetic Features (k-NN)'!$C$4)=INDEX('Sorted Neighbors (ρ_I)'!$B$32:$J$32,'Synthetic Features (k-NN)'!$C$4+1),1,0)+IF(INDEX('Sorted Neighbors (ρ_I)'!$B$43:$J$43,'Synthetic Features (k-NN)'!$C$4)=INDEX('Sorted Neighbors (ρ_I)'!$B$43:$J$43,'Synthetic Features (k-NN)'!$C$4+1),1,0)+IF(INDEX('Sorted Neighbors (ρ_I)'!$B$54:$J$54,'Synthetic Features (k-NN)'!$C$4)=INDEX('Sorted Neighbors (ρ_I)'!$B$54:$J$54,'Synthetic Features (k-NN)'!$C$4+1),1,0)+IF(INDEX('Sorted Neighbors (ρ_I)'!$B$65:$J$65,'Synthetic Features (k-NN)'!$C$4)=INDEX('Sorted Neighbors (ρ_I)'!$B$65:$J$65,'Synthetic Features (k-NN)'!$C$4+1),1,0)+IF(INDEX('Sorted Neighbors (ρ_I)'!$B$76:$J$76,'Synthetic Features (k-NN)'!$C$4)=INDEX('Sorted Neighbors (ρ_I)'!$B$76:$J$76,'Synthetic Features (k-NN)'!$C$4+1),1,0)+IF(INDEX('Sorted Neighbors (ρ_I)'!$B$87:$J$87,'Synthetic Features (k-NN)'!$C$4)=INDEX('Sorted Neighbors (ρ_I)'!$B$87:$J$87,'Synthetic Features (k-NN)'!$C$4+1),1,0)+IF(INDEX('Sorted Neighbors (ρ_I)'!$B$98:$J$98,'Synthetic Features (k-NN)'!$C$4)=INDEX('Sorted Neighbors (ρ_I)'!$B$98:$J$98,'Synthetic Features (k-NN)'!$C$4+1),1,0)+IF(INDEX('Sorted Neighbors (ρ_I)'!$B$109:$J$109,'Synthetic Features (k-NN)'!$C$4)=INDEX('Sorted Neighbors (ρ_I)'!$B$109:$J$109,'Synthetic Features (k-NN)'!$C$4+1),1,0)+IF(INDEX('Sorted Neighbors (ρ_I)'!$B$120:$J$120,'Synthetic Features (k-NN)'!$C$4)=INDEX('Sorted Neighbors (ρ_I)'!$B$120:$J$120,'Synthetic Features (k-NN)'!$C$4+1),1,0))&amp;" / "&amp;'Parameters'!$B$5,"—")</f>
        <v>0 / 10</v>
      </c>
    </row>
    <row r="43">
      <c r="A43" s="65" t="inlineStr">
        <is>
          <t xml:space="preserve">ρ_J</t>
        </is>
      </c>
      <c r="B43" s="65"/>
      <c r="C43" s="65"/>
      <c r="D43" s="83" t="str">
        <f>IF(AND(ISNUMBER('Synthetic Features (k-NN)'!$B$4),'Synthetic Features (k-NN)'!$B$4&lt;9),(IF(INDEX('Sorted Neighbors (ρ_J)'!$B$21:$J$21,'Synthetic Features (k-NN)'!$B$4)=INDEX('Sorted Neighbors (ρ_J)'!$B$21:$J$21,'Synthetic Features (k-NN)'!$B$4+1),1,0)+IF(INDEX('Sorted Neighbors (ρ_J)'!$B$32:$J$32,'Synthetic Features (k-NN)'!$B$4)=INDEX('Sorted Neighbors (ρ_J)'!$B$32:$J$32,'Synthetic Features (k-NN)'!$B$4+1),1,0)+IF(INDEX('Sorted Neighbors (ρ_J)'!$B$43:$J$43,'Synthetic Features (k-NN)'!$B$4)=INDEX('Sorted Neighbors (ρ_J)'!$B$43:$J$43,'Synthetic Features (k-NN)'!$B$4+1),1,0)+IF(INDEX('Sorted Neighbors (ρ_J)'!$B$54:$J$54,'Synthetic Features (k-NN)'!$B$4)=INDEX('Sorted Neighbors (ρ_J)'!$B$54:$J$54,'Synthetic Features (k-NN)'!$B$4+1),1,0)+IF(INDEX('Sorted Neighbors (ρ_J)'!$B$65:$J$65,'Synthetic Features (k-NN)'!$B$4)=INDEX('Sorted Neighbors (ρ_J)'!$B$65:$J$65,'Synthetic Features (k-NN)'!$B$4+1),1,0)+IF(INDEX('Sorted Neighbors (ρ_J)'!$B$76:$J$76,'Synthetic Features (k-NN)'!$B$4)=INDEX('Sorted Neighbors (ρ_J)'!$B$76:$J$76,'Synthetic Features (k-NN)'!$B$4+1),1,0)+IF(INDEX('Sorted Neighbors (ρ_J)'!$B$87:$J$87,'Synthetic Features (k-NN)'!$B$4)=INDEX('Sorted Neighbors (ρ_J)'!$B$87:$J$87,'Synthetic Features (k-NN)'!$B$4+1),1,0)+IF(INDEX('Sorted Neighbors (ρ_J)'!$B$98:$J$98,'Synthetic Features (k-NN)'!$B$4)=INDEX('Sorted Neighbors (ρ_J)'!$B$98:$J$98,'Synthetic Features (k-NN)'!$B$4+1),1,0)+IF(INDEX('Sorted Neighbors (ρ_J)'!$B$109:$J$109,'Synthetic Features (k-NN)'!$B$4)=INDEX('Sorted Neighbors (ρ_J)'!$B$109:$J$109,'Synthetic Features (k-NN)'!$B$4+1),1,0)+IF(INDEX('Sorted Neighbors (ρ_J)'!$B$120:$J$120,'Synthetic Features (k-NN)'!$B$4)=INDEX('Sorted Neighbors (ρ_J)'!$B$120:$J$120,'Synthetic Features (k-NN)'!$B$4+1),1,0))&amp;" / "&amp;'Parameters'!$B$5,"—")</f>
        <v>5 / 10</v>
      </c>
      <c r="E43" s="83" t="str">
        <f>IF(AND(ISNUMBER('Synthetic Features (k-NN)'!$C$4),'Synthetic Features (k-NN)'!$C$4&lt;9),(IF(INDEX('Sorted Neighbors (ρ_J)'!$B$21:$J$21,'Synthetic Features (k-NN)'!$C$4)=INDEX('Sorted Neighbors (ρ_J)'!$B$21:$J$21,'Synthetic Features (k-NN)'!$C$4+1),1,0)+IF(INDEX('Sorted Neighbors (ρ_J)'!$B$32:$J$32,'Synthetic Features (k-NN)'!$C$4)=INDEX('Sorted Neighbors (ρ_J)'!$B$32:$J$32,'Synthetic Features (k-NN)'!$C$4+1),1,0)+IF(INDEX('Sorted Neighbors (ρ_J)'!$B$43:$J$43,'Synthetic Features (k-NN)'!$C$4)=INDEX('Sorted Neighbors (ρ_J)'!$B$43:$J$43,'Synthetic Features (k-NN)'!$C$4+1),1,0)+IF(INDEX('Sorted Neighbors (ρ_J)'!$B$54:$J$54,'Synthetic Features (k-NN)'!$C$4)=INDEX('Sorted Neighbors (ρ_J)'!$B$54:$J$54,'Synthetic Features (k-NN)'!$C$4+1),1,0)+IF(INDEX('Sorted Neighbors (ρ_J)'!$B$65:$J$65,'Synthetic Features (k-NN)'!$C$4)=INDEX('Sorted Neighbors (ρ_J)'!$B$65:$J$65,'Synthetic Features (k-NN)'!$C$4+1),1,0)+IF(INDEX('Sorted Neighbors (ρ_J)'!$B$76:$J$76,'Synthetic Features (k-NN)'!$C$4)=INDEX('Sorted Neighbors (ρ_J)'!$B$76:$J$76,'Synthetic Features (k-NN)'!$C$4+1),1,0)+IF(INDEX('Sorted Neighbors (ρ_J)'!$B$87:$J$87,'Synthetic Features (k-NN)'!$C$4)=INDEX('Sorted Neighbors (ρ_J)'!$B$87:$J$87,'Synthetic Features (k-NN)'!$C$4+1),1,0)+IF(INDEX('Sorted Neighbors (ρ_J)'!$B$98:$J$98,'Synthetic Features (k-NN)'!$C$4)=INDEX('Sorted Neighbors (ρ_J)'!$B$98:$J$98,'Synthetic Features (k-NN)'!$C$4+1),1,0)+IF(INDEX('Sorted Neighbors (ρ_J)'!$B$109:$J$109,'Synthetic Features (k-NN)'!$C$4)=INDEX('Sorted Neighbors (ρ_J)'!$B$109:$J$109,'Synthetic Features (k-NN)'!$C$4+1),1,0)+IF(INDEX('Sorted Neighbors (ρ_J)'!$B$120:$J$120,'Synthetic Features (k-NN)'!$C$4)=INDEX('Sorted Neighbors (ρ_J)'!$B$120:$J$120,'Synthetic Features (k-NN)'!$C$4+1),1,0))&amp;" / "&amp;'Parameters'!$B$5,"—")</f>
        <v>8 / 10</v>
      </c>
    </row>
    <row r="44"/>
    <row r="45">
      <c r="A45" s="58" t="inlineStr">
        <is>
          <t xml:space="preserve">Theorem — a new object is represented and classified without its class</t>
        </is>
      </c>
      <c r="B45" s="58"/>
      <c r="C45" s="58"/>
      <c r="D45" s="58"/>
      <c r="E45" s="58"/>
      <c r="F45" s="58"/>
    </row>
    <row r="46">
      <c r="A46" s="61" t="inlineStr">
        <is>
          <t xml:space="preserve">Check</t>
        </is>
      </c>
      <c r="B46" s="61"/>
      <c r="C46" s="61"/>
      <c r="D46" s="60" t="inlineStr">
        <is>
          <t xml:space="preserve">Result</t>
        </is>
      </c>
      <c r="E46" s="60" t="inlineStr">
        <is>
          <t xml:space="preserve">Status</t>
        </is>
      </c>
      <c r="F46" s="60" t="inlineStr">
        <is>
          <t xml:space="preserve"/>
        </is>
      </c>
    </row>
    <row r="47">
      <c r="A47" s="65" t="inlineStr">
        <is>
          <t xml:space="preserve">Brace sheet: Ψ(r) of the typed object vs the training description of the excluded object</t>
        </is>
      </c>
      <c r="B47" s="65"/>
      <c r="C47" s="65"/>
      <c r="D47" s="84" t="str">
        <f>IF('Brace for Meta-algorithm'!$B$35=0,"no object excluded",IF(SUMPRODUCT(--('Brace for Meta-algorithm'!$B$56:$G$56&lt;&gt;INDEX('Ψ(r) Binary Features'!$B$40:$G$49,'Brace for Meta-algorithm'!$B$35,0)))=0,"identical","different"))</f>
        <v>identical</v>
      </c>
      <c r="E47" s="97" t="str">
        <f>IF('Brace for Meta-algorithm'!$B$35=0,"— (type a training object and its number to run this check)",IF(D47="identical","✓ same representation as in training","✗ representation differs"))</f>
        <v>✓ same representation as in training</v>
      </c>
      <c r="F47" s="97"/>
    </row>
    <row r="48">
      <c r="A48" s="65" t="inlineStr">
        <is>
          <t xml:space="preserve">Meta-algorithm sheet: class of the typed object vs resubstitution class of that object</t>
        </is>
      </c>
      <c r="B48" s="65"/>
      <c r="C48" s="65"/>
      <c r="D48" s="84" t="str">
        <f>IF('Brace for Meta-algorithm'!$B$35=0,"—",'Meta-algorithm'!$B$88&amp;" vs "&amp;INDEX('Meta-algorithm (All Objects)'!$H$5:$H$14,'Brace for Meta-algorithm'!$B$35))</f>
        <v>1 vs 1</v>
      </c>
      <c r="E48" s="97" t="str">
        <f>IF('Brace for Meta-algorithm'!$B$35=0,"—",IF('Meta-algorithm'!$B$88=INDEX('Meta-algorithm (All Objects)'!$H$5:$H$14,'Brace for Meta-algorithm'!$B$35),"✓ same decision","✗ different decision"))</f>
        <v>✓ same decision</v>
      </c>
      <c r="F48" s="97"/>
    </row>
    <row r="49">
      <c r="A49" s="65" t="inlineStr">
        <is>
          <t xml:space="preserve">Inputs of the new-object path</t>
        </is>
      </c>
      <c r="B49" s="65"/>
      <c r="C49" s="65"/>
      <c r="D49" s="84" t="str">
        <f>"x, training E, neighbour classes"</f>
        <v>x, training E, neighbour classes</v>
      </c>
      <c r="E49" s="97" t="str">
        <f>"✓ the class of S is not an input of Ψ, D or R"</f>
        <v>✓ the class of S is not an input of Ψ, D or R</v>
      </c>
      <c r="F49" s="97"/>
    </row>
  </sheetData>
  <mergeCells count="48">
    <mergeCell ref="A1:N1"/>
    <mergeCell ref="A3:F3"/>
    <mergeCell ref="A4:C4"/>
    <mergeCell ref="A5:C5"/>
    <mergeCell ref="E5:F5"/>
    <mergeCell ref="A6:C6"/>
    <mergeCell ref="E6:F6"/>
    <mergeCell ref="A7:C7"/>
    <mergeCell ref="E7:F7"/>
    <mergeCell ref="A8:C8"/>
    <mergeCell ref="E8:F8"/>
    <mergeCell ref="A9:C9"/>
    <mergeCell ref="E9:F9"/>
    <mergeCell ref="A11:F11"/>
    <mergeCell ref="A12:C12"/>
    <mergeCell ref="A13:C13"/>
    <mergeCell ref="E13:F13"/>
    <mergeCell ref="A15:F15"/>
    <mergeCell ref="A16:C16"/>
    <mergeCell ref="A17:C17"/>
    <mergeCell ref="E17:F17"/>
    <mergeCell ref="A19:F19"/>
    <mergeCell ref="A20:C20"/>
    <mergeCell ref="I3:M3"/>
    <mergeCell ref="A21:C21"/>
    <mergeCell ref="E21:F21"/>
    <mergeCell ref="A22:C22"/>
    <mergeCell ref="E22:F22"/>
    <mergeCell ref="A24:F24"/>
    <mergeCell ref="A25:C25"/>
    <mergeCell ref="O3:U3"/>
    <mergeCell ref="A26:C26"/>
    <mergeCell ref="A27:C27"/>
    <mergeCell ref="A28:C28"/>
    <mergeCell ref="A30:G30"/>
    <mergeCell ref="A39:E39"/>
    <mergeCell ref="A40:C40"/>
    <mergeCell ref="A41:C41"/>
    <mergeCell ref="A42:C42"/>
    <mergeCell ref="A43:C43"/>
    <mergeCell ref="A45:F45"/>
    <mergeCell ref="A46:C46"/>
    <mergeCell ref="A47:C47"/>
    <mergeCell ref="E47:F47"/>
    <mergeCell ref="A48:C48"/>
    <mergeCell ref="E48:F48"/>
    <mergeCell ref="A49:C49"/>
    <mergeCell ref="E49:F49"/>
  </mergeCells>
  <conditionalFormatting sqref="B32:G37">
    <cfRule type="cellIs" dxfId="0" priority="1" operator="equal">
      <formula>"="</formula>
    </cfRule>
  </conditionalFormatting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7F7F7F"/>
    <pageSetUpPr fitToPage="1"/>
  </sheetPr>
  <dimension ref="A1:N36"/>
  <sheetViews>
    <sheetView showGridLines="0" zoomScale="100" zoomScaleNormal="100" workbookViewId="0">
      <pane ySplit="2" topLeftCell="A3" activePane="bottomLeft" state="frozen"/>
      <selection pane="bottomLeft" activeCell="A3" sqref="A3"/>
    </sheetView>
  </sheetViews>
  <sheetFormatPr defaultRowHeight="15.6"/>
  <cols>
    <col min="1" max="1" width="44.77734375" customWidth="1"/>
    <col min="2" max="3" width="24.77734375" customWidth="1"/>
    <col min="4" max="4" width="12.77734375" customWidth="1"/>
    <col min="5" max="5" width="8.77734375" customWidth="1"/>
    <col min="6" max="7" width="3.77734375" customWidth="1"/>
    <col min="8" max="8" width="8.77734375" customWidth="1"/>
    <col min="9" max="14" width="12.77734375" customWidth="1"/>
  </cols>
  <sheetData>
    <row r="1" ht="20" customHeight="1">
      <c r="A1" s="57" t="inlineStr">
        <is>
          <t xml:space="preserve">Validation — the workbook formulas against the independent Python reference engine (default settings)</t>
        </is>
      </c>
      <c r="B1" s="57"/>
      <c r="C1" s="57"/>
      <c r="D1" s="57"/>
      <c r="E1" s="57"/>
    </row>
    <row r="2"/>
    <row r="3">
      <c r="A3" s="58" t="inlineStr">
        <is>
          <t xml:space="preserve">⚠ Template calculations that differ from the article (kept as the default so the templates are reproduced exactly)</t>
        </is>
      </c>
      <c r="B3" s="58"/>
      <c r="C3" s="58"/>
      <c r="D3" s="58"/>
      <c r="E3" s="58"/>
    </row>
    <row r="4">
      <c r="A4" s="98" t="inlineStr">
        <is>
          <t xml:space="preserve">1.  θ and γ are measured from running partial class means instead of the final class means M₁ and M₂.</t>
        </is>
      </c>
      <c r="B4" s="98"/>
      <c r="C4" s="98"/>
      <c r="D4" s="98"/>
      <c r="E4" s="98"/>
    </row>
    <row r="5">
      <c r="A5" s="98" t="inlineStr">
        <is>
          <t xml:space="preserve">2.  In STEP 4 the majorizer is applied twice instead of once.</t>
        </is>
      </c>
      <c r="B5" s="98"/>
      <c r="C5" s="98"/>
      <c r="D5" s="98"/>
      <c r="E5" s="98"/>
    </row>
    <row r="6">
      <c r="A6" s="98" t="inlineStr">
        <is>
          <t xml:space="preserve">Effect here: default {a₆, a₃, a₁, a₂, a₄} (resubstitution 70%, LOO 20%);  article setting {a₆, a₁, a₂, a₄, a₅} (resubstitution 50%, LOO 0%). Switch both on the Parameters sheet — see Sensitivity (Switches).</t>
        </is>
      </c>
      <c r="B6" s="98"/>
      <c r="C6" s="98"/>
      <c r="D6" s="98"/>
      <c r="E6" s="98"/>
    </row>
    <row r="7"/>
    <row r="8">
      <c r="A8" s="97" t="str">
        <f>IF(AND('Parameters'!$B$24=1,'Parameters'!$B$25=2),"Switches at the default (template) setting — the engine reference below applies","⚠ Switches changed — the engine reference below was computed with the default setting")</f>
        <v>Switches at the default (template) setting — the engine reference below applies</v>
      </c>
      <c r="B8" s="97"/>
      <c r="C8" s="97"/>
      <c r="D8" s="97"/>
      <c r="E8" s="97"/>
    </row>
    <row r="9"/>
    <row r="10">
      <c r="A10" s="60" t="inlineStr">
        <is>
          <t xml:space="preserve">Check</t>
        </is>
      </c>
      <c r="B10" s="60" t="inlineStr">
        <is>
          <t xml:space="preserve">Engine (expected)</t>
        </is>
      </c>
      <c r="C10" s="60" t="inlineStr">
        <is>
          <t xml:space="preserve">Workbook</t>
        </is>
      </c>
      <c r="D10" s="60" t="inlineStr">
        <is>
          <t xml:space="preserve">Difference</t>
        </is>
      </c>
      <c r="E10" s="60" t="inlineStr">
        <is>
          <t xml:space="preserve">Pass</t>
        </is>
      </c>
      <c r="H10" s="58" t="inlineStr">
        <is>
          <t xml:space="preserve">Engine reference values (static)</t>
        </is>
      </c>
      <c r="I10" s="58"/>
      <c r="J10" s="58"/>
      <c r="K10" s="58"/>
      <c r="L10" s="58"/>
      <c r="M10" s="58"/>
      <c r="N10" s="58"/>
    </row>
    <row r="11">
      <c r="A11" s="65" t="inlineStr">
        <is>
          <t xml:space="preserve">Permitted k</t>
        </is>
      </c>
      <c r="B11" s="84" t="inlineStr">
        <is>
          <t xml:space="preserve">3, 5</t>
        </is>
      </c>
      <c r="C11" s="84" t="str">
        <f>'Parameters'!$B$11</f>
        <v>3, 5</v>
      </c>
      <c r="D11" s="72" t="inlineStr">
        <is>
          <t xml:space="preserve">—</t>
        </is>
      </c>
      <c r="E11" s="97" t="str">
        <f>IF(B11=C11,"✓","✗")</f>
        <v>✓</v>
      </c>
      <c r="H11" s="60" t="inlineStr">
        <is>
          <t xml:space="preserve">№</t>
        </is>
      </c>
      <c r="I11" s="63" t="inlineStr">
        <is>
          <t xml:space="preserve">r₁</t>
        </is>
      </c>
      <c r="J11" s="63" t="inlineStr">
        <is>
          <t xml:space="preserve">r₂</t>
        </is>
      </c>
      <c r="K11" s="63" t="inlineStr">
        <is>
          <t xml:space="preserve">r₃</t>
        </is>
      </c>
      <c r="L11" s="63" t="inlineStr">
        <is>
          <t xml:space="preserve">r₄</t>
        </is>
      </c>
      <c r="M11" s="60" t="inlineStr">
        <is>
          <t xml:space="preserve">score₁</t>
        </is>
      </c>
      <c r="N11" s="60" t="inlineStr">
        <is>
          <t xml:space="preserve">score₂</t>
        </is>
      </c>
    </row>
    <row r="12">
      <c r="A12" s="65" t="inlineStr">
        <is>
          <t xml:space="preserve">k_max</t>
        </is>
      </c>
      <c r="B12" s="83">
        <v>5</v>
      </c>
      <c r="C12" s="83">
        <f>'Parameters'!$B$10</f>
        <v>5</v>
      </c>
      <c r="D12" s="72">
        <f>IF(AND(ISNUMBER(B12),ISNUMBER(C12)),ABS(B12-C12),"—")</f>
        <v>0</v>
      </c>
      <c r="E12" s="97" t="str">
        <f>IF(ISNUMBER(D12),IF(D12&lt;=1e-09,"✓","✗"),IF(B12=C12,"✓","✗"))</f>
        <v>✓</v>
      </c>
      <c r="H12" s="64" t="inlineStr">
        <is>
          <t xml:space="preserve">S₁</t>
        </is>
      </c>
      <c r="I12" s="72">
        <v>0.11206224697130363</v>
      </c>
      <c r="J12" s="72">
        <v>-0.00853863373958777</v>
      </c>
      <c r="K12" s="72">
        <v>-0.14779269031389758</v>
      </c>
      <c r="L12" s="72">
        <v>-0.3086791130909797</v>
      </c>
      <c r="M12" s="72">
        <v>0.5</v>
      </c>
      <c r="N12" s="72">
        <v>0.0</v>
      </c>
    </row>
    <row r="13">
      <c r="A13" s="65" t="inlineStr">
        <is>
          <t xml:space="preserve">r = |Ψ(r)|</t>
        </is>
      </c>
      <c r="B13" s="83">
        <v>6</v>
      </c>
      <c r="C13" s="83">
        <f>'Parameters'!$B$14</f>
        <v>6</v>
      </c>
      <c r="D13" s="72">
        <f>IF(AND(ISNUMBER(B13),ISNUMBER(C13)),ABS(B13-C13),"—")</f>
        <v>0</v>
      </c>
      <c r="E13" s="97" t="str">
        <f>IF(ISNUMBER(D13),IF(D13&lt;=1e-09,"✓","✗"),IF(B13=C13,"✓","✗"))</f>
        <v>✓</v>
      </c>
      <c r="H13" s="64" t="inlineStr">
        <is>
          <t xml:space="preserve">S₂</t>
        </is>
      </c>
      <c r="I13" s="72">
        <v>0.2602395140695889</v>
      </c>
      <c r="J13" s="72">
        <v>0.6410582704406469</v>
      </c>
      <c r="K13" s="72">
        <v>0.972305825213487</v>
      </c>
      <c r="L13" s="72">
        <v>1.2656382585052912</v>
      </c>
      <c r="M13" s="72">
        <v>0.5</v>
      </c>
      <c r="N13" s="72">
        <v>0.6666666666666666</v>
      </c>
    </row>
    <row r="14">
      <c r="A14" s="65" t="inlineStr">
        <is>
          <t xml:space="preserve">ω of a₁  (4)</t>
        </is>
      </c>
      <c r="B14" s="85">
        <v>0.9</v>
      </c>
      <c r="C14" s="85">
        <f>'Informativeness ω'!$B$11</f>
        <v>0.9</v>
      </c>
      <c r="D14" s="72">
        <f>IF(AND(ISNUMBER(B14),ISNUMBER(C14)),ABS(B14-C14),"—")</f>
        <v>0</v>
      </c>
      <c r="E14" s="97" t="str">
        <f>IF(ISNUMBER(D14),IF(D14&lt;=1e-09,"✓","✗"),IF(B14=C14,"✓","✗"))</f>
        <v>✓</v>
      </c>
      <c r="H14" s="64" t="inlineStr">
        <is>
          <t xml:space="preserve">S₃</t>
        </is>
      </c>
      <c r="I14" s="72">
        <v>-0.7336758046385546</v>
      </c>
      <c r="J14" s="72">
        <v>-1.3208010045863776</v>
      </c>
      <c r="K14" s="72">
        <v>-1.9689903295021765</v>
      </c>
      <c r="L14" s="72">
        <v>-2.6615557218079315</v>
      </c>
      <c r="M14" s="72">
        <v>0.0</v>
      </c>
      <c r="N14" s="72">
        <v>0.16666666666666666</v>
      </c>
    </row>
    <row r="15">
      <c r="A15" s="65" t="inlineStr">
        <is>
          <t xml:space="preserve">ω of a₂  (4)</t>
        </is>
      </c>
      <c r="B15" s="85">
        <v>0.9</v>
      </c>
      <c r="C15" s="85">
        <f>'Informativeness ω'!$C$11</f>
        <v>0.9</v>
      </c>
      <c r="D15" s="72">
        <f>IF(AND(ISNUMBER(B15),ISNUMBER(C15)),ABS(B15-C15),"—")</f>
        <v>0</v>
      </c>
      <c r="E15" s="97" t="str">
        <f>IF(ISNUMBER(D15),IF(D15&lt;=1e-09,"✓","✗"),IF(B15=C15,"✓","✗"))</f>
        <v>✓</v>
      </c>
      <c r="H15" s="64" t="inlineStr">
        <is>
          <t xml:space="preserve">S₄</t>
        </is>
      </c>
      <c r="I15" s="72">
        <v>0.603476162679314</v>
      </c>
      <c r="J15" s="72">
        <v>0.9393570749770291</v>
      </c>
      <c r="K15" s="72">
        <v>1.2362134535081493</v>
      </c>
      <c r="L15" s="72">
        <v>1.503392658442905</v>
      </c>
      <c r="M15" s="72">
        <v>0.5</v>
      </c>
      <c r="N15" s="72">
        <v>0.0</v>
      </c>
    </row>
    <row r="16">
      <c r="A16" s="65" t="inlineStr">
        <is>
          <t xml:space="preserve">ω of a₃  (4)</t>
        </is>
      </c>
      <c r="B16" s="85">
        <v>0.6</v>
      </c>
      <c r="C16" s="85">
        <f>'Informativeness ω'!$D$11</f>
        <v>0.6</v>
      </c>
      <c r="D16" s="72">
        <f>IF(AND(ISNUMBER(B16),ISNUMBER(C16)),ABS(B16-C16),"—")</f>
        <v>0</v>
      </c>
      <c r="E16" s="97" t="str">
        <f>IF(ISNUMBER(D16),IF(D16&lt;=1e-09,"✓","✗"),IF(B16=C16,"✓","✗"))</f>
        <v>✓</v>
      </c>
      <c r="H16" s="64" t="inlineStr">
        <is>
          <t xml:space="preserve">S₅</t>
        </is>
      </c>
      <c r="I16" s="72">
        <v>0.603476162679314</v>
      </c>
      <c r="J16" s="72">
        <v>0.9393570749770291</v>
      </c>
      <c r="K16" s="72">
        <v>1.2362134535081493</v>
      </c>
      <c r="L16" s="72">
        <v>1.503392658442905</v>
      </c>
      <c r="M16" s="72">
        <v>0.5</v>
      </c>
      <c r="N16" s="72">
        <v>0.0</v>
      </c>
    </row>
    <row r="17">
      <c r="A17" s="65" t="inlineStr">
        <is>
          <t xml:space="preserve">ω of a₄  (4)</t>
        </is>
      </c>
      <c r="B17" s="85">
        <v>0.9</v>
      </c>
      <c r="C17" s="85">
        <f>'Informativeness ω'!$E$11</f>
        <v>0.9</v>
      </c>
      <c r="D17" s="72">
        <f>IF(AND(ISNUMBER(B17),ISNUMBER(C17)),ABS(B17-C17),"—")</f>
        <v>0</v>
      </c>
      <c r="E17" s="97" t="str">
        <f>IF(ISNUMBER(D17),IF(D17&lt;=1e-09,"✓","✗"),IF(B17=C17,"✓","✗"))</f>
        <v>✓</v>
      </c>
      <c r="H17" s="64" t="inlineStr">
        <is>
          <t xml:space="preserve">S₆</t>
        </is>
      </c>
      <c r="I17" s="72">
        <v>0.2602395140695889</v>
      </c>
      <c r="J17" s="72">
        <v>0.6410582704406469</v>
      </c>
      <c r="K17" s="72">
        <v>0.972305825213487</v>
      </c>
      <c r="L17" s="72">
        <v>1.2656382585052912</v>
      </c>
      <c r="M17" s="72">
        <v>0.5</v>
      </c>
      <c r="N17" s="72">
        <v>0.6666666666666666</v>
      </c>
    </row>
    <row r="18">
      <c r="A18" s="65" t="inlineStr">
        <is>
          <t xml:space="preserve">ω of a₅  (4)</t>
        </is>
      </c>
      <c r="B18" s="85">
        <v>0.9</v>
      </c>
      <c r="C18" s="85">
        <f>'Informativeness ω'!$F$11</f>
        <v>0.9</v>
      </c>
      <c r="D18" s="72">
        <f>IF(AND(ISNUMBER(B18),ISNUMBER(C18)),ABS(B18-C18),"—")</f>
        <v>0</v>
      </c>
      <c r="E18" s="97" t="str">
        <f>IF(ISNUMBER(D18),IF(D18&lt;=1e-09,"✓","✗"),IF(B18=C18,"✓","✗"))</f>
        <v>✓</v>
      </c>
      <c r="H18" s="64" t="inlineStr">
        <is>
          <t xml:space="preserve">S₇</t>
        </is>
      </c>
      <c r="I18" s="72">
        <v>-0.34973061286610957</v>
      </c>
      <c r="J18" s="72">
        <v>-0.5417112727431123</v>
      </c>
      <c r="K18" s="72">
        <v>-0.7623984124645421</v>
      </c>
      <c r="L18" s="72">
        <v>-1.014382146628529</v>
      </c>
      <c r="M18" s="72">
        <v>0.5</v>
      </c>
      <c r="N18" s="72">
        <v>0.6666666666666666</v>
      </c>
    </row>
    <row r="19">
      <c r="A19" s="65" t="inlineStr">
        <is>
          <t xml:space="preserve">ω of a₆  (4)</t>
        </is>
      </c>
      <c r="B19" s="85">
        <v>1.0</v>
      </c>
      <c r="C19" s="85">
        <f>'Informativeness ω'!$G$11</f>
        <v>1</v>
      </c>
      <c r="D19" s="72">
        <f>IF(AND(ISNUMBER(B19),ISNUMBER(C19)),ABS(B19-C19),"—")</f>
        <v>0</v>
      </c>
      <c r="E19" s="97" t="str">
        <f>IF(ISNUMBER(D19),IF(D19&lt;=1e-09,"✓","✗"),IF(B19=C19,"✓","✗"))</f>
        <v>✓</v>
      </c>
      <c r="H19" s="64" t="inlineStr">
        <is>
          <t xml:space="preserve">S₈</t>
        </is>
      </c>
      <c r="I19" s="72">
        <v>-0.34973061286610957</v>
      </c>
      <c r="J19" s="72">
        <v>-0.5417112727431123</v>
      </c>
      <c r="K19" s="72">
        <v>-0.7623984124645421</v>
      </c>
      <c r="L19" s="72">
        <v>-1.014382146628529</v>
      </c>
      <c r="M19" s="72">
        <v>0.5</v>
      </c>
      <c r="N19" s="72">
        <v>0.6666666666666666</v>
      </c>
    </row>
    <row r="20">
      <c r="A20" s="65" t="inlineStr">
        <is>
          <t xml:space="preserve">Σ |η(1), η(2) − engine| over Ψ(r)  (6)</t>
        </is>
      </c>
      <c r="B20" s="85">
        <v>0.0</v>
      </c>
      <c r="C20" s="85">
        <f>SUMPRODUCT(ABS('Ψ(r) Contribution &amp; Weight'!$B$13:$G$13-$I$23:$N$23))+SUMPRODUCT(ABS('Ψ(r) Contribution &amp; Weight'!$B$14:$G$14-$I$24:$N$24))</f>
        <v>0</v>
      </c>
      <c r="D20" s="72">
        <f>IF(AND(ISNUMBER(B20),ISNUMBER(C20)),ABS(B20-C20),"—")</f>
        <v>0</v>
      </c>
      <c r="E20" s="97" t="str">
        <f>IF(ISNUMBER(D20),IF(D20&lt;=1e-09,"✓","✗"),IF(B20=C20,"✓","✗"))</f>
        <v>✓</v>
      </c>
      <c r="H20" s="64" t="inlineStr">
        <is>
          <t xml:space="preserve">S₉</t>
        </is>
      </c>
      <c r="I20" s="72">
        <v>-0.34973061286610957</v>
      </c>
      <c r="J20" s="72">
        <v>-0.5417112727431123</v>
      </c>
      <c r="K20" s="72">
        <v>-0.7623984124645421</v>
      </c>
      <c r="L20" s="72">
        <v>-1.014382146628529</v>
      </c>
      <c r="M20" s="72">
        <v>0.5</v>
      </c>
      <c r="N20" s="72">
        <v>0.6666666666666666</v>
      </c>
    </row>
    <row r="21">
      <c r="A21" s="65" t="inlineStr">
        <is>
          <t xml:space="preserve">TUPLAM (HAG output)</t>
        </is>
      </c>
      <c r="B21" s="84" t="inlineStr">
        <is>
          <t xml:space="preserve">{a₆, a₃, a₁, a₂, a₄}</t>
        </is>
      </c>
      <c r="C21" s="84" t="str">
        <f>'Dataset for Meta-algorithm'!$C$13</f>
        <v>{a₆, a₃, a₁, a₂, a₄}</v>
      </c>
      <c r="D21" s="72" t="inlineStr">
        <is>
          <t xml:space="preserve">—</t>
        </is>
      </c>
      <c r="E21" s="97" t="str">
        <f>IF(B21=C21,"✓","✗")</f>
        <v>✓</v>
      </c>
      <c r="H21" s="64" t="inlineStr">
        <is>
          <t xml:space="preserve">S₁₀</t>
        </is>
      </c>
      <c r="I21" s="72">
        <v>-0.34973061286610957</v>
      </c>
      <c r="J21" s="72">
        <v>-0.5417112727431123</v>
      </c>
      <c r="K21" s="72">
        <v>-0.7623984124645421</v>
      </c>
      <c r="L21" s="72">
        <v>-1.014382146628529</v>
      </c>
      <c r="M21" s="72">
        <v>0.5</v>
      </c>
      <c r="N21" s="72">
        <v>0.6666666666666666</v>
      </c>
    </row>
    <row r="22">
      <c r="A22" s="65" t="inlineStr">
        <is>
          <t xml:space="preserve">crit after iteration 1</t>
        </is>
      </c>
      <c r="B22" s="85">
        <v>0.4281557866657403</v>
      </c>
      <c r="C22" s="85">
        <f>IF('Greedy upon Weight (1-Latent)'!$D$4=1,'Greedy upon Weight (1-Latent)'!$M$116,"—")</f>
        <v>0.42815578666574</v>
      </c>
      <c r="D22" s="72">
        <f>IF(AND(ISNUMBER(B22),ISNUMBER(C22)),ABS(B22-C22),"—")</f>
        <v>0</v>
      </c>
      <c r="E22" s="97" t="str">
        <f>IF(ISNUMBER(D22),IF(D22&lt;=1e-09,"✓","✗"),IF(B22=C22,"✓","✗"))</f>
        <v>✓</v>
      </c>
      <c r="H22" s="64" t="inlineStr">
        <is>
          <t xml:space="preserve">ω</t>
        </is>
      </c>
      <c r="I22" s="85">
        <v>0.9</v>
      </c>
      <c r="J22" s="85">
        <v>0.9</v>
      </c>
      <c r="K22" s="85">
        <v>0.6</v>
      </c>
      <c r="L22" s="85">
        <v>0.9</v>
      </c>
      <c r="M22" s="85">
        <v>0.9</v>
      </c>
      <c r="N22" s="85">
        <v>1.0</v>
      </c>
    </row>
    <row r="23">
      <c r="A23" s="65" t="inlineStr">
        <is>
          <t xml:space="preserve">crit after iteration 2</t>
        </is>
      </c>
      <c r="B23" s="85">
        <v>0.30527675846344937</v>
      </c>
      <c r="C23" s="85">
        <f>IF('Greedy upon Weight (2-Latent)'!$D$4=1,'Greedy upon Weight (2-Latent)'!$M$116,"—")</f>
        <v>0.305276758463449</v>
      </c>
      <c r="D23" s="72">
        <f>IF(AND(ISNUMBER(B23),ISNUMBER(C23)),ABS(B23-C23),"—")</f>
        <v>0</v>
      </c>
      <c r="E23" s="97" t="str">
        <f>IF(ISNUMBER(D23),IF(D23&lt;=1e-09,"✓","✗"),IF(B23=C23,"✓","✗"))</f>
        <v>✓</v>
      </c>
      <c r="H23" s="64" t="inlineStr">
        <is>
          <t xml:space="preserve">η(1)</t>
        </is>
      </c>
      <c r="I23" s="72">
        <v>-0.15</v>
      </c>
      <c r="J23" s="72">
        <v>-0.15</v>
      </c>
      <c r="K23" s="72">
        <v>0.2</v>
      </c>
      <c r="L23" s="72">
        <v>-0.15</v>
      </c>
      <c r="M23" s="72">
        <v>-0.15</v>
      </c>
      <c r="N23" s="72">
        <v>-0.16666666666666666</v>
      </c>
    </row>
    <row r="24">
      <c r="A24" s="65" t="inlineStr">
        <is>
          <t xml:space="preserve">crit after iteration 3</t>
        </is>
      </c>
      <c r="B24" s="85">
        <v>0.27336281326964995</v>
      </c>
      <c r="C24" s="85">
        <f>IF('Greedy upon Weight (3-Latent)'!$D$4=1,'Greedy upon Weight (3-Latent)'!$M$116,"—")</f>
        <v>0.27336281326965</v>
      </c>
      <c r="D24" s="72">
        <f>IF(AND(ISNUMBER(B24),ISNUMBER(C24)),ABS(B24-C24),"—")</f>
        <v>0</v>
      </c>
      <c r="E24" s="97" t="str">
        <f>IF(ISNUMBER(D24),IF(D24&lt;=1e-09,"✓","✗"),IF(B24=C24,"✓","✗"))</f>
        <v>✓</v>
      </c>
      <c r="H24" s="64" t="inlineStr">
        <is>
          <t xml:space="preserve">η(2)</t>
        </is>
      </c>
      <c r="I24" s="72">
        <v>0.14999999999999997</v>
      </c>
      <c r="J24" s="72">
        <v>0.14999999999999997</v>
      </c>
      <c r="K24" s="72">
        <v>-0.2</v>
      </c>
      <c r="L24" s="72">
        <v>0.14999999999999997</v>
      </c>
      <c r="M24" s="72">
        <v>0.14999999999999997</v>
      </c>
      <c r="N24" s="72">
        <v>0.16666666666666663</v>
      </c>
    </row>
    <row r="25">
      <c r="A25" s="65" t="inlineStr">
        <is>
          <t xml:space="preserve">crit after iteration 4</t>
        </is>
      </c>
      <c r="B25" s="85">
        <v>0.2710256546472449</v>
      </c>
      <c r="C25" s="85">
        <f>IF('Greedy upon Weight (4-Latent)'!$D$4=1,'Greedy upon Weight (4-Latent)'!$M$116,"—")</f>
        <v>0.271025654647245</v>
      </c>
      <c r="D25" s="72">
        <f>IF(AND(ISNUMBER(B25),ISNUMBER(C25)),ABS(B25-C25),"—")</f>
        <v>0</v>
      </c>
      <c r="E25" s="97" t="str">
        <f>IF(ISNUMBER(D25),IF(D25&lt;=1e-09,"✓","✗"),IF(B25=C25,"✓","✗"))</f>
        <v>✓</v>
      </c>
    </row>
    <row r="26">
      <c r="A26" s="65" t="inlineStr">
        <is>
          <t xml:space="preserve">Σ |r₁ − engine| over the 10 objects</t>
        </is>
      </c>
      <c r="B26" s="85">
        <v>0.0</v>
      </c>
      <c r="C26" s="85">
        <f>IF(ISNUMBER('Dataset for Meta-algorithm'!J17),SUMPRODUCT(ABS('Dataset for Meta-algorithm'!J17:J26-I12:I21)),"—")</f>
        <v>0</v>
      </c>
      <c r="D26" s="72">
        <f>IF(AND(ISNUMBER(B26),ISNUMBER(C26)),ABS(B26-C26),"—")</f>
        <v>0</v>
      </c>
      <c r="E26" s="97" t="str">
        <f>IF(ISNUMBER(D26),IF(D26&lt;=1e-09,"✓","✗"),IF(B26=C26,"✓","✗"))</f>
        <v>✓</v>
      </c>
    </row>
    <row r="27">
      <c r="A27" s="65" t="inlineStr">
        <is>
          <t xml:space="preserve">Σ |r₂ − engine| over the 10 objects</t>
        </is>
      </c>
      <c r="B27" s="85">
        <v>0.0</v>
      </c>
      <c r="C27" s="85">
        <f>IF(ISNUMBER('Dataset for Meta-algorithm'!K17),SUMPRODUCT(ABS('Dataset for Meta-algorithm'!K17:K26-J12:J21)),"—")</f>
        <v>1.11022302462516e-16</v>
      </c>
      <c r="D27" s="72">
        <f>IF(AND(ISNUMBER(B27),ISNUMBER(C27)),ABS(B27-C27),"—")</f>
        <v>1.11022302462516e-16</v>
      </c>
      <c r="E27" s="97" t="str">
        <f>IF(ISNUMBER(D27),IF(D27&lt;=1e-09,"✓","✗"),IF(B27=C27,"✓","✗"))</f>
        <v>✓</v>
      </c>
    </row>
    <row r="28">
      <c r="A28" s="65" t="inlineStr">
        <is>
          <t xml:space="preserve">Σ |r₃ − engine| over the 10 objects</t>
        </is>
      </c>
      <c r="B28" s="85">
        <v>0.0</v>
      </c>
      <c r="C28" s="85">
        <f>IF(ISNUMBER('Dataset for Meta-algorithm'!L17),SUMPRODUCT(ABS('Dataset for Meta-algorithm'!L17:L26-K12:K21)),"—")</f>
        <v>0</v>
      </c>
      <c r="D28" s="72">
        <f>IF(AND(ISNUMBER(B28),ISNUMBER(C28)),ABS(B28-C28),"—")</f>
        <v>0</v>
      </c>
      <c r="E28" s="97" t="str">
        <f>IF(ISNUMBER(D28),IF(D28&lt;=1e-09,"✓","✗"),IF(B28=C28,"✓","✗"))</f>
        <v>✓</v>
      </c>
    </row>
    <row r="29">
      <c r="A29" s="65" t="inlineStr">
        <is>
          <t xml:space="preserve">Σ |r₄ − engine| over the 10 objects</t>
        </is>
      </c>
      <c r="B29" s="85">
        <v>0.0</v>
      </c>
      <c r="C29" s="85">
        <f>IF(ISNUMBER('Dataset for Meta-algorithm'!M17),SUMPRODUCT(ABS('Dataset for Meta-algorithm'!M17:M26-L12:L21)),"—")</f>
        <v>0</v>
      </c>
      <c r="D29" s="72">
        <f>IF(AND(ISNUMBER(B29),ISNUMBER(C29)),ABS(B29-C29),"—")</f>
        <v>0</v>
      </c>
      <c r="E29" s="97" t="str">
        <f>IF(ISNUMBER(D29),IF(D29&lt;=1e-09,"✓","✗"),IF(B29=C29,"✓","✗"))</f>
        <v>✓</v>
      </c>
    </row>
    <row r="30">
      <c r="A30" s="65" t="inlineStr">
        <is>
          <t xml:space="preserve">Resubstitution predictions</t>
        </is>
      </c>
      <c r="B30" s="84" t="inlineStr">
        <is>
          <t xml:space="preserve">1, 2, 2, 1, 1, 2, 2, 2, 2, 2</t>
        </is>
      </c>
      <c r="C30" s="84" t="str">
        <f>'Meta-algorithm (All Objects)'!H5&amp;", "&amp;'Meta-algorithm (All Objects)'!H6&amp;", "&amp;'Meta-algorithm (All Objects)'!H7&amp;", "&amp;'Meta-algorithm (All Objects)'!H8&amp;", "&amp;'Meta-algorithm (All Objects)'!H9&amp;", "&amp;'Meta-algorithm (All Objects)'!H10&amp;", "&amp;'Meta-algorithm (All Objects)'!H11&amp;", "&amp;'Meta-algorithm (All Objects)'!H12&amp;", "&amp;'Meta-algorithm (All Objects)'!H13&amp;", "&amp;'Meta-algorithm (All Objects)'!H14</f>
        <v>1, 2, 2, 1, 1, 2, 2, 2, 2, 2</v>
      </c>
      <c r="D30" s="72" t="inlineStr">
        <is>
          <t xml:space="preserve">—</t>
        </is>
      </c>
      <c r="E30" s="97" t="str">
        <f>IF(B30=C30,"✓","✗")</f>
        <v>✓</v>
      </c>
    </row>
    <row r="31">
      <c r="A31" s="65" t="inlineStr">
        <is>
          <t xml:space="preserve">Σ |score₁ − engine| + Σ |score₂ − engine|</t>
        </is>
      </c>
      <c r="B31" s="85">
        <v>0.0</v>
      </c>
      <c r="C31" s="85">
        <f>SUMPRODUCT(ABS('Meta-algorithm (All Objects)'!E5:E14-M12:M21))+SUMPRODUCT(ABS('Meta-algorithm (All Objects)'!F5:F14-N12:N21))</f>
        <v>0</v>
      </c>
      <c r="D31" s="72">
        <f>IF(AND(ISNUMBER(B31),ISNUMBER(C31)),ABS(B31-C31),"—")</f>
        <v>0</v>
      </c>
      <c r="E31" s="97" t="str">
        <f>IF(ISNUMBER(D31),IF(D31&lt;=1e-09,"✓","✗"),IF(B31=C31,"✓","✗"))</f>
        <v>✓</v>
      </c>
    </row>
    <row r="32">
      <c r="A32" s="65" t="inlineStr">
        <is>
          <t xml:space="preserve">New object (default = S₁, S₁ excluded): class</t>
        </is>
      </c>
      <c r="B32" s="83">
        <v>1</v>
      </c>
      <c r="C32" s="83">
        <f>'Meta-algorithm'!$B$88</f>
        <v>1</v>
      </c>
      <c r="D32" s="72">
        <f>IF(AND(ISNUMBER(B32),ISNUMBER(C32)),ABS(B32-C32),"—")</f>
        <v>0</v>
      </c>
      <c r="E32" s="97" t="str">
        <f>IF(ISNUMBER(D32),IF(D32&lt;=1e-09,"✓","✗"),IF(B32=C32,"✓","✗"))</f>
        <v>✓</v>
      </c>
    </row>
    <row r="33"/>
    <row r="34" ht="33" customHeight="1">
      <c r="A34" s="86" t="inlineStr">
        <is>
          <t xml:space="preserve">LibreOffice full recalculation of this file: all 10,615 experiment formulas evaluate without errors, and the checks above agree with the independent engine (tolerance 1e-9).</t>
        </is>
      </c>
      <c r="B34" s="86"/>
      <c r="C34" s="86"/>
      <c r="D34" s="86"/>
      <c r="E34" s="86"/>
    </row>
    <row r="35" ht="33" customHeight="1">
      <c r="A35" s="86" t="inlineStr">
        <is>
          <t xml:space="preserve">Templates: the four template workbooks were read only — this experiment is a new file; their Office-Math labels on Dataset, Quantitative and Nominal are copied unchanged.</t>
        </is>
      </c>
      <c r="B35" s="86"/>
      <c r="C35" s="86"/>
      <c r="D35" s="86"/>
      <c r="E35" s="86"/>
    </row>
    <row r="36" ht="33" customHeight="1">
      <c r="A36" s="86" t="inlineStr">
        <is>
          <t xml:space="preserve">Template replication by the engine: HAG template reproduced exactly (SET {3, 6, 13, 4, 9}, max |Δr| ≈ 4e-16); meta-algorithm template decision reproduced (Class 2).</t>
        </is>
      </c>
      <c r="B36" s="86"/>
      <c r="C36" s="86"/>
      <c r="D36" s="86"/>
      <c r="E36" s="86"/>
    </row>
  </sheetData>
  <mergeCells count="10">
    <mergeCell ref="A1:E1"/>
    <mergeCell ref="A3:E3"/>
    <mergeCell ref="A4:E4"/>
    <mergeCell ref="A5:E5"/>
    <mergeCell ref="A6:E6"/>
    <mergeCell ref="A8:E8"/>
    <mergeCell ref="H10:N10"/>
    <mergeCell ref="A34:E34"/>
    <mergeCell ref="A35:E35"/>
    <mergeCell ref="A36:E36"/>
  </mergeCells>
  <printOptions horizontalCentered="1"/>
  <pageMargins left="0.4" right="0.4" top="0.7" bottom="0.6" header="0.3" footer="0.3"/>
  <pageSetup paperSize="9" orientation="landscape" fitToWidth="1" fitToHeight="0"/>
  <headerFooter>
    <oddHeader>&amp;L&amp;"Calibri,Bold"&amp;9Context-Synthetic Model — Full Experiment · Heart-Disease (10, 13, 2)&amp;R&amp;"Calibri,Regular"&amp;9&amp;A</oddHeader>
    <oddFooter>&amp;C&amp;"Calibri,Regular"&amp;9Page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Overview</vt:lpstr>
      <vt:lpstr>Parameters</vt:lpstr>
      <vt:lpstr>Template Deviations</vt:lpstr>
      <vt:lpstr>Dataset</vt:lpstr>
      <vt:lpstr>Quantitative</vt:lpstr>
      <vt:lpstr>Nominal</vt:lpstr>
      <vt:lpstr>Normalized Dataset</vt:lpstr>
      <vt:lpstr>Zhuravlev Distances</vt:lpstr>
      <vt:lpstr>Sorted Neighbors (ρ)</vt:lpstr>
      <vt:lpstr>Sorted Neighbors (ρ_I)</vt:lpstr>
      <vt:lpstr>Sorted Neighbors (ρ_J)</vt:lpstr>
      <vt:lpstr>Synthetic Features (k-NN)</vt:lpstr>
      <vt:lpstr>Ψ(r) Binary Features</vt:lpstr>
      <vt:lpstr>Membership &amp; Stability</vt:lpstr>
      <vt:lpstr>Informativeness ω</vt:lpstr>
      <vt:lpstr>Ψ(r) Contribution &amp; Weight</vt:lpstr>
      <vt:lpstr>Greedy upon Weight (1-Latent)</vt:lpstr>
      <vt:lpstr>Greedy upon Weight (2-Latent)</vt:lpstr>
      <vt:lpstr>Greedy upon Weight (3-Latent)</vt:lpstr>
      <vt:lpstr>Greedy upon Weight (4-Latent)</vt:lpstr>
      <vt:lpstr>Dataset for Meta-algorithm</vt:lpstr>
      <vt:lpstr>Brace for Meta-algorithm</vt:lpstr>
      <vt:lpstr>Meta-algorithm</vt:lpstr>
      <vt:lpstr>Meta-algorithm (All Objects)</vt:lpstr>
      <vt:lpstr>Margin Analysis</vt:lpstr>
      <vt:lpstr>Accuracy</vt:lpstr>
      <vt:lpstr>Confusion Matrix</vt:lpstr>
      <vt:lpstr>Precision, Recall, F1 Score</vt:lpstr>
      <vt:lpstr>ROC Curve &amp; AUC</vt:lpstr>
      <vt:lpstr>Leave-One-Out</vt:lpstr>
      <vt:lpstr>Sensitivity (Switches)</vt:lpstr>
      <vt:lpstr>Model Properties</vt:lpstr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Context-Synthetic Model — Full Experiment · Heart-Disease (10, 13, 2)</dc:title>
  <dc:subject>Ψ(r) by (5), ω by (4), η by (6), hierarchical agglomerative grouping, meta-algorithm and evaluation</dc:subject>
  <dc:creator/>
  <cp:lastModifiedBy/>
  <dcterms:created xsi:type="dcterms:W3CDTF">2015-06-05T18:19:34Z</dcterms:created>
  <dcterms:modified xsi:type="dcterms:W3CDTF">2026-09-28T08:27:52Z</dcterms:modified>
</cp:coreProperties>
</file>