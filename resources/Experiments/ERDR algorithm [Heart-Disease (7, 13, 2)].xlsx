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08" yWindow="-108" windowWidth="23256" windowHeight="13176" tabRatio="920"/>
  </bookViews>
  <sheets>
    <sheet name="Overview" sheetId="1" r:id="rId1"/>
    <sheet name="Parameters" sheetId="2" r:id="rId2"/>
    <sheet name="Object Selection" sheetId="3" r:id="rId3"/>
    <sheet name="Source Dataset (270)" sheetId="4" r:id="rId4"/>
    <sheet name="Dataset" sheetId="5" r:id="rId5"/>
    <sheet name="Normalized Dataset" sheetId="6" r:id="rId6"/>
    <sheet name="Zhuravlev Distances" sheetId="7" r:id="rId7"/>
    <sheet name="Sorted Neighbors" sheetId="8" r:id="rId8"/>
    <sheet name="ERDR Characteristics" sheetId="9" r:id="rId9"/>
    <sheet name="Priority Queue" sheetId="10" r:id="rId10"/>
    <sheet name="ERDR Iterations" sheetId="11" r:id="rId11"/>
    <sheet name="ERDR Trace" sheetId="12" r:id="rId12"/>
    <sheet name="Case Checklist" sheetId="13" r:id="rId13"/>
    <sheet name="Training &amp; Validation" sheetId="14" r:id="rId14"/>
    <sheet name="Charts" sheetId="15" r:id="rId15"/>
    <sheet name="Readings (Switches)" sheetId="16" r:id="rId16"/>
    <sheet name="Article Table 1 Check" sheetId="17" r:id="rId17"/>
    <sheet name="Article Notes" sheetId="18" r:id="rId18"/>
    <sheet name="Validation" sheetId="19" r:id="rId19"/>
  </sheet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%"/>
    <numFmt numFmtId="166" formatCode="&quot;✓&quot;;&quot;✓&quot;;&quot;✗&quot;"/>
    <numFmt numFmtId="167" formatCode="0.000000"/>
    <numFmt numFmtId="168" formatCode="0.000"/>
  </numFmts>
  <fonts count="3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b/>
      <i/>
      <sz val="12"/>
      <color rgb="FF3F3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7F7F7F"/>
      <name val="Calibri"/>
      <family val="2"/>
      <scheme val="minor"/>
    </font>
    <font>
      <sz val="12"/>
      <color rgb="FF595959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rgb="FF833C0B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595959"/>
      <name val="Calibri"/>
      <family val="2"/>
      <scheme val="minor"/>
    </font>
    <font>
      <sz val="10"/>
      <color rgb="FF1F3864"/>
      <name val="Calibri"/>
      <family val="2"/>
      <scheme val="minor"/>
    </font>
    <font>
      <b/>
      <sz val="11"/>
      <color rgb="FF833C0B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3F315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color rgb="FF595959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FF3E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7DEA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DE9E7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 indent="1"/>
    </xf>
    <xf numFmtId="0" fontId="9" fillId="1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14" fillId="0" borderId="4" xfId="0" applyFont="1" applyFill="1" applyBorder="1" applyAlignment="1">
      <alignment horizontal="left" vertical="center" indent="1"/>
    </xf>
    <xf numFmtId="0" fontId="16" fillId="15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 indent="1"/>
    </xf>
    <xf numFmtId="0" fontId="10" fillId="0" borderId="7" xfId="0" applyFont="1" applyFill="1" applyBorder="1" applyAlignment="1">
      <alignment horizontal="left" vertical="center" wrapText="1" indent="1"/>
    </xf>
    <xf numFmtId="0" fontId="10" fillId="0" borderId="8" xfId="0" applyFont="1" applyFill="1" applyBorder="1" applyAlignment="1">
      <alignment horizontal="left" vertical="center" wrapText="1" indent="1"/>
    </xf>
    <xf numFmtId="0" fontId="10" fillId="0" borderId="9" xfId="0" applyFont="1" applyFill="1" applyBorder="1" applyAlignment="1">
      <alignment horizontal="left" vertical="center" wrapText="1" indent="1"/>
    </xf>
    <xf numFmtId="0" fontId="10" fillId="0" borderId="10" xfId="0" applyFont="1" applyFill="1" applyBorder="1" applyAlignment="1">
      <alignment horizontal="left" vertical="center" wrapText="1" indent="1"/>
    </xf>
    <xf numFmtId="0" fontId="10" fillId="0" borderId="11" xfId="0" applyFont="1" applyFill="1" applyBorder="1" applyAlignment="1">
      <alignment horizontal="left" vertical="center" wrapText="1" indent="1"/>
    </xf>
    <xf numFmtId="0" fontId="10" fillId="0" borderId="12" xfId="0" applyFont="1" applyFill="1" applyBorder="1" applyAlignment="1">
      <alignment horizontal="left" vertical="center" wrapText="1" indent="1"/>
    </xf>
    <xf numFmtId="0" fontId="15" fillId="0" borderId="6" xfId="0" applyFont="1" applyFill="1" applyBorder="1" applyAlignment="1">
      <alignment horizontal="left" vertical="center" wrapText="1" indent="1"/>
    </xf>
    <xf numFmtId="0" fontId="11" fillId="2" borderId="0" xfId="0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 inden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left" vertical="center" inden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indent="1"/>
    </xf>
    <xf numFmtId="0" fontId="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left" vertical="center" indent="1"/>
    </xf>
    <xf numFmtId="0" fontId="18" fillId="5" borderId="1" xfId="0" applyNumberFormat="1" applyFont="1" applyFill="1" applyBorder="1" applyAlignment="1">
      <alignment horizontal="left" vertical="center" wrapText="1" indent="1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64" fontId="19" fillId="15" borderId="1" xfId="0" applyNumberFormat="1" applyFont="1" applyFill="1" applyBorder="1" applyAlignment="1">
      <alignment horizontal="center" vertical="center"/>
    </xf>
    <xf numFmtId="0" fontId="19" fillId="15" borderId="1" xfId="0" applyNumberFormat="1" applyFont="1" applyFill="1" applyBorder="1" applyAlignment="1">
      <alignment horizontal="center" vertical="center"/>
    </xf>
    <xf numFmtId="0" fontId="2" fillId="15" borderId="1" xfId="0" applyNumberFormat="1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center" vertical="center"/>
    </xf>
    <xf numFmtId="164" fontId="20" fillId="15" borderId="1" xfId="0" applyNumberFormat="1" applyFont="1" applyFill="1" applyBorder="1" applyAlignment="1">
      <alignment horizontal="center" vertical="center"/>
    </xf>
    <xf numFmtId="0" fontId="20" fillId="15" borderId="1" xfId="0" applyNumberFormat="1" applyFont="1" applyFill="1" applyBorder="1" applyAlignment="1">
      <alignment horizontal="center" vertical="center"/>
    </xf>
    <xf numFmtId="0" fontId="5" fillId="16" borderId="1" xfId="0" applyNumberFormat="1" applyFont="1" applyFill="1" applyBorder="1" applyAlignment="1">
      <alignment horizontal="center" vertical="center"/>
    </xf>
    <xf numFmtId="0" fontId="4" fillId="16" borderId="1" xfId="0" applyNumberFormat="1" applyFont="1" applyFill="1" applyBorder="1" applyAlignment="1">
      <alignment horizontal="center" vertical="center"/>
    </xf>
    <xf numFmtId="0" fontId="21" fillId="16" borderId="1" xfId="0" applyNumberFormat="1" applyFont="1" applyFill="1" applyBorder="1" applyAlignment="1">
      <alignment horizontal="center" vertical="center"/>
    </xf>
    <xf numFmtId="0" fontId="16" fillId="16" borderId="1" xfId="0" applyNumberFormat="1" applyFont="1" applyFill="1" applyBorder="1" applyAlignment="1">
      <alignment horizontal="center" vertical="center"/>
    </xf>
    <xf numFmtId="0" fontId="4" fillId="17" borderId="1" xfId="0" applyNumberFormat="1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8" fillId="9" borderId="1" xfId="0" applyNumberFormat="1" applyFont="1" applyFill="1" applyBorder="1" applyAlignment="1">
      <alignment horizontal="left" vertical="center" indent="1"/>
    </xf>
    <xf numFmtId="0" fontId="8" fillId="9" borderId="1" xfId="0" applyNumberFormat="1" applyFont="1" applyFill="1" applyBorder="1" applyAlignment="1">
      <alignment horizontal="left" vertical="center" wrapText="1" indent="1"/>
    </xf>
    <xf numFmtId="0" fontId="4" fillId="9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left" vertical="center" indent="1"/>
    </xf>
    <xf numFmtId="0" fontId="6" fillId="9" borderId="1" xfId="0" applyNumberFormat="1" applyFont="1" applyFill="1" applyBorder="1" applyAlignment="1">
      <alignment horizontal="left" vertical="center" wrapText="1" indent="1"/>
    </xf>
    <xf numFmtId="164" fontId="4" fillId="9" borderId="1" xfId="0" applyNumberFormat="1" applyFont="1" applyFill="1" applyBorder="1" applyAlignment="1">
      <alignment horizontal="center" vertical="center"/>
    </xf>
    <xf numFmtId="0" fontId="22" fillId="16" borderId="1" xfId="0" applyNumberFormat="1" applyFont="1" applyFill="1" applyBorder="1" applyAlignment="1">
      <alignment horizontal="center" vertical="center"/>
    </xf>
    <xf numFmtId="168" fontId="22" fillId="16" borderId="1" xfId="0" applyNumberFormat="1" applyFont="1" applyFill="1" applyBorder="1" applyAlignment="1">
      <alignment horizontal="center" vertical="center"/>
    </xf>
    <xf numFmtId="0" fontId="23" fillId="13" borderId="1" xfId="0" applyNumberFormat="1" applyFont="1" applyFill="1" applyBorder="1" applyAlignment="1">
      <alignment horizontal="center" vertical="center"/>
    </xf>
    <xf numFmtId="164" fontId="23" fillId="13" borderId="1" xfId="0" applyNumberFormat="1" applyFont="1" applyFill="1" applyBorder="1" applyAlignment="1">
      <alignment horizontal="center" vertical="center"/>
    </xf>
    <xf numFmtId="0" fontId="23" fillId="13" borderId="1" xfId="0" applyNumberFormat="1" applyFont="1" applyFill="1" applyBorder="1" applyAlignment="1">
      <alignment horizontal="left" vertical="center" indent="1"/>
    </xf>
    <xf numFmtId="0" fontId="23" fillId="16" borderId="1" xfId="0" applyNumberFormat="1" applyFont="1" applyFill="1" applyBorder="1" applyAlignment="1">
      <alignment horizontal="center" vertical="center"/>
    </xf>
    <xf numFmtId="166" fontId="24" fillId="16" borderId="1" xfId="0" applyNumberFormat="1" applyFont="1" applyFill="1" applyBorder="1" applyAlignment="1">
      <alignment horizontal="center" vertical="center"/>
    </xf>
    <xf numFmtId="166" fontId="4" fillId="16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left" vertical="center" indent="1"/>
    </xf>
    <xf numFmtId="0" fontId="4" fillId="15" borderId="1" xfId="0" applyNumberFormat="1" applyFont="1" applyFill="1" applyBorder="1" applyAlignment="1">
      <alignment horizontal="left" vertical="center" indent="1"/>
    </xf>
    <xf numFmtId="0" fontId="6" fillId="15" borderId="1" xfId="0" applyNumberFormat="1" applyFont="1" applyFill="1" applyBorder="1" applyAlignment="1">
      <alignment horizontal="left" vertical="center" wrapText="1" indent="1"/>
    </xf>
    <xf numFmtId="0" fontId="25" fillId="18" borderId="1" xfId="0" applyNumberFormat="1" applyFont="1" applyFill="1" applyBorder="1" applyAlignment="1">
      <alignment horizontal="left" vertical="center" wrapText="1" indent="1"/>
    </xf>
    <xf numFmtId="0" fontId="26" fillId="0" borderId="0" xfId="0" applyNumberFormat="1" applyFont="1" applyFill="1" applyBorder="1" applyAlignment="1">
      <alignment horizontal="left" vertical="center"/>
    </xf>
    <xf numFmtId="0" fontId="27" fillId="16" borderId="1" xfId="0" applyNumberFormat="1" applyFont="1" applyFill="1" applyBorder="1" applyAlignment="1">
      <alignment horizontal="left" vertical="center" indent="1"/>
    </xf>
    <xf numFmtId="0" fontId="27" fillId="16" borderId="1" xfId="0" applyNumberFormat="1" applyFont="1" applyFill="1" applyBorder="1" applyAlignment="1">
      <alignment horizontal="left" vertical="center" wrapText="1" indent="1"/>
    </xf>
    <xf numFmtId="0" fontId="27" fillId="16" borderId="1" xfId="0" applyNumberFormat="1" applyFont="1" applyFill="1" applyBorder="1" applyAlignment="1">
      <alignment horizontal="left" vertical="top" wrapText="1" indent="1"/>
    </xf>
    <xf numFmtId="0" fontId="21" fillId="19" borderId="1" xfId="0" applyNumberFormat="1" applyFont="1" applyFill="1" applyBorder="1" applyAlignment="1">
      <alignment horizontal="center" vertical="center"/>
    </xf>
    <xf numFmtId="164" fontId="21" fillId="19" borderId="1" xfId="0" applyNumberFormat="1" applyFont="1" applyFill="1" applyBorder="1" applyAlignment="1">
      <alignment horizontal="center" vertical="center"/>
    </xf>
    <xf numFmtId="0" fontId="21" fillId="19" borderId="1" xfId="0" applyNumberFormat="1" applyFont="1" applyFill="1" applyBorder="1" applyAlignment="1">
      <alignment horizontal="left" vertical="center" indent="1"/>
    </xf>
    <xf numFmtId="0" fontId="28" fillId="19" borderId="1" xfId="0" applyNumberFormat="1" applyFont="1" applyFill="1" applyBorder="1" applyAlignment="1">
      <alignment horizontal="left" vertical="center" wrapText="1" indent="1"/>
    </xf>
    <xf numFmtId="165" fontId="4" fillId="9" borderId="1" xfId="0" applyNumberFormat="1" applyFont="1" applyFill="1" applyBorder="1" applyAlignment="1">
      <alignment horizontal="center" vertical="center"/>
    </xf>
    <xf numFmtId="165" fontId="21" fillId="19" borderId="1" xfId="0" applyNumberFormat="1" applyFont="1" applyFill="1" applyBorder="1" applyAlignment="1">
      <alignment horizontal="center" vertical="center"/>
    </xf>
    <xf numFmtId="168" fontId="21" fillId="19" borderId="1" xfId="0" applyNumberFormat="1" applyFont="1" applyFill="1" applyBorder="1" applyAlignment="1">
      <alignment horizontal="center" vertical="center"/>
    </xf>
    <xf numFmtId="0" fontId="14" fillId="16" borderId="1" xfId="0" applyNumberFormat="1" applyFont="1" applyFill="1" applyBorder="1" applyAlignment="1">
      <alignment horizontal="left" vertical="center" indent="1"/>
    </xf>
    <xf numFmtId="0" fontId="11" fillId="2" borderId="0" xfId="0" applyNumberFormat="1" applyFont="1" applyFill="1" applyBorder="1" applyAlignment="1">
      <alignment horizontal="left" vertical="center" indent="1"/>
    </xf>
    <xf numFmtId="0" fontId="12" fillId="0" borderId="0" xfId="0" applyNumberFormat="1" applyFont="1" applyFill="1" applyBorder="1" applyAlignment="1">
      <alignment horizontal="left" vertical="center" indent="1"/>
    </xf>
    <xf numFmtId="0" fontId="13" fillId="0" borderId="5" xfId="0" applyNumberFormat="1" applyFont="1" applyFill="1" applyBorder="1" applyAlignment="1">
      <alignment horizontal="left" vertical="center"/>
    </xf>
    <xf numFmtId="0" fontId="9" fillId="10" borderId="4" xfId="0" applyNumberFormat="1" applyFont="1" applyFill="1" applyBorder="1" applyAlignment="1">
      <alignment horizontal="left" vertical="center" indent="1"/>
    </xf>
    <xf numFmtId="0" fontId="9" fillId="1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left" vertical="center" wrapText="1" indent="1"/>
    </xf>
    <xf numFmtId="0" fontId="6" fillId="0" borderId="4" xfId="0" applyNumberFormat="1" applyFont="1" applyFill="1" applyBorder="1" applyAlignment="1">
      <alignment horizontal="left" vertical="center" wrapText="1" indent="1"/>
    </xf>
    <xf numFmtId="0" fontId="14" fillId="0" borderId="4" xfId="0" applyNumberFormat="1" applyFont="1" applyFill="1" applyBorder="1" applyAlignment="1">
      <alignment horizontal="left" vertical="center" indent="1"/>
    </xf>
    <xf numFmtId="0" fontId="16" fillId="15" borderId="4" xfId="0" applyNumberFormat="1" applyFont="1" applyFill="1" applyBorder="1" applyAlignment="1">
      <alignment horizontal="center" vertical="center"/>
    </xf>
    <xf numFmtId="165" fontId="16" fillId="15" borderId="4" xfId="0" applyNumberFormat="1" applyFont="1" applyFill="1" applyBorder="1" applyAlignment="1">
      <alignment horizontal="center" vertical="center"/>
    </xf>
    <xf numFmtId="0" fontId="16" fillId="15" borderId="4" xfId="0" applyNumberFormat="1" applyFont="1" applyFill="1" applyBorder="1" applyAlignment="1">
      <alignment horizontal="left" vertical="center" indent="1"/>
    </xf>
    <xf numFmtId="0" fontId="17" fillId="0" borderId="4" xfId="0" applyNumberFormat="1" applyFont="1" applyFill="1" applyBorder="1" applyAlignment="1">
      <alignment horizontal="left" vertical="center" indent="1"/>
    </xf>
    <xf numFmtId="0" fontId="29" fillId="20" borderId="4" xfId="0" applyNumberFormat="1" applyFont="1" applyFill="1" applyBorder="1" applyAlignment="1">
      <alignment horizontal="left" vertical="center" wrapText="1" indent="1"/>
    </xf>
    <xf numFmtId="0" fontId="15" fillId="0" borderId="0" xfId="0" applyNumberFormat="1" applyFont="1" applyFill="1" applyBorder="1" applyAlignment="1">
      <alignment horizontal="left" vertical="center" wrapText="1" indent="1"/>
    </xf>
    <xf numFmtId="0" fontId="30" fillId="18" borderId="4" xfId="0" applyNumberFormat="1" applyFont="1" applyFill="1" applyBorder="1" applyAlignment="1">
      <alignment horizontal="left" vertical="center" wrapText="1" indent="1"/>
    </xf>
    <xf numFmtId="0" fontId="9" fillId="2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5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/>
    </xf>
    <xf numFmtId="0" fontId="31" fillId="8" borderId="4" xfId="0" applyNumberFormat="1" applyFont="1" applyFill="1" applyBorder="1" applyAlignment="1">
      <alignment horizontal="center" vertical="center"/>
    </xf>
    <xf numFmtId="0" fontId="6" fillId="17" borderId="4" xfId="0" applyNumberFormat="1" applyFont="1" applyFill="1" applyBorder="1" applyAlignment="1">
      <alignment horizontal="center" vertical="center"/>
    </xf>
    <xf numFmtId="0" fontId="32" fillId="13" borderId="4" xfId="0" applyNumberFormat="1" applyFont="1" applyFill="1" applyBorder="1" applyAlignment="1">
      <alignment horizontal="center" vertical="center"/>
    </xf>
    <xf numFmtId="0" fontId="33" fillId="11" borderId="4" xfId="0" applyNumberFormat="1" applyFont="1" applyFill="1" applyBorder="1" applyAlignment="1">
      <alignment horizontal="center" vertical="center"/>
    </xf>
    <xf numFmtId="0" fontId="33" fillId="21" borderId="4" xfId="0" applyNumberFormat="1" applyFont="1" applyFill="1" applyBorder="1" applyAlignment="1">
      <alignment horizontal="center" vertical="center"/>
    </xf>
    <xf numFmtId="0" fontId="31" fillId="22" borderId="4" xfId="0" applyNumberFormat="1" applyFont="1" applyFill="1" applyBorder="1" applyAlignment="1">
      <alignment horizontal="center" vertical="center"/>
    </xf>
    <xf numFmtId="0" fontId="34" fillId="9" borderId="4" xfId="0" applyNumberFormat="1" applyFont="1" applyFill="1" applyBorder="1" applyAlignment="1">
      <alignment horizontal="center" vertical="center"/>
    </xf>
    <xf numFmtId="0" fontId="35" fillId="16" borderId="4" xfId="0" applyNumberFormat="1" applyFont="1" applyFill="1" applyBorder="1" applyAlignment="1">
      <alignment horizontal="center" vertical="center"/>
    </xf>
    <xf numFmtId="0" fontId="36" fillId="19" borderId="4" xfId="0" applyNumberFormat="1" applyFont="1" applyFill="1" applyBorder="1" applyAlignment="1">
      <alignment horizontal="center" vertical="center"/>
    </xf>
    <xf numFmtId="0" fontId="30" fillId="18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1F3864"/>
      </font>
      <fill>
        <patternFill>
          <bgColor rgb="FFBDD7EE"/>
        </patternFill>
      </fill>
    </dxf>
    <dxf>
      <fill>
        <patternFill>
          <bgColor rgb="FFEAF6EC"/>
        </patternFill>
      </fill>
    </dxf>
    <dxf>
      <font>
        <color rgb="FF9C0006"/>
      </font>
      <fill>
        <patternFill>
          <bgColor rgb="FFFDE9E7"/>
        </patternFill>
      </fill>
    </dxf>
  </dxfs>
  <tableStyles count="0" defaultTableStyle="TableStyleMedium2" defaultPivotStyle="PivotStyleLight16"/>
  <colors>
    <mruColors>
      <color rgb="FF8EF4B7"/>
      <color rgb="FFE010D6"/>
      <color rgb="FF00CC00"/>
      <color rgb="FFFF6600"/>
      <color rgb="FFFF4F4F"/>
      <color rgb="FF856EF8"/>
      <color rgb="FF09F720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/><Relationship Id="rId2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r(Sᵢ) and z(Sᵢ, k) of every object — where the two lines meet, d(Sᵢ) = 0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r(Sᵢ) — nearest-enemy distance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Characteristics'!$A$5:$A$11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Characteristics'!$D$5:$D$11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z(Sᵢ, k) — distance to the k-th neighbour</c:v>
          </c:tx>
          <c:spPr>
            <a:ln w="28575" cap="rnd">
              <a:solidFill>
                <a:srgbClr val="ED7D31"/>
              </a:solidFill>
              <a:prstDash val="dash"/>
              <a:round/>
            </a:ln>
          </c:spPr>
          <c:marker>
            <c:symbol val="square"/>
            <c:size val="8"/>
            <c:spPr>
              <a:solidFill>
                <a:srgbClr val="ED7D3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Characteristics'!$A$5:$A$11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Characteristics'!$H$5:$H$11</c:f>
              <c:numCache>
                <c:formatCode>General</c:formatCode>
                <c:ptCount val="7"/>
                <c:pt idx="0">
                  <c:v>5.60708061</c:v>
                </c:pt>
                <c:pt idx="1">
                  <c:v>6.3691657565</c:v>
                </c:pt>
                <c:pt idx="2">
                  <c:v>5.60708061</c:v>
                </c:pt>
                <c:pt idx="3">
                  <c:v>6.2175670209</c:v>
                </c:pt>
                <c:pt idx="4">
                  <c:v>7.1117040273</c:v>
                </c:pt>
                <c:pt idx="5">
                  <c:v>5.2172783643</c:v>
                </c:pt>
                <c:pt idx="6">
                  <c:v>5.0314314939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g(Sᵢ) and the enemy spheres that contain Sᵢ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g(Sᵢ) — own-class objects inside the sphere of Sᵢ (row sum)</c:v>
          </c:tx>
          <c:spPr>
            <a:ln w="28575" cap="rnd">
              <a:solidFill>
                <a:srgbClr val="548235"/>
              </a:solidFill>
              <a:round/>
            </a:ln>
          </c:spPr>
          <c:marker>
            <c:symbol val="circle"/>
            <c:size val="8"/>
            <c:spPr>
              <a:solidFill>
                <a:srgbClr val="548235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Characteristics'!$A$5:$A$11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Characteristics'!$I$16:$I$22</c:f>
              <c:numCache>
                <c:formatCode>General</c:formatCode>
                <c:ptCount val="7"/>
                <c:pt idx="0">
                  <c:v>3.0</c:v>
                </c:pt>
                <c:pt idx="1">
                  <c:v>4.0</c:v>
                </c:pt>
                <c:pt idx="2">
                  <c:v>3.0</c:v>
                </c:pt>
                <c:pt idx="3">
                  <c:v>1.0</c:v>
                </c:pt>
                <c:pt idx="4">
                  <c:v>3.0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ser>
          <c:idx val="1"/>
          <c:order val="1"/>
          <c:tx>
            <c:v>spheres that contain Sᵢ (column sum) — who can put Sᵢ in L</c:v>
          </c:tx>
          <c:spPr>
            <a:ln w="28575" cap="rnd">
              <a:solidFill>
                <a:srgbClr val="7030A0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7030A0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Characteristics'!$A$5:$A$11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Characteristics'!$B$23:$H$23</c:f>
              <c:numCache>
                <c:formatCode>General</c:formatCode>
                <c:ptCount val="7"/>
                <c:pt idx="0">
                  <c:v>3.0</c:v>
                </c:pt>
                <c:pt idx="1">
                  <c:v>3.0</c:v>
                </c:pt>
                <c:pt idx="2">
                  <c:v>2.0</c:v>
                </c:pt>
                <c:pt idx="3">
                  <c:v>2.0</c:v>
                </c:pt>
                <c:pt idx="4">
                  <c:v>3.0</c:v>
                </c:pt>
                <c:pt idx="5">
                  <c:v>2.0</c:v>
                </c:pt>
                <c:pt idx="6">
                  <c:v>2.0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Step 2 queue as a spiral — d(Sᵢ) in queue order, clockwise from the top (centre = processed first)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d(Sᵢ)</c:v>
          </c:tx>
          <c:spPr>
            <a:ln w="28575" cap="rnd">
              <a:solidFill>
                <a:srgbClr val="C55A11"/>
              </a:solidFill>
              <a:round/>
            </a:ln>
          </c:spPr>
          <c:marker>
            <c:symbol val="circle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'Priority Queue'!$B$5:$B$11</c:f>
              <c:strCache>
                <c:ptCount val="7"/>
                <c:pt idx="0">
                  <c:v>S₁</c:v>
                </c:pt>
                <c:pt idx="1">
                  <c:v>S₃</c:v>
                </c:pt>
                <c:pt idx="2">
                  <c:v>S₅</c:v>
                </c:pt>
                <c:pt idx="3">
                  <c:v>S₂</c:v>
                </c:pt>
                <c:pt idx="4">
                  <c:v>S₇</c:v>
                </c:pt>
                <c:pt idx="5">
                  <c:v>S₆</c:v>
                </c:pt>
                <c:pt idx="6">
                  <c:v>S₄</c:v>
                </c:pt>
              </c:strCache>
            </c:strRef>
          </c:cat>
          <c:val>
            <c:numRef>
              <c:f>'Priority Queue'!$E$5:$E$11</c:f>
              <c:numCache>
                <c:formatCode>General</c:formatCod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0.0795428388</c:v>
                </c:pt>
                <c:pt idx="4">
                  <c:v>0.1252961741</c:v>
                </c:pt>
                <c:pt idx="5">
                  <c:v>0.1692169896</c:v>
                </c:pt>
                <c:pt idx="6">
                  <c:v>0.2529498997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.0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Iterations'!$A$5</c:f>
          <c:strCache>
            <c:ptCount val="1"/>
            <c:pt idx="0">
              <c:v>Iteration 1  ·  Step 3 selects S₁  ·  L = {S₁, S₂, S₅}  ·  |L| &gt; 1 → Step 5 corrects g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Iterations'!$B$6:$H$6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Iterations'!$B$16:$H$16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Iterations'!$B$6:$H$6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Iterations'!$B$15:$H$15</c:f>
              <c:numCache>
                <c:formatCode>General</c:formatCode>
                <c:ptCount val="7"/>
                <c:pt idx="0">
                  <c:v>0.0</c:v>
                </c:pt>
                <c:pt idx="1">
                  <c:v>4.6606100796</c:v>
                </c:pt>
                <c:pt idx="2">
                  <c:v>5.60708061</c:v>
                </c:pt>
                <c:pt idx="3">
                  <c:v>6.6272117335</c:v>
                </c:pt>
                <c:pt idx="4">
                  <c:v>4.8565209225</c:v>
                </c:pt>
                <c:pt idx="5">
                  <c:v>6.8015669516</c:v>
                </c:pt>
                <c:pt idx="6">
                  <c:v>5.8897935773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1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Iterations'!$B$6:$H$6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Iterations'!$B$10:$H$10</c:f>
              <c:numCache>
                <c:formatCode>General</c:formatCode>
                <c:ptCount val="7"/>
                <c:pt idx="0">
                  <c:v>3.0</c:v>
                </c:pt>
                <c:pt idx="1">
                  <c:v>4.0</c:v>
                </c:pt>
                <c:pt idx="2">
                  <c:v>3.0</c:v>
                </c:pt>
                <c:pt idx="3">
                  <c:v>1.0</c:v>
                </c:pt>
                <c:pt idx="4">
                  <c:v>3.0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Iterations'!$B$6:$H$6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Iterations'!$B$23:$H$23</c:f>
              <c:numCache>
                <c:formatCode>General</c:formatCode>
                <c:ptCount val="7"/>
                <c:pt idx="0">
                  <c:v>2.0</c:v>
                </c:pt>
                <c:pt idx="1">
                  <c:v>3.0</c:v>
                </c:pt>
                <c:pt idx="2">
                  <c:v>3.0</c:v>
                </c:pt>
                <c:pt idx="3">
                  <c:v>1.0</c:v>
                </c:pt>
                <c:pt idx="4">
                  <c:v>2.0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Iterations'!$A$31</c:f>
          <c:strCache>
            <c:ptCount val="1"/>
            <c:pt idx="0">
              <c:v>Iteration 2  ·  Step 3 selects S₃  ·  L = {S₃, S₇}  ·  |L| &gt; 1 → Step 5 corrects g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Iterations'!$B$32:$H$32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Iterations'!$B$42:$H$42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Iterations'!$B$32:$H$32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Iterations'!$B$41:$H$41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0.0</c:v>
                </c:pt>
                <c:pt idx="3">
                  <c:v>6.2175670209</c:v>
                </c:pt>
                <c:pt idx="4">
                  <c:v>7.3117496807</c:v>
                </c:pt>
                <c:pt idx="5">
                  <c:v>5.2172783643</c:v>
                </c:pt>
                <c:pt idx="6">
                  <c:v>2.7849754107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2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Iterations'!$B$32:$H$32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Iterations'!$B$36:$H$36</c:f>
              <c:numCache>
                <c:formatCode>General</c:formatCode>
                <c:ptCount val="7"/>
                <c:pt idx="0">
                  <c:v>2.0</c:v>
                </c:pt>
                <c:pt idx="1">
                  <c:v>3.0</c:v>
                </c:pt>
                <c:pt idx="2">
                  <c:v>3.0</c:v>
                </c:pt>
                <c:pt idx="3">
                  <c:v>1.0</c:v>
                </c:pt>
                <c:pt idx="4">
                  <c:v>2.0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Iterations'!$B$32:$H$32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Iterations'!$B$49:$H$49</c:f>
              <c:numCache>
                <c:formatCode>General</c:formatCode>
                <c:ptCount val="7"/>
                <c:pt idx="0">
                  <c:v>2.0</c:v>
                </c:pt>
                <c:pt idx="1">
                  <c:v>3.0</c:v>
                </c:pt>
                <c:pt idx="2">
                  <c:v>2.0</c:v>
                </c:pt>
                <c:pt idx="3">
                  <c:v>1.0</c:v>
                </c:pt>
                <c:pt idx="4">
                  <c:v>2.0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Iterations'!$A$57</c:f>
          <c:strCache>
            <c:ptCount val="1"/>
            <c:pt idx="0">
              <c:v>Iteration 3  ·  Step 3 selects S₅  ·  L = {S₁, S₂, S₅}  ·  |L| &gt; 1 → Step 5 corrects g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Iterations'!$B$58:$H$58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Iterations'!$B$68:$H$68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Iterations'!$B$58:$H$58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Iterations'!$B$67:$H$67</c:f>
              <c:numCache>
                <c:formatCode>General</c:formatCode>
                <c:ptCount val="7"/>
                <c:pt idx="0">
                  <c:v>4.8565209225</c:v>
                </c:pt>
                <c:pt idx="1">
                  <c:v>6.104089157</c:v>
                </c:pt>
                <c:pt idx="2">
                  <c:v>7.3117496807</c:v>
                </c:pt>
                <c:pt idx="3">
                  <c:v>7.8491221835</c:v>
                </c:pt>
                <c:pt idx="4">
                  <c:v>0.0</c:v>
                </c:pt>
                <c:pt idx="5">
                  <c:v>9.0234774016</c:v>
                </c:pt>
                <c:pt idx="6">
                  <c:v>7.1117040273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3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Iterations'!$B$58:$H$58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Iterations'!$B$62:$H$62</c:f>
              <c:numCache>
                <c:formatCode>General</c:formatCode>
                <c:ptCount val="7"/>
                <c:pt idx="0">
                  <c:v>2.0</c:v>
                </c:pt>
                <c:pt idx="1">
                  <c:v>3.0</c:v>
                </c:pt>
                <c:pt idx="2">
                  <c:v>2.0</c:v>
                </c:pt>
                <c:pt idx="3">
                  <c:v>1.0</c:v>
                </c:pt>
                <c:pt idx="4">
                  <c:v>2.0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Iterations'!$B$58:$H$58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Iterations'!$B$75:$H$75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Iterations'!$A$83</c:f>
          <c:strCache>
            <c:ptCount val="1"/>
            <c:pt idx="0">
              <c:v>Iteration 4  ·  Step 3 selects S₂  ·  L = {S₂}  ·  |L| = 1 → Sᵢ moves to D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Iterations'!$B$84:$H$84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Iterations'!$B$94:$H$94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Iterations'!$B$84:$H$84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Iterations'!$B$93:$H$93</c:f>
              <c:numCache>
                <c:formatCode>General</c:formatCode>
                <c:ptCount val="7"/>
                <c:pt idx="0">
                  <c:v>4.6606100796</c:v>
                </c:pt>
                <c:pt idx="1">
                  <c:v>0.0</c:v>
                </c:pt>
                <c:pt idx="2">
                  <c:v>7.4699698919</c:v>
                </c:pt>
                <c:pt idx="3">
                  <c:v>6.3691657565</c:v>
                </c:pt>
                <c:pt idx="4">
                  <c:v>6.104089157</c:v>
                </c:pt>
                <c:pt idx="5">
                  <c:v>8.742951174</c:v>
                </c:pt>
                <c:pt idx="6">
                  <c:v>7.7855937542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4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Iterations'!$B$84:$H$84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Iterations'!$B$88:$H$88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Iterations'!$B$84:$H$84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Iterations'!$B$101:$H$101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Iterations'!$A$109</c:f>
          <c:strCache>
            <c:ptCount val="1"/>
            <c:pt idx="0">
              <c:v>Iteration 5  ·  Step 3 selects S₆  ·  L = {S₃}  ·  |L| = 1 → Sᵢ moves to D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Iterations'!$B$110:$H$110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Iterations'!$B$120:$H$120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Iterations'!$B$110:$H$110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Iterations'!$B$119:$H$119</c:f>
              <c:numCache>
                <c:formatCode>General</c:formatCode>
                <c:ptCount val="7"/>
                <c:pt idx="0">
                  <c:v>6.8015669516</c:v>
                </c:pt>
                <c:pt idx="1">
                  <c:v>8.742951174</c:v>
                </c:pt>
                <c:pt idx="2">
                  <c:v>5.2172783643</c:v>
                </c:pt>
                <c:pt idx="3">
                  <c:v>3.7071187508</c:v>
                </c:pt>
                <c:pt idx="4">
                  <c:v>9.0234774016</c:v>
                </c:pt>
                <c:pt idx="5">
                  <c:v>0.0</c:v>
                </c:pt>
                <c:pt idx="6">
                  <c:v>5.0314314939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5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Iterations'!$B$110:$H$110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Iterations'!$B$114:$H$114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Iterations'!$B$110:$H$110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Iterations'!$B$127:$H$127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Iterations'!$A$135</c:f>
          <c:strCache>
            <c:ptCount val="1"/>
            <c:pt idx="0">
              <c:v>Iteration 6  ·  Step 3 selects S₄  ·  L = ∅  ·  |L| = 0 → Sᵢ is only blocked and stays in F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Iterations'!$B$136:$H$136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Iterations'!$B$146:$H$146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Iterations'!$B$136:$H$136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Iterations'!$B$145:$H$145</c:f>
              <c:numCache>
                <c:formatCode>General</c:formatCode>
                <c:ptCount val="7"/>
                <c:pt idx="0">
                  <c:v>6.6272117335</c:v>
                </c:pt>
                <c:pt idx="1">
                  <c:v>6.3691657565</c:v>
                </c:pt>
                <c:pt idx="2">
                  <c:v>6.2175670209</c:v>
                </c:pt>
                <c:pt idx="3">
                  <c:v>0.0</c:v>
                </c:pt>
                <c:pt idx="4">
                  <c:v>7.8491221835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6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Iterations'!$B$136:$H$136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Iterations'!$B$140:$H$140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Iterations'!$B$136:$H$136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Iterations'!$B$153:$H$153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Iterations'!$A$161</c:f>
          <c:strCache>
            <c:ptCount val="1"/>
            <c:pt idx="0">
              <c:v>Iteration 7  ·  queue empty → Step 6 (stop)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Iterations'!$B$162:$H$162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Iterations'!$B$172:$H$172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Iterations'!$B$162:$H$162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Iterations'!$B$171:$H$171</c:f>
              <c:numCache>
                <c:formatCode>General</c:formatCode>
                <c:ptCount val="7"/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7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Iterations'!$B$162:$H$162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Iterations'!$B$166:$H$166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Iterations'!$B$162:$H$162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Iterations'!$B$179:$H$179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Counters g(Sⱼ) at the start (Step 1) and after the last iteration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at the start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Trace'!$B$76:$H$76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Trace'!$B$77:$H$77</c:f>
              <c:numCache>
                <c:formatCode>General</c:formatCode>
                <c:ptCount val="7"/>
                <c:pt idx="0">
                  <c:v>3.0</c:v>
                </c:pt>
                <c:pt idx="1">
                  <c:v>4.0</c:v>
                </c:pt>
                <c:pt idx="2">
                  <c:v>3.0</c:v>
                </c:pt>
                <c:pt idx="3">
                  <c:v>1.0</c:v>
                </c:pt>
                <c:pt idx="4">
                  <c:v>3.0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ser>
          <c:idx val="1"/>
          <c:order val="1"/>
          <c:tx>
            <c:v>g after the last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Trace'!$B$76:$H$76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Trace'!$B$84:$H$84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2-D map of the 7 objects (Zhuravlev distances)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'Charts'!$A$5</c:f>
              <c:strCache>
                <c:ptCount val="1"/>
                <c:pt idx="0">
                  <c:v>S₁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'Charts'!$B$5</c:f>
              <c:numCache>
                <c:formatCode>General</c:formatCode>
                <c:ptCount val="1"/>
                <c:pt idx="0">
                  <c:v>2.31016</c:v>
                </c:pt>
              </c:numCache>
            </c:numRef>
          </c:xVal>
          <c:yVal>
            <c:numRef>
              <c:f>'Charts'!$C$5</c:f>
              <c:numCache>
                <c:formatCode>General</c:formatCode>
                <c:ptCount val="1"/>
                <c:pt idx="0">
                  <c:v>-0.479167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'Charts'!$A$6</c:f>
              <c:strCache>
                <c:ptCount val="1"/>
                <c:pt idx="0">
                  <c:v>S₂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'Charts'!$B$6</c:f>
              <c:numCache>
                <c:formatCode>General</c:formatCode>
                <c:ptCount val="1"/>
                <c:pt idx="0">
                  <c:v>3.761907</c:v>
                </c:pt>
              </c:numCache>
            </c:numRef>
          </c:xVal>
          <c:yVal>
            <c:numRef>
              <c:f>'Charts'!$C$6</c:f>
              <c:numCache>
                <c:formatCode>General</c:formatCode>
                <c:ptCount val="1"/>
                <c:pt idx="0">
                  <c:v>2.727525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'Charts'!$A$7</c:f>
              <c:strCache>
                <c:ptCount val="1"/>
                <c:pt idx="0">
                  <c:v>S₃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BDD7EE"/>
              </a:solidFill>
              <a:ln w="22225">
                <a:solidFill>
                  <a:srgbClr val="2F5597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'Charts'!$B$7</c:f>
              <c:numCache>
                <c:formatCode>General</c:formatCode>
                <c:ptCount val="1"/>
                <c:pt idx="0">
                  <c:v>-1.711201</c:v>
                </c:pt>
              </c:numCache>
            </c:numRef>
          </c:xVal>
          <c:yVal>
            <c:numRef>
              <c:f>'Charts'!$C$7</c:f>
              <c:numCache>
                <c:formatCode>General</c:formatCode>
                <c:ptCount val="1"/>
                <c:pt idx="0">
                  <c:v>-2.511892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'Charts'!$A$8</c:f>
              <c:strCache>
                <c:ptCount val="1"/>
                <c:pt idx="0">
                  <c:v>S₄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F8CBAD"/>
              </a:solidFill>
              <a:ln w="2222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'Charts'!$B$8</c:f>
              <c:numCache>
                <c:formatCode>General</c:formatCode>
                <c:ptCount val="1"/>
                <c:pt idx="0">
                  <c:v>-2.166181</c:v>
                </c:pt>
              </c:numCache>
            </c:numRef>
          </c:xVal>
          <c:yVal>
            <c:numRef>
              <c:f>'Charts'!$C$8</c:f>
              <c:numCache>
                <c:formatCode>General</c:formatCode>
                <c:ptCount val="1"/>
                <c:pt idx="0">
                  <c:v>2.690197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'Charts'!$A$9</c:f>
              <c:strCache>
                <c:ptCount val="1"/>
                <c:pt idx="0">
                  <c:v>S₅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'Charts'!$B$9</c:f>
              <c:numCache>
                <c:formatCode>General</c:formatCode>
                <c:ptCount val="1"/>
                <c:pt idx="0">
                  <c:v>4.126983</c:v>
                </c:pt>
              </c:numCache>
            </c:numRef>
          </c:xVal>
          <c:yVal>
            <c:numRef>
              <c:f>'Charts'!$C$9</c:f>
              <c:numCache>
                <c:formatCode>General</c:formatCode>
                <c:ptCount val="1"/>
                <c:pt idx="0">
                  <c:v>-1.813838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'Charts'!$A$10</c:f>
              <c:strCache>
                <c:ptCount val="1"/>
                <c:pt idx="0">
                  <c:v>S₆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2F5597"/>
              </a:solidFill>
              <a:ln w="22225">
                <a:solidFill>
                  <a:srgbClr val="2F5597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'Charts'!$B$10</c:f>
              <c:numCache>
                <c:formatCode>General</c:formatCode>
                <c:ptCount val="1"/>
                <c:pt idx="0">
                  <c:v>-4.027502</c:v>
                </c:pt>
              </c:numCache>
            </c:numRef>
          </c:xVal>
          <c:yVal>
            <c:numRef>
              <c:f>'Charts'!$C$10</c:f>
              <c:numCache>
                <c:formatCode>General</c:formatCode>
                <c:ptCount val="1"/>
                <c:pt idx="0">
                  <c:v>0.891279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'Charts'!$A$11</c:f>
              <c:strCache>
                <c:ptCount val="1"/>
                <c:pt idx="0">
                  <c:v>S₇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2F5597"/>
              </a:solidFill>
              <a:ln w="22225">
                <a:solidFill>
                  <a:srgbClr val="2F5597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'Charts'!$B$11</c:f>
              <c:numCache>
                <c:formatCode>General</c:formatCode>
                <c:ptCount val="1"/>
                <c:pt idx="0">
                  <c:v>-2.294165</c:v>
                </c:pt>
              </c:numCache>
            </c:numRef>
          </c:xVal>
          <c:yVal>
            <c:numRef>
              <c:f>'Charts'!$C$11</c:f>
              <c:numCache>
                <c:formatCode>General</c:formatCode>
                <c:ptCount val="1"/>
                <c:pt idx="0">
                  <c:v>-1.504104</c:v>
                </c:pt>
              </c:numCache>
            </c:numRef>
          </c:yVal>
          <c:smooth val="0"/>
        </c:ser>
        <c:axId val="7001"/>
        <c:axId val="7002"/>
      </c:scatterChart>
      <c:valAx>
        <c:axId val="7001"/>
        <c:scaling>
          <c:orientation val="minMax"/>
          <c:max val="6"/>
          <c:min val="-6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map axis 1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7002"/>
        <c:crosses val="autoZero"/>
        <c:crossBetween val="midCat"/>
      </c:valAx>
      <c:valAx>
        <c:axId val="7002"/>
        <c:scaling>
          <c:orientation val="minMax"/>
          <c:max val="4"/>
          <c:min val="-4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map axis 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7001"/>
        <c:crosses val="autoZero"/>
        <c:crossBetween val="midCat"/>
      </c:valAx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Enemy radius r(Sᵢ) and k-th neighbour distance z(Sᵢ, k)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r(Sᵢ) — nearest enemy</c:v>
          </c:tx>
          <c:spPr>
            <a:solidFill>
              <a:srgbClr val="2F5597"/>
            </a:solidFill>
            <a:ln>
              <a:noFill/>
            </a:ln>
          </c:spPr>
          <c:invertIfNegative val="0"/>
          <c:dLbls>
            <c:numFmt formatCode="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'Charts'!$F$5:$F$11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z(Sᵢ, k) — k-th neighbour</c:v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'Charts'!$G$5:$G$11</c:f>
              <c:numCache>
                <c:formatCode>General</c:formatCode>
                <c:ptCount val="7"/>
                <c:pt idx="0">
                  <c:v>5.60708061</c:v>
                </c:pt>
                <c:pt idx="1">
                  <c:v>6.3691657565</c:v>
                </c:pt>
                <c:pt idx="2">
                  <c:v>5.60708061</c:v>
                </c:pt>
                <c:pt idx="3">
                  <c:v>6.2175670209</c:v>
                </c:pt>
                <c:pt idx="4">
                  <c:v>7.1117040273</c:v>
                </c:pt>
                <c:pt idx="5">
                  <c:v>5.2172783643</c:v>
                </c:pt>
                <c:pt idx="6">
                  <c:v>5.0314314939</c:v>
                </c:pt>
              </c:numCache>
            </c:numRef>
          </c:val>
        </c:ser>
        <c:gapWidth val="8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object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Zhuravlev distance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Step 2 · priority d(Sᵢ) in queue order (ties at d = 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d(Sᵢ)</c:v>
          </c:tx>
          <c:spPr>
            <a:solidFill>
              <a:srgbClr val="548235"/>
            </a:solidFill>
            <a:ln>
              <a:noFill/>
            </a:ln>
          </c:spPr>
          <c:invertIfNegative val="0"/>
          <c:dLbls>
            <c:numFmt formatCode="0.0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'Priority Queue'!$B$5:$B$11</c:f>
              <c:strCache>
                <c:ptCount val="7"/>
                <c:pt idx="0">
                  <c:v>S₁</c:v>
                </c:pt>
                <c:pt idx="1">
                  <c:v>S₃</c:v>
                </c:pt>
                <c:pt idx="2">
                  <c:v>S₅</c:v>
                </c:pt>
                <c:pt idx="3">
                  <c:v>S₂</c:v>
                </c:pt>
                <c:pt idx="4">
                  <c:v>S₇</c:v>
                </c:pt>
                <c:pt idx="5">
                  <c:v>S₆</c:v>
                </c:pt>
                <c:pt idx="6">
                  <c:v>S₄</c:v>
                </c:pt>
              </c:strCache>
            </c:strRef>
          </c:cat>
          <c:val>
            <c:numRef>
              <c:f>'Priority Queue'!$E$5:$E$11</c:f>
              <c:numCache>
                <c:formatCode>General</c:formatCod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0.0795428388</c:v>
                </c:pt>
                <c:pt idx="4">
                  <c:v>0.1252961741</c:v>
                </c:pt>
                <c:pt idx="5">
                  <c:v>0.1692169896</c:v>
                </c:pt>
                <c:pt idx="6">
                  <c:v>0.2529498997</c:v>
                </c:pt>
              </c:numCache>
            </c:numRef>
          </c:val>
        </c:ser>
        <c:gapWidth val="8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queue position →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d = |z − r| / (z + r)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Working set F and training sample D through the iterations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|F| — working set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7"/>
            <c:spPr>
              <a:solidFill>
                <a:srgbClr val="2F5597"/>
              </a:solidFill>
              <a:ln w="9525">
                <a:solidFill>
                  <a:srgbClr val="2F5597"/>
                </a:solidFill>
              </a:ln>
            </c:spPr>
          </c:marker>
          <c:cat>
            <c:strRef>
              <c:f>'ERDR Trace'!$A$97:$A$104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'ERDR Trace'!$B$97:$B$104</c:f>
              <c:numCache>
                <c:formatCode>General</c:formatCode>
                <c:ptCount val="8"/>
                <c:pt idx="0">
                  <c:v>7.0</c:v>
                </c:pt>
                <c:pt idx="1">
                  <c:v>7.0</c:v>
                </c:pt>
                <c:pt idx="2">
                  <c:v>6.0</c:v>
                </c:pt>
                <c:pt idx="3">
                  <c:v>4.0</c:v>
                </c:pt>
                <c:pt idx="4">
                  <c:v>3.0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</c:numCache>
            </c:numRef>
          </c:val>
          <c:smooth val="0"/>
        </c:ser>
        <c:ser>
          <c:idx val="1"/>
          <c:order val="1"/>
          <c:tx>
            <c:v>|D| — training sample</c:v>
          </c:tx>
          <c:spPr>
            <a:ln w="28575" cap="rnd">
              <a:solidFill>
                <a:srgbClr val="C00000"/>
              </a:solidFill>
              <a:round/>
            </a:ln>
          </c:spPr>
          <c:marker>
            <c:symbol val="squar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</c:spPr>
          </c:marker>
          <c:cat>
            <c:strRef>
              <c:f>'ERDR Trace'!$A$97:$A$104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'ERDR Trace'!$C$97:$C$104</c:f>
              <c:numCache>
                <c:formatCode>General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1.0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5.0</c:v>
                </c:pt>
                <c:pt idx="7">
                  <c:v>5.0</c:v>
                </c:pt>
              </c:numCache>
            </c:numRef>
          </c:val>
          <c:smooth val="0"/>
        </c:ser>
        <c:ser>
          <c:idx val="2"/>
          <c:order val="2"/>
          <c:tx>
            <c:v>objects left in the queue</c:v>
          </c:tx>
          <c:spPr>
            <a:ln w="28575" cap="rnd">
              <a:solidFill>
                <a:srgbClr val="7F7F7F"/>
              </a:solidFill>
              <a:round/>
            </a:ln>
          </c:spPr>
          <c:marker>
            <c:symbol val="diamond"/>
            <c:size val="7"/>
            <c:spPr>
              <a:solidFill>
                <a:srgbClr val="7F7F7F"/>
              </a:solidFill>
              <a:ln w="9525">
                <a:solidFill>
                  <a:srgbClr val="7F7F7F"/>
                </a:solidFill>
              </a:ln>
            </c:spPr>
          </c:marker>
          <c:cat>
            <c:strRef>
              <c:f>'ERDR Trace'!$A$97:$A$104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'ERDR Trace'!$D$97:$D$104</c:f>
              <c:numCache>
                <c:formatCode>General</c:formatCode>
                <c:ptCount val="8"/>
                <c:pt idx="0">
                  <c:v>7.0</c:v>
                </c:pt>
                <c:pt idx="1">
                  <c:v>6.0</c:v>
                </c:pt>
                <c:pt idx="2">
                  <c:v>4.0</c:v>
                </c:pt>
                <c:pt idx="3">
                  <c:v>3.0</c:v>
                </c:pt>
                <c:pt idx="4">
                  <c:v>2.0</c:v>
                </c:pt>
                <c:pt idx="5">
                  <c:v>1.0</c:v>
                </c:pt>
                <c:pt idx="6">
                  <c:v>0.0</c:v>
                </c:pt>
                <c:pt idx="7">
                  <c:v>0.0</c:v>
                </c:pt>
              </c:numCache>
            </c:numRef>
          </c:val>
          <c:smooth val="0"/>
        </c:ser>
        <c:marker val="1"/>
        <c:axId val="6001"/>
        <c:axId val="6002"/>
      </c:lineChart>
      <c:catAx>
        <c:axId val="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iteration (0 = start)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6002"/>
        <c:crosses val="autoZero"/>
        <c:auto val="1"/>
        <c:lblAlgn val="ctr"/>
        <c:lblOffset val="100"/>
        <c:noMultiLvlLbl val="0"/>
      </c:catAx>
      <c:valAx>
        <c:axId val="6002"/>
        <c:scaling>
          <c:orientation val="minMax"/>
          <c:max val="7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objects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6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Training-sample size |D| for the eight readings A B C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|D ∩ K1|</c:v>
          </c:tx>
          <c:spPr>
            <a:solidFill>
              <a:srgbClr val="2F5597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'Readings (Switches)'!$M$11:$M$18</c:f>
              <c:strCache>
                <c:ptCount val="8"/>
                <c:pt idx="0">
                  <c:v>111</c:v>
                </c:pt>
                <c:pt idx="1">
                  <c:v>112</c:v>
                </c:pt>
                <c:pt idx="2">
                  <c:v>121</c:v>
                </c:pt>
                <c:pt idx="3">
                  <c:v>122</c:v>
                </c:pt>
                <c:pt idx="4">
                  <c:v>211</c:v>
                </c:pt>
                <c:pt idx="5">
                  <c:v>212</c:v>
                </c:pt>
                <c:pt idx="6">
                  <c:v>221</c:v>
                </c:pt>
                <c:pt idx="7">
                  <c:v>222</c:v>
                </c:pt>
              </c:strCache>
            </c:strRef>
          </c:cat>
          <c:val>
            <c:numRef>
              <c:f>'Readings (Switches)'!$H$11:$H$18</c:f>
              <c:numCache>
                <c:formatCode>General</c:formatCode>
                <c:ptCount val="8"/>
                <c:pt idx="0">
                  <c:v>2.0</c:v>
                </c:pt>
                <c:pt idx="1">
                  <c:v>2.0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</c:numCache>
            </c:numRef>
          </c:val>
        </c:ser>
        <c:ser>
          <c:idx val="1"/>
          <c:order val="1"/>
          <c:tx>
            <c:v>|D ∩ K2|</c:v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'Readings (Switches)'!$M$11:$M$18</c:f>
              <c:strCache>
                <c:ptCount val="8"/>
                <c:pt idx="0">
                  <c:v>111</c:v>
                </c:pt>
                <c:pt idx="1">
                  <c:v>112</c:v>
                </c:pt>
                <c:pt idx="2">
                  <c:v>121</c:v>
                </c:pt>
                <c:pt idx="3">
                  <c:v>122</c:v>
                </c:pt>
                <c:pt idx="4">
                  <c:v>211</c:v>
                </c:pt>
                <c:pt idx="5">
                  <c:v>212</c:v>
                </c:pt>
                <c:pt idx="6">
                  <c:v>221</c:v>
                </c:pt>
                <c:pt idx="7">
                  <c:v>222</c:v>
                </c:pt>
              </c:strCache>
            </c:strRef>
          </c:cat>
          <c:val>
            <c:numRef>
              <c:f>'Readings (Switches)'!$I$11:$I$18</c:f>
              <c:numCache>
                <c:formatCode>General</c:formatCode>
                <c:ptCount val="8"/>
                <c:pt idx="0">
                  <c:v>3.0</c:v>
                </c:pt>
                <c:pt idx="1">
                  <c:v>3.0</c:v>
                </c:pt>
                <c:pt idx="2">
                  <c:v>2.0</c:v>
                </c:pt>
                <c:pt idx="3">
                  <c:v>2.0</c:v>
                </c:pt>
                <c:pt idx="4">
                  <c:v>3.0</c:v>
                </c:pt>
                <c:pt idx="5">
                  <c:v>2.0</c:v>
                </c:pt>
                <c:pt idx="6">
                  <c:v>1.0</c:v>
                </c:pt>
                <c:pt idx="7">
                  <c:v>1.0</c:v>
                </c:pt>
              </c:numCache>
            </c:numRef>
          </c:val>
        </c:ser>
        <c:gapWidth val="8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reading A B C  (111 = literal)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ax val="7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objects in 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|D| on 270 objects: article vs literal vs closest reading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Article Table 1</c:v>
          </c:tx>
          <c:spPr>
            <a:solidFill>
              <a:srgbClr val="404040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'Article Table 1 Check'!$A$21:$A$25</c:f>
              <c:strCach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13</c:v>
                </c:pt>
                <c:pt idx="4">
                  <c:v>17</c:v>
                </c:pt>
              </c:strCache>
            </c:strRef>
          </c:cat>
          <c:val>
            <c:numRef>
              <c:f>'Article Table 1 Check'!$B$21:$B$25</c:f>
              <c:numCache>
                <c:formatCode>General</c:formatCode>
                <c:ptCount val="5"/>
                <c:pt idx="0">
                  <c:v>75.0</c:v>
                </c:pt>
                <c:pt idx="1">
                  <c:v>77.0</c:v>
                </c:pt>
                <c:pt idx="2">
                  <c:v>77.0</c:v>
                </c:pt>
                <c:pt idx="3">
                  <c:v>104.0</c:v>
                </c:pt>
                <c:pt idx="4">
                  <c:v>102.0</c:v>
                </c:pt>
              </c:numCache>
            </c:numRef>
          </c:val>
        </c:ser>
        <c:ser>
          <c:idx val="1"/>
          <c:order val="1"/>
          <c:tx>
            <c:v>Literal reading</c:v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'Article Table 1 Check'!$A$21:$A$25</c:f>
              <c:strCach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13</c:v>
                </c:pt>
                <c:pt idx="4">
                  <c:v>17</c:v>
                </c:pt>
              </c:strCache>
            </c:strRef>
          </c:cat>
          <c:val>
            <c:numRef>
              <c:f>'Article Table 1 Check'!$C$21:$C$25</c:f>
              <c:numCache>
                <c:formatCode>General</c:formatCode>
                <c:ptCount val="5"/>
                <c:pt idx="0">
                  <c:v>198.0</c:v>
                </c:pt>
                <c:pt idx="1">
                  <c:v>190.0</c:v>
                </c:pt>
                <c:pt idx="2">
                  <c:v>201.0</c:v>
                </c:pt>
                <c:pt idx="3">
                  <c:v>177.0</c:v>
                </c:pt>
                <c:pt idx="4">
                  <c:v>165.0</c:v>
                </c:pt>
              </c:numCache>
            </c:numRef>
          </c:val>
        </c:ser>
        <c:ser>
          <c:idx val="2"/>
          <c:order val="2"/>
          <c:tx>
            <c:v>Closest reading (B = 2, own-class z)</c:v>
          </c:tx>
          <c:spPr>
            <a:solidFill>
              <a:srgbClr val="2F5597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'Article Table 1 Check'!$A$21:$A$25</c:f>
              <c:strCach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13</c:v>
                </c:pt>
                <c:pt idx="4">
                  <c:v>17</c:v>
                </c:pt>
              </c:strCache>
            </c:strRef>
          </c:cat>
          <c:val>
            <c:numRef>
              <c:f>'Article Table 1 Check'!$D$21:$D$25</c:f>
              <c:numCache>
                <c:formatCode>General</c:formatCode>
                <c:ptCount val="5"/>
                <c:pt idx="0">
                  <c:v>75.0</c:v>
                </c:pt>
                <c:pt idx="1">
                  <c:v>76.0</c:v>
                </c:pt>
                <c:pt idx="2">
                  <c:v>71.0</c:v>
                </c:pt>
                <c:pt idx="3">
                  <c:v>88.0</c:v>
                </c:pt>
                <c:pt idx="4">
                  <c:v>94.0</c:v>
                </c:pt>
              </c:numCache>
            </c:numRef>
          </c:val>
        </c:ser>
        <c:gapWidth val="8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k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objects in the training sample 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Training-sample size for odd k = 3 … 41 (270 objects)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literal reading</c:v>
          </c:tx>
          <c:spPr>
            <a:ln w="28575" cap="rnd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</c:spPr>
          </c:marker>
          <c:cat>
            <c:strRef>
              <c:f>'Article Table 1 Check'!$A$30:$A$49</c:f>
              <c:strCache>
                <c:ptCount val="2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</c:strCache>
            </c:strRef>
          </c:cat>
          <c:val>
            <c:numRef>
              <c:f>'Article Table 1 Check'!$B$30:$B$49</c:f>
              <c:numCache>
                <c:formatCode>General</c:formatCode>
                <c:ptCount val="20"/>
                <c:pt idx="0">
                  <c:v>198.0</c:v>
                </c:pt>
                <c:pt idx="1">
                  <c:v>190.0</c:v>
                </c:pt>
                <c:pt idx="2">
                  <c:v>201.0</c:v>
                </c:pt>
                <c:pt idx="3">
                  <c:v>192.0</c:v>
                </c:pt>
                <c:pt idx="4">
                  <c:v>180.0</c:v>
                </c:pt>
                <c:pt idx="5">
                  <c:v>177.0</c:v>
                </c:pt>
                <c:pt idx="6">
                  <c:v>174.0</c:v>
                </c:pt>
                <c:pt idx="7">
                  <c:v>165.0</c:v>
                </c:pt>
                <c:pt idx="8">
                  <c:v>168.0</c:v>
                </c:pt>
                <c:pt idx="9">
                  <c:v>162.0</c:v>
                </c:pt>
                <c:pt idx="10">
                  <c:v>158.0</c:v>
                </c:pt>
                <c:pt idx="11">
                  <c:v>158.0</c:v>
                </c:pt>
                <c:pt idx="12">
                  <c:v>160.0</c:v>
                </c:pt>
                <c:pt idx="13">
                  <c:v>157.0</c:v>
                </c:pt>
                <c:pt idx="14">
                  <c:v>163.0</c:v>
                </c:pt>
                <c:pt idx="15">
                  <c:v>157.0</c:v>
                </c:pt>
                <c:pt idx="16">
                  <c:v>162.0</c:v>
                </c:pt>
                <c:pt idx="17">
                  <c:v>162.0</c:v>
                </c:pt>
                <c:pt idx="18">
                  <c:v>159.0</c:v>
                </c:pt>
                <c:pt idx="19">
                  <c:v>159.0</c:v>
                </c:pt>
              </c:numCache>
            </c:numRef>
          </c:val>
          <c:smooth val="0"/>
        </c:ser>
        <c:ser>
          <c:idx val="1"/>
          <c:order val="1"/>
          <c:tx>
            <c:v>closest reading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square"/>
            <c:size val="7"/>
            <c:spPr>
              <a:solidFill>
                <a:srgbClr val="2F5597"/>
              </a:solidFill>
              <a:ln w="9525">
                <a:solidFill>
                  <a:srgbClr val="2F5597"/>
                </a:solidFill>
              </a:ln>
            </c:spPr>
          </c:marker>
          <c:cat>
            <c:strRef>
              <c:f>'Article Table 1 Check'!$A$30:$A$49</c:f>
              <c:strCache>
                <c:ptCount val="2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</c:strCache>
            </c:strRef>
          </c:cat>
          <c:val>
            <c:numRef>
              <c:f>'Article Table 1 Check'!$D$30:$D$49</c:f>
              <c:numCache>
                <c:formatCode>General</c:formatCode>
                <c:ptCount val="20"/>
                <c:pt idx="0">
                  <c:v>75.0</c:v>
                </c:pt>
                <c:pt idx="1">
                  <c:v>76.0</c:v>
                </c:pt>
                <c:pt idx="2">
                  <c:v>71.0</c:v>
                </c:pt>
                <c:pt idx="3">
                  <c:v>81.0</c:v>
                </c:pt>
                <c:pt idx="4">
                  <c:v>85.0</c:v>
                </c:pt>
                <c:pt idx="5">
                  <c:v>88.0</c:v>
                </c:pt>
                <c:pt idx="6">
                  <c:v>90.0</c:v>
                </c:pt>
                <c:pt idx="7">
                  <c:v>94.0</c:v>
                </c:pt>
                <c:pt idx="8">
                  <c:v>94.0</c:v>
                </c:pt>
                <c:pt idx="9">
                  <c:v>94.0</c:v>
                </c:pt>
                <c:pt idx="10">
                  <c:v>90.0</c:v>
                </c:pt>
                <c:pt idx="11">
                  <c:v>91.0</c:v>
                </c:pt>
                <c:pt idx="12">
                  <c:v>90.0</c:v>
                </c:pt>
                <c:pt idx="13">
                  <c:v>89.0</c:v>
                </c:pt>
                <c:pt idx="14">
                  <c:v>90.0</c:v>
                </c:pt>
                <c:pt idx="15">
                  <c:v>92.0</c:v>
                </c:pt>
                <c:pt idx="16">
                  <c:v>92.0</c:v>
                </c:pt>
                <c:pt idx="17">
                  <c:v>91.0</c:v>
                </c:pt>
                <c:pt idx="18">
                  <c:v>91.0</c:v>
                </c:pt>
                <c:pt idx="19">
                  <c:v>91.0</c:v>
                </c:pt>
              </c:numCache>
            </c:numRef>
          </c:val>
          <c:smooth val="0"/>
        </c:ser>
        <c:marker val="1"/>
        <c:axId val="6001"/>
        <c:axId val="6002"/>
      </c:lineChart>
      <c:catAx>
        <c:axId val="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k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6002"/>
        <c:crosses val="autoZero"/>
        <c:auto val="1"/>
        <c:lblAlgn val="ctr"/>
        <c:lblOffset val="100"/>
        <c:noMultiLvlLbl val="0"/>
      </c:catAx>
      <c:valAx>
        <c:axId val="6002"/>
        <c:scaling>
          <c:orientation val="minMax"/>
          <c:max val="270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|D|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6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1.xml"/><Relationship Id="rIdC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4.xml"/><Relationship Id="rIdC2" Type="http://schemas.openxmlformats.org/officeDocument/2006/relationships/chart" Target="../charts/chart5.xml"/><Relationship Id="rIdC3" Type="http://schemas.openxmlformats.org/officeDocument/2006/relationships/chart" Target="../charts/chart6.xml"/><Relationship Id="rIdC4" Type="http://schemas.openxmlformats.org/officeDocument/2006/relationships/chart" Target="../charts/chart7.xml"/><Relationship Id="rIdC5" Type="http://schemas.openxmlformats.org/officeDocument/2006/relationships/chart" Target="../charts/chart8.xml"/><Relationship Id="rIdC6" Type="http://schemas.openxmlformats.org/officeDocument/2006/relationships/chart" Target="../charts/chart9.xml"/><Relationship Id="rIdC7" Type="http://schemas.openxmlformats.org/officeDocument/2006/relationships/chart" Target="../charts/chart10.xml"/><Relationship Id="rIdC8" Type="http://schemas.openxmlformats.org/officeDocument/2006/relationships/chart" Target="../charts/chart11.xml"/><Relationship Id="rIdC9" Type="http://schemas.openxmlformats.org/officeDocument/2006/relationships/chart" Target="../charts/chart12.xml"/><Relationship Id="rIdC10" Type="http://schemas.openxmlformats.org/officeDocument/2006/relationships/chart" Target="../charts/chart13.xml"/><Relationship Id="rIdC11" Type="http://schemas.openxmlformats.org/officeDocument/2006/relationships/chart" Target="../charts/chart14.xml"/><Relationship Id="rIdC12" Type="http://schemas.openxmlformats.org/officeDocument/2006/relationships/chart" Target="../charts/chart15.xml"/><Relationship Id="rIdC13" Type="http://schemas.openxmlformats.org/officeDocument/2006/relationships/chart" Target="../charts/chart16.xml"/><Relationship Id="rIdC14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19.xml"/><Relationship Id="rIdC2" Type="http://schemas.openxmlformats.org/officeDocument/2006/relationships/chart" Target="../charts/chart20.xml"/><Relationship Id="rIdC3" Type="http://schemas.openxmlformats.org/officeDocument/2006/relationships/chart" Target="../charts/chart21.xml"/><Relationship Id="rIdC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24.xml"/><Relationship Id="rIdC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5</xdr:col>
      <xdr:colOff>0</xdr:colOff>
      <xdr:row>55</xdr:row>
      <xdr:rowOff>0</xdr:rowOff>
    </xdr:to>
    <xdr:graphicFrame macro="">
      <xdr:nvGraphicFramePr>
        <xdr:cNvPr id="2" name="Radar r z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10</xdr:col>
      <xdr:colOff>0</xdr:colOff>
      <xdr:row>55</xdr:row>
      <xdr:rowOff>0</xdr:rowOff>
    </xdr:to>
    <xdr:graphicFrame macro="">
      <xdr:nvGraphicFramePr>
        <xdr:cNvPr id="3" name="Radar 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2" name="Radar que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2" name="Radar step 4 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  <xdr:twoCellAnchor editAs="oneCell">
    <xdr:from>
      <xdr:col>18</xdr:col>
      <xdr:colOff>0</xdr:colOff>
      <xdr:row>4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3" name="Radar step 5 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twoCellAnchor>
  <xdr:twoCellAnchor editAs="oneCell">
    <xdr:from>
      <xdr:col>11</xdr:col>
      <xdr:colOff>0</xdr:colOff>
      <xdr:row>30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4" name="Radar step 4 ·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3"/>
        </a:graphicData>
      </a:graphic>
    </xdr:graphicFrame>
    <xdr:clientData/>
  </xdr:twoCellAnchor>
  <xdr:twoCellAnchor editAs="oneCell">
    <xdr:from>
      <xdr:col>18</xdr:col>
      <xdr:colOff>0</xdr:colOff>
      <xdr:row>30</xdr:row>
      <xdr:rowOff>0</xdr:rowOff>
    </xdr:from>
    <xdr:to>
      <xdr:col>25</xdr:col>
      <xdr:colOff>0</xdr:colOff>
      <xdr:row>55</xdr:row>
      <xdr:rowOff>0</xdr:rowOff>
    </xdr:to>
    <xdr:graphicFrame macro="">
      <xdr:nvGraphicFramePr>
        <xdr:cNvPr id="5" name="Radar step 5 ·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4"/>
        </a:graphicData>
      </a:graphic>
    </xdr:graphicFrame>
    <xdr:clientData/>
  </xdr:twoCellAnchor>
  <xdr:twoCellAnchor editAs="oneCell">
    <xdr:from>
      <xdr:col>11</xdr:col>
      <xdr:colOff>0</xdr:colOff>
      <xdr:row>56</xdr:row>
      <xdr:rowOff>0</xdr:rowOff>
    </xdr:from>
    <xdr:to>
      <xdr:col>18</xdr:col>
      <xdr:colOff>0</xdr:colOff>
      <xdr:row>81</xdr:row>
      <xdr:rowOff>0</xdr:rowOff>
    </xdr:to>
    <xdr:graphicFrame macro="">
      <xdr:nvGraphicFramePr>
        <xdr:cNvPr id="6" name="Radar step 4 ·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5"/>
        </a:graphicData>
      </a:graphic>
    </xdr:graphicFrame>
    <xdr:clientData/>
  </xdr:twoCellAnchor>
  <xdr:twoCellAnchor editAs="oneCell">
    <xdr:from>
      <xdr:col>18</xdr:col>
      <xdr:colOff>0</xdr:colOff>
      <xdr:row>56</xdr:row>
      <xdr:rowOff>0</xdr:rowOff>
    </xdr:from>
    <xdr:to>
      <xdr:col>25</xdr:col>
      <xdr:colOff>0</xdr:colOff>
      <xdr:row>81</xdr:row>
      <xdr:rowOff>0</xdr:rowOff>
    </xdr:to>
    <xdr:graphicFrame macro="">
      <xdr:nvGraphicFramePr>
        <xdr:cNvPr id="7" name="Radar step 5 ·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6"/>
        </a:graphicData>
      </a:graphic>
    </xdr:graphicFrame>
    <xdr:clientData/>
  </xdr:twoCellAnchor>
  <xdr:twoCellAnchor editAs="oneCell">
    <xdr:from>
      <xdr:col>11</xdr:col>
      <xdr:colOff>0</xdr:colOff>
      <xdr:row>82</xdr:row>
      <xdr:rowOff>0</xdr:rowOff>
    </xdr:from>
    <xdr:to>
      <xdr:col>18</xdr:col>
      <xdr:colOff>0</xdr:colOff>
      <xdr:row>107</xdr:row>
      <xdr:rowOff>0</xdr:rowOff>
    </xdr:to>
    <xdr:graphicFrame macro="">
      <xdr:nvGraphicFramePr>
        <xdr:cNvPr id="8" name="Radar step 4 ·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7"/>
        </a:graphicData>
      </a:graphic>
    </xdr:graphicFrame>
    <xdr:clientData/>
  </xdr:twoCellAnchor>
  <xdr:twoCellAnchor editAs="oneCell">
    <xdr:from>
      <xdr:col>18</xdr:col>
      <xdr:colOff>0</xdr:colOff>
      <xdr:row>82</xdr:row>
      <xdr:rowOff>0</xdr:rowOff>
    </xdr:from>
    <xdr:to>
      <xdr:col>25</xdr:col>
      <xdr:colOff>0</xdr:colOff>
      <xdr:row>107</xdr:row>
      <xdr:rowOff>0</xdr:rowOff>
    </xdr:to>
    <xdr:graphicFrame macro="">
      <xdr:nvGraphicFramePr>
        <xdr:cNvPr id="9" name="Radar step 5 ·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8"/>
        </a:graphicData>
      </a:graphic>
    </xdr:graphicFrame>
    <xdr:clientData/>
  </xdr:twoCellAnchor>
  <xdr:twoCellAnchor editAs="oneCell">
    <xdr:from>
      <xdr:col>11</xdr:col>
      <xdr:colOff>0</xdr:colOff>
      <xdr:row>108</xdr:row>
      <xdr:rowOff>0</xdr:rowOff>
    </xdr:from>
    <xdr:to>
      <xdr:col>18</xdr:col>
      <xdr:colOff>0</xdr:colOff>
      <xdr:row>133</xdr:row>
      <xdr:rowOff>0</xdr:rowOff>
    </xdr:to>
    <xdr:graphicFrame macro="">
      <xdr:nvGraphicFramePr>
        <xdr:cNvPr id="10" name="Radar step 4 ·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9"/>
        </a:graphicData>
      </a:graphic>
    </xdr:graphicFrame>
    <xdr:clientData/>
  </xdr:twoCellAnchor>
  <xdr:twoCellAnchor editAs="oneCell">
    <xdr:from>
      <xdr:col>18</xdr:col>
      <xdr:colOff>0</xdr:colOff>
      <xdr:row>108</xdr:row>
      <xdr:rowOff>0</xdr:rowOff>
    </xdr:from>
    <xdr:to>
      <xdr:col>25</xdr:col>
      <xdr:colOff>0</xdr:colOff>
      <xdr:row>133</xdr:row>
      <xdr:rowOff>0</xdr:rowOff>
    </xdr:to>
    <xdr:graphicFrame macro="">
      <xdr:nvGraphicFramePr>
        <xdr:cNvPr id="11" name="Radar step 5 ·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0"/>
        </a:graphicData>
      </a:graphic>
    </xdr:graphicFrame>
    <xdr:clientData/>
  </xdr:twoCellAnchor>
  <xdr:twoCellAnchor editAs="oneCell">
    <xdr:from>
      <xdr:col>11</xdr:col>
      <xdr:colOff>0</xdr:colOff>
      <xdr:row>134</xdr:row>
      <xdr:rowOff>0</xdr:rowOff>
    </xdr:from>
    <xdr:to>
      <xdr:col>18</xdr:col>
      <xdr:colOff>0</xdr:colOff>
      <xdr:row>159</xdr:row>
      <xdr:rowOff>0</xdr:rowOff>
    </xdr:to>
    <xdr:graphicFrame macro="">
      <xdr:nvGraphicFramePr>
        <xdr:cNvPr id="12" name="Radar step 4 ·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1"/>
        </a:graphicData>
      </a:graphic>
    </xdr:graphicFrame>
    <xdr:clientData/>
  </xdr:twoCellAnchor>
  <xdr:twoCellAnchor editAs="oneCell">
    <xdr:from>
      <xdr:col>18</xdr:col>
      <xdr:colOff>0</xdr:colOff>
      <xdr:row>134</xdr:row>
      <xdr:rowOff>0</xdr:rowOff>
    </xdr:from>
    <xdr:to>
      <xdr:col>25</xdr:col>
      <xdr:colOff>0</xdr:colOff>
      <xdr:row>159</xdr:row>
      <xdr:rowOff>0</xdr:rowOff>
    </xdr:to>
    <xdr:graphicFrame macro="">
      <xdr:nvGraphicFramePr>
        <xdr:cNvPr id="13" name="Radar step 5 ·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2"/>
        </a:graphicData>
      </a:graphic>
    </xdr:graphicFrame>
    <xdr:clientData/>
  </xdr:twoCellAnchor>
  <xdr:twoCellAnchor editAs="oneCell">
    <xdr:from>
      <xdr:col>11</xdr:col>
      <xdr:colOff>0</xdr:colOff>
      <xdr:row>160</xdr:row>
      <xdr:rowOff>0</xdr:rowOff>
    </xdr:from>
    <xdr:to>
      <xdr:col>18</xdr:col>
      <xdr:colOff>0</xdr:colOff>
      <xdr:row>185</xdr:row>
      <xdr:rowOff>0</xdr:rowOff>
    </xdr:to>
    <xdr:graphicFrame macro="">
      <xdr:nvGraphicFramePr>
        <xdr:cNvPr id="14" name="Radar step 4 ·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3"/>
        </a:graphicData>
      </a:graphic>
    </xdr:graphicFrame>
    <xdr:clientData/>
  </xdr:twoCellAnchor>
  <xdr:twoCellAnchor editAs="oneCell">
    <xdr:from>
      <xdr:col>18</xdr:col>
      <xdr:colOff>0</xdr:colOff>
      <xdr:row>160</xdr:row>
      <xdr:rowOff>0</xdr:rowOff>
    </xdr:from>
    <xdr:to>
      <xdr:col>25</xdr:col>
      <xdr:colOff>0</xdr:colOff>
      <xdr:row>185</xdr:row>
      <xdr:rowOff>0</xdr:rowOff>
    </xdr:to>
    <xdr:graphicFrame macro="">
      <xdr:nvGraphicFramePr>
        <xdr:cNvPr id="15" name="Radar step 5 ·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74</xdr:row>
      <xdr:rowOff>0</xdr:rowOff>
    </xdr:from>
    <xdr:to>
      <xdr:col>11</xdr:col>
      <xdr:colOff>0</xdr:colOff>
      <xdr:row>98</xdr:row>
      <xdr:rowOff>0</xdr:rowOff>
    </xdr:to>
    <xdr:graphicFrame macro="">
      <xdr:nvGraphicFramePr>
        <xdr:cNvPr id="2" name="Radar trace 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2" name="Ma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  <xdr:twoCellAnchor editAs="oneCell">
    <xdr:from>
      <xdr:col>6</xdr:col>
      <xdr:colOff>0</xdr:colOff>
      <xdr:row>14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r and z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4" name="Priorit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3"/>
        </a:graphicData>
      </a:graphic>
    </xdr:graphicFrame>
    <xdr:clientData/>
  </xdr:twoCellAnchor>
  <xdr:twoCellAnchor editAs="oneCell">
    <xdr:from>
      <xdr:col>6</xdr:col>
      <xdr:colOff>0</xdr:colOff>
      <xdr:row>39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5" name="Siz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2" name="Reading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18</xdr:row>
      <xdr:rowOff>0</xdr:rowOff>
    </xdr:from>
    <xdr:to>
      <xdr:col>13</xdr:col>
      <xdr:colOff>0</xdr:colOff>
      <xdr:row>41</xdr:row>
      <xdr:rowOff>0</xdr:rowOff>
    </xdr:to>
    <xdr:graphicFrame macro="">
      <xdr:nvGraphicFramePr>
        <xdr:cNvPr id="2" name="Tabl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  <xdr:twoCellAnchor editAs="oneCell">
    <xdr:from>
      <xdr:col>6</xdr:col>
      <xdr:colOff>0</xdr:colOff>
      <xdr:row>42</xdr:row>
      <xdr:rowOff>0</xdr:rowOff>
    </xdr:from>
    <xdr:to>
      <xdr:col>13</xdr:col>
      <xdr:colOff>0</xdr:colOff>
      <xdr:row>65</xdr:row>
      <xdr:rowOff>0</xdr:rowOff>
    </xdr:to>
    <xdr:graphicFrame macro="">
      <xdr:nvGraphicFramePr>
        <xdr:cNvPr id="3" name="k swee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79"/>
  <sheetViews>
    <sheetView showGridLines="0" tabSelected="1" zoomScale="100" zoomScaleNormal="100" workbookViewId="0">
      <selection activeCell="A1" sqref="A1"/>
    </sheetView>
  </sheetViews>
  <sheetFormatPr defaultRowHeight="15.6"/>
  <cols>
    <col min="1" max="1" width="2.77734375" customWidth="1"/>
    <col min="2" max="2" width="6.77734375" customWidth="1"/>
    <col min="3" max="3" width="44.77734375" customWidth="1"/>
    <col min="4" max="4" width="46.77734375" customWidth="1"/>
    <col min="5" max="5" width="108.77734375" customWidth="1"/>
  </cols>
  <sheetData>
    <row r="1" ht="9" customHeight="1"/>
    <row r="2" ht="40" customHeight="1">
      <c r="B2" s="112" t="inlineStr">
        <is>
          <t xml:space="preserve">ERDR Algorithm — Enemy-Radius Density Reduction</t>
        </is>
      </c>
      <c r="C2" s="112"/>
      <c r="D2" s="112"/>
      <c r="E2" s="112"/>
    </row>
    <row r="3" ht="22" customHeight="1">
      <c r="B3" s="113" t="inlineStr">
        <is>
          <t xml:space="preserve">Heart-Disease (7, 13, 2) selected from Heart-Disease (270, 13, 2)  ·  Zhuravlev metric  ·  k = 3  ·  article §1.1 (N. A. Ignatev)  ·  training / validation split for the ensemble experiments</t>
        </is>
      </c>
    </row>
    <row r="4" ht="10" customHeight="1"/>
    <row r="5" ht="24" customHeight="1">
      <c r="B5" s="114" t="inlineStr">
        <is>
          <t xml:space="preserve">Workbook map</t>
        </is>
      </c>
      <c r="C5" s="114"/>
      <c r="D5" s="114"/>
      <c r="E5" s="114"/>
    </row>
    <row r="6" ht="20" customHeight="1">
      <c r="B6" s="116" t="inlineStr">
        <is>
          <t xml:space="preserve">#</t>
        </is>
      </c>
      <c r="C6" s="115" t="inlineStr">
        <is>
          <t xml:space="preserve">Sheet</t>
        </is>
      </c>
      <c r="D6" s="115" t="inlineStr">
        <is>
          <t xml:space="preserve">Stage</t>
        </is>
      </c>
      <c r="E6" s="115" t="inlineStr">
        <is>
          <t xml:space="preserve">What it contains</t>
        </is>
      </c>
    </row>
    <row r="7" ht="31" customHeight="1">
      <c r="B7" s="117">
        <v>1</v>
      </c>
      <c r="C7" s="120" t="inlineStr">
        <is>
          <t xml:space="preserve">Parameters</t>
        </is>
      </c>
      <c r="D7" s="118" t="inlineStr">
        <is>
          <t xml:space="preserve">0 · Parameters</t>
        </is>
      </c>
      <c r="E7" s="118" t="inlineStr">
        <is>
          <t xml:space="preserve">N and class sizes, the k rule (k_min = 3, k_max = 2·min|Kᵢ| − 3), k for z(Sᵢ, k), ε, the three reading switches A, B, C, metric and ERDR definitions.</t>
        </is>
      </c>
    </row>
    <row r="8" ht="31" customHeight="1">
      <c r="B8" s="117">
        <v>2</v>
      </c>
      <c r="C8" s="120" t="inlineStr">
        <is>
          <t xml:space="preserve">Object Selection</t>
        </is>
      </c>
      <c r="D8" s="118" t="inlineStr">
        <is>
          <t xml:space="preserve">0 · Sample choice</t>
        </is>
      </c>
      <c r="E8" s="118" t="inlineStr">
        <is>
          <t xml:space="preserve">Why N = 7: lower bound from the k rule, search evidence over the 270 objects, the chosen rows and why this subset.</t>
        </is>
      </c>
    </row>
    <row r="9" ht="31" customHeight="1">
      <c r="B9" s="117">
        <v>3</v>
      </c>
      <c r="C9" s="120" t="inlineStr">
        <is>
          <t xml:space="preserve">Source Dataset (270)</t>
        </is>
      </c>
      <c r="D9" s="118" t="inlineStr">
        <is>
          <t xml:space="preserve">1 · Input data</t>
        </is>
      </c>
      <c r="E9" s="118" t="inlineStr">
        <is>
          <t xml:space="preserve">All 270 objects × 13 features with classes and type flags; the 7 selected objects are highlighted.</t>
        </is>
      </c>
    </row>
    <row r="10" ht="31" customHeight="1">
      <c r="B10" s="117">
        <v>4</v>
      </c>
      <c r="C10" s="120" t="inlineStr">
        <is>
          <t xml:space="preserve">Dataset</t>
        </is>
      </c>
      <c r="D10" s="118" t="inlineStr">
        <is>
          <t xml:space="preserve">1 · Input data</t>
        </is>
      </c>
      <c r="E10" s="118" t="inlineStr">
        <is>
          <t xml:space="preserve">The 7 selected objects S₁ … S₇ (source rows are input cells) with quantitative and nominal views.</t>
        </is>
      </c>
    </row>
    <row r="11" ht="31" customHeight="1">
      <c r="B11" s="117">
        <v>5</v>
      </c>
      <c r="C11" s="120" t="inlineStr">
        <is>
          <t xml:space="preserve">Normalized Dataset</t>
        </is>
      </c>
      <c r="D11" s="118" t="inlineStr">
        <is>
          <t xml:space="preserve">Step 0 · Scale unification</t>
        </is>
      </c>
      <c r="E11" s="118" t="inlineStr">
        <is>
          <t xml:space="preserve">Quantitative features rescaled to [0, 1] over the 7 objects; nominal codes unchanged; type, min, max.</t>
        </is>
      </c>
    </row>
    <row r="12" ht="31" customHeight="1">
      <c r="B12" s="117">
        <v>6</v>
      </c>
      <c r="C12" s="120" t="inlineStr">
        <is>
          <t xml:space="preserve">Zhuravlev Distances</t>
        </is>
      </c>
      <c r="D12" s="118" t="inlineStr">
        <is>
          <t xml:space="preserve">Step 0 · Distances</t>
        </is>
      </c>
      <c r="E12" s="118" t="inlineStr">
        <is>
          <t xml:space="preserve">Zhuravlev distance ρ = ρ_I + ρ_J for every pair, with both parts.</t>
        </is>
      </c>
    </row>
    <row r="13" ht="31" customHeight="1">
      <c r="B13" s="117">
        <v>7</v>
      </c>
      <c r="C13" s="120" t="inlineStr">
        <is>
          <t xml:space="preserve">Sorted Neighbors</t>
        </is>
      </c>
      <c r="D13" s="118" t="inlineStr">
        <is>
          <t xml:space="preserve">Step 0 · Neighbours</t>
        </is>
      </c>
      <c r="E13" s="118" t="inlineStr">
        <is>
          <t xml:space="preserve">Rank matrix and one block per object: nearest enemy (r), k-th neighbour (z), own-class objects inside the enemy sphere (g).</t>
        </is>
      </c>
    </row>
    <row r="14" ht="31" customHeight="1">
      <c r="B14" s="117">
        <v>8</v>
      </c>
      <c r="C14" s="120" t="inlineStr">
        <is>
          <t xml:space="preserve">ERDR Characteristics</t>
        </is>
      </c>
      <c r="D14" s="118" t="inlineStr">
        <is>
          <t xml:space="preserve">Step 1 · r, g, z, d</t>
        </is>
      </c>
      <c r="E14" s="118" t="inlineStr">
        <is>
          <t xml:space="preserve">The four auxiliary functions per object, the Step 2 priority position, and the enemy-sphere membership matrix.</t>
        </is>
      </c>
    </row>
    <row r="15" ht="31" customHeight="1">
      <c r="B15" s="117">
        <v>9</v>
      </c>
      <c r="C15" s="120" t="inlineStr">
        <is>
          <t xml:space="preserve">Priority Queue</t>
        </is>
      </c>
      <c r="D15" s="118" t="inlineStr">
        <is>
          <t xml:space="preserve">Step 2 · Queue</t>
        </is>
      </c>
      <c r="E15" s="118" t="inlineStr">
        <is>
          <t xml:space="preserve">Static queue order by d → r → index, with the criterion that decided every adjacent pair.</t>
        </is>
      </c>
    </row>
    <row r="16" ht="31" customHeight="1">
      <c r="B16" s="117">
        <v>10</v>
      </c>
      <c r="C16" s="120" t="inlineStr">
        <is>
          <t xml:space="preserve">ERDR Iterations</t>
        </is>
      </c>
      <c r="D16" s="118" t="inlineStr">
        <is>
          <t xml:space="preserve">Steps 2–5 · Iterations</t>
        </is>
      </c>
      <c r="E16" s="118" t="inlineStr">
        <is>
          <t xml:space="preserve">One block per iteration: queue, selected Sᵢ, the set L, blocking, the Step 4 / Step 5 decision and the counter corrections.</t>
        </is>
      </c>
    </row>
    <row r="17" ht="31" customHeight="1">
      <c r="B17" s="117">
        <v>11</v>
      </c>
      <c r="C17" s="120" t="inlineStr">
        <is>
          <t xml:space="preserve">ERDR Trace</t>
        </is>
      </c>
      <c r="D17" s="118" t="inlineStr">
        <is>
          <t xml:space="preserve">Steps 2–6 · Trace</t>
        </is>
      </c>
      <c r="E17" s="118" t="inlineStr">
        <is>
          <t xml:space="preserve">Iteration summary, state matrices (selected, L, decreases, moves, F, g) and the history of every object.</t>
        </is>
      </c>
    </row>
    <row r="18" ht="31" customHeight="1">
      <c r="B18" s="117">
        <v>12</v>
      </c>
      <c r="C18" s="120" t="inlineStr">
        <is>
          <t xml:space="preserve">Case Checklist</t>
        </is>
      </c>
      <c r="D18" s="118" t="inlineStr">
        <is>
          <t xml:space="preserve">Check · 17 cases</t>
        </is>
      </c>
      <c r="E18" s="118" t="inlineStr">
        <is>
          <t xml:space="preserve">Every case of the algorithm with ✓ / ✗ and the iteration where it first occurs (live).</t>
        </is>
      </c>
    </row>
    <row r="19" ht="31" customHeight="1">
      <c r="B19" s="117">
        <v>13</v>
      </c>
      <c r="C19" s="120" t="inlineStr">
        <is>
          <t xml:space="preserve">Training &amp; Validation</t>
        </is>
      </c>
      <c r="D19" s="118" t="inlineStr">
        <is>
          <t xml:space="preserve">Step 6 · Output</t>
        </is>
      </c>
      <c r="E19" s="118" t="inlineStr">
        <is>
          <t xml:space="preserve">Training sample D and validation sample F, class composition, and how every object got there.</t>
        </is>
      </c>
    </row>
    <row r="20" ht="31" customHeight="1">
      <c r="B20" s="117">
        <v>14</v>
      </c>
      <c r="C20" s="120" t="inlineStr">
        <is>
          <t xml:space="preserve">Charts</t>
        </is>
      </c>
      <c r="D20" s="118" t="inlineStr">
        <is>
          <t xml:space="preserve">Visualisation</t>
        </is>
      </c>
      <c r="E20" s="118" t="inlineStr">
        <is>
          <t xml:space="preserve">2-D map of the objects, r and z per object, Step 2 priorities and the sample sizes through the iterations.</t>
        </is>
      </c>
    </row>
    <row r="21" ht="31" customHeight="1">
      <c r="B21" s="117">
        <v>15</v>
      </c>
      <c r="C21" s="120" t="inlineStr">
        <is>
          <t xml:space="preserve">Readings (Switches)</t>
        </is>
      </c>
      <c r="D21" s="118" t="inlineStr">
        <is>
          <t xml:space="preserve">Research · open points</t>
        </is>
      </c>
      <c r="E21" s="118" t="inlineStr">
        <is>
          <t xml:space="preserve">The three open points of §1.1 as switches, and the result of all eight readings on these objects.</t>
        </is>
      </c>
    </row>
    <row r="22" ht="31" customHeight="1">
      <c r="B22" s="117">
        <v>16</v>
      </c>
      <c r="C22" s="120" t="inlineStr">
        <is>
          <t xml:space="preserve">Article Table 1 Check</t>
        </is>
      </c>
      <c r="D22" s="118" t="inlineStr">
        <is>
          <t xml:space="preserve">Research · reproduction</t>
        </is>
      </c>
      <c r="E22" s="118" t="inlineStr">
        <is>
          <t xml:space="preserve">Article Table 1 vs five readings on all 270 objects, and |D| for every odd k from 3 to 41.</t>
        </is>
      </c>
    </row>
    <row r="23" ht="31" customHeight="1">
      <c r="B23" s="117">
        <v>17</v>
      </c>
      <c r="C23" s="120" t="inlineStr">
        <is>
          <t xml:space="preserve">Article Notes</t>
        </is>
      </c>
      <c r="D23" s="118" t="inlineStr">
        <is>
          <t xml:space="preserve">Research · article text</t>
        </is>
      </c>
      <c r="E23" s="118" t="inlineStr">
        <is>
          <t xml:space="preserve">§1.1 quoted line by line, with how the workbook implements it and what stays open.</t>
        </is>
      </c>
    </row>
    <row r="24" ht="31" customHeight="1">
      <c r="B24" s="117">
        <v>18</v>
      </c>
      <c r="C24" s="120" t="inlineStr">
        <is>
          <t xml:space="preserve">Validation</t>
        </is>
      </c>
      <c r="D24" s="118" t="inlineStr">
        <is>
          <t xml:space="preserve">Checks · Validation</t>
        </is>
      </c>
      <c r="E24" s="118" t="inlineStr">
        <is>
          <t xml:space="preserve">Workbook formulas vs the Python engine: r, g, z, d, the queue, every iteration and the result.</t>
        </is>
      </c>
    </row>
    <row r="25" ht="10" customHeight="1"/>
    <row r="26" ht="24" customHeight="1">
      <c r="B26" s="114" t="inlineStr">
        <is>
          <t xml:space="preserve">Algorithm — pipeline specification (article element → sheet → Python function)</t>
        </is>
      </c>
      <c r="C26" s="114"/>
      <c r="D26" s="114"/>
      <c r="E26" s="114"/>
    </row>
    <row r="27" ht="20" customHeight="1">
      <c r="B27" s="116" t="inlineStr">
        <is>
          <t xml:space="preserve">#</t>
        </is>
      </c>
      <c r="C27" s="115" t="inlineStr">
        <is>
          <t xml:space="preserve">Article element</t>
        </is>
      </c>
      <c r="D27" s="115" t="inlineStr">
        <is>
          <t xml:space="preserve">Sheet</t>
        </is>
      </c>
      <c r="E27" s="115" t="inlineStr">
        <is>
          <t xml:space="preserve">Definition  →  Python function (erdrlab)</t>
        </is>
      </c>
    </row>
    <row r="28" ht="22" customHeight="1">
      <c r="B28" s="117">
        <v>1</v>
      </c>
      <c r="C28" s="119" t="inlineStr">
        <is>
          <t xml:space="preserve">Data, feature types, classes</t>
        </is>
      </c>
      <c r="D28" s="120" t="inlineStr">
        <is>
          <t xml:space="preserve">Dataset</t>
        </is>
      </c>
      <c r="E28" s="125" t="inlineStr">
        <is>
          <t xml:space="preserve">E₀ = the 7 selected objects of the 270, X(n) heterogeneous, K1, K2   →   data.load_csv(path) → (X, y, types)</t>
        </is>
      </c>
    </row>
    <row r="29" ht="22" customHeight="1">
      <c r="B29" s="117">
        <v>2</v>
      </c>
      <c r="C29" s="119" t="inlineStr">
        <is>
          <t xml:space="preserve">Scale unification</t>
        </is>
      </c>
      <c r="D29" s="120" t="inlineStr">
        <is>
          <t xml:space="preserve">Normalized Dataset</t>
        </is>
      </c>
      <c r="E29" s="125" t="inlineStr">
        <is>
          <t xml:space="preserve">x′ = (x − min)/(max − min) for type 1 over the selected objects   →   metric.scale_params, metric.unify</t>
        </is>
      </c>
    </row>
    <row r="30" ht="22" customHeight="1">
      <c r="B30" s="117">
        <v>3</v>
      </c>
      <c r="C30" s="119" t="inlineStr">
        <is>
          <t xml:space="preserve">Zhuravlev metric</t>
        </is>
      </c>
      <c r="D30" s="120" t="inlineStr">
        <is>
          <t xml:space="preserve">Zhuravlev Distances</t>
        </is>
      </c>
      <c r="E30" s="125" t="inlineStr">
        <is>
          <t xml:space="preserve">ρ = Σ(I) |x′ − y′| + Σ(J) [x ≠ y], 10-decimal rounding   →   metric.zhuravlev, metric.distance_matrix</t>
        </is>
      </c>
    </row>
    <row r="31" ht="22" customHeight="1">
      <c r="B31" s="117">
        <v>4</v>
      </c>
      <c r="C31" s="119" t="inlineStr">
        <is>
          <t xml:space="preserve">Step 1 · r, g, z, d</t>
        </is>
      </c>
      <c r="D31" s="120" t="inlineStr">
        <is>
          <t xml:space="preserve">ERDR Characteristics</t>
        </is>
      </c>
      <c r="E31" s="125" t="inlineStr">
        <is>
          <t xml:space="preserve">nearest-enemy radius, own-class count inside it, k-th neighbour distance, priority   →   erdr.characteristics(D, y, k)</t>
        </is>
      </c>
    </row>
    <row r="32" ht="22" customHeight="1">
      <c r="B32" s="117">
        <v>5</v>
      </c>
      <c r="C32" s="119" t="inlineStr">
        <is>
          <t xml:space="preserve">Step 2 · queue</t>
        </is>
      </c>
      <c r="D32" s="120" t="inlineStr">
        <is>
          <t xml:space="preserve">Priority Queue</t>
        </is>
      </c>
      <c r="E32" s="125" t="inlineStr">
        <is>
          <t xml:space="preserve">order by (d, r, index) over F with d ≥ 0   →   inside erdr.run</t>
        </is>
      </c>
    </row>
    <row r="33" ht="22" customHeight="1">
      <c r="B33" s="117">
        <v>6</v>
      </c>
      <c r="C33" s="119" t="inlineStr">
        <is>
          <t xml:space="preserve">Steps 3–5 · iterations</t>
        </is>
      </c>
      <c r="D33" s="120" t="inlineStr">
        <is>
          <t xml:space="preserve">ERDR Iterations</t>
        </is>
      </c>
      <c r="E33" s="125" t="inlineStr">
        <is>
          <t xml:space="preserve">select Sᵢ, build L, block Sᵢ, |L| = 1 → D, |L| &gt; 1 → g − 1 and moves   →   erdr.run(D, y, k, ε, self_in_L, blocked_cover, step5)</t>
        </is>
      </c>
    </row>
    <row r="34" ht="22" customHeight="1">
      <c r="B34" s="117">
        <v>7</v>
      </c>
      <c r="C34" s="119" t="inlineStr">
        <is>
          <t xml:space="preserve">Step 6 · output</t>
        </is>
      </c>
      <c r="D34" s="120" t="inlineStr">
        <is>
          <t xml:space="preserve">Training &amp; Validation</t>
        </is>
      </c>
      <c r="E34" s="125" t="inlineStr">
        <is>
          <t xml:space="preserve">D = training sample, F = E₀ \ D = validation sample   →   erdr.run(...)["D"], ["F"]</t>
        </is>
      </c>
    </row>
    <row r="35" ht="22" customHeight="1">
      <c r="B35" s="117">
        <v>8</v>
      </c>
      <c r="C35" s="119" t="inlineStr">
        <is>
          <t xml:space="preserve">Cases</t>
        </is>
      </c>
      <c r="D35" s="120" t="inlineStr">
        <is>
          <t xml:space="preserve">Case Checklist</t>
        </is>
      </c>
      <c r="E35" s="125" t="inlineStr">
        <is>
          <t xml:space="preserve">17 cases of the algorithm detected from the trace   →   cases.detect(result, D, y)</t>
        </is>
      </c>
    </row>
    <row r="36" ht="22" customHeight="1">
      <c r="B36" s="117">
        <v>9</v>
      </c>
      <c r="C36" s="119" t="inlineStr">
        <is>
          <t xml:space="preserve">Validation</t>
        </is>
      </c>
      <c r="D36" s="120" t="inlineStr">
        <is>
          <t xml:space="preserve">Validation</t>
        </is>
      </c>
      <c r="E36" s="125" t="inlineStr">
        <is>
          <t xml:space="preserve">workbook vs engine   →   tests with the golden values of this workbook</t>
        </is>
      </c>
    </row>
    <row r="37" ht="10" customHeight="1"/>
    <row r="38" ht="24" customHeight="1">
      <c r="B38" s="114" t="inlineStr">
        <is>
          <t xml:space="preserve">Key results (live)</t>
        </is>
      </c>
      <c r="C38" s="114"/>
      <c r="D38" s="114"/>
      <c r="E38" s="114"/>
    </row>
    <row r="39" ht="20" customHeight="1">
      <c r="B39" s="116" t="inlineStr">
        <is>
          <t xml:space="preserve">#</t>
        </is>
      </c>
      <c r="C39" s="115" t="inlineStr">
        <is>
          <t xml:space="preserve">Figure</t>
        </is>
      </c>
      <c r="D39" s="116" t="inlineStr">
        <is>
          <t xml:space="preserve">Value</t>
        </is>
      </c>
      <c r="E39" s="115" t="inlineStr">
        <is>
          <t xml:space="preserve">Linked to</t>
        </is>
      </c>
    </row>
    <row r="40" ht="19" customHeight="1">
      <c r="B40" s="117">
        <v>1</v>
      </c>
      <c r="C40" s="119" t="inlineStr">
        <is>
          <t xml:space="preserve">Objects N  ·  |K1|  ·  |K2|</t>
        </is>
      </c>
      <c r="D40" s="123" t="str">
        <f>'Parameters'!$B$5&amp;"  ·  "&amp;'Parameters'!$B$6&amp;"  ·  "&amp;'Parameters'!$B$7</f>
        <v>7  ·  3  ·  4</v>
      </c>
      <c r="E40" s="124" t="inlineStr">
        <is>
          <t xml:space="preserve">Parameters</t>
        </is>
      </c>
    </row>
    <row r="41" ht="19" customHeight="1">
      <c r="B41" s="117">
        <v>2</v>
      </c>
      <c r="C41" s="119" t="inlineStr">
        <is>
          <t xml:space="preserve">k used for z(Sᵢ, k)  ·  k rule 3 … 2·min|Kᵢ| − 3</t>
        </is>
      </c>
      <c r="D41" s="123" t="str">
        <f>'Parameters'!$B$12&amp;"  (permitted: "&amp;'Parameters'!$B$11&amp;")"</f>
        <v>3  (permitted: 3)</v>
      </c>
      <c r="E41" s="124" t="inlineStr">
        <is>
          <t xml:space="preserve">Parameters</t>
        </is>
      </c>
    </row>
    <row r="42" ht="19" customHeight="1">
      <c r="B42" s="117">
        <v>3</v>
      </c>
      <c r="C42" s="119" t="inlineStr">
        <is>
          <t xml:space="preserve">Step 2 queue order</t>
        </is>
      </c>
      <c r="D42" s="123" t="str">
        <f>'Validation'!C34</f>
        <v>S₁ → S₃ → S₅ → S₂ → S₇ → S₆ → S₄</v>
      </c>
      <c r="E42" s="124" t="inlineStr">
        <is>
          <t xml:space="preserve">Priority Queue</t>
        </is>
      </c>
    </row>
    <row r="43" ht="19" customHeight="1">
      <c r="B43" s="117">
        <v>4</v>
      </c>
      <c r="C43" s="119" t="inlineStr">
        <is>
          <t xml:space="preserve">Iterations until the queue is empty</t>
        </is>
      </c>
      <c r="D43" s="121">
        <f>COUNTIF('ERDR Trace'!B5:B11,"S*")</f>
        <v>6</v>
      </c>
      <c r="E43" s="124" t="inlineStr">
        <is>
          <t xml:space="preserve">ERDR Trace</t>
        </is>
      </c>
    </row>
    <row r="44" ht="19" customHeight="1">
      <c r="B44" s="117">
        <v>5</v>
      </c>
      <c r="C44" s="119" t="inlineStr">
        <is>
          <t xml:space="preserve">Training sample D</t>
        </is>
      </c>
      <c r="D44" s="123" t="str">
        <f>'Training &amp; Validation'!B19&amp;"  ·  "&amp;'Training &amp; Validation'!D15&amp;"  (K1 "&amp;'Training &amp; Validation'!B15&amp;", K2 "&amp;'Training &amp; Validation'!C15&amp;")"</f>
        <v>{S₁, S₂, S₅, S₆, S₇}  ·  5  (K1 2, K2 3)</v>
      </c>
      <c r="E44" s="124" t="inlineStr">
        <is>
          <t xml:space="preserve">Training &amp; Validation</t>
        </is>
      </c>
    </row>
    <row r="45" ht="19" customHeight="1">
      <c r="B45" s="117">
        <v>6</v>
      </c>
      <c r="C45" s="119" t="inlineStr">
        <is>
          <t xml:space="preserve">Validation sample F</t>
        </is>
      </c>
      <c r="D45" s="123" t="str">
        <f>'Training &amp; Validation'!B20&amp;"  ·  "&amp;'Training &amp; Validation'!D16&amp;"  (K1 "&amp;'Training &amp; Validation'!B16&amp;", K2 "&amp;'Training &amp; Validation'!C16&amp;")"</f>
        <v>{S₃, S₄}  ·  2  (K1 1, K2 1)</v>
      </c>
      <c r="E45" s="124" t="inlineStr">
        <is>
          <t xml:space="preserve">Training &amp; Validation</t>
        </is>
      </c>
    </row>
    <row r="46" ht="19" customHeight="1">
      <c r="B46" s="117">
        <v>7</v>
      </c>
      <c r="C46" s="119" t="inlineStr">
        <is>
          <t xml:space="preserve">Share of N in the training sample</t>
        </is>
      </c>
      <c r="D46" s="122">
        <f>'Training &amp; Validation'!E15</f>
        <v>0.714285714285714</v>
      </c>
      <c r="E46" s="124" t="inlineStr">
        <is>
          <t xml:space="preserve">Training &amp; Validation</t>
        </is>
      </c>
    </row>
    <row r="47" ht="19" customHeight="1">
      <c r="B47" s="117">
        <v>8</v>
      </c>
      <c r="C47" s="119" t="inlineStr">
        <is>
          <t xml:space="preserve">Cases of the algorithm that occur</t>
        </is>
      </c>
      <c r="D47" s="121" t="str">
        <f>SUM('Case Checklist'!D5:D21)&amp;" of 17"</f>
        <v>17 of 17</v>
      </c>
      <c r="E47" s="124" t="inlineStr">
        <is>
          <t xml:space="preserve">Case Checklist</t>
        </is>
      </c>
    </row>
    <row r="48" ht="19" customHeight="1">
      <c r="B48" s="117">
        <v>9</v>
      </c>
      <c r="C48" s="119" t="inlineStr">
        <is>
          <t xml:space="preserve">Reading</t>
        </is>
      </c>
      <c r="D48" s="123" t="str">
        <f>'Parameters'!B27</f>
        <v>✓ literal article reading (default)</v>
      </c>
      <c r="E48" s="124" t="inlineStr">
        <is>
          <t xml:space="preserve">Readings (Switches)</t>
        </is>
      </c>
    </row>
    <row r="49" ht="19" customHeight="1">
      <c r="B49" s="117">
        <v>10</v>
      </c>
      <c r="C49" s="119" t="inlineStr">
        <is>
          <t xml:space="preserve">Validation checks</t>
        </is>
      </c>
      <c r="D49" s="123" t="str">
        <f>'Validation'!B59</f>
        <v>53 of 53 checks pass  ✓</v>
      </c>
      <c r="E49" s="124" t="inlineStr">
        <is>
          <t xml:space="preserve">Validation</t>
        </is>
      </c>
    </row>
    <row r="50" ht="10" customHeight="1"/>
    <row r="51" ht="24" customHeight="1">
      <c r="B51" s="114" t="inlineStr">
        <is>
          <t xml:space="preserve">⚠ Findings for the article (§1.1, §3)</t>
        </is>
      </c>
      <c r="C51" s="114"/>
      <c r="D51" s="114"/>
      <c r="E51" s="114"/>
    </row>
    <row r="52" ht="33" customHeight="1">
      <c r="B52" s="127" t="inlineStr">
        <is>
          <t xml:space="preserve">•  Literal reading of §1.1 on all 270 objects: training samples of 165–201 objects, against 75–104 in Table 1; none of 960 tested readings reproduces Table 1 (closest: processed objects stop covering + own-class z).</t>
        </is>
      </c>
      <c r="C52" s="127"/>
      <c r="D52" s="127"/>
      <c r="E52" s="127"/>
    </row>
    <row r="53" ht="33" customHeight="1">
      <c r="B53" s="127" t="inlineStr">
        <is>
          <t xml:space="preserve">•  Three points are open in the text — whether Sᵢ is in its own L, whether processed objects keep covering, and where «Перейти к шагу 2» stands; here they are switches A, B, C (8 readings → 6 different outcomes).</t>
        </is>
      </c>
      <c r="C53" s="127"/>
      <c r="D53" s="127"/>
      <c r="E53" s="127"/>
    </row>
    <row r="54" ht="33" customHeight="1">
      <c r="B54" s="127" t="inlineStr">
        <is>
          <t xml:space="preserve">•  The case |L| = 0 is not described (literally: Sᵢ stays in F); for Sⱼ ≠ Sᵢ the condition g(Sⱼ) &gt; 1 in L is always true, so it only decides whether Sᵢ itself is in L.</t>
        </is>
      </c>
      <c r="C54" s="127"/>
      <c r="D54" s="127"/>
      <c r="E54" s="127"/>
    </row>
    <row r="55" ht="21" customHeight="1">
      <c r="B55" s="120" t="inlineStr">
        <is>
          <t xml:space="preserve">→  Article Notes: the article text line by line, with the open points</t>
        </is>
      </c>
      <c r="C55" s="120"/>
      <c r="D55" s="120"/>
      <c r="E55" s="120"/>
    </row>
    <row r="56" ht="10" customHeight="1"/>
    <row r="57" ht="24" customHeight="1">
      <c r="B57" s="114" t="inlineStr">
        <is>
          <t xml:space="preserve">Colour legend</t>
        </is>
      </c>
      <c r="C57" s="114"/>
      <c r="D57" s="114"/>
      <c r="E57" s="114"/>
    </row>
    <row r="58" ht="19" customHeight="1">
      <c r="B58" s="128" t="inlineStr">
        <is>
          <t xml:space="preserve">Aa</t>
        </is>
      </c>
      <c r="C58" s="118" t="inlineStr">
        <is>
          <t xml:space="preserve">Sheet title bar</t>
        </is>
      </c>
      <c r="D58" s="118"/>
      <c r="E58" s="118"/>
    </row>
    <row r="59" ht="19" customHeight="1">
      <c r="B59" s="116" t="inlineStr">
        <is>
          <t xml:space="preserve">Aa</t>
        </is>
      </c>
      <c r="C59" s="118" t="inlineStr">
        <is>
          <t xml:space="preserve">Table / block / iteration title bar</t>
        </is>
      </c>
      <c r="D59" s="118"/>
      <c r="E59" s="118"/>
    </row>
    <row r="60" ht="19" customHeight="1">
      <c r="B60" s="129" t="inlineStr">
        <is>
          <t xml:space="preserve">Aa</t>
        </is>
      </c>
      <c r="C60" s="118" t="inlineStr">
        <is>
          <t xml:space="preserve">Column header (x₁ … x₁₃, S₁ … S₇, rank, t)</t>
        </is>
      </c>
      <c r="D60" s="118"/>
      <c r="E60" s="118"/>
    </row>
    <row r="61" ht="19" customHeight="1">
      <c r="B61" s="130" t="inlineStr">
        <is>
          <t xml:space="preserve">Aa</t>
        </is>
      </c>
      <c r="C61" s="118" t="inlineStr">
        <is>
          <t xml:space="preserve">Object label S₁ … S₇ and row captions</t>
        </is>
      </c>
      <c r="D61" s="118"/>
      <c r="E61" s="118"/>
    </row>
    <row r="62" ht="19" customHeight="1">
      <c r="B62" s="131" t="inlineStr">
        <is>
          <t xml:space="preserve">Aa</t>
        </is>
      </c>
      <c r="C62" s="118" t="inlineStr">
        <is>
          <t xml:space="preserve">Quantitative feature values</t>
        </is>
      </c>
      <c r="D62" s="118"/>
      <c r="E62" s="118"/>
    </row>
    <row r="63" ht="19" customHeight="1">
      <c r="B63" s="132" t="inlineStr">
        <is>
          <t xml:space="preserve">Aa</t>
        </is>
      </c>
      <c r="C63" s="118" t="inlineStr">
        <is>
          <t xml:space="preserve">Nominal feature values</t>
        </is>
      </c>
      <c r="D63" s="118"/>
      <c r="E63" s="118"/>
    </row>
    <row r="64" ht="19" customHeight="1">
      <c r="B64" s="133" t="inlineStr">
        <is>
          <t xml:space="preserve">Aa</t>
        </is>
      </c>
      <c r="C64" s="118" t="inlineStr">
        <is>
          <t xml:space="preserve">Class label (1 / 2)</t>
        </is>
      </c>
      <c r="D64" s="118"/>
      <c r="E64" s="118"/>
    </row>
    <row r="65" ht="19" customHeight="1">
      <c r="B65" s="134" t="inlineStr">
        <is>
          <t xml:space="preserve">Aa</t>
        </is>
      </c>
      <c r="C65" s="118" t="inlineStr">
        <is>
          <t xml:space="preserve">ERDR characteristic (r, g, z) / counter g</t>
        </is>
      </c>
      <c r="D65" s="118"/>
      <c r="E65" s="118"/>
    </row>
    <row r="66" ht="19" customHeight="1">
      <c r="B66" s="135" t="inlineStr">
        <is>
          <t xml:space="preserve">Aa</t>
        </is>
      </c>
      <c r="C66" s="118" t="inlineStr">
        <is>
          <t xml:space="preserve">d(Sᵢ), selected / own class / correct</t>
        </is>
      </c>
      <c r="D66" s="118"/>
      <c r="E66" s="118"/>
    </row>
    <row r="67" ht="19" customHeight="1">
      <c r="B67" s="136" t="inlineStr">
        <is>
          <t xml:space="preserve">Aa</t>
        </is>
      </c>
      <c r="C67" s="118" t="inlineStr">
        <is>
          <t xml:space="preserve">Member of L / decreased counter / tie decided by r / marker r, z</t>
        </is>
      </c>
      <c r="D67" s="118"/>
      <c r="E67" s="118"/>
    </row>
    <row r="68" ht="19" customHeight="1">
      <c r="B68" s="137" t="inlineStr">
        <is>
          <t xml:space="preserve">Aa</t>
        </is>
      </c>
      <c r="C68" s="118" t="inlineStr">
        <is>
          <t xml:space="preserve">Moved to D / tie decided by the index</t>
        </is>
      </c>
      <c r="D68" s="118"/>
      <c r="E68" s="118"/>
    </row>
    <row r="69" ht="19" customHeight="1">
      <c r="B69" s="138" t="inlineStr">
        <is>
          <t xml:space="preserve">Aa</t>
        </is>
      </c>
      <c r="C69" s="118" t="inlineStr">
        <is>
          <t xml:space="preserve">Enemy (other class) / g = 1</t>
        </is>
      </c>
      <c r="D69" s="118"/>
      <c r="E69" s="118"/>
    </row>
    <row r="70" ht="19" customHeight="1">
      <c r="B70" s="139" t="inlineStr">
        <is>
          <t xml:space="preserve">Aa</t>
        </is>
      </c>
      <c r="C70" s="118" t="inlineStr">
        <is>
          <t xml:space="preserve">Key label / parameter / iteration summary</t>
        </is>
      </c>
      <c r="D70" s="118"/>
      <c r="E70" s="118"/>
    </row>
    <row r="71" ht="19" customHeight="1">
      <c r="B71" s="140" t="inlineStr">
        <is>
          <t xml:space="preserve">Aa</t>
        </is>
      </c>
      <c r="C71" s="118" t="inlineStr">
        <is>
          <t xml:space="preserve">Input cell (blue value) — Parameters, source rows on Dataset</t>
        </is>
      </c>
      <c r="D71" s="118"/>
      <c r="E71" s="118"/>
    </row>
    <row r="72" ht="19" customHeight="1">
      <c r="B72" s="141" t="inlineStr">
        <is>
          <t xml:space="preserve">Aa</t>
        </is>
      </c>
      <c r="C72" s="118" t="inlineStr">
        <is>
          <t xml:space="preserve">Engine (Python) value — not a formula</t>
        </is>
      </c>
      <c r="D72" s="118"/>
      <c r="E72" s="118"/>
    </row>
    <row r="73" ht="19" customHeight="1">
      <c r="B73" s="142" t="inlineStr">
        <is>
          <t xml:space="preserve">Aa</t>
        </is>
      </c>
      <c r="C73" s="118" t="inlineStr">
        <is>
          <t xml:space="preserve">Warning / finding for the article</t>
        </is>
      </c>
      <c r="D73" s="118"/>
      <c r="E73" s="118"/>
    </row>
    <row r="74" ht="10" customHeight="1"/>
    <row r="75" ht="24" customHeight="1">
      <c r="B75" s="114" t="inlineStr">
        <is>
          <t xml:space="preserve">Notes</t>
        </is>
      </c>
      <c r="C75" s="114"/>
      <c r="D75" s="114"/>
      <c r="E75" s="114"/>
    </row>
    <row r="76" ht="30" customHeight="1">
      <c r="B76" s="126" t="inlineStr">
        <is>
          <t xml:space="preserve">•  Every calculation from the Dataset sheet to the Case Checklist is a live formula: type another source row on the Dataset sheet, change k, ε or a reading on the Parameters sheet, and the whole experiment recalculates.</t>
        </is>
      </c>
      <c r="C76" s="126"/>
      <c r="D76" s="126"/>
      <c r="E76" s="126"/>
    </row>
    <row r="77" ht="30" customHeight="1">
      <c r="B77" s="126" t="inlineStr">
        <is>
          <t xml:space="preserve">•  Grey cells with grey text are engine values (Object Selection evidence, Readings table, Article Table 1 Check, 2-D map coordinates): they need many runs of the algorithm and are not spreadsheet formulas.</t>
        </is>
      </c>
      <c r="C77" s="126"/>
      <c r="D77" s="126"/>
      <c r="E77" s="126"/>
    </row>
    <row r="78" ht="30" customHeight="1">
      <c r="B78" s="126" t="inlineStr">
        <is>
          <t xml:space="preserve">•  Distances are rounded to 10 decimals and every order breaks ties by the smaller index — the same rules as the Python reference engine on the Validation sheet.</t>
        </is>
      </c>
      <c r="C78" s="126"/>
      <c r="D78" s="126"/>
      <c r="E78" s="126"/>
    </row>
    <row r="79" ht="30" customHeight="1">
      <c r="B79" s="126" t="inlineStr">
        <is>
          <t xml:space="preserve">•  Built for reuse: the same layout, styles and rules as our earlier Heart-Disease (10, 13, 2) experiments; the engine functions named above are the planned module of the Python project.</t>
        </is>
      </c>
      <c r="C79" s="126"/>
      <c r="D79" s="126"/>
      <c r="E79" s="126"/>
    </row>
  </sheetData>
  <mergeCells count="26">
    <mergeCell ref="B2:E2"/>
    <mergeCell ref="B3:E3"/>
    <mergeCell ref="B52:E52"/>
    <mergeCell ref="B53:E53"/>
    <mergeCell ref="B54:E54"/>
    <mergeCell ref="B55:E55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B76:E76"/>
    <mergeCell ref="B77:E77"/>
    <mergeCell ref="B78:E78"/>
    <mergeCell ref="B79:E79"/>
  </mergeCells>
  <hyperlinks>
    <hyperlink ref="C7" location="'Parameters'!A1" display="Parameters" tooltip="Go to Parameters"/>
    <hyperlink ref="C8" location="'Object Selection'!A1" display="Object Selection" tooltip="Go to Object Selection"/>
    <hyperlink ref="C9" location="'Source Dataset (270)'!A1" display="Source Dataset (270)" tooltip="Go to Source Dataset (270)"/>
    <hyperlink ref="C10" location="'Dataset'!A1" display="Dataset" tooltip="Go to Dataset"/>
    <hyperlink ref="C11" location="'Normalized Dataset'!A1" display="Normalized Dataset" tooltip="Go to Normalized Dataset"/>
    <hyperlink ref="C12" location="'Zhuravlev Distances'!A1" display="Zhuravlev Distances" tooltip="Go to Zhuravlev Distances"/>
    <hyperlink ref="C13" location="'Sorted Neighbors'!A1" display="Sorted Neighbors" tooltip="Go to Sorted Neighbors"/>
    <hyperlink ref="C14" location="'ERDR Characteristics'!A1" display="ERDR Characteristics" tooltip="Go to ERDR Characteristics"/>
    <hyperlink ref="C15" location="'Priority Queue'!A1" display="Priority Queue" tooltip="Go to Priority Queue"/>
    <hyperlink ref="C16" location="'ERDR Iterations'!A1" display="ERDR Iterations" tooltip="Go to ERDR Iterations"/>
    <hyperlink ref="C17" location="'ERDR Trace'!A1" display="ERDR Trace" tooltip="Go to ERDR Trace"/>
    <hyperlink ref="C18" location="'Case Checklist'!A1" display="Case Checklist" tooltip="Go to Case Checklist"/>
    <hyperlink ref="C19" location="'Training &amp; Validation'!A1" display="Training &amp; Validation" tooltip="Go to Training &amp; Validation"/>
    <hyperlink ref="C20" location="'Charts'!A1" display="Charts" tooltip="Go to Charts"/>
    <hyperlink ref="C21" location="'Readings (Switches)'!A1" display="Readings (Switches)" tooltip="Go to Readings (Switches)"/>
    <hyperlink ref="C22" location="'Article Table 1 Check'!A1" display="Article Table 1 Check" tooltip="Go to Article Table 1 Check"/>
    <hyperlink ref="C23" location="'Article Notes'!A1" display="Article Notes" tooltip="Go to Article Notes"/>
    <hyperlink ref="C24" location="'Validation'!A1" display="Validation" tooltip="Go to Validation"/>
    <hyperlink ref="D28" location="'Dataset'!A1" display="Dataset" tooltip="Go to Dataset"/>
    <hyperlink ref="D29" location="'Normalized Dataset'!A1" display="Normalized Dataset" tooltip="Go to Normalized Dataset"/>
    <hyperlink ref="D30" location="'Zhuravlev Distances'!A1" display="Zhuravlev Distances" tooltip="Go to Zhuravlev Distances"/>
    <hyperlink ref="D31" location="'ERDR Characteristics'!A1" display="ERDR Characteristics" tooltip="Go to ERDR Characteristics"/>
    <hyperlink ref="D32" location="'Priority Queue'!A1" display="Priority Queue" tooltip="Go to Priority Queue"/>
    <hyperlink ref="D33" location="'ERDR Iterations'!A1" display="ERDR Iterations" tooltip="Go to ERDR Iterations"/>
    <hyperlink ref="D34" location="'Training &amp; Validation'!A1" display="Training &amp; Validation" tooltip="Go to Training &amp; Validation"/>
    <hyperlink ref="D35" location="'Case Checklist'!A1" display="Case Checklist" tooltip="Go to Case Checklist"/>
    <hyperlink ref="D36" location="'Validation'!A1" display="Validation" tooltip="Go to Validation"/>
    <hyperlink ref="B55" location="'Article Notes'!A1" display="Article Notes" tooltip="Go to Article Notes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C4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6.77734375" customWidth="1"/>
    <col min="2" max="2" width="24.77734375" customWidth="1"/>
    <col min="3" max="3" width="118.77734375" customWidth="1"/>
  </cols>
  <sheetData>
    <row r="1" ht="22" customHeight="1">
      <c r="A1" s="57" t="inlineStr">
        <is>
          <t xml:space="preserve">Experiment parameters — every ERDR stage reads its settings from this sheet</t>
        </is>
      </c>
      <c r="B1" s="57"/>
      <c r="C1" s="57"/>
    </row>
    <row r="2"/>
    <row r="3">
      <c r="A3" s="58" t="inlineStr">
        <is>
          <t xml:space="preserve">Sample and k range  ·  k_min = 3 fixed, k_max = 2 · min |Kᵢ| − 3 from the class sizes (the same rule as in our other experiments)</t>
        </is>
      </c>
      <c r="B3" s="58"/>
      <c r="C3" s="58"/>
    </row>
    <row r="4">
      <c r="A4" s="61" t="inlineStr">
        <is>
          <t xml:space="preserve">Parameter</t>
        </is>
      </c>
      <c r="B4" s="60" t="inlineStr">
        <is>
          <t xml:space="preserve">Value</t>
        </is>
      </c>
      <c r="C4" s="61" t="inlineStr">
        <is>
          <t xml:space="preserve">Rule / meaning</t>
        </is>
      </c>
    </row>
    <row r="5">
      <c r="A5" s="82" t="inlineStr">
        <is>
          <t xml:space="preserve">N  (objects in the experiment)</t>
        </is>
      </c>
      <c r="B5" s="84">
        <f>COUNT('Dataset'!B5:B11)</f>
        <v>7</v>
      </c>
      <c r="C5" s="101" t="inlineStr">
        <is>
          <t xml:space="preserve">Selected rows of the 270-object source (Dataset sheet) — why 7: see “Object Selection”</t>
        </is>
      </c>
    </row>
    <row r="6">
      <c r="A6" s="82" t="inlineStr">
        <is>
          <t xml:space="preserve">|K1|  (objects of class 1)</t>
        </is>
      </c>
      <c r="B6" s="84">
        <f>COUNTIF('Dataset'!P5:P11,1)</f>
        <v>3</v>
      </c>
      <c r="C6" s="101" t="inlineStr">
        <is>
          <t xml:space="preserve">Counted from the class column — never typed in</t>
        </is>
      </c>
    </row>
    <row r="7">
      <c r="A7" s="82" t="inlineStr">
        <is>
          <t xml:space="preserve">|K2|  (objects of class 2)</t>
        </is>
      </c>
      <c r="B7" s="84">
        <f>COUNTIF('Dataset'!P5:P11,2)</f>
        <v>4</v>
      </c>
      <c r="C7" s="101" t="inlineStr">
        <is>
          <t xml:space="preserve"/>
        </is>
      </c>
    </row>
    <row r="8">
      <c r="A8" s="82" t="inlineStr">
        <is>
          <t xml:space="preserve">min |Kᵢ|</t>
        </is>
      </c>
      <c r="B8" s="84">
        <f>MIN(B6,B7)</f>
        <v>3</v>
      </c>
      <c r="C8" s="101" t="inlineStr">
        <is>
          <t xml:space="preserve">Smallest class</t>
        </is>
      </c>
    </row>
    <row r="9">
      <c r="A9" s="82" t="inlineStr">
        <is>
          <t xml:space="preserve">k_min</t>
        </is>
      </c>
      <c r="B9" s="84">
        <v>3</v>
      </c>
      <c r="C9" s="101" t="inlineStr">
        <is>
          <t xml:space="preserve">Fixed for every dataset</t>
        </is>
      </c>
    </row>
    <row r="10">
      <c r="A10" s="82" t="inlineStr">
        <is>
          <t xml:space="preserve">k_max = 2 · min |Kᵢ| − 3</t>
        </is>
      </c>
      <c r="B10" s="84">
        <f>2*B8-3</f>
        <v>3</v>
      </c>
      <c r="C10" s="101" t="inlineStr">
        <is>
          <t xml:space="preserve">Largest permitted k</t>
        </is>
      </c>
    </row>
    <row r="11">
      <c r="A11" s="82" t="inlineStr">
        <is>
          <t xml:space="preserve">Permitted k  (odd, k_min … k_max)</t>
        </is>
      </c>
      <c r="B11" s="84" t="str">
        <f>IF(B10&lt;B9,"none — a class has fewer than 3 objects",IF(B10&gt;=5,"3, 5, …, "&amp;B10,"3"))</f>
        <v>3</v>
      </c>
      <c r="C11" s="101" t="inlineStr">
        <is>
          <t xml:space="preserve"/>
        </is>
      </c>
    </row>
    <row r="12">
      <c r="A12" s="82" t="inlineStr">
        <is>
          <t xml:space="preserve">k used by ERDR in z(Sᵢ, k)</t>
        </is>
      </c>
      <c r="B12" s="88">
        <v>3</v>
      </c>
      <c r="C12" s="101" t="inlineStr">
        <is>
          <t xml:space="preserve">Input · the k-th nearest neighbour gives z(Sᵢ, k); must be permitted and ≤ N − 1</t>
        </is>
      </c>
    </row>
    <row r="13">
      <c r="A13" s="82" t="inlineStr">
        <is>
          <t xml:space="preserve">k check</t>
        </is>
      </c>
      <c r="B13" s="85" t="str">
        <f>IF(MIN(B6,B7)=0,"⚠ the selection has only one class — ERDR needs both",IF(AND(B12&gt;=B9,B12&lt;=B10,MOD(B12-B9,2)=0,B12&lt;=B5-1),"✓ k is permitted by the rule","⚠ k is outside the permitted range "&amp;B11))</f>
        <v>✓ k is permitted by the rule</v>
      </c>
      <c r="C13" s="101" t="inlineStr">
        <is>
          <t xml:space="preserve"/>
        </is>
      </c>
    </row>
    <row r="14"/>
    <row r="15">
      <c r="A15" s="58" t="inlineStr">
        <is>
          <t xml:space="preserve">ERDR constants (article §1.1)</t>
        </is>
      </c>
      <c r="B15" s="58"/>
      <c r="C15" s="58"/>
    </row>
    <row r="16">
      <c r="A16" s="61" t="inlineStr">
        <is>
          <t xml:space="preserve">Parameter</t>
        </is>
      </c>
      <c r="B16" s="60" t="inlineStr">
        <is>
          <t xml:space="preserve">Value</t>
        </is>
      </c>
      <c r="C16" s="61" t="inlineStr">
        <is>
          <t xml:space="preserve">Rule / meaning</t>
        </is>
      </c>
    </row>
    <row r="17">
      <c r="A17" s="82" t="inlineStr">
        <is>
          <t xml:space="preserve">ε  (blocking constant, ε &gt; 0)</t>
        </is>
      </c>
      <c r="B17" s="89">
        <v>0.001</v>
      </c>
      <c r="C17" s="101" t="inlineStr">
        <is>
          <t xml:space="preserve">Step 4 blocks the selected object by d(Sᵢ) ← −(d(Sᵢ) + ε); any ε &gt; 0 gives the same result</t>
        </is>
      </c>
    </row>
    <row r="18">
      <c r="A18" s="82" t="inlineStr">
        <is>
          <t xml:space="preserve">Distance rounding</t>
        </is>
      </c>
      <c r="B18" s="85" t="inlineStr">
        <is>
          <t xml:space="preserve">10 decimals</t>
        </is>
      </c>
      <c r="C18" s="101" t="inlineStr">
        <is>
          <t xml:space="preserve">Mathematically equal distances and d values tie exactly</t>
        </is>
      </c>
    </row>
    <row r="19">
      <c r="A19" s="82" t="inlineStr">
        <is>
          <t xml:space="preserve">Queue order (Step 2)</t>
        </is>
      </c>
      <c r="B19" s="85" t="inlineStr">
        <is>
          <t xml:space="preserve">d → r → index</t>
        </is>
      </c>
      <c r="C19" s="101" t="inlineStr">
        <is>
          <t xml:space="preserve">Ascending d(Sᵢ); equal d → ascending r(Sᵢ); equal d and r → ascending index</t>
        </is>
      </c>
    </row>
    <row r="20">
      <c r="A20" s="82" t="inlineStr">
        <is>
          <t xml:space="preserve">Iteration blocks</t>
        </is>
      </c>
      <c r="B20" s="84">
        <f>B5</f>
        <v>7</v>
      </c>
      <c r="C20" s="101" t="inlineStr">
        <is>
          <t xml:space="preserve">Every iteration processes (blocks) one queue object, so at most N iterations are needed</t>
        </is>
      </c>
    </row>
    <row r="21"/>
    <row r="22">
      <c r="A22" s="58" t="inlineStr">
        <is>
          <t xml:space="preserve">Readings of three points the article leaves open  ·  1 = literal article text (default), 2 = alternative  ·  see “Readings (Switches)”</t>
        </is>
      </c>
      <c r="B22" s="58"/>
      <c r="C22" s="58"/>
    </row>
    <row r="23">
      <c r="A23" s="61" t="inlineStr">
        <is>
          <t xml:space="preserve">Parameter</t>
        </is>
      </c>
      <c r="B23" s="60" t="inlineStr">
        <is>
          <t xml:space="preserve">Value</t>
        </is>
      </c>
      <c r="C23" s="61" t="inlineStr">
        <is>
          <t xml:space="preserve">Rule / meaning</t>
        </is>
      </c>
    </row>
    <row r="24">
      <c r="A24" s="82" t="inlineStr">
        <is>
          <t xml:space="preserve">A · Sᵢ itself can be a member of L</t>
        </is>
      </c>
      <c r="B24" s="88">
        <v>1</v>
      </c>
      <c r="C24" s="101" t="inlineStr">
        <is>
          <t xml:space="preserve">1 = literal: Sᵢ ∈ L whenever g(Sᵢ) &gt; 1 (ρ(Sᵢ, Sᵢ) = 0 &lt; r(Sᵢ))  ·  2 = only other objects form L</t>
        </is>
      </c>
    </row>
    <row r="25">
      <c r="A25" s="82" t="inlineStr">
        <is>
          <t xml:space="preserve">B · processed objects keep covering</t>
        </is>
      </c>
      <c r="B25" s="88">
        <v>1</v>
      </c>
      <c r="C25" s="101" t="inlineStr">
        <is>
          <t xml:space="preserve">1 = literal: blocked objects stay in F and can belong to L later  ·  2 = only objects still in the queue can belong to L</t>
        </is>
      </c>
    </row>
    <row r="26">
      <c r="A26" s="82" t="inlineStr">
        <is>
          <t xml:space="preserve">C · return to Step 2 in Step 5</t>
        </is>
      </c>
      <c r="B26" s="88">
        <v>1</v>
      </c>
      <c r="C26" s="101" t="inlineStr">
        <is>
          <t xml:space="preserve">1 = after the whole set L has been corrected  ·  2 = right after the first object whose g falls to 1 (members of L taken by ascending index)</t>
        </is>
      </c>
    </row>
    <row r="27">
      <c r="A27" s="82" t="inlineStr">
        <is>
          <t xml:space="preserve">Reading status</t>
        </is>
      </c>
      <c r="B27" s="85" t="str">
        <f>IF(AND(B24=1,B25=1,B26=1),"✓ literal article reading (default)","⚠ alternative reading "&amp;B24&amp;B25&amp;B26&amp;" — compare with Readings (Switches)")</f>
        <v>✓ literal article reading (default)</v>
      </c>
      <c r="C27" s="101" t="inlineStr">
        <is>
          <t xml:space="preserve"/>
        </is>
      </c>
    </row>
    <row r="28"/>
    <row r="29">
      <c r="A29" s="58" t="inlineStr">
        <is>
          <t xml:space="preserve">Metric  ·  Zhuravlev metric on heterogeneous features (quantitative features rescaled to [0, 1])</t>
        </is>
      </c>
      <c r="B29" s="58"/>
      <c r="C29" s="58"/>
    </row>
    <row r="30">
      <c r="A30" s="61" t="inlineStr">
        <is>
          <t xml:space="preserve">Operator</t>
        </is>
      </c>
      <c r="B30" s="60" t="inlineStr">
        <is>
          <t xml:space="preserve">Feature set</t>
        </is>
      </c>
      <c r="C30" s="61" t="inlineStr">
        <is>
          <t xml:space="preserve">Definition</t>
        </is>
      </c>
    </row>
    <row r="31">
      <c r="A31" s="82" t="inlineStr">
        <is>
          <t xml:space="preserve">ρ</t>
        </is>
      </c>
      <c r="B31" s="84" t="inlineStr">
        <is>
          <t xml:space="preserve">all 13 (I ∪ J)</t>
        </is>
      </c>
      <c r="C31" s="101" t="inlineStr">
        <is>
          <t xml:space="preserve">ρ(x, y) = Σ(j∈I) |x′ⱼ − y′ⱼ| + Σ(j∈J) [xⱼ ≠ yⱼ]   (x′ = (x − min)/(max − min) over the N objects)</t>
        </is>
      </c>
    </row>
    <row r="32">
      <c r="A32" s="82" t="inlineStr">
        <is>
          <t xml:space="preserve">ρ_I</t>
        </is>
      </c>
      <c r="B32" s="84" t="inlineStr">
        <is>
          <t xml:space="preserve">6 quantitative (I)</t>
        </is>
      </c>
      <c r="C32" s="101" t="inlineStr">
        <is>
          <t xml:space="preserve">ρ_I(x, y) = Σ(j∈I) |x′ⱼ − y′ⱼ|  — quantitative part</t>
        </is>
      </c>
    </row>
    <row r="33">
      <c r="A33" s="82" t="inlineStr">
        <is>
          <t xml:space="preserve">ρ_J</t>
        </is>
      </c>
      <c r="B33" s="84" t="inlineStr">
        <is>
          <t xml:space="preserve">7 nominal (J)</t>
        </is>
      </c>
      <c r="C33" s="101" t="inlineStr">
        <is>
          <t xml:space="preserve">ρ_J(x, y) = Σ(j∈J) [xⱼ ≠ yⱼ]  — nominal part (number of different codes)</t>
        </is>
      </c>
    </row>
    <row r="34"/>
    <row r="35">
      <c r="A35" s="58" t="inlineStr">
        <is>
          <t xml:space="preserve">ERDR definitions (article §1.1)  ·  Sᵢ ∈ K_t</t>
        </is>
      </c>
      <c r="B35" s="58"/>
      <c r="C35" s="58"/>
    </row>
    <row r="36">
      <c r="A36" s="61" t="inlineStr">
        <is>
          <t xml:space="preserve">Symbol</t>
        </is>
      </c>
      <c r="B36" s="60" t="inlineStr">
        <is>
          <t xml:space="preserve">Sheet</t>
        </is>
      </c>
      <c r="C36" s="61" t="inlineStr">
        <is>
          <t xml:space="preserve">Definition</t>
        </is>
      </c>
    </row>
    <row r="37">
      <c r="A37" s="82" t="inlineStr">
        <is>
          <t xml:space="preserve">r(Sᵢ)</t>
        </is>
      </c>
      <c r="B37" s="85" t="inlineStr">
        <is>
          <t xml:space="preserve">ERDR Characteristics</t>
        </is>
      </c>
      <c r="C37" s="101" t="inlineStr">
        <is>
          <t xml:space="preserve">distance from Sᵢ to the nearest object of the other class (enemy radius)</t>
        </is>
      </c>
    </row>
    <row r="38">
      <c r="A38" s="82" t="inlineStr">
        <is>
          <t xml:space="preserve">g(Sᵢ)</t>
        </is>
      </c>
      <c r="B38" s="85" t="inlineStr">
        <is>
          <t xml:space="preserve">ERDR Characteristics</t>
        </is>
      </c>
      <c r="C38" s="101" t="inlineStr">
        <is>
          <t xml:space="preserve">number of objects of K_t strictly inside the sphere (Sᵢ, r(Sᵢ)); Sᵢ itself counts, so g ≥ 1</t>
        </is>
      </c>
    </row>
    <row r="39">
      <c r="A39" s="82" t="inlineStr">
        <is>
          <t xml:space="preserve">z(Sᵢ, k)</t>
        </is>
      </c>
      <c r="B39" s="85" t="inlineStr">
        <is>
          <t xml:space="preserve">ERDR Characteristics</t>
        </is>
      </c>
      <c r="C39" s="101" t="inlineStr">
        <is>
          <t xml:space="preserve">distance from Sᵢ to its k-th nearest neighbour (all objects, Sᵢ excluded)</t>
        </is>
      </c>
    </row>
    <row r="40">
      <c r="A40" s="82" t="inlineStr">
        <is>
          <t xml:space="preserve">d(Sᵢ)</t>
        </is>
      </c>
      <c r="B40" s="85" t="inlineStr">
        <is>
          <t xml:space="preserve">ERDR Characteristics</t>
        </is>
      </c>
      <c r="C40" s="101" t="inlineStr">
        <is>
          <t xml:space="preserve">|z(Sᵢ, k) − r(Sᵢ)| / (z(Sᵢ, k) + r(Sᵢ))  — priority of Sᵢ (smaller = earlier)</t>
        </is>
      </c>
    </row>
    <row r="41">
      <c r="A41" s="82" t="inlineStr">
        <is>
          <t xml:space="preserve">Queue</t>
        </is>
      </c>
      <c r="B41" s="85" t="inlineStr">
        <is>
          <t xml:space="preserve">Priority Queue</t>
        </is>
      </c>
      <c r="C41" s="101" t="inlineStr">
        <is>
          <t xml:space="preserve">{Sᵢ ∈ F | d(Sᵢ) ≥ 0} ordered by d → r → index; empty queue → Step 6</t>
        </is>
      </c>
    </row>
    <row r="42">
      <c r="A42" s="82" t="inlineStr">
        <is>
          <t xml:space="preserve">L</t>
        </is>
      </c>
      <c r="B42" s="85" t="inlineStr">
        <is>
          <t xml:space="preserve">ERDR Iterations</t>
        </is>
      </c>
      <c r="C42" s="101" t="inlineStr">
        <is>
          <t xml:space="preserve">{Sⱼ ∈ F ∩ K_t | ρ(Sⱼ, Sᵢ) &lt; r(Sⱼ) and g(Sⱼ) &gt; 1}: objects whose enemy sphere contains Sᵢ</t>
        </is>
      </c>
    </row>
    <row r="43">
      <c r="A43" s="82" t="inlineStr">
        <is>
          <t xml:space="preserve">Step 4 / 5</t>
        </is>
      </c>
      <c r="B43" s="85" t="inlineStr">
        <is>
          <t xml:space="preserve">ERDR Iterations</t>
        </is>
      </c>
      <c r="C43" s="101" t="inlineStr">
        <is>
          <t xml:space="preserve">|L| = 1 → Sᵢ moves to D;  |L| &gt; 1 → g(Sⱼ) − 1 for Sⱼ ∈ L, and Sⱼ moves to D when g(Sⱼ) = 1</t>
        </is>
      </c>
    </row>
    <row r="44">
      <c r="A44" s="82" t="inlineStr">
        <is>
          <t xml:space="preserve">Step 6</t>
        </is>
      </c>
      <c r="B44" s="85" t="inlineStr">
        <is>
          <t xml:space="preserve">Training &amp; Validation</t>
        </is>
      </c>
      <c r="C44" s="101" t="inlineStr">
        <is>
          <t xml:space="preserve">D = training sample, F = E₀ \ D = validation sample</t>
        </is>
      </c>
    </row>
  </sheetData>
  <mergeCells count="8">
    <mergeCell ref="A1:C1"/>
    <mergeCell ref="A3:C3"/>
    <mergeCell ref="B13:C13"/>
    <mergeCell ref="A15:C15"/>
    <mergeCell ref="A22:C22"/>
    <mergeCell ref="B27:C27"/>
    <mergeCell ref="A29:C29"/>
    <mergeCell ref="A35:C35"/>
  </mergeCells>
  <dataValidations count="5">
    <dataValidation type="list" allowBlank="0" showInputMessage="1" showErrorMessage="1" promptTitle="Choose" prompt="1 = literal article text, 2 = alternative" sqref="B24">
      <formula1>"1,2"</formula1>
    </dataValidation>
    <dataValidation type="list" allowBlank="0" showInputMessage="1" showErrorMessage="1" promptTitle="Choose" prompt="1 = literal article text, 2 = alternative" sqref="B25">
      <formula1>"1,2"</formula1>
    </dataValidation>
    <dataValidation type="list" allowBlank="0" showInputMessage="1" showErrorMessage="1" promptTitle="Choose" prompt="1 = literal article text, 2 = alternative" sqref="B26">
      <formula1>"1,2"</formula1>
    </dataValidation>
    <dataValidation type="whole" allowBlank="0" showInputMessage="1" showErrorMessage="1" promptTitle="k" prompt="Odd k from 3 to k_max" sqref="B12">
      <formula1>1</formula1>
      <formula2>99</formula2>
    </dataValidation>
    <dataValidation type="decimal" operator="greaterThan" allowBlank="0" showErrorMessage="1" sqref="B17">
      <formula1>0</formula1>
    </dataValidation>
  </dataValidation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G32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8.77734375" customWidth="1"/>
    <col min="2" max="2" width="18.77734375" customWidth="1"/>
    <col min="3" max="3" width="16.77734375" customWidth="1"/>
    <col min="4" max="4" width="22.77734375" customWidth="1"/>
    <col min="5" max="5" width="22.77734375" customWidth="1"/>
    <col min="6" max="6" width="18.77734375" customWidth="1"/>
    <col min="7" max="7" width="60.77734375" customWidth="1"/>
  </cols>
  <sheetData>
    <row r="1" ht="22" customHeight="1">
      <c r="A1" s="57" t="inlineStr">
        <is>
          <t xml:space="preserve">Object selection · why N = 7: the smallest sample of Heart-Disease (270, 13, 2) in which every case of the ERDR algorithm occurs</t>
        </is>
      </c>
      <c r="B1" s="57"/>
      <c r="C1" s="57"/>
      <c r="D1" s="57"/>
      <c r="E1" s="57"/>
      <c r="F1" s="57"/>
      <c r="G1" s="57"/>
    </row>
    <row r="2"/>
    <row r="3">
      <c r="A3" s="58" t="inlineStr">
        <is>
          <t xml:space="preserve">Rule used</t>
        </is>
      </c>
      <c r="B3" s="58"/>
      <c r="C3" s="58"/>
      <c r="D3" s="58"/>
      <c r="E3" s="58"/>
      <c r="F3" s="58"/>
      <c r="G3" s="58"/>
    </row>
    <row r="4" ht="20" customHeight="1">
      <c r="A4" s="102" t="inlineStr">
        <is>
          <t xml:space="preserve">1.  The sample must satisfy the k rule of our experiments: k_min = 3 must be permitted, i.e. k_max = 2·min|Kᵢ| − 3 ≥ 3, so each class needs at least 3 objects → N ≥ 6.</t>
        </is>
      </c>
      <c r="B4" s="102"/>
      <c r="C4" s="102"/>
      <c r="D4" s="102"/>
      <c r="E4" s="102"/>
      <c r="F4" s="102"/>
      <c r="G4" s="102"/>
    </row>
    <row r="5" ht="20" customHeight="1">
      <c r="A5" s="102" t="inlineStr">
        <is>
          <t xml:space="preserve">2.  ERDR must show every case listed on the Case Checklist (17 cases: 14 branch cases of Steps 1–6 plus the index tie of Step 2, two moves in one Step 5 and a two-class validation set).</t>
        </is>
      </c>
      <c r="B5" s="102"/>
      <c r="C5" s="102"/>
      <c r="D5" s="102"/>
      <c r="E5" s="102"/>
      <c r="F5" s="102"/>
      <c r="G5" s="102"/>
    </row>
    <row r="6" ht="20" customHeight="1">
      <c r="A6" s="102" t="inlineStr">
        <is>
          <t xml:space="preserve">3.  Among the samples that satisfy 1–2, use the smallest N; more objects only when no smaller sample shows every case.</t>
        </is>
      </c>
      <c r="B6" s="102"/>
      <c r="C6" s="102"/>
      <c r="D6" s="102"/>
      <c r="E6" s="102"/>
      <c r="F6" s="102"/>
      <c r="G6" s="102"/>
    </row>
    <row r="7"/>
    <row r="8">
      <c r="A8" s="58" t="inlineStr">
        <is>
          <t xml:space="preserve">Search evidence (Python engine, literal reading, k = 3, normalisation over the selected objects)</t>
        </is>
      </c>
      <c r="B8" s="58"/>
      <c r="C8" s="58"/>
      <c r="D8" s="58"/>
      <c r="E8" s="58"/>
      <c r="F8" s="58"/>
      <c r="G8" s="58"/>
    </row>
    <row r="9" ht="34" customHeight="1">
      <c r="A9" s="60" t="inlineStr">
        <is>
          <t xml:space="preserve">N</t>
        </is>
      </c>
      <c r="B9" s="60" t="inlineStr">
        <is>
          <t xml:space="preserve">Subsets examined</t>
        </is>
      </c>
      <c r="C9" s="60" t="inlineStr">
        <is>
          <t xml:space="preserve">Show the 14 branch cases</t>
        </is>
      </c>
      <c r="D9" s="60" t="inlineStr">
        <is>
          <t xml:space="preserve">… and case 5 (index tie)</t>
        </is>
      </c>
      <c r="E9" s="60" t="inlineStr">
        <is>
          <t xml:space="preserve">… and case 17 (two-class F)</t>
        </is>
      </c>
      <c r="F9" s="60" t="inlineStr">
        <is>
          <t xml:space="preserve">Show all 17 cases</t>
        </is>
      </c>
      <c r="G9" s="60" t="inlineStr">
        <is>
          <t xml:space="preserve">Conclusion</t>
        </is>
      </c>
    </row>
    <row r="10" ht="31" customHeight="1">
      <c r="A10" s="77">
        <v>6</v>
      </c>
      <c r="B10" s="104" t="inlineStr">
        <is>
          <t xml:space="preserve">1,594,722</t>
        </is>
      </c>
      <c r="C10" s="104" t="inlineStr">
        <is>
          <t xml:space="preserve">13,821</t>
        </is>
      </c>
      <c r="D10" s="104">
        <v>0</v>
      </c>
      <c r="E10" s="104">
        <v>0</v>
      </c>
      <c r="F10" s="104">
        <v>0</v>
      </c>
      <c r="G10" s="99" t="inlineStr">
        <is>
          <t xml:space="preserve">6 objects show the 14 branch cases, but never the index tie or a two-class validation set</t>
        </is>
      </c>
    </row>
    <row r="11" ht="22" customHeight="1">
      <c r="A11" s="77">
        <v>7</v>
      </c>
      <c r="B11" s="104" t="inlineStr">
        <is>
          <t xml:space="preserve">local search, 5 min</t>
        </is>
      </c>
      <c r="C11" s="104" t="inlineStr">
        <is>
          <t xml:space="preserve">—</t>
        </is>
      </c>
      <c r="D11" s="104" t="inlineStr">
        <is>
          <t xml:space="preserve">—</t>
        </is>
      </c>
      <c r="E11" s="104" t="inlineStr">
        <is>
          <t xml:space="preserve">—</t>
        </is>
      </c>
      <c r="F11" s="104" t="inlineStr">
        <is>
          <t xml:space="preserve">403 found</t>
        </is>
      </c>
      <c r="G11" s="90" t="inlineStr">
        <is>
          <t xml:space="preserve">N = 7 is the smallest sample with every case</t>
        </is>
      </c>
    </row>
    <row r="12"/>
    <row r="13">
      <c r="A13" s="58" t="inlineStr">
        <is>
          <t xml:space="preserve">Chosen objects (live)</t>
        </is>
      </c>
      <c r="B13" s="58"/>
      <c r="C13" s="58"/>
      <c r="D13" s="58"/>
      <c r="E13" s="58"/>
      <c r="F13" s="58"/>
      <c r="G13" s="58"/>
    </row>
    <row r="14" ht="34" customHeight="1">
      <c r="A14" s="60" t="inlineStr">
        <is>
          <t xml:space="preserve">№</t>
        </is>
      </c>
      <c r="B14" s="60" t="inlineStr">
        <is>
          <t xml:space="preserve">Source row</t>
        </is>
      </c>
      <c r="C14" s="60" t="inlineStr">
        <is>
          <t xml:space="preserve">Class</t>
        </is>
      </c>
      <c r="D14" s="60" t="inlineStr">
        <is>
          <t xml:space="preserve">Also in Heart-Disease (10, 13, 2) as</t>
        </is>
      </c>
      <c r="E14" s="60" t="inlineStr">
        <is>
          <t xml:space="preserve">Sample (live)</t>
        </is>
      </c>
      <c r="F14" s="60" t="inlineStr">
        <is>
          <t xml:space="preserve">Processed in iteration</t>
        </is>
      </c>
      <c r="G14" s="60" t="inlineStr">
        <is>
          <t xml:space="preserve">Case at processing</t>
        </is>
      </c>
    </row>
    <row r="15">
      <c r="A15" s="62" t="inlineStr">
        <is>
          <t xml:space="preserve">S₁</t>
        </is>
      </c>
      <c r="B15" s="78">
        <f>'Dataset'!B5</f>
        <v>1</v>
      </c>
      <c r="C15" s="68">
        <f>'Dataset'!P5</f>
        <v>2</v>
      </c>
      <c r="D15" s="101" t="str">
        <f>IF('Dataset'!B5=1,"S₁",IF('Dataset'!B5=10,"S₁₀",IF('Dataset'!B5&lt;=10,"S"&amp;'Dataset'!B5,"—")))</f>
        <v>S₁</v>
      </c>
      <c r="E15" s="85" t="str">
        <f>'Training &amp; Validation'!D5</f>
        <v>D · training</v>
      </c>
      <c r="F15" s="77">
        <f>'Training &amp; Validation'!E5</f>
        <v>1</v>
      </c>
      <c r="G15" s="101" t="str">
        <f>IF(ISNUMBER(F15),INDEX('ERDR Iterations'!$K:$K,5+26*(F15-1)+10),"never processed (moved to D before its turn)")</f>
        <v>|L| &gt; 1 → Step 5 corrects g</v>
      </c>
    </row>
    <row r="16">
      <c r="A16" s="62" t="inlineStr">
        <is>
          <t xml:space="preserve">S₂</t>
        </is>
      </c>
      <c r="B16" s="78">
        <f>'Dataset'!B6</f>
        <v>10</v>
      </c>
      <c r="C16" s="68">
        <f>'Dataset'!P6</f>
        <v>2</v>
      </c>
      <c r="D16" s="101" t="str">
        <f>IF('Dataset'!B6=1,"S₁",IF('Dataset'!B6=10,"S₁₀",IF('Dataset'!B6&lt;=10,"S"&amp;'Dataset'!B6,"—")))</f>
        <v>S₁₀</v>
      </c>
      <c r="E16" s="85" t="str">
        <f>'Training &amp; Validation'!D6</f>
        <v>D · training</v>
      </c>
      <c r="F16" s="77">
        <f>'Training &amp; Validation'!E6</f>
        <v>4</v>
      </c>
      <c r="G16" s="101" t="str">
        <f>IF(ISNUMBER(F16),INDEX('ERDR Iterations'!$K:$K,5+26*(F16-1)+10),"never processed (moved to D before its turn)")</f>
        <v>|L| = 1 → Sᵢ moves to D</v>
      </c>
    </row>
    <row r="17">
      <c r="A17" s="62" t="inlineStr">
        <is>
          <t xml:space="preserve">S₃</t>
        </is>
      </c>
      <c r="B17" s="78">
        <f>'Dataset'!B7</f>
        <v>73</v>
      </c>
      <c r="C17" s="68">
        <f>'Dataset'!P7</f>
        <v>1</v>
      </c>
      <c r="D17" s="101" t="str">
        <f>IF('Dataset'!B7=1,"S₁",IF('Dataset'!B7=10,"S₁₀",IF('Dataset'!B7&lt;=10,"S"&amp;'Dataset'!B7,"—")))</f>
        <v>—</v>
      </c>
      <c r="E17" s="85" t="str">
        <f>'Training &amp; Validation'!D7</f>
        <v>F · validation</v>
      </c>
      <c r="F17" s="77">
        <f>'Training &amp; Validation'!E7</f>
        <v>2</v>
      </c>
      <c r="G17" s="101" t="str">
        <f>IF(ISNUMBER(F17),INDEX('ERDR Iterations'!$K:$K,5+26*(F17-1)+10),"never processed (moved to D before its turn)")</f>
        <v>|L| &gt; 1 → Step 5 corrects g</v>
      </c>
    </row>
    <row r="18">
      <c r="A18" s="62" t="inlineStr">
        <is>
          <t xml:space="preserve">S₄</t>
        </is>
      </c>
      <c r="B18" s="78">
        <f>'Dataset'!B8</f>
        <v>143</v>
      </c>
      <c r="C18" s="68">
        <f>'Dataset'!P8</f>
        <v>2</v>
      </c>
      <c r="D18" s="101" t="str">
        <f>IF('Dataset'!B8=1,"S₁",IF('Dataset'!B8=10,"S₁₀",IF('Dataset'!B8&lt;=10,"S"&amp;'Dataset'!B8,"—")))</f>
        <v>—</v>
      </c>
      <c r="E18" s="85" t="str">
        <f>'Training &amp; Validation'!D8</f>
        <v>F · validation</v>
      </c>
      <c r="F18" s="77">
        <f>'Training &amp; Validation'!E8</f>
        <v>6</v>
      </c>
      <c r="G18" s="101" t="str">
        <f>IF(ISNUMBER(F18),INDEX('ERDR Iterations'!$K:$K,5+26*(F18-1)+10),"never processed (moved to D before its turn)")</f>
        <v>|L| = 0 → Sᵢ is only blocked and stays in F</v>
      </c>
    </row>
    <row r="19">
      <c r="A19" s="62" t="inlineStr">
        <is>
          <t xml:space="preserve">S₅</t>
        </is>
      </c>
      <c r="B19" s="78">
        <f>'Dataset'!B9</f>
        <v>224</v>
      </c>
      <c r="C19" s="68">
        <f>'Dataset'!P9</f>
        <v>2</v>
      </c>
      <c r="D19" s="101" t="str">
        <f>IF('Dataset'!B9=1,"S₁",IF('Dataset'!B9=10,"S₁₀",IF('Dataset'!B9&lt;=10,"S"&amp;'Dataset'!B9,"—")))</f>
        <v>—</v>
      </c>
      <c r="E19" s="85" t="str">
        <f>'Training &amp; Validation'!D9</f>
        <v>D · training</v>
      </c>
      <c r="F19" s="77">
        <f>'Training &amp; Validation'!E9</f>
        <v>3</v>
      </c>
      <c r="G19" s="101" t="str">
        <f>IF(ISNUMBER(F19),INDEX('ERDR Iterations'!$K:$K,5+26*(F19-1)+10),"never processed (moved to D before its turn)")</f>
        <v>|L| &gt; 1 → Step 5 corrects g</v>
      </c>
    </row>
    <row r="20">
      <c r="A20" s="62" t="inlineStr">
        <is>
          <t xml:space="preserve">S₆</t>
        </is>
      </c>
      <c r="B20" s="78">
        <f>'Dataset'!B10</f>
        <v>226</v>
      </c>
      <c r="C20" s="68">
        <f>'Dataset'!P10</f>
        <v>1</v>
      </c>
      <c r="D20" s="101" t="str">
        <f>IF('Dataset'!B10=1,"S₁",IF('Dataset'!B10=10,"S₁₀",IF('Dataset'!B10&lt;=10,"S"&amp;'Dataset'!B10,"—")))</f>
        <v>—</v>
      </c>
      <c r="E20" s="85" t="str">
        <f>'Training &amp; Validation'!D10</f>
        <v>D · training</v>
      </c>
      <c r="F20" s="77">
        <f>'Training &amp; Validation'!E10</f>
        <v>5</v>
      </c>
      <c r="G20" s="101" t="str">
        <f>IF(ISNUMBER(F20),INDEX('ERDR Iterations'!$K:$K,5+26*(F20-1)+10),"never processed (moved to D before its turn)")</f>
        <v>|L| = 1 → Sᵢ moves to D</v>
      </c>
    </row>
    <row r="21">
      <c r="A21" s="62" t="inlineStr">
        <is>
          <t xml:space="preserve">S₇</t>
        </is>
      </c>
      <c r="B21" s="78">
        <f>'Dataset'!B11</f>
        <v>239</v>
      </c>
      <c r="C21" s="68">
        <f>'Dataset'!P11</f>
        <v>1</v>
      </c>
      <c r="D21" s="101" t="str">
        <f>IF('Dataset'!B11=1,"S₁",IF('Dataset'!B11=10,"S₁₀",IF('Dataset'!B11&lt;=10,"S"&amp;'Dataset'!B11,"—")))</f>
        <v>—</v>
      </c>
      <c r="E21" s="85" t="str">
        <f>'Training &amp; Validation'!D11</f>
        <v>D · training</v>
      </c>
      <c r="F21" s="77" t="str">
        <f>'Training &amp; Validation'!E11</f>
        <v>—</v>
      </c>
      <c r="G21" s="101" t="str">
        <f>IF(ISNUMBER(F21),INDEX('ERDR Iterations'!$K:$K,5+26*(F21-1)+10),"never processed (moved to D before its turn)")</f>
        <v>never processed (moved to D before its turn)</v>
      </c>
    </row>
    <row r="22"/>
    <row r="23">
      <c r="A23" s="58" t="inlineStr">
        <is>
          <t xml:space="preserve">Why this subset among the 403 seven-object samples</t>
        </is>
      </c>
      <c r="B23" s="58"/>
      <c r="C23" s="58"/>
      <c r="D23" s="58"/>
      <c r="E23" s="58"/>
      <c r="F23" s="58"/>
      <c r="G23" s="58"/>
    </row>
    <row r="24" ht="20" customHeight="1">
      <c r="A24" s="102" t="inlineStr">
        <is>
          <t xml:space="preserve">•  every one of the 17 cases occurs, and each of the 6 iterations shows a different case (|L| &gt; 1 three times with different effects, |L| = 1 in both forms, |L| = 0);</t>
        </is>
      </c>
      <c r="B24" s="102"/>
      <c r="C24" s="102"/>
      <c r="D24" s="102"/>
      <c r="E24" s="102"/>
      <c r="F24" s="102"/>
      <c r="G24" s="102"/>
    </row>
    <row r="25" ht="20" customHeight="1">
      <c r="A25" s="102" t="inlineStr">
        <is>
          <t xml:space="preserve">•  each reading switch A, B, C changes the result on these objects, so the open points of the article are visible;</t>
        </is>
      </c>
      <c r="B25" s="102"/>
      <c r="C25" s="102"/>
      <c r="D25" s="102"/>
      <c r="E25" s="102"/>
      <c r="F25" s="102"/>
      <c r="G25" s="102"/>
    </row>
    <row r="26" ht="20" customHeight="1">
      <c r="A26" s="102" t="inlineStr">
        <is>
          <t xml:space="preserve">•  all ties are exact ties at d = 0 (z = r), the robust kind; the smallest gap between two different distances is 0.064, so there are no near-ties;</t>
        </is>
      </c>
      <c r="B26" s="102"/>
      <c r="C26" s="102"/>
      <c r="D26" s="102"/>
      <c r="E26" s="102"/>
      <c r="F26" s="102"/>
      <c r="G26" s="102"/>
    </row>
    <row r="27" ht="20" customHeight="1">
      <c r="A27" s="102" t="inlineStr">
        <is>
          <t xml:space="preserve">•  S₁ and S₂ are rows 1 and 10 — objects S₁ and S₁₀ of our earlier Heart-Disease (10, 13, 2) experiment.</t>
        </is>
      </c>
      <c r="B27" s="102"/>
      <c r="C27" s="102"/>
      <c r="D27" s="102"/>
      <c r="E27" s="102"/>
      <c r="F27" s="102"/>
      <c r="G27" s="102"/>
    </row>
    <row r="28"/>
    <row r="29">
      <c r="A29" s="58" t="inlineStr">
        <is>
          <t xml:space="preserve">For comparison</t>
        </is>
      </c>
      <c r="B29" s="58"/>
      <c r="C29" s="58"/>
      <c r="D29" s="58"/>
      <c r="E29" s="58"/>
      <c r="F29" s="58"/>
      <c r="G29" s="58"/>
    </row>
    <row r="30" ht="20" customHeight="1">
      <c r="A30" s="102" t="inlineStr">
        <is>
          <t xml:space="preserve">•  A 6-object sample, rows 2, 8, 9, 54, 76, 219: shows the 14 branch cases and two moves in one Step 5, but no index tie and its validation set is the single object of row 54.</t>
        </is>
      </c>
      <c r="B30" s="102"/>
      <c r="C30" s="102"/>
      <c r="D30" s="102"/>
      <c r="E30" s="102"/>
      <c r="F30" s="102"/>
      <c r="G30" s="102"/>
    </row>
    <row r="31" ht="20" customHeight="1">
      <c r="A31" s="102" t="inlineStr">
        <is>
          <t xml:space="preserve">•  Taking the first rows of the file instead: rows 1–15 are needed for the 14 branch cases, rows 1–102 for all 17 cases.</t>
        </is>
      </c>
      <c r="B31" s="102"/>
      <c r="C31" s="102"/>
      <c r="D31" s="102"/>
      <c r="E31" s="102"/>
      <c r="F31" s="102"/>
      <c r="G31" s="102"/>
    </row>
    <row r="32" ht="20" customHeight="1">
      <c r="A32" s="102" t="inlineStr">
        <is>
          <t xml:space="preserve">•  N = 6 is not proven impossible for all 17 cases (the 3 + 3 search space has 1.5·10¹¹ subsets); the evidence above comes from a local search that aimed at exactly these cases.</t>
        </is>
      </c>
      <c r="B32" s="102"/>
      <c r="C32" s="102"/>
      <c r="D32" s="102"/>
      <c r="E32" s="102"/>
      <c r="F32" s="102"/>
      <c r="G32" s="102"/>
    </row>
  </sheetData>
  <mergeCells count="16">
    <mergeCell ref="A1:G1"/>
    <mergeCell ref="A3:G3"/>
    <mergeCell ref="A4:G4"/>
    <mergeCell ref="A5:G5"/>
    <mergeCell ref="A6:G6"/>
    <mergeCell ref="A8:G8"/>
    <mergeCell ref="A13:G13"/>
    <mergeCell ref="A23:G23"/>
    <mergeCell ref="A24:G24"/>
    <mergeCell ref="A25:G25"/>
    <mergeCell ref="A26:G26"/>
    <mergeCell ref="A27:G27"/>
    <mergeCell ref="A29:G29"/>
    <mergeCell ref="A30:G30"/>
    <mergeCell ref="A31:G31"/>
    <mergeCell ref="A32:G32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5597"/>
    <pageSetUpPr fitToPage="1"/>
  </sheetPr>
  <dimension ref="A1:P283"/>
  <sheetViews>
    <sheetView showGridLines="0" zoomScale="100" zoomScaleNormal="100" workbookViewId="0">
      <pane ySplit="4" topLeftCell="A5" activePane="bottomLeft" state="frozen"/>
      <selection pane="bottomLeft" activeCell="A5" sqref="A5"/>
    </sheetView>
  </sheetViews>
  <sheetFormatPr defaultRowHeight="15.6"/>
  <cols>
    <col min="1" max="1" width="8.77734375" customWidth="1"/>
    <col min="2" max="14" width="9.77734375" customWidth="1"/>
    <col min="15" max="15" width="8.77734375" customWidth="1"/>
    <col min="16" max="16" width="13.77734375" customWidth="1"/>
  </cols>
  <sheetData>
    <row r="1" ht="22" customHeight="1">
      <c r="A1" s="57" t="inlineStr">
        <is>
          <t xml:space="preserve">Source dataset · Heart-Disease (270, 13, 2) — the complete original sample (input; the experiment reads the selected rows from here)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/>
    <row r="3">
      <c r="A3" s="58" t="inlineStr">
        <is>
          <t xml:space="preserve">All 270 objects: 13 features x₁ … x₁₃, the class (1 / 2) and, in the last row, the feature types (1 = quantitative, 0 = nominal) · the 7 selected objects are highlighted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>
      <c r="A4" s="60" t="inlineStr">
        <is>
          <t xml:space="preserve">Row</t>
        </is>
      </c>
      <c r="B4" s="60" t="inlineStr">
        <is>
          <t xml:space="preserve">x₁</t>
        </is>
      </c>
      <c r="C4" s="60" t="inlineStr">
        <is>
          <t xml:space="preserve">x₂</t>
        </is>
      </c>
      <c r="D4" s="60" t="inlineStr">
        <is>
          <t xml:space="preserve">x₃</t>
        </is>
      </c>
      <c r="E4" s="60" t="inlineStr">
        <is>
          <t xml:space="preserve">x₄</t>
        </is>
      </c>
      <c r="F4" s="60" t="inlineStr">
        <is>
          <t xml:space="preserve">x₅</t>
        </is>
      </c>
      <c r="G4" s="60" t="inlineStr">
        <is>
          <t xml:space="preserve">x₆</t>
        </is>
      </c>
      <c r="H4" s="60" t="inlineStr">
        <is>
          <t xml:space="preserve">x₇</t>
        </is>
      </c>
      <c r="I4" s="60" t="inlineStr">
        <is>
          <t xml:space="preserve">x₈</t>
        </is>
      </c>
      <c r="J4" s="60" t="inlineStr">
        <is>
          <t xml:space="preserve">x₉</t>
        </is>
      </c>
      <c r="K4" s="60" t="inlineStr">
        <is>
          <t xml:space="preserve">x₁₀</t>
        </is>
      </c>
      <c r="L4" s="60" t="inlineStr">
        <is>
          <t xml:space="preserve">x₁₁</t>
        </is>
      </c>
      <c r="M4" s="60" t="inlineStr">
        <is>
          <t xml:space="preserve">x₁₂</t>
        </is>
      </c>
      <c r="N4" s="60" t="inlineStr">
        <is>
          <t xml:space="preserve">x₁₃</t>
        </is>
      </c>
      <c r="O4" s="60" t="inlineStr">
        <is>
          <t xml:space="preserve">Class</t>
        </is>
      </c>
      <c r="P4" s="60" t="inlineStr">
        <is>
          <t xml:space="preserve">Selected as</t>
        </is>
      </c>
    </row>
    <row r="5">
      <c r="A5" s="62">
        <v>1</v>
      </c>
      <c r="B5" s="66">
        <v>70</v>
      </c>
      <c r="C5" s="67">
        <v>1</v>
      </c>
      <c r="D5" s="67">
        <v>4</v>
      </c>
      <c r="E5" s="66">
        <v>130</v>
      </c>
      <c r="F5" s="66">
        <v>322</v>
      </c>
      <c r="G5" s="67">
        <v>0</v>
      </c>
      <c r="H5" s="67">
        <v>2</v>
      </c>
      <c r="I5" s="66">
        <v>109</v>
      </c>
      <c r="J5" s="67">
        <v>0</v>
      </c>
      <c r="K5" s="66">
        <v>2.4</v>
      </c>
      <c r="L5" s="67">
        <v>2</v>
      </c>
      <c r="M5" s="66">
        <v>3</v>
      </c>
      <c r="N5" s="67">
        <v>3</v>
      </c>
      <c r="O5" s="68">
        <v>2</v>
      </c>
      <c r="P5" s="93" t="str">
        <f>IFERROR(CHOOSE(MATCH(A5,'Dataset'!$B$5:$B$11,0),"S₁","S₂","S₃","S₄","S₅","S₆","S₇"),"")</f>
        <v>S₁</v>
      </c>
    </row>
    <row r="6">
      <c r="A6" s="62">
        <v>2</v>
      </c>
      <c r="B6" s="66">
        <v>67</v>
      </c>
      <c r="C6" s="67">
        <v>0</v>
      </c>
      <c r="D6" s="67">
        <v>3</v>
      </c>
      <c r="E6" s="66">
        <v>115</v>
      </c>
      <c r="F6" s="66">
        <v>564</v>
      </c>
      <c r="G6" s="67">
        <v>0</v>
      </c>
      <c r="H6" s="67">
        <v>2</v>
      </c>
      <c r="I6" s="66">
        <v>160</v>
      </c>
      <c r="J6" s="67">
        <v>0</v>
      </c>
      <c r="K6" s="66">
        <v>1.6</v>
      </c>
      <c r="L6" s="67">
        <v>2</v>
      </c>
      <c r="M6" s="66">
        <v>0</v>
      </c>
      <c r="N6" s="67">
        <v>7</v>
      </c>
      <c r="O6" s="68">
        <v>1</v>
      </c>
      <c r="P6" s="93" t="str">
        <f>IFERROR(CHOOSE(MATCH(A6,'Dataset'!$B$5:$B$11,0),"S₁","S₂","S₃","S₄","S₅","S₆","S₇"),"")</f>
        <v/>
      </c>
    </row>
    <row r="7">
      <c r="A7" s="62">
        <v>3</v>
      </c>
      <c r="B7" s="66">
        <v>57</v>
      </c>
      <c r="C7" s="67">
        <v>1</v>
      </c>
      <c r="D7" s="67">
        <v>2</v>
      </c>
      <c r="E7" s="66">
        <v>124</v>
      </c>
      <c r="F7" s="66">
        <v>261</v>
      </c>
      <c r="G7" s="67">
        <v>0</v>
      </c>
      <c r="H7" s="67">
        <v>0</v>
      </c>
      <c r="I7" s="66">
        <v>141</v>
      </c>
      <c r="J7" s="67">
        <v>0</v>
      </c>
      <c r="K7" s="66">
        <v>0.3</v>
      </c>
      <c r="L7" s="67">
        <v>1</v>
      </c>
      <c r="M7" s="66">
        <v>0</v>
      </c>
      <c r="N7" s="67">
        <v>7</v>
      </c>
      <c r="O7" s="68">
        <v>2</v>
      </c>
      <c r="P7" s="93" t="str">
        <f>IFERROR(CHOOSE(MATCH(A7,'Dataset'!$B$5:$B$11,0),"S₁","S₂","S₃","S₄","S₅","S₆","S₇"),"")</f>
        <v/>
      </c>
    </row>
    <row r="8">
      <c r="A8" s="62">
        <v>4</v>
      </c>
      <c r="B8" s="66">
        <v>64</v>
      </c>
      <c r="C8" s="67">
        <v>1</v>
      </c>
      <c r="D8" s="67">
        <v>4</v>
      </c>
      <c r="E8" s="66">
        <v>128</v>
      </c>
      <c r="F8" s="66">
        <v>263</v>
      </c>
      <c r="G8" s="67">
        <v>0</v>
      </c>
      <c r="H8" s="67">
        <v>0</v>
      </c>
      <c r="I8" s="66">
        <v>105</v>
      </c>
      <c r="J8" s="67">
        <v>1</v>
      </c>
      <c r="K8" s="66">
        <v>0.2</v>
      </c>
      <c r="L8" s="67">
        <v>2</v>
      </c>
      <c r="M8" s="66">
        <v>1</v>
      </c>
      <c r="N8" s="67">
        <v>7</v>
      </c>
      <c r="O8" s="68">
        <v>1</v>
      </c>
      <c r="P8" s="93" t="str">
        <f>IFERROR(CHOOSE(MATCH(A8,'Dataset'!$B$5:$B$11,0),"S₁","S₂","S₃","S₄","S₅","S₆","S₇"),"")</f>
        <v/>
      </c>
    </row>
    <row r="9">
      <c r="A9" s="62">
        <v>5</v>
      </c>
      <c r="B9" s="66">
        <v>74</v>
      </c>
      <c r="C9" s="67">
        <v>0</v>
      </c>
      <c r="D9" s="67">
        <v>2</v>
      </c>
      <c r="E9" s="66">
        <v>120</v>
      </c>
      <c r="F9" s="66">
        <v>269</v>
      </c>
      <c r="G9" s="67">
        <v>0</v>
      </c>
      <c r="H9" s="67">
        <v>2</v>
      </c>
      <c r="I9" s="66">
        <v>121</v>
      </c>
      <c r="J9" s="67">
        <v>1</v>
      </c>
      <c r="K9" s="66">
        <v>0.2</v>
      </c>
      <c r="L9" s="67">
        <v>1</v>
      </c>
      <c r="M9" s="66">
        <v>1</v>
      </c>
      <c r="N9" s="67">
        <v>3</v>
      </c>
      <c r="O9" s="68">
        <v>1</v>
      </c>
      <c r="P9" s="93" t="str">
        <f>IFERROR(CHOOSE(MATCH(A9,'Dataset'!$B$5:$B$11,0),"S₁","S₂","S₃","S₄","S₅","S₆","S₇"),"")</f>
        <v/>
      </c>
    </row>
    <row r="10">
      <c r="A10" s="62">
        <v>6</v>
      </c>
      <c r="B10" s="66">
        <v>65</v>
      </c>
      <c r="C10" s="67">
        <v>1</v>
      </c>
      <c r="D10" s="67">
        <v>4</v>
      </c>
      <c r="E10" s="66">
        <v>120</v>
      </c>
      <c r="F10" s="66">
        <v>177</v>
      </c>
      <c r="G10" s="67">
        <v>0</v>
      </c>
      <c r="H10" s="67">
        <v>0</v>
      </c>
      <c r="I10" s="66">
        <v>140</v>
      </c>
      <c r="J10" s="67">
        <v>0</v>
      </c>
      <c r="K10" s="66">
        <v>0.4</v>
      </c>
      <c r="L10" s="67">
        <v>1</v>
      </c>
      <c r="M10" s="66">
        <v>0</v>
      </c>
      <c r="N10" s="67">
        <v>7</v>
      </c>
      <c r="O10" s="68">
        <v>1</v>
      </c>
      <c r="P10" s="93" t="str">
        <f>IFERROR(CHOOSE(MATCH(A10,'Dataset'!$B$5:$B$11,0),"S₁","S₂","S₃","S₄","S₅","S₆","S₇"),"")</f>
        <v/>
      </c>
    </row>
    <row r="11">
      <c r="A11" s="62">
        <v>7</v>
      </c>
      <c r="B11" s="66">
        <v>56</v>
      </c>
      <c r="C11" s="67">
        <v>1</v>
      </c>
      <c r="D11" s="67">
        <v>3</v>
      </c>
      <c r="E11" s="66">
        <v>130</v>
      </c>
      <c r="F11" s="66">
        <v>256</v>
      </c>
      <c r="G11" s="67">
        <v>1</v>
      </c>
      <c r="H11" s="67">
        <v>2</v>
      </c>
      <c r="I11" s="66">
        <v>142</v>
      </c>
      <c r="J11" s="67">
        <v>1</v>
      </c>
      <c r="K11" s="66">
        <v>0.6</v>
      </c>
      <c r="L11" s="67">
        <v>2</v>
      </c>
      <c r="M11" s="66">
        <v>1</v>
      </c>
      <c r="N11" s="67">
        <v>6</v>
      </c>
      <c r="O11" s="68">
        <v>2</v>
      </c>
      <c r="P11" s="93" t="str">
        <f>IFERROR(CHOOSE(MATCH(A11,'Dataset'!$B$5:$B$11,0),"S₁","S₂","S₃","S₄","S₅","S₆","S₇"),"")</f>
        <v/>
      </c>
    </row>
    <row r="12">
      <c r="A12" s="62">
        <v>8</v>
      </c>
      <c r="B12" s="66">
        <v>59</v>
      </c>
      <c r="C12" s="67">
        <v>1</v>
      </c>
      <c r="D12" s="67">
        <v>4</v>
      </c>
      <c r="E12" s="66">
        <v>110</v>
      </c>
      <c r="F12" s="66">
        <v>239</v>
      </c>
      <c r="G12" s="67">
        <v>0</v>
      </c>
      <c r="H12" s="67">
        <v>2</v>
      </c>
      <c r="I12" s="66">
        <v>142</v>
      </c>
      <c r="J12" s="67">
        <v>1</v>
      </c>
      <c r="K12" s="66">
        <v>1.2</v>
      </c>
      <c r="L12" s="67">
        <v>2</v>
      </c>
      <c r="M12" s="66">
        <v>1</v>
      </c>
      <c r="N12" s="67">
        <v>7</v>
      </c>
      <c r="O12" s="68">
        <v>2</v>
      </c>
      <c r="P12" s="93" t="str">
        <f>IFERROR(CHOOSE(MATCH(A12,'Dataset'!$B$5:$B$11,0),"S₁","S₂","S₃","S₄","S₅","S₆","S₇"),"")</f>
        <v/>
      </c>
    </row>
    <row r="13">
      <c r="A13" s="62">
        <v>9</v>
      </c>
      <c r="B13" s="66">
        <v>60</v>
      </c>
      <c r="C13" s="67">
        <v>1</v>
      </c>
      <c r="D13" s="67">
        <v>4</v>
      </c>
      <c r="E13" s="66">
        <v>140</v>
      </c>
      <c r="F13" s="66">
        <v>293</v>
      </c>
      <c r="G13" s="67">
        <v>0</v>
      </c>
      <c r="H13" s="67">
        <v>2</v>
      </c>
      <c r="I13" s="66">
        <v>170</v>
      </c>
      <c r="J13" s="67">
        <v>0</v>
      </c>
      <c r="K13" s="66">
        <v>1.2</v>
      </c>
      <c r="L13" s="67">
        <v>2</v>
      </c>
      <c r="M13" s="66">
        <v>2</v>
      </c>
      <c r="N13" s="67">
        <v>7</v>
      </c>
      <c r="O13" s="68">
        <v>2</v>
      </c>
      <c r="P13" s="93" t="str">
        <f>IFERROR(CHOOSE(MATCH(A13,'Dataset'!$B$5:$B$11,0),"S₁","S₂","S₃","S₄","S₅","S₆","S₇"),"")</f>
        <v/>
      </c>
    </row>
    <row r="14">
      <c r="A14" s="62">
        <v>10</v>
      </c>
      <c r="B14" s="66">
        <v>63</v>
      </c>
      <c r="C14" s="67">
        <v>0</v>
      </c>
      <c r="D14" s="67">
        <v>4</v>
      </c>
      <c r="E14" s="66">
        <v>150</v>
      </c>
      <c r="F14" s="66">
        <v>407</v>
      </c>
      <c r="G14" s="67">
        <v>0</v>
      </c>
      <c r="H14" s="67">
        <v>2</v>
      </c>
      <c r="I14" s="66">
        <v>154</v>
      </c>
      <c r="J14" s="67">
        <v>0</v>
      </c>
      <c r="K14" s="66">
        <v>4</v>
      </c>
      <c r="L14" s="67">
        <v>2</v>
      </c>
      <c r="M14" s="66">
        <v>3</v>
      </c>
      <c r="N14" s="67">
        <v>7</v>
      </c>
      <c r="O14" s="68">
        <v>2</v>
      </c>
      <c r="P14" s="93" t="str">
        <f>IFERROR(CHOOSE(MATCH(A14,'Dataset'!$B$5:$B$11,0),"S₁","S₂","S₃","S₄","S₅","S₆","S₇"),"")</f>
        <v>S₂</v>
      </c>
    </row>
    <row r="15">
      <c r="A15" s="62">
        <v>11</v>
      </c>
      <c r="B15" s="66">
        <v>59</v>
      </c>
      <c r="C15" s="67">
        <v>1</v>
      </c>
      <c r="D15" s="67">
        <v>4</v>
      </c>
      <c r="E15" s="66">
        <v>135</v>
      </c>
      <c r="F15" s="66">
        <v>234</v>
      </c>
      <c r="G15" s="67">
        <v>0</v>
      </c>
      <c r="H15" s="67">
        <v>0</v>
      </c>
      <c r="I15" s="66">
        <v>161</v>
      </c>
      <c r="J15" s="67">
        <v>0</v>
      </c>
      <c r="K15" s="66">
        <v>0.5</v>
      </c>
      <c r="L15" s="67">
        <v>2</v>
      </c>
      <c r="M15" s="66">
        <v>0</v>
      </c>
      <c r="N15" s="67">
        <v>7</v>
      </c>
      <c r="O15" s="68">
        <v>1</v>
      </c>
      <c r="P15" s="93" t="str">
        <f>IFERROR(CHOOSE(MATCH(A15,'Dataset'!$B$5:$B$11,0),"S₁","S₂","S₃","S₄","S₅","S₆","S₇"),"")</f>
        <v/>
      </c>
    </row>
    <row r="16">
      <c r="A16" s="62">
        <v>12</v>
      </c>
      <c r="B16" s="66">
        <v>53</v>
      </c>
      <c r="C16" s="67">
        <v>1</v>
      </c>
      <c r="D16" s="67">
        <v>4</v>
      </c>
      <c r="E16" s="66">
        <v>142</v>
      </c>
      <c r="F16" s="66">
        <v>226</v>
      </c>
      <c r="G16" s="67">
        <v>0</v>
      </c>
      <c r="H16" s="67">
        <v>2</v>
      </c>
      <c r="I16" s="66">
        <v>111</v>
      </c>
      <c r="J16" s="67">
        <v>1</v>
      </c>
      <c r="K16" s="66">
        <v>0</v>
      </c>
      <c r="L16" s="67">
        <v>1</v>
      </c>
      <c r="M16" s="66">
        <v>0</v>
      </c>
      <c r="N16" s="67">
        <v>7</v>
      </c>
      <c r="O16" s="68">
        <v>1</v>
      </c>
      <c r="P16" s="93" t="str">
        <f>IFERROR(CHOOSE(MATCH(A16,'Dataset'!$B$5:$B$11,0),"S₁","S₂","S₃","S₄","S₅","S₆","S₇"),"")</f>
        <v/>
      </c>
    </row>
    <row r="17">
      <c r="A17" s="62">
        <v>13</v>
      </c>
      <c r="B17" s="66">
        <v>44</v>
      </c>
      <c r="C17" s="67">
        <v>1</v>
      </c>
      <c r="D17" s="67">
        <v>3</v>
      </c>
      <c r="E17" s="66">
        <v>140</v>
      </c>
      <c r="F17" s="66">
        <v>235</v>
      </c>
      <c r="G17" s="67">
        <v>0</v>
      </c>
      <c r="H17" s="67">
        <v>2</v>
      </c>
      <c r="I17" s="66">
        <v>180</v>
      </c>
      <c r="J17" s="67">
        <v>0</v>
      </c>
      <c r="K17" s="66">
        <v>0</v>
      </c>
      <c r="L17" s="67">
        <v>1</v>
      </c>
      <c r="M17" s="66">
        <v>0</v>
      </c>
      <c r="N17" s="67">
        <v>3</v>
      </c>
      <c r="O17" s="68">
        <v>1</v>
      </c>
      <c r="P17" s="93" t="str">
        <f>IFERROR(CHOOSE(MATCH(A17,'Dataset'!$B$5:$B$11,0),"S₁","S₂","S₃","S₄","S₅","S₆","S₇"),"")</f>
        <v/>
      </c>
    </row>
    <row r="18">
      <c r="A18" s="62">
        <v>14</v>
      </c>
      <c r="B18" s="66">
        <v>61</v>
      </c>
      <c r="C18" s="67">
        <v>1</v>
      </c>
      <c r="D18" s="67">
        <v>1</v>
      </c>
      <c r="E18" s="66">
        <v>134</v>
      </c>
      <c r="F18" s="66">
        <v>234</v>
      </c>
      <c r="G18" s="67">
        <v>0</v>
      </c>
      <c r="H18" s="67">
        <v>0</v>
      </c>
      <c r="I18" s="66">
        <v>145</v>
      </c>
      <c r="J18" s="67">
        <v>0</v>
      </c>
      <c r="K18" s="66">
        <v>2.6</v>
      </c>
      <c r="L18" s="67">
        <v>2</v>
      </c>
      <c r="M18" s="66">
        <v>2</v>
      </c>
      <c r="N18" s="67">
        <v>3</v>
      </c>
      <c r="O18" s="68">
        <v>2</v>
      </c>
      <c r="P18" s="93" t="str">
        <f>IFERROR(CHOOSE(MATCH(A18,'Dataset'!$B$5:$B$11,0),"S₁","S₂","S₃","S₄","S₅","S₆","S₇"),"")</f>
        <v/>
      </c>
    </row>
    <row r="19">
      <c r="A19" s="62">
        <v>15</v>
      </c>
      <c r="B19" s="66">
        <v>57</v>
      </c>
      <c r="C19" s="67">
        <v>0</v>
      </c>
      <c r="D19" s="67">
        <v>4</v>
      </c>
      <c r="E19" s="66">
        <v>128</v>
      </c>
      <c r="F19" s="66">
        <v>303</v>
      </c>
      <c r="G19" s="67">
        <v>0</v>
      </c>
      <c r="H19" s="67">
        <v>2</v>
      </c>
      <c r="I19" s="66">
        <v>159</v>
      </c>
      <c r="J19" s="67">
        <v>0</v>
      </c>
      <c r="K19" s="66">
        <v>0</v>
      </c>
      <c r="L19" s="67">
        <v>1</v>
      </c>
      <c r="M19" s="66">
        <v>1</v>
      </c>
      <c r="N19" s="67">
        <v>3</v>
      </c>
      <c r="O19" s="68">
        <v>1</v>
      </c>
      <c r="P19" s="93" t="str">
        <f>IFERROR(CHOOSE(MATCH(A19,'Dataset'!$B$5:$B$11,0),"S₁","S₂","S₃","S₄","S₅","S₆","S₇"),"")</f>
        <v/>
      </c>
    </row>
    <row r="20">
      <c r="A20" s="62">
        <v>16</v>
      </c>
      <c r="B20" s="66">
        <v>71</v>
      </c>
      <c r="C20" s="67">
        <v>0</v>
      </c>
      <c r="D20" s="67">
        <v>4</v>
      </c>
      <c r="E20" s="66">
        <v>112</v>
      </c>
      <c r="F20" s="66">
        <v>149</v>
      </c>
      <c r="G20" s="67">
        <v>0</v>
      </c>
      <c r="H20" s="67">
        <v>0</v>
      </c>
      <c r="I20" s="66">
        <v>125</v>
      </c>
      <c r="J20" s="67">
        <v>0</v>
      </c>
      <c r="K20" s="66">
        <v>1.6</v>
      </c>
      <c r="L20" s="67">
        <v>2</v>
      </c>
      <c r="M20" s="66">
        <v>0</v>
      </c>
      <c r="N20" s="67">
        <v>3</v>
      </c>
      <c r="O20" s="68">
        <v>1</v>
      </c>
      <c r="P20" s="93" t="str">
        <f>IFERROR(CHOOSE(MATCH(A20,'Dataset'!$B$5:$B$11,0),"S₁","S₂","S₃","S₄","S₅","S₆","S₇"),"")</f>
        <v/>
      </c>
    </row>
    <row r="21">
      <c r="A21" s="62">
        <v>17</v>
      </c>
      <c r="B21" s="66">
        <v>46</v>
      </c>
      <c r="C21" s="67">
        <v>1</v>
      </c>
      <c r="D21" s="67">
        <v>4</v>
      </c>
      <c r="E21" s="66">
        <v>140</v>
      </c>
      <c r="F21" s="66">
        <v>311</v>
      </c>
      <c r="G21" s="67">
        <v>0</v>
      </c>
      <c r="H21" s="67">
        <v>0</v>
      </c>
      <c r="I21" s="66">
        <v>120</v>
      </c>
      <c r="J21" s="67">
        <v>1</v>
      </c>
      <c r="K21" s="66">
        <v>1.8</v>
      </c>
      <c r="L21" s="67">
        <v>2</v>
      </c>
      <c r="M21" s="66">
        <v>2</v>
      </c>
      <c r="N21" s="67">
        <v>7</v>
      </c>
      <c r="O21" s="68">
        <v>2</v>
      </c>
      <c r="P21" s="93" t="str">
        <f>IFERROR(CHOOSE(MATCH(A21,'Dataset'!$B$5:$B$11,0),"S₁","S₂","S₃","S₄","S₅","S₆","S₇"),"")</f>
        <v/>
      </c>
    </row>
    <row r="22">
      <c r="A22" s="62">
        <v>18</v>
      </c>
      <c r="B22" s="66">
        <v>53</v>
      </c>
      <c r="C22" s="67">
        <v>1</v>
      </c>
      <c r="D22" s="67">
        <v>4</v>
      </c>
      <c r="E22" s="66">
        <v>140</v>
      </c>
      <c r="F22" s="66">
        <v>203</v>
      </c>
      <c r="G22" s="67">
        <v>1</v>
      </c>
      <c r="H22" s="67">
        <v>2</v>
      </c>
      <c r="I22" s="66">
        <v>155</v>
      </c>
      <c r="J22" s="67">
        <v>1</v>
      </c>
      <c r="K22" s="66">
        <v>3.1</v>
      </c>
      <c r="L22" s="67">
        <v>3</v>
      </c>
      <c r="M22" s="66">
        <v>0</v>
      </c>
      <c r="N22" s="67">
        <v>7</v>
      </c>
      <c r="O22" s="68">
        <v>2</v>
      </c>
      <c r="P22" s="93" t="str">
        <f>IFERROR(CHOOSE(MATCH(A22,'Dataset'!$B$5:$B$11,0),"S₁","S₂","S₃","S₄","S₅","S₆","S₇"),"")</f>
        <v/>
      </c>
    </row>
    <row r="23">
      <c r="A23" s="62">
        <v>19</v>
      </c>
      <c r="B23" s="66">
        <v>64</v>
      </c>
      <c r="C23" s="67">
        <v>1</v>
      </c>
      <c r="D23" s="67">
        <v>1</v>
      </c>
      <c r="E23" s="66">
        <v>110</v>
      </c>
      <c r="F23" s="66">
        <v>211</v>
      </c>
      <c r="G23" s="67">
        <v>0</v>
      </c>
      <c r="H23" s="67">
        <v>2</v>
      </c>
      <c r="I23" s="66">
        <v>144</v>
      </c>
      <c r="J23" s="67">
        <v>1</v>
      </c>
      <c r="K23" s="66">
        <v>1.8</v>
      </c>
      <c r="L23" s="67">
        <v>2</v>
      </c>
      <c r="M23" s="66">
        <v>0</v>
      </c>
      <c r="N23" s="67">
        <v>3</v>
      </c>
      <c r="O23" s="68">
        <v>1</v>
      </c>
      <c r="P23" s="93" t="str">
        <f>IFERROR(CHOOSE(MATCH(A23,'Dataset'!$B$5:$B$11,0),"S₁","S₂","S₃","S₄","S₅","S₆","S₇"),"")</f>
        <v/>
      </c>
    </row>
    <row r="24">
      <c r="A24" s="62">
        <v>20</v>
      </c>
      <c r="B24" s="66">
        <v>40</v>
      </c>
      <c r="C24" s="67">
        <v>1</v>
      </c>
      <c r="D24" s="67">
        <v>1</v>
      </c>
      <c r="E24" s="66">
        <v>140</v>
      </c>
      <c r="F24" s="66">
        <v>199</v>
      </c>
      <c r="G24" s="67">
        <v>0</v>
      </c>
      <c r="H24" s="67">
        <v>0</v>
      </c>
      <c r="I24" s="66">
        <v>178</v>
      </c>
      <c r="J24" s="67">
        <v>1</v>
      </c>
      <c r="K24" s="66">
        <v>1.4</v>
      </c>
      <c r="L24" s="67">
        <v>1</v>
      </c>
      <c r="M24" s="66">
        <v>0</v>
      </c>
      <c r="N24" s="67">
        <v>7</v>
      </c>
      <c r="O24" s="68">
        <v>1</v>
      </c>
      <c r="P24" s="93" t="str">
        <f>IFERROR(CHOOSE(MATCH(A24,'Dataset'!$B$5:$B$11,0),"S₁","S₂","S₃","S₄","S₅","S₆","S₇"),"")</f>
        <v/>
      </c>
    </row>
    <row r="25">
      <c r="A25" s="62">
        <v>21</v>
      </c>
      <c r="B25" s="66">
        <v>67</v>
      </c>
      <c r="C25" s="67">
        <v>1</v>
      </c>
      <c r="D25" s="67">
        <v>4</v>
      </c>
      <c r="E25" s="66">
        <v>120</v>
      </c>
      <c r="F25" s="66">
        <v>229</v>
      </c>
      <c r="G25" s="67">
        <v>0</v>
      </c>
      <c r="H25" s="67">
        <v>2</v>
      </c>
      <c r="I25" s="66">
        <v>129</v>
      </c>
      <c r="J25" s="67">
        <v>1</v>
      </c>
      <c r="K25" s="66">
        <v>2.6</v>
      </c>
      <c r="L25" s="67">
        <v>2</v>
      </c>
      <c r="M25" s="66">
        <v>2</v>
      </c>
      <c r="N25" s="67">
        <v>7</v>
      </c>
      <c r="O25" s="68">
        <v>2</v>
      </c>
      <c r="P25" s="93" t="str">
        <f>IFERROR(CHOOSE(MATCH(A25,'Dataset'!$B$5:$B$11,0),"S₁","S₂","S₃","S₄","S₅","S₆","S₇"),"")</f>
        <v/>
      </c>
    </row>
    <row r="26">
      <c r="A26" s="62">
        <v>22</v>
      </c>
      <c r="B26" s="66">
        <v>48</v>
      </c>
      <c r="C26" s="67">
        <v>1</v>
      </c>
      <c r="D26" s="67">
        <v>2</v>
      </c>
      <c r="E26" s="66">
        <v>130</v>
      </c>
      <c r="F26" s="66">
        <v>245</v>
      </c>
      <c r="G26" s="67">
        <v>0</v>
      </c>
      <c r="H26" s="67">
        <v>2</v>
      </c>
      <c r="I26" s="66">
        <v>180</v>
      </c>
      <c r="J26" s="67">
        <v>0</v>
      </c>
      <c r="K26" s="66">
        <v>0.2</v>
      </c>
      <c r="L26" s="67">
        <v>2</v>
      </c>
      <c r="M26" s="66">
        <v>0</v>
      </c>
      <c r="N26" s="67">
        <v>3</v>
      </c>
      <c r="O26" s="68">
        <v>1</v>
      </c>
      <c r="P26" s="93" t="str">
        <f>IFERROR(CHOOSE(MATCH(A26,'Dataset'!$B$5:$B$11,0),"S₁","S₂","S₃","S₄","S₅","S₆","S₇"),"")</f>
        <v/>
      </c>
    </row>
    <row r="27">
      <c r="A27" s="62">
        <v>23</v>
      </c>
      <c r="B27" s="66">
        <v>43</v>
      </c>
      <c r="C27" s="67">
        <v>1</v>
      </c>
      <c r="D27" s="67">
        <v>4</v>
      </c>
      <c r="E27" s="66">
        <v>115</v>
      </c>
      <c r="F27" s="66">
        <v>303</v>
      </c>
      <c r="G27" s="67">
        <v>0</v>
      </c>
      <c r="H27" s="67">
        <v>0</v>
      </c>
      <c r="I27" s="66">
        <v>181</v>
      </c>
      <c r="J27" s="67">
        <v>0</v>
      </c>
      <c r="K27" s="66">
        <v>1.2</v>
      </c>
      <c r="L27" s="67">
        <v>2</v>
      </c>
      <c r="M27" s="66">
        <v>0</v>
      </c>
      <c r="N27" s="67">
        <v>3</v>
      </c>
      <c r="O27" s="68">
        <v>1</v>
      </c>
      <c r="P27" s="93" t="str">
        <f>IFERROR(CHOOSE(MATCH(A27,'Dataset'!$B$5:$B$11,0),"S₁","S₂","S₃","S₄","S₅","S₆","S₇"),"")</f>
        <v/>
      </c>
    </row>
    <row r="28">
      <c r="A28" s="62">
        <v>24</v>
      </c>
      <c r="B28" s="66">
        <v>47</v>
      </c>
      <c r="C28" s="67">
        <v>1</v>
      </c>
      <c r="D28" s="67">
        <v>4</v>
      </c>
      <c r="E28" s="66">
        <v>112</v>
      </c>
      <c r="F28" s="66">
        <v>204</v>
      </c>
      <c r="G28" s="67">
        <v>0</v>
      </c>
      <c r="H28" s="67">
        <v>0</v>
      </c>
      <c r="I28" s="66">
        <v>143</v>
      </c>
      <c r="J28" s="67">
        <v>0</v>
      </c>
      <c r="K28" s="66">
        <v>0.1</v>
      </c>
      <c r="L28" s="67">
        <v>1</v>
      </c>
      <c r="M28" s="66">
        <v>0</v>
      </c>
      <c r="N28" s="67">
        <v>3</v>
      </c>
      <c r="O28" s="68">
        <v>1</v>
      </c>
      <c r="P28" s="93" t="str">
        <f>IFERROR(CHOOSE(MATCH(A28,'Dataset'!$B$5:$B$11,0),"S₁","S₂","S₃","S₄","S₅","S₆","S₇"),"")</f>
        <v/>
      </c>
    </row>
    <row r="29">
      <c r="A29" s="62">
        <v>25</v>
      </c>
      <c r="B29" s="66">
        <v>54</v>
      </c>
      <c r="C29" s="67">
        <v>0</v>
      </c>
      <c r="D29" s="67">
        <v>2</v>
      </c>
      <c r="E29" s="66">
        <v>132</v>
      </c>
      <c r="F29" s="66">
        <v>288</v>
      </c>
      <c r="G29" s="67">
        <v>1</v>
      </c>
      <c r="H29" s="67">
        <v>2</v>
      </c>
      <c r="I29" s="66">
        <v>159</v>
      </c>
      <c r="J29" s="67">
        <v>1</v>
      </c>
      <c r="K29" s="66">
        <v>0</v>
      </c>
      <c r="L29" s="67">
        <v>1</v>
      </c>
      <c r="M29" s="66">
        <v>1</v>
      </c>
      <c r="N29" s="67">
        <v>3</v>
      </c>
      <c r="O29" s="68">
        <v>1</v>
      </c>
      <c r="P29" s="93" t="str">
        <f>IFERROR(CHOOSE(MATCH(A29,'Dataset'!$B$5:$B$11,0),"S₁","S₂","S₃","S₄","S₅","S₆","S₇"),"")</f>
        <v/>
      </c>
    </row>
    <row r="30">
      <c r="A30" s="62">
        <v>26</v>
      </c>
      <c r="B30" s="66">
        <v>48</v>
      </c>
      <c r="C30" s="67">
        <v>0</v>
      </c>
      <c r="D30" s="67">
        <v>3</v>
      </c>
      <c r="E30" s="66">
        <v>130</v>
      </c>
      <c r="F30" s="66">
        <v>275</v>
      </c>
      <c r="G30" s="67">
        <v>0</v>
      </c>
      <c r="H30" s="67">
        <v>0</v>
      </c>
      <c r="I30" s="66">
        <v>139</v>
      </c>
      <c r="J30" s="67">
        <v>0</v>
      </c>
      <c r="K30" s="66">
        <v>0.2</v>
      </c>
      <c r="L30" s="67">
        <v>1</v>
      </c>
      <c r="M30" s="66">
        <v>0</v>
      </c>
      <c r="N30" s="67">
        <v>3</v>
      </c>
      <c r="O30" s="68">
        <v>1</v>
      </c>
      <c r="P30" s="93" t="str">
        <f>IFERROR(CHOOSE(MATCH(A30,'Dataset'!$B$5:$B$11,0),"S₁","S₂","S₃","S₄","S₅","S₆","S₇"),"")</f>
        <v/>
      </c>
    </row>
    <row r="31">
      <c r="A31" s="62">
        <v>27</v>
      </c>
      <c r="B31" s="66">
        <v>46</v>
      </c>
      <c r="C31" s="67">
        <v>0</v>
      </c>
      <c r="D31" s="67">
        <v>4</v>
      </c>
      <c r="E31" s="66">
        <v>138</v>
      </c>
      <c r="F31" s="66">
        <v>243</v>
      </c>
      <c r="G31" s="67">
        <v>0</v>
      </c>
      <c r="H31" s="67">
        <v>2</v>
      </c>
      <c r="I31" s="66">
        <v>152</v>
      </c>
      <c r="J31" s="67">
        <v>1</v>
      </c>
      <c r="K31" s="66">
        <v>0</v>
      </c>
      <c r="L31" s="67">
        <v>2</v>
      </c>
      <c r="M31" s="66">
        <v>0</v>
      </c>
      <c r="N31" s="67">
        <v>3</v>
      </c>
      <c r="O31" s="68">
        <v>1</v>
      </c>
      <c r="P31" s="93" t="str">
        <f>IFERROR(CHOOSE(MATCH(A31,'Dataset'!$B$5:$B$11,0),"S₁","S₂","S₃","S₄","S₅","S₆","S₇"),"")</f>
        <v/>
      </c>
    </row>
    <row r="32">
      <c r="A32" s="62">
        <v>28</v>
      </c>
      <c r="B32" s="66">
        <v>51</v>
      </c>
      <c r="C32" s="67">
        <v>0</v>
      </c>
      <c r="D32" s="67">
        <v>3</v>
      </c>
      <c r="E32" s="66">
        <v>120</v>
      </c>
      <c r="F32" s="66">
        <v>295</v>
      </c>
      <c r="G32" s="67">
        <v>0</v>
      </c>
      <c r="H32" s="67">
        <v>2</v>
      </c>
      <c r="I32" s="66">
        <v>157</v>
      </c>
      <c r="J32" s="67">
        <v>0</v>
      </c>
      <c r="K32" s="66">
        <v>0.6</v>
      </c>
      <c r="L32" s="67">
        <v>1</v>
      </c>
      <c r="M32" s="66">
        <v>0</v>
      </c>
      <c r="N32" s="67">
        <v>3</v>
      </c>
      <c r="O32" s="68">
        <v>1</v>
      </c>
      <c r="P32" s="93" t="str">
        <f>IFERROR(CHOOSE(MATCH(A32,'Dataset'!$B$5:$B$11,0),"S₁","S₂","S₃","S₄","S₅","S₆","S₇"),"")</f>
        <v/>
      </c>
    </row>
    <row r="33">
      <c r="A33" s="62">
        <v>29</v>
      </c>
      <c r="B33" s="66">
        <v>58</v>
      </c>
      <c r="C33" s="67">
        <v>1</v>
      </c>
      <c r="D33" s="67">
        <v>3</v>
      </c>
      <c r="E33" s="66">
        <v>112</v>
      </c>
      <c r="F33" s="66">
        <v>230</v>
      </c>
      <c r="G33" s="67">
        <v>0</v>
      </c>
      <c r="H33" s="67">
        <v>2</v>
      </c>
      <c r="I33" s="66">
        <v>165</v>
      </c>
      <c r="J33" s="67">
        <v>0</v>
      </c>
      <c r="K33" s="66">
        <v>2.5</v>
      </c>
      <c r="L33" s="67">
        <v>2</v>
      </c>
      <c r="M33" s="66">
        <v>1</v>
      </c>
      <c r="N33" s="67">
        <v>7</v>
      </c>
      <c r="O33" s="68">
        <v>2</v>
      </c>
      <c r="P33" s="93" t="str">
        <f>IFERROR(CHOOSE(MATCH(A33,'Dataset'!$B$5:$B$11,0),"S₁","S₂","S₃","S₄","S₅","S₆","S₇"),"")</f>
        <v/>
      </c>
    </row>
    <row r="34">
      <c r="A34" s="62">
        <v>30</v>
      </c>
      <c r="B34" s="66">
        <v>71</v>
      </c>
      <c r="C34" s="67">
        <v>0</v>
      </c>
      <c r="D34" s="67">
        <v>3</v>
      </c>
      <c r="E34" s="66">
        <v>110</v>
      </c>
      <c r="F34" s="66">
        <v>265</v>
      </c>
      <c r="G34" s="67">
        <v>1</v>
      </c>
      <c r="H34" s="67">
        <v>2</v>
      </c>
      <c r="I34" s="66">
        <v>130</v>
      </c>
      <c r="J34" s="67">
        <v>0</v>
      </c>
      <c r="K34" s="66">
        <v>0</v>
      </c>
      <c r="L34" s="67">
        <v>1</v>
      </c>
      <c r="M34" s="66">
        <v>1</v>
      </c>
      <c r="N34" s="67">
        <v>3</v>
      </c>
      <c r="O34" s="68">
        <v>1</v>
      </c>
      <c r="P34" s="93" t="str">
        <f>IFERROR(CHOOSE(MATCH(A34,'Dataset'!$B$5:$B$11,0),"S₁","S₂","S₃","S₄","S₅","S₆","S₇"),"")</f>
        <v/>
      </c>
    </row>
    <row r="35">
      <c r="A35" s="62">
        <v>31</v>
      </c>
      <c r="B35" s="66">
        <v>57</v>
      </c>
      <c r="C35" s="67">
        <v>1</v>
      </c>
      <c r="D35" s="67">
        <v>3</v>
      </c>
      <c r="E35" s="66">
        <v>128</v>
      </c>
      <c r="F35" s="66">
        <v>229</v>
      </c>
      <c r="G35" s="67">
        <v>0</v>
      </c>
      <c r="H35" s="67">
        <v>2</v>
      </c>
      <c r="I35" s="66">
        <v>150</v>
      </c>
      <c r="J35" s="67">
        <v>0</v>
      </c>
      <c r="K35" s="66">
        <v>0.4</v>
      </c>
      <c r="L35" s="67">
        <v>2</v>
      </c>
      <c r="M35" s="66">
        <v>1</v>
      </c>
      <c r="N35" s="67">
        <v>7</v>
      </c>
      <c r="O35" s="68">
        <v>2</v>
      </c>
      <c r="P35" s="93" t="str">
        <f>IFERROR(CHOOSE(MATCH(A35,'Dataset'!$B$5:$B$11,0),"S₁","S₂","S₃","S₄","S₅","S₆","S₇"),"")</f>
        <v/>
      </c>
    </row>
    <row r="36">
      <c r="A36" s="62">
        <v>32</v>
      </c>
      <c r="B36" s="66">
        <v>66</v>
      </c>
      <c r="C36" s="67">
        <v>1</v>
      </c>
      <c r="D36" s="67">
        <v>4</v>
      </c>
      <c r="E36" s="66">
        <v>160</v>
      </c>
      <c r="F36" s="66">
        <v>228</v>
      </c>
      <c r="G36" s="67">
        <v>0</v>
      </c>
      <c r="H36" s="67">
        <v>2</v>
      </c>
      <c r="I36" s="66">
        <v>138</v>
      </c>
      <c r="J36" s="67">
        <v>0</v>
      </c>
      <c r="K36" s="66">
        <v>2.3</v>
      </c>
      <c r="L36" s="67">
        <v>1</v>
      </c>
      <c r="M36" s="66">
        <v>0</v>
      </c>
      <c r="N36" s="67">
        <v>6</v>
      </c>
      <c r="O36" s="68">
        <v>1</v>
      </c>
      <c r="P36" s="93" t="str">
        <f>IFERROR(CHOOSE(MATCH(A36,'Dataset'!$B$5:$B$11,0),"S₁","S₂","S₃","S₄","S₅","S₆","S₇"),"")</f>
        <v/>
      </c>
    </row>
    <row r="37">
      <c r="A37" s="62">
        <v>33</v>
      </c>
      <c r="B37" s="66">
        <v>37</v>
      </c>
      <c r="C37" s="67">
        <v>0</v>
      </c>
      <c r="D37" s="67">
        <v>3</v>
      </c>
      <c r="E37" s="66">
        <v>120</v>
      </c>
      <c r="F37" s="66">
        <v>215</v>
      </c>
      <c r="G37" s="67">
        <v>0</v>
      </c>
      <c r="H37" s="67">
        <v>0</v>
      </c>
      <c r="I37" s="66">
        <v>170</v>
      </c>
      <c r="J37" s="67">
        <v>0</v>
      </c>
      <c r="K37" s="66">
        <v>0</v>
      </c>
      <c r="L37" s="67">
        <v>1</v>
      </c>
      <c r="M37" s="66">
        <v>0</v>
      </c>
      <c r="N37" s="67">
        <v>3</v>
      </c>
      <c r="O37" s="68">
        <v>1</v>
      </c>
      <c r="P37" s="93" t="str">
        <f>IFERROR(CHOOSE(MATCH(A37,'Dataset'!$B$5:$B$11,0),"S₁","S₂","S₃","S₄","S₅","S₆","S₇"),"")</f>
        <v/>
      </c>
    </row>
    <row r="38">
      <c r="A38" s="62">
        <v>34</v>
      </c>
      <c r="B38" s="66">
        <v>59</v>
      </c>
      <c r="C38" s="67">
        <v>1</v>
      </c>
      <c r="D38" s="67">
        <v>4</v>
      </c>
      <c r="E38" s="66">
        <v>170</v>
      </c>
      <c r="F38" s="66">
        <v>326</v>
      </c>
      <c r="G38" s="67">
        <v>0</v>
      </c>
      <c r="H38" s="67">
        <v>2</v>
      </c>
      <c r="I38" s="66">
        <v>140</v>
      </c>
      <c r="J38" s="67">
        <v>1</v>
      </c>
      <c r="K38" s="66">
        <v>3.4</v>
      </c>
      <c r="L38" s="67">
        <v>3</v>
      </c>
      <c r="M38" s="66">
        <v>0</v>
      </c>
      <c r="N38" s="67">
        <v>7</v>
      </c>
      <c r="O38" s="68">
        <v>2</v>
      </c>
      <c r="P38" s="93" t="str">
        <f>IFERROR(CHOOSE(MATCH(A38,'Dataset'!$B$5:$B$11,0),"S₁","S₂","S₃","S₄","S₅","S₆","S₇"),"")</f>
        <v/>
      </c>
    </row>
    <row r="39">
      <c r="A39" s="62">
        <v>35</v>
      </c>
      <c r="B39" s="66">
        <v>50</v>
      </c>
      <c r="C39" s="67">
        <v>1</v>
      </c>
      <c r="D39" s="67">
        <v>4</v>
      </c>
      <c r="E39" s="66">
        <v>144</v>
      </c>
      <c r="F39" s="66">
        <v>200</v>
      </c>
      <c r="G39" s="67">
        <v>0</v>
      </c>
      <c r="H39" s="67">
        <v>2</v>
      </c>
      <c r="I39" s="66">
        <v>126</v>
      </c>
      <c r="J39" s="67">
        <v>1</v>
      </c>
      <c r="K39" s="66">
        <v>0.9</v>
      </c>
      <c r="L39" s="67">
        <v>2</v>
      </c>
      <c r="M39" s="66">
        <v>0</v>
      </c>
      <c r="N39" s="67">
        <v>7</v>
      </c>
      <c r="O39" s="68">
        <v>2</v>
      </c>
      <c r="P39" s="93" t="str">
        <f>IFERROR(CHOOSE(MATCH(A39,'Dataset'!$B$5:$B$11,0),"S₁","S₂","S₃","S₄","S₅","S₆","S₇"),"")</f>
        <v/>
      </c>
    </row>
    <row r="40">
      <c r="A40" s="62">
        <v>36</v>
      </c>
      <c r="B40" s="66">
        <v>48</v>
      </c>
      <c r="C40" s="67">
        <v>1</v>
      </c>
      <c r="D40" s="67">
        <v>4</v>
      </c>
      <c r="E40" s="66">
        <v>130</v>
      </c>
      <c r="F40" s="66">
        <v>256</v>
      </c>
      <c r="G40" s="67">
        <v>1</v>
      </c>
      <c r="H40" s="67">
        <v>2</v>
      </c>
      <c r="I40" s="66">
        <v>150</v>
      </c>
      <c r="J40" s="67">
        <v>1</v>
      </c>
      <c r="K40" s="66">
        <v>0</v>
      </c>
      <c r="L40" s="67">
        <v>1</v>
      </c>
      <c r="M40" s="66">
        <v>2</v>
      </c>
      <c r="N40" s="67">
        <v>7</v>
      </c>
      <c r="O40" s="68">
        <v>2</v>
      </c>
      <c r="P40" s="93" t="str">
        <f>IFERROR(CHOOSE(MATCH(A40,'Dataset'!$B$5:$B$11,0),"S₁","S₂","S₃","S₄","S₅","S₆","S₇"),"")</f>
        <v/>
      </c>
    </row>
    <row r="41">
      <c r="A41" s="62">
        <v>37</v>
      </c>
      <c r="B41" s="66">
        <v>61</v>
      </c>
      <c r="C41" s="67">
        <v>1</v>
      </c>
      <c r="D41" s="67">
        <v>4</v>
      </c>
      <c r="E41" s="66">
        <v>140</v>
      </c>
      <c r="F41" s="66">
        <v>207</v>
      </c>
      <c r="G41" s="67">
        <v>0</v>
      </c>
      <c r="H41" s="67">
        <v>2</v>
      </c>
      <c r="I41" s="66">
        <v>138</v>
      </c>
      <c r="J41" s="67">
        <v>1</v>
      </c>
      <c r="K41" s="66">
        <v>1.9</v>
      </c>
      <c r="L41" s="67">
        <v>1</v>
      </c>
      <c r="M41" s="66">
        <v>1</v>
      </c>
      <c r="N41" s="67">
        <v>7</v>
      </c>
      <c r="O41" s="68">
        <v>2</v>
      </c>
      <c r="P41" s="93" t="str">
        <f>IFERROR(CHOOSE(MATCH(A41,'Dataset'!$B$5:$B$11,0),"S₁","S₂","S₃","S₄","S₅","S₆","S₇"),"")</f>
        <v/>
      </c>
    </row>
    <row r="42">
      <c r="A42" s="62">
        <v>38</v>
      </c>
      <c r="B42" s="66">
        <v>59</v>
      </c>
      <c r="C42" s="67">
        <v>1</v>
      </c>
      <c r="D42" s="67">
        <v>1</v>
      </c>
      <c r="E42" s="66">
        <v>160</v>
      </c>
      <c r="F42" s="66">
        <v>273</v>
      </c>
      <c r="G42" s="67">
        <v>0</v>
      </c>
      <c r="H42" s="67">
        <v>2</v>
      </c>
      <c r="I42" s="66">
        <v>125</v>
      </c>
      <c r="J42" s="67">
        <v>0</v>
      </c>
      <c r="K42" s="66">
        <v>0</v>
      </c>
      <c r="L42" s="67">
        <v>1</v>
      </c>
      <c r="M42" s="66">
        <v>0</v>
      </c>
      <c r="N42" s="67">
        <v>3</v>
      </c>
      <c r="O42" s="68">
        <v>2</v>
      </c>
      <c r="P42" s="93" t="str">
        <f>IFERROR(CHOOSE(MATCH(A42,'Dataset'!$B$5:$B$11,0),"S₁","S₂","S₃","S₄","S₅","S₆","S₇"),"")</f>
        <v/>
      </c>
    </row>
    <row r="43">
      <c r="A43" s="62">
        <v>39</v>
      </c>
      <c r="B43" s="66">
        <v>42</v>
      </c>
      <c r="C43" s="67">
        <v>1</v>
      </c>
      <c r="D43" s="67">
        <v>3</v>
      </c>
      <c r="E43" s="66">
        <v>130</v>
      </c>
      <c r="F43" s="66">
        <v>180</v>
      </c>
      <c r="G43" s="67">
        <v>0</v>
      </c>
      <c r="H43" s="67">
        <v>0</v>
      </c>
      <c r="I43" s="66">
        <v>150</v>
      </c>
      <c r="J43" s="67">
        <v>0</v>
      </c>
      <c r="K43" s="66">
        <v>0</v>
      </c>
      <c r="L43" s="67">
        <v>1</v>
      </c>
      <c r="M43" s="66">
        <v>0</v>
      </c>
      <c r="N43" s="67">
        <v>3</v>
      </c>
      <c r="O43" s="68">
        <v>1</v>
      </c>
      <c r="P43" s="93" t="str">
        <f>IFERROR(CHOOSE(MATCH(A43,'Dataset'!$B$5:$B$11,0),"S₁","S₂","S₃","S₄","S₅","S₆","S₇"),"")</f>
        <v/>
      </c>
    </row>
    <row r="44">
      <c r="A44" s="62">
        <v>40</v>
      </c>
      <c r="B44" s="66">
        <v>48</v>
      </c>
      <c r="C44" s="67">
        <v>1</v>
      </c>
      <c r="D44" s="67">
        <v>4</v>
      </c>
      <c r="E44" s="66">
        <v>122</v>
      </c>
      <c r="F44" s="66">
        <v>222</v>
      </c>
      <c r="G44" s="67">
        <v>0</v>
      </c>
      <c r="H44" s="67">
        <v>2</v>
      </c>
      <c r="I44" s="66">
        <v>186</v>
      </c>
      <c r="J44" s="67">
        <v>0</v>
      </c>
      <c r="K44" s="66">
        <v>0</v>
      </c>
      <c r="L44" s="67">
        <v>1</v>
      </c>
      <c r="M44" s="66">
        <v>0</v>
      </c>
      <c r="N44" s="67">
        <v>3</v>
      </c>
      <c r="O44" s="68">
        <v>1</v>
      </c>
      <c r="P44" s="93" t="str">
        <f>IFERROR(CHOOSE(MATCH(A44,'Dataset'!$B$5:$B$11,0),"S₁","S₂","S₃","S₄","S₅","S₆","S₇"),"")</f>
        <v/>
      </c>
    </row>
    <row r="45">
      <c r="A45" s="62">
        <v>41</v>
      </c>
      <c r="B45" s="66">
        <v>40</v>
      </c>
      <c r="C45" s="67">
        <v>1</v>
      </c>
      <c r="D45" s="67">
        <v>4</v>
      </c>
      <c r="E45" s="66">
        <v>152</v>
      </c>
      <c r="F45" s="66">
        <v>223</v>
      </c>
      <c r="G45" s="67">
        <v>0</v>
      </c>
      <c r="H45" s="67">
        <v>0</v>
      </c>
      <c r="I45" s="66">
        <v>181</v>
      </c>
      <c r="J45" s="67">
        <v>0</v>
      </c>
      <c r="K45" s="66">
        <v>0</v>
      </c>
      <c r="L45" s="67">
        <v>1</v>
      </c>
      <c r="M45" s="66">
        <v>0</v>
      </c>
      <c r="N45" s="67">
        <v>7</v>
      </c>
      <c r="O45" s="68">
        <v>2</v>
      </c>
      <c r="P45" s="93" t="str">
        <f>IFERROR(CHOOSE(MATCH(A45,'Dataset'!$B$5:$B$11,0),"S₁","S₂","S₃","S₄","S₅","S₆","S₇"),"")</f>
        <v/>
      </c>
    </row>
    <row r="46">
      <c r="A46" s="62">
        <v>42</v>
      </c>
      <c r="B46" s="66">
        <v>62</v>
      </c>
      <c r="C46" s="67">
        <v>0</v>
      </c>
      <c r="D46" s="67">
        <v>4</v>
      </c>
      <c r="E46" s="66">
        <v>124</v>
      </c>
      <c r="F46" s="66">
        <v>209</v>
      </c>
      <c r="G46" s="67">
        <v>0</v>
      </c>
      <c r="H46" s="67">
        <v>0</v>
      </c>
      <c r="I46" s="66">
        <v>163</v>
      </c>
      <c r="J46" s="67">
        <v>0</v>
      </c>
      <c r="K46" s="66">
        <v>0</v>
      </c>
      <c r="L46" s="67">
        <v>1</v>
      </c>
      <c r="M46" s="66">
        <v>0</v>
      </c>
      <c r="N46" s="67">
        <v>3</v>
      </c>
      <c r="O46" s="68">
        <v>1</v>
      </c>
      <c r="P46" s="93" t="str">
        <f>IFERROR(CHOOSE(MATCH(A46,'Dataset'!$B$5:$B$11,0),"S₁","S₂","S₃","S₄","S₅","S₆","S₇"),"")</f>
        <v/>
      </c>
    </row>
    <row r="47">
      <c r="A47" s="62">
        <v>43</v>
      </c>
      <c r="B47" s="66">
        <v>44</v>
      </c>
      <c r="C47" s="67">
        <v>1</v>
      </c>
      <c r="D47" s="67">
        <v>3</v>
      </c>
      <c r="E47" s="66">
        <v>130</v>
      </c>
      <c r="F47" s="66">
        <v>233</v>
      </c>
      <c r="G47" s="67">
        <v>0</v>
      </c>
      <c r="H47" s="67">
        <v>0</v>
      </c>
      <c r="I47" s="66">
        <v>179</v>
      </c>
      <c r="J47" s="67">
        <v>1</v>
      </c>
      <c r="K47" s="66">
        <v>0.4</v>
      </c>
      <c r="L47" s="67">
        <v>1</v>
      </c>
      <c r="M47" s="66">
        <v>0</v>
      </c>
      <c r="N47" s="67">
        <v>3</v>
      </c>
      <c r="O47" s="68">
        <v>1</v>
      </c>
      <c r="P47" s="93" t="str">
        <f>IFERROR(CHOOSE(MATCH(A47,'Dataset'!$B$5:$B$11,0),"S₁","S₂","S₃","S₄","S₅","S₆","S₇"),"")</f>
        <v/>
      </c>
    </row>
    <row r="48">
      <c r="A48" s="62">
        <v>44</v>
      </c>
      <c r="B48" s="66">
        <v>46</v>
      </c>
      <c r="C48" s="67">
        <v>1</v>
      </c>
      <c r="D48" s="67">
        <v>2</v>
      </c>
      <c r="E48" s="66">
        <v>101</v>
      </c>
      <c r="F48" s="66">
        <v>197</v>
      </c>
      <c r="G48" s="67">
        <v>1</v>
      </c>
      <c r="H48" s="67">
        <v>0</v>
      </c>
      <c r="I48" s="66">
        <v>156</v>
      </c>
      <c r="J48" s="67">
        <v>0</v>
      </c>
      <c r="K48" s="66">
        <v>0</v>
      </c>
      <c r="L48" s="67">
        <v>1</v>
      </c>
      <c r="M48" s="66">
        <v>0</v>
      </c>
      <c r="N48" s="67">
        <v>7</v>
      </c>
      <c r="O48" s="68">
        <v>1</v>
      </c>
      <c r="P48" s="93" t="str">
        <f>IFERROR(CHOOSE(MATCH(A48,'Dataset'!$B$5:$B$11,0),"S₁","S₂","S₃","S₄","S₅","S₆","S₇"),"")</f>
        <v/>
      </c>
    </row>
    <row r="49">
      <c r="A49" s="62">
        <v>45</v>
      </c>
      <c r="B49" s="66">
        <v>59</v>
      </c>
      <c r="C49" s="67">
        <v>1</v>
      </c>
      <c r="D49" s="67">
        <v>3</v>
      </c>
      <c r="E49" s="66">
        <v>126</v>
      </c>
      <c r="F49" s="66">
        <v>218</v>
      </c>
      <c r="G49" s="67">
        <v>1</v>
      </c>
      <c r="H49" s="67">
        <v>0</v>
      </c>
      <c r="I49" s="66">
        <v>134</v>
      </c>
      <c r="J49" s="67">
        <v>0</v>
      </c>
      <c r="K49" s="66">
        <v>2.2</v>
      </c>
      <c r="L49" s="67">
        <v>2</v>
      </c>
      <c r="M49" s="66">
        <v>1</v>
      </c>
      <c r="N49" s="67">
        <v>6</v>
      </c>
      <c r="O49" s="68">
        <v>2</v>
      </c>
      <c r="P49" s="93" t="str">
        <f>IFERROR(CHOOSE(MATCH(A49,'Dataset'!$B$5:$B$11,0),"S₁","S₂","S₃","S₄","S₅","S₆","S₇"),"")</f>
        <v/>
      </c>
    </row>
    <row r="50">
      <c r="A50" s="62">
        <v>46</v>
      </c>
      <c r="B50" s="66">
        <v>58</v>
      </c>
      <c r="C50" s="67">
        <v>1</v>
      </c>
      <c r="D50" s="67">
        <v>3</v>
      </c>
      <c r="E50" s="66">
        <v>140</v>
      </c>
      <c r="F50" s="66">
        <v>211</v>
      </c>
      <c r="G50" s="67">
        <v>1</v>
      </c>
      <c r="H50" s="67">
        <v>2</v>
      </c>
      <c r="I50" s="66">
        <v>165</v>
      </c>
      <c r="J50" s="67">
        <v>0</v>
      </c>
      <c r="K50" s="66">
        <v>0</v>
      </c>
      <c r="L50" s="67">
        <v>1</v>
      </c>
      <c r="M50" s="66">
        <v>0</v>
      </c>
      <c r="N50" s="67">
        <v>3</v>
      </c>
      <c r="O50" s="68">
        <v>1</v>
      </c>
      <c r="P50" s="93" t="str">
        <f>IFERROR(CHOOSE(MATCH(A50,'Dataset'!$B$5:$B$11,0),"S₁","S₂","S₃","S₄","S₅","S₆","S₇"),"")</f>
        <v/>
      </c>
    </row>
    <row r="51">
      <c r="A51" s="62">
        <v>47</v>
      </c>
      <c r="B51" s="66">
        <v>49</v>
      </c>
      <c r="C51" s="67">
        <v>1</v>
      </c>
      <c r="D51" s="67">
        <v>3</v>
      </c>
      <c r="E51" s="66">
        <v>118</v>
      </c>
      <c r="F51" s="66">
        <v>149</v>
      </c>
      <c r="G51" s="67">
        <v>0</v>
      </c>
      <c r="H51" s="67">
        <v>2</v>
      </c>
      <c r="I51" s="66">
        <v>126</v>
      </c>
      <c r="J51" s="67">
        <v>0</v>
      </c>
      <c r="K51" s="66">
        <v>0.8</v>
      </c>
      <c r="L51" s="67">
        <v>1</v>
      </c>
      <c r="M51" s="66">
        <v>3</v>
      </c>
      <c r="N51" s="67">
        <v>3</v>
      </c>
      <c r="O51" s="68">
        <v>2</v>
      </c>
      <c r="P51" s="93" t="str">
        <f>IFERROR(CHOOSE(MATCH(A51,'Dataset'!$B$5:$B$11,0),"S₁","S₂","S₃","S₄","S₅","S₆","S₇"),"")</f>
        <v/>
      </c>
    </row>
    <row r="52">
      <c r="A52" s="62">
        <v>48</v>
      </c>
      <c r="B52" s="66">
        <v>44</v>
      </c>
      <c r="C52" s="67">
        <v>1</v>
      </c>
      <c r="D52" s="67">
        <v>4</v>
      </c>
      <c r="E52" s="66">
        <v>110</v>
      </c>
      <c r="F52" s="66">
        <v>197</v>
      </c>
      <c r="G52" s="67">
        <v>0</v>
      </c>
      <c r="H52" s="67">
        <v>2</v>
      </c>
      <c r="I52" s="66">
        <v>177</v>
      </c>
      <c r="J52" s="67">
        <v>0</v>
      </c>
      <c r="K52" s="66">
        <v>0</v>
      </c>
      <c r="L52" s="67">
        <v>1</v>
      </c>
      <c r="M52" s="66">
        <v>1</v>
      </c>
      <c r="N52" s="67">
        <v>3</v>
      </c>
      <c r="O52" s="68">
        <v>2</v>
      </c>
      <c r="P52" s="93" t="str">
        <f>IFERROR(CHOOSE(MATCH(A52,'Dataset'!$B$5:$B$11,0),"S₁","S₂","S₃","S₄","S₅","S₆","S₇"),"")</f>
        <v/>
      </c>
    </row>
    <row r="53">
      <c r="A53" s="62">
        <v>49</v>
      </c>
      <c r="B53" s="66">
        <v>66</v>
      </c>
      <c r="C53" s="67">
        <v>1</v>
      </c>
      <c r="D53" s="67">
        <v>2</v>
      </c>
      <c r="E53" s="66">
        <v>160</v>
      </c>
      <c r="F53" s="66">
        <v>246</v>
      </c>
      <c r="G53" s="67">
        <v>0</v>
      </c>
      <c r="H53" s="67">
        <v>0</v>
      </c>
      <c r="I53" s="66">
        <v>120</v>
      </c>
      <c r="J53" s="67">
        <v>1</v>
      </c>
      <c r="K53" s="66">
        <v>0</v>
      </c>
      <c r="L53" s="67">
        <v>2</v>
      </c>
      <c r="M53" s="66">
        <v>3</v>
      </c>
      <c r="N53" s="67">
        <v>6</v>
      </c>
      <c r="O53" s="68">
        <v>2</v>
      </c>
      <c r="P53" s="93" t="str">
        <f>IFERROR(CHOOSE(MATCH(A53,'Dataset'!$B$5:$B$11,0),"S₁","S₂","S₃","S₄","S₅","S₆","S₇"),"")</f>
        <v/>
      </c>
    </row>
    <row r="54">
      <c r="A54" s="62">
        <v>50</v>
      </c>
      <c r="B54" s="66">
        <v>65</v>
      </c>
      <c r="C54" s="67">
        <v>0</v>
      </c>
      <c r="D54" s="67">
        <v>4</v>
      </c>
      <c r="E54" s="66">
        <v>150</v>
      </c>
      <c r="F54" s="66">
        <v>225</v>
      </c>
      <c r="G54" s="67">
        <v>0</v>
      </c>
      <c r="H54" s="67">
        <v>2</v>
      </c>
      <c r="I54" s="66">
        <v>114</v>
      </c>
      <c r="J54" s="67">
        <v>0</v>
      </c>
      <c r="K54" s="66">
        <v>1</v>
      </c>
      <c r="L54" s="67">
        <v>2</v>
      </c>
      <c r="M54" s="66">
        <v>3</v>
      </c>
      <c r="N54" s="67">
        <v>7</v>
      </c>
      <c r="O54" s="68">
        <v>2</v>
      </c>
      <c r="P54" s="93" t="str">
        <f>IFERROR(CHOOSE(MATCH(A54,'Dataset'!$B$5:$B$11,0),"S₁","S₂","S₃","S₄","S₅","S₆","S₇"),"")</f>
        <v/>
      </c>
    </row>
    <row r="55">
      <c r="A55" s="62">
        <v>51</v>
      </c>
      <c r="B55" s="66">
        <v>42</v>
      </c>
      <c r="C55" s="67">
        <v>1</v>
      </c>
      <c r="D55" s="67">
        <v>4</v>
      </c>
      <c r="E55" s="66">
        <v>136</v>
      </c>
      <c r="F55" s="66">
        <v>315</v>
      </c>
      <c r="G55" s="67">
        <v>0</v>
      </c>
      <c r="H55" s="67">
        <v>0</v>
      </c>
      <c r="I55" s="66">
        <v>125</v>
      </c>
      <c r="J55" s="67">
        <v>1</v>
      </c>
      <c r="K55" s="66">
        <v>1.8</v>
      </c>
      <c r="L55" s="67">
        <v>2</v>
      </c>
      <c r="M55" s="66">
        <v>0</v>
      </c>
      <c r="N55" s="67">
        <v>6</v>
      </c>
      <c r="O55" s="68">
        <v>2</v>
      </c>
      <c r="P55" s="93" t="str">
        <f>IFERROR(CHOOSE(MATCH(A55,'Dataset'!$B$5:$B$11,0),"S₁","S₂","S₃","S₄","S₅","S₆","S₇"),"")</f>
        <v/>
      </c>
    </row>
    <row r="56">
      <c r="A56" s="62">
        <v>52</v>
      </c>
      <c r="B56" s="66">
        <v>52</v>
      </c>
      <c r="C56" s="67">
        <v>1</v>
      </c>
      <c r="D56" s="67">
        <v>2</v>
      </c>
      <c r="E56" s="66">
        <v>128</v>
      </c>
      <c r="F56" s="66">
        <v>205</v>
      </c>
      <c r="G56" s="67">
        <v>1</v>
      </c>
      <c r="H56" s="67">
        <v>0</v>
      </c>
      <c r="I56" s="66">
        <v>184</v>
      </c>
      <c r="J56" s="67">
        <v>0</v>
      </c>
      <c r="K56" s="66">
        <v>0</v>
      </c>
      <c r="L56" s="67">
        <v>1</v>
      </c>
      <c r="M56" s="66">
        <v>0</v>
      </c>
      <c r="N56" s="67">
        <v>3</v>
      </c>
      <c r="O56" s="68">
        <v>1</v>
      </c>
      <c r="P56" s="93" t="str">
        <f>IFERROR(CHOOSE(MATCH(A56,'Dataset'!$B$5:$B$11,0),"S₁","S₂","S₃","S₄","S₅","S₆","S₇"),"")</f>
        <v/>
      </c>
    </row>
    <row r="57">
      <c r="A57" s="62">
        <v>53</v>
      </c>
      <c r="B57" s="66">
        <v>65</v>
      </c>
      <c r="C57" s="67">
        <v>0</v>
      </c>
      <c r="D57" s="67">
        <v>3</v>
      </c>
      <c r="E57" s="66">
        <v>140</v>
      </c>
      <c r="F57" s="66">
        <v>417</v>
      </c>
      <c r="G57" s="67">
        <v>1</v>
      </c>
      <c r="H57" s="67">
        <v>2</v>
      </c>
      <c r="I57" s="66">
        <v>157</v>
      </c>
      <c r="J57" s="67">
        <v>0</v>
      </c>
      <c r="K57" s="66">
        <v>0.8</v>
      </c>
      <c r="L57" s="67">
        <v>1</v>
      </c>
      <c r="M57" s="66">
        <v>1</v>
      </c>
      <c r="N57" s="67">
        <v>3</v>
      </c>
      <c r="O57" s="68">
        <v>1</v>
      </c>
      <c r="P57" s="93" t="str">
        <f>IFERROR(CHOOSE(MATCH(A57,'Dataset'!$B$5:$B$11,0),"S₁","S₂","S₃","S₄","S₅","S₆","S₇"),"")</f>
        <v/>
      </c>
    </row>
    <row r="58">
      <c r="A58" s="62">
        <v>54</v>
      </c>
      <c r="B58" s="66">
        <v>63</v>
      </c>
      <c r="C58" s="67">
        <v>0</v>
      </c>
      <c r="D58" s="67">
        <v>2</v>
      </c>
      <c r="E58" s="66">
        <v>140</v>
      </c>
      <c r="F58" s="66">
        <v>195</v>
      </c>
      <c r="G58" s="67">
        <v>0</v>
      </c>
      <c r="H58" s="67">
        <v>0</v>
      </c>
      <c r="I58" s="66">
        <v>179</v>
      </c>
      <c r="J58" s="67">
        <v>0</v>
      </c>
      <c r="K58" s="66">
        <v>0</v>
      </c>
      <c r="L58" s="67">
        <v>1</v>
      </c>
      <c r="M58" s="66">
        <v>2</v>
      </c>
      <c r="N58" s="67">
        <v>3</v>
      </c>
      <c r="O58" s="68">
        <v>1</v>
      </c>
      <c r="P58" s="93" t="str">
        <f>IFERROR(CHOOSE(MATCH(A58,'Dataset'!$B$5:$B$11,0),"S₁","S₂","S₃","S₄","S₅","S₆","S₇"),"")</f>
        <v/>
      </c>
    </row>
    <row r="59">
      <c r="A59" s="62">
        <v>55</v>
      </c>
      <c r="B59" s="66">
        <v>45</v>
      </c>
      <c r="C59" s="67">
        <v>0</v>
      </c>
      <c r="D59" s="67">
        <v>2</v>
      </c>
      <c r="E59" s="66">
        <v>130</v>
      </c>
      <c r="F59" s="66">
        <v>234</v>
      </c>
      <c r="G59" s="67">
        <v>0</v>
      </c>
      <c r="H59" s="67">
        <v>2</v>
      </c>
      <c r="I59" s="66">
        <v>175</v>
      </c>
      <c r="J59" s="67">
        <v>0</v>
      </c>
      <c r="K59" s="66">
        <v>0.6</v>
      </c>
      <c r="L59" s="67">
        <v>2</v>
      </c>
      <c r="M59" s="66">
        <v>0</v>
      </c>
      <c r="N59" s="67">
        <v>3</v>
      </c>
      <c r="O59" s="68">
        <v>1</v>
      </c>
      <c r="P59" s="93" t="str">
        <f>IFERROR(CHOOSE(MATCH(A59,'Dataset'!$B$5:$B$11,0),"S₁","S₂","S₃","S₄","S₅","S₆","S₇"),"")</f>
        <v/>
      </c>
    </row>
    <row r="60">
      <c r="A60" s="62">
        <v>56</v>
      </c>
      <c r="B60" s="66">
        <v>41</v>
      </c>
      <c r="C60" s="67">
        <v>0</v>
      </c>
      <c r="D60" s="67">
        <v>2</v>
      </c>
      <c r="E60" s="66">
        <v>105</v>
      </c>
      <c r="F60" s="66">
        <v>198</v>
      </c>
      <c r="G60" s="67">
        <v>0</v>
      </c>
      <c r="H60" s="67">
        <v>0</v>
      </c>
      <c r="I60" s="66">
        <v>168</v>
      </c>
      <c r="J60" s="67">
        <v>0</v>
      </c>
      <c r="K60" s="66">
        <v>0</v>
      </c>
      <c r="L60" s="67">
        <v>1</v>
      </c>
      <c r="M60" s="66">
        <v>1</v>
      </c>
      <c r="N60" s="67">
        <v>3</v>
      </c>
      <c r="O60" s="68">
        <v>1</v>
      </c>
      <c r="P60" s="93" t="str">
        <f>IFERROR(CHOOSE(MATCH(A60,'Dataset'!$B$5:$B$11,0),"S₁","S₂","S₃","S₄","S₅","S₆","S₇"),"")</f>
        <v/>
      </c>
    </row>
    <row r="61">
      <c r="A61" s="62">
        <v>57</v>
      </c>
      <c r="B61" s="66">
        <v>61</v>
      </c>
      <c r="C61" s="67">
        <v>1</v>
      </c>
      <c r="D61" s="67">
        <v>4</v>
      </c>
      <c r="E61" s="66">
        <v>138</v>
      </c>
      <c r="F61" s="66">
        <v>166</v>
      </c>
      <c r="G61" s="67">
        <v>0</v>
      </c>
      <c r="H61" s="67">
        <v>2</v>
      </c>
      <c r="I61" s="66">
        <v>125</v>
      </c>
      <c r="J61" s="67">
        <v>1</v>
      </c>
      <c r="K61" s="66">
        <v>3.6</v>
      </c>
      <c r="L61" s="67">
        <v>2</v>
      </c>
      <c r="M61" s="66">
        <v>1</v>
      </c>
      <c r="N61" s="67">
        <v>3</v>
      </c>
      <c r="O61" s="68">
        <v>2</v>
      </c>
      <c r="P61" s="93" t="str">
        <f>IFERROR(CHOOSE(MATCH(A61,'Dataset'!$B$5:$B$11,0),"S₁","S₂","S₃","S₄","S₅","S₆","S₇"),"")</f>
        <v/>
      </c>
    </row>
    <row r="62">
      <c r="A62" s="62">
        <v>58</v>
      </c>
      <c r="B62" s="66">
        <v>60</v>
      </c>
      <c r="C62" s="67">
        <v>0</v>
      </c>
      <c r="D62" s="67">
        <v>3</v>
      </c>
      <c r="E62" s="66">
        <v>120</v>
      </c>
      <c r="F62" s="66">
        <v>178</v>
      </c>
      <c r="G62" s="67">
        <v>1</v>
      </c>
      <c r="H62" s="67">
        <v>0</v>
      </c>
      <c r="I62" s="66">
        <v>96</v>
      </c>
      <c r="J62" s="67">
        <v>0</v>
      </c>
      <c r="K62" s="66">
        <v>0</v>
      </c>
      <c r="L62" s="67">
        <v>1</v>
      </c>
      <c r="M62" s="66">
        <v>0</v>
      </c>
      <c r="N62" s="67">
        <v>3</v>
      </c>
      <c r="O62" s="68">
        <v>1</v>
      </c>
      <c r="P62" s="93" t="str">
        <f>IFERROR(CHOOSE(MATCH(A62,'Dataset'!$B$5:$B$11,0),"S₁","S₂","S₃","S₄","S₅","S₆","S₇"),"")</f>
        <v/>
      </c>
    </row>
    <row r="63">
      <c r="A63" s="62">
        <v>59</v>
      </c>
      <c r="B63" s="66">
        <v>59</v>
      </c>
      <c r="C63" s="67">
        <v>0</v>
      </c>
      <c r="D63" s="67">
        <v>4</v>
      </c>
      <c r="E63" s="66">
        <v>174</v>
      </c>
      <c r="F63" s="66">
        <v>249</v>
      </c>
      <c r="G63" s="67">
        <v>0</v>
      </c>
      <c r="H63" s="67">
        <v>0</v>
      </c>
      <c r="I63" s="66">
        <v>143</v>
      </c>
      <c r="J63" s="67">
        <v>1</v>
      </c>
      <c r="K63" s="66">
        <v>0</v>
      </c>
      <c r="L63" s="67">
        <v>2</v>
      </c>
      <c r="M63" s="66">
        <v>0</v>
      </c>
      <c r="N63" s="67">
        <v>3</v>
      </c>
      <c r="O63" s="68">
        <v>2</v>
      </c>
      <c r="P63" s="93" t="str">
        <f>IFERROR(CHOOSE(MATCH(A63,'Dataset'!$B$5:$B$11,0),"S₁","S₂","S₃","S₄","S₅","S₆","S₇"),"")</f>
        <v/>
      </c>
    </row>
    <row r="64">
      <c r="A64" s="62">
        <v>60</v>
      </c>
      <c r="B64" s="66">
        <v>62</v>
      </c>
      <c r="C64" s="67">
        <v>1</v>
      </c>
      <c r="D64" s="67">
        <v>2</v>
      </c>
      <c r="E64" s="66">
        <v>120</v>
      </c>
      <c r="F64" s="66">
        <v>281</v>
      </c>
      <c r="G64" s="67">
        <v>0</v>
      </c>
      <c r="H64" s="67">
        <v>2</v>
      </c>
      <c r="I64" s="66">
        <v>103</v>
      </c>
      <c r="J64" s="67">
        <v>0</v>
      </c>
      <c r="K64" s="66">
        <v>1.4</v>
      </c>
      <c r="L64" s="67">
        <v>2</v>
      </c>
      <c r="M64" s="66">
        <v>1</v>
      </c>
      <c r="N64" s="67">
        <v>7</v>
      </c>
      <c r="O64" s="68">
        <v>2</v>
      </c>
      <c r="P64" s="93" t="str">
        <f>IFERROR(CHOOSE(MATCH(A64,'Dataset'!$B$5:$B$11,0),"S₁","S₂","S₃","S₄","S₅","S₆","S₇"),"")</f>
        <v/>
      </c>
    </row>
    <row r="65">
      <c r="A65" s="62">
        <v>61</v>
      </c>
      <c r="B65" s="66">
        <v>57</v>
      </c>
      <c r="C65" s="67">
        <v>1</v>
      </c>
      <c r="D65" s="67">
        <v>3</v>
      </c>
      <c r="E65" s="66">
        <v>150</v>
      </c>
      <c r="F65" s="66">
        <v>126</v>
      </c>
      <c r="G65" s="67">
        <v>1</v>
      </c>
      <c r="H65" s="67">
        <v>0</v>
      </c>
      <c r="I65" s="66">
        <v>173</v>
      </c>
      <c r="J65" s="67">
        <v>0</v>
      </c>
      <c r="K65" s="66">
        <v>0.2</v>
      </c>
      <c r="L65" s="67">
        <v>1</v>
      </c>
      <c r="M65" s="66">
        <v>1</v>
      </c>
      <c r="N65" s="67">
        <v>7</v>
      </c>
      <c r="O65" s="68">
        <v>1</v>
      </c>
      <c r="P65" s="93" t="str">
        <f>IFERROR(CHOOSE(MATCH(A65,'Dataset'!$B$5:$B$11,0),"S₁","S₂","S₃","S₄","S₅","S₆","S₇"),"")</f>
        <v/>
      </c>
    </row>
    <row r="66">
      <c r="A66" s="62">
        <v>62</v>
      </c>
      <c r="B66" s="66">
        <v>51</v>
      </c>
      <c r="C66" s="67">
        <v>0</v>
      </c>
      <c r="D66" s="67">
        <v>4</v>
      </c>
      <c r="E66" s="66">
        <v>130</v>
      </c>
      <c r="F66" s="66">
        <v>305</v>
      </c>
      <c r="G66" s="67">
        <v>0</v>
      </c>
      <c r="H66" s="67">
        <v>0</v>
      </c>
      <c r="I66" s="66">
        <v>142</v>
      </c>
      <c r="J66" s="67">
        <v>1</v>
      </c>
      <c r="K66" s="66">
        <v>1.2</v>
      </c>
      <c r="L66" s="67">
        <v>2</v>
      </c>
      <c r="M66" s="66">
        <v>0</v>
      </c>
      <c r="N66" s="67">
        <v>7</v>
      </c>
      <c r="O66" s="68">
        <v>2</v>
      </c>
      <c r="P66" s="93" t="str">
        <f>IFERROR(CHOOSE(MATCH(A66,'Dataset'!$B$5:$B$11,0),"S₁","S₂","S₃","S₄","S₅","S₆","S₇"),"")</f>
        <v/>
      </c>
    </row>
    <row r="67">
      <c r="A67" s="62">
        <v>63</v>
      </c>
      <c r="B67" s="66">
        <v>44</v>
      </c>
      <c r="C67" s="67">
        <v>1</v>
      </c>
      <c r="D67" s="67">
        <v>3</v>
      </c>
      <c r="E67" s="66">
        <v>120</v>
      </c>
      <c r="F67" s="66">
        <v>226</v>
      </c>
      <c r="G67" s="67">
        <v>0</v>
      </c>
      <c r="H67" s="67">
        <v>0</v>
      </c>
      <c r="I67" s="66">
        <v>169</v>
      </c>
      <c r="J67" s="67">
        <v>0</v>
      </c>
      <c r="K67" s="66">
        <v>0</v>
      </c>
      <c r="L67" s="67">
        <v>1</v>
      </c>
      <c r="M67" s="66">
        <v>0</v>
      </c>
      <c r="N67" s="67">
        <v>3</v>
      </c>
      <c r="O67" s="68">
        <v>1</v>
      </c>
      <c r="P67" s="93" t="str">
        <f>IFERROR(CHOOSE(MATCH(A67,'Dataset'!$B$5:$B$11,0),"S₁","S₂","S₃","S₄","S₅","S₆","S₇"),"")</f>
        <v/>
      </c>
    </row>
    <row r="68">
      <c r="A68" s="62">
        <v>64</v>
      </c>
      <c r="B68" s="66">
        <v>60</v>
      </c>
      <c r="C68" s="67">
        <v>0</v>
      </c>
      <c r="D68" s="67">
        <v>1</v>
      </c>
      <c r="E68" s="66">
        <v>150</v>
      </c>
      <c r="F68" s="66">
        <v>240</v>
      </c>
      <c r="G68" s="67">
        <v>0</v>
      </c>
      <c r="H68" s="67">
        <v>0</v>
      </c>
      <c r="I68" s="66">
        <v>171</v>
      </c>
      <c r="J68" s="67">
        <v>0</v>
      </c>
      <c r="K68" s="66">
        <v>0.9</v>
      </c>
      <c r="L68" s="67">
        <v>1</v>
      </c>
      <c r="M68" s="66">
        <v>0</v>
      </c>
      <c r="N68" s="67">
        <v>3</v>
      </c>
      <c r="O68" s="68">
        <v>1</v>
      </c>
      <c r="P68" s="93" t="str">
        <f>IFERROR(CHOOSE(MATCH(A68,'Dataset'!$B$5:$B$11,0),"S₁","S₂","S₃","S₄","S₅","S₆","S₇"),"")</f>
        <v/>
      </c>
    </row>
    <row r="69">
      <c r="A69" s="62">
        <v>65</v>
      </c>
      <c r="B69" s="66">
        <v>63</v>
      </c>
      <c r="C69" s="67">
        <v>1</v>
      </c>
      <c r="D69" s="67">
        <v>1</v>
      </c>
      <c r="E69" s="66">
        <v>145</v>
      </c>
      <c r="F69" s="66">
        <v>233</v>
      </c>
      <c r="G69" s="67">
        <v>1</v>
      </c>
      <c r="H69" s="67">
        <v>2</v>
      </c>
      <c r="I69" s="66">
        <v>150</v>
      </c>
      <c r="J69" s="67">
        <v>0</v>
      </c>
      <c r="K69" s="66">
        <v>2.3</v>
      </c>
      <c r="L69" s="67">
        <v>3</v>
      </c>
      <c r="M69" s="66">
        <v>0</v>
      </c>
      <c r="N69" s="67">
        <v>6</v>
      </c>
      <c r="O69" s="68">
        <v>1</v>
      </c>
      <c r="P69" s="93" t="str">
        <f>IFERROR(CHOOSE(MATCH(A69,'Dataset'!$B$5:$B$11,0),"S₁","S₂","S₃","S₄","S₅","S₆","S₇"),"")</f>
        <v/>
      </c>
    </row>
    <row r="70">
      <c r="A70" s="62">
        <v>66</v>
      </c>
      <c r="B70" s="66">
        <v>57</v>
      </c>
      <c r="C70" s="67">
        <v>1</v>
      </c>
      <c r="D70" s="67">
        <v>4</v>
      </c>
      <c r="E70" s="66">
        <v>150</v>
      </c>
      <c r="F70" s="66">
        <v>276</v>
      </c>
      <c r="G70" s="67">
        <v>0</v>
      </c>
      <c r="H70" s="67">
        <v>2</v>
      </c>
      <c r="I70" s="66">
        <v>112</v>
      </c>
      <c r="J70" s="67">
        <v>1</v>
      </c>
      <c r="K70" s="66">
        <v>0.6</v>
      </c>
      <c r="L70" s="67">
        <v>2</v>
      </c>
      <c r="M70" s="66">
        <v>1</v>
      </c>
      <c r="N70" s="67">
        <v>6</v>
      </c>
      <c r="O70" s="68">
        <v>2</v>
      </c>
      <c r="P70" s="93" t="str">
        <f>IFERROR(CHOOSE(MATCH(A70,'Dataset'!$B$5:$B$11,0),"S₁","S₂","S₃","S₄","S₅","S₆","S₇"),"")</f>
        <v/>
      </c>
    </row>
    <row r="71">
      <c r="A71" s="62">
        <v>67</v>
      </c>
      <c r="B71" s="66">
        <v>51</v>
      </c>
      <c r="C71" s="67">
        <v>1</v>
      </c>
      <c r="D71" s="67">
        <v>4</v>
      </c>
      <c r="E71" s="66">
        <v>140</v>
      </c>
      <c r="F71" s="66">
        <v>261</v>
      </c>
      <c r="G71" s="67">
        <v>0</v>
      </c>
      <c r="H71" s="67">
        <v>2</v>
      </c>
      <c r="I71" s="66">
        <v>186</v>
      </c>
      <c r="J71" s="67">
        <v>1</v>
      </c>
      <c r="K71" s="66">
        <v>0</v>
      </c>
      <c r="L71" s="67">
        <v>1</v>
      </c>
      <c r="M71" s="66">
        <v>0</v>
      </c>
      <c r="N71" s="67">
        <v>3</v>
      </c>
      <c r="O71" s="68">
        <v>1</v>
      </c>
      <c r="P71" s="93" t="str">
        <f>IFERROR(CHOOSE(MATCH(A71,'Dataset'!$B$5:$B$11,0),"S₁","S₂","S₃","S₄","S₅","S₆","S₇"),"")</f>
        <v/>
      </c>
    </row>
    <row r="72">
      <c r="A72" s="62">
        <v>68</v>
      </c>
      <c r="B72" s="66">
        <v>58</v>
      </c>
      <c r="C72" s="67">
        <v>0</v>
      </c>
      <c r="D72" s="67">
        <v>2</v>
      </c>
      <c r="E72" s="66">
        <v>136</v>
      </c>
      <c r="F72" s="66">
        <v>319</v>
      </c>
      <c r="G72" s="67">
        <v>1</v>
      </c>
      <c r="H72" s="67">
        <v>2</v>
      </c>
      <c r="I72" s="66">
        <v>152</v>
      </c>
      <c r="J72" s="67">
        <v>0</v>
      </c>
      <c r="K72" s="66">
        <v>0</v>
      </c>
      <c r="L72" s="67">
        <v>1</v>
      </c>
      <c r="M72" s="66">
        <v>2</v>
      </c>
      <c r="N72" s="67">
        <v>3</v>
      </c>
      <c r="O72" s="68">
        <v>2</v>
      </c>
      <c r="P72" s="93" t="str">
        <f>IFERROR(CHOOSE(MATCH(A72,'Dataset'!$B$5:$B$11,0),"S₁","S₂","S₃","S₄","S₅","S₆","S₇"),"")</f>
        <v/>
      </c>
    </row>
    <row r="73">
      <c r="A73" s="62">
        <v>69</v>
      </c>
      <c r="B73" s="66">
        <v>44</v>
      </c>
      <c r="C73" s="67">
        <v>0</v>
      </c>
      <c r="D73" s="67">
        <v>3</v>
      </c>
      <c r="E73" s="66">
        <v>118</v>
      </c>
      <c r="F73" s="66">
        <v>242</v>
      </c>
      <c r="G73" s="67">
        <v>0</v>
      </c>
      <c r="H73" s="67">
        <v>0</v>
      </c>
      <c r="I73" s="66">
        <v>149</v>
      </c>
      <c r="J73" s="67">
        <v>0</v>
      </c>
      <c r="K73" s="66">
        <v>0.3</v>
      </c>
      <c r="L73" s="67">
        <v>2</v>
      </c>
      <c r="M73" s="66">
        <v>1</v>
      </c>
      <c r="N73" s="67">
        <v>3</v>
      </c>
      <c r="O73" s="68">
        <v>1</v>
      </c>
      <c r="P73" s="93" t="str">
        <f>IFERROR(CHOOSE(MATCH(A73,'Dataset'!$B$5:$B$11,0),"S₁","S₂","S₃","S₄","S₅","S₆","S₇"),"")</f>
        <v/>
      </c>
    </row>
    <row r="74">
      <c r="A74" s="62">
        <v>70</v>
      </c>
      <c r="B74" s="66">
        <v>47</v>
      </c>
      <c r="C74" s="67">
        <v>1</v>
      </c>
      <c r="D74" s="67">
        <v>3</v>
      </c>
      <c r="E74" s="66">
        <v>108</v>
      </c>
      <c r="F74" s="66">
        <v>243</v>
      </c>
      <c r="G74" s="67">
        <v>0</v>
      </c>
      <c r="H74" s="67">
        <v>0</v>
      </c>
      <c r="I74" s="66">
        <v>152</v>
      </c>
      <c r="J74" s="67">
        <v>0</v>
      </c>
      <c r="K74" s="66">
        <v>0</v>
      </c>
      <c r="L74" s="67">
        <v>1</v>
      </c>
      <c r="M74" s="66">
        <v>0</v>
      </c>
      <c r="N74" s="67">
        <v>3</v>
      </c>
      <c r="O74" s="68">
        <v>2</v>
      </c>
      <c r="P74" s="93" t="str">
        <f>IFERROR(CHOOSE(MATCH(A74,'Dataset'!$B$5:$B$11,0),"S₁","S₂","S₃","S₄","S₅","S₆","S₇"),"")</f>
        <v/>
      </c>
    </row>
    <row r="75">
      <c r="A75" s="62">
        <v>71</v>
      </c>
      <c r="B75" s="66">
        <v>61</v>
      </c>
      <c r="C75" s="67">
        <v>1</v>
      </c>
      <c r="D75" s="67">
        <v>4</v>
      </c>
      <c r="E75" s="66">
        <v>120</v>
      </c>
      <c r="F75" s="66">
        <v>260</v>
      </c>
      <c r="G75" s="67">
        <v>0</v>
      </c>
      <c r="H75" s="67">
        <v>0</v>
      </c>
      <c r="I75" s="66">
        <v>140</v>
      </c>
      <c r="J75" s="67">
        <v>1</v>
      </c>
      <c r="K75" s="66">
        <v>3.6</v>
      </c>
      <c r="L75" s="67">
        <v>2</v>
      </c>
      <c r="M75" s="66">
        <v>1</v>
      </c>
      <c r="N75" s="67">
        <v>7</v>
      </c>
      <c r="O75" s="68">
        <v>2</v>
      </c>
      <c r="P75" s="93" t="str">
        <f>IFERROR(CHOOSE(MATCH(A75,'Dataset'!$B$5:$B$11,0),"S₁","S₂","S₃","S₄","S₅","S₆","S₇"),"")</f>
        <v/>
      </c>
    </row>
    <row r="76">
      <c r="A76" s="62">
        <v>72</v>
      </c>
      <c r="B76" s="66">
        <v>57</v>
      </c>
      <c r="C76" s="67">
        <v>0</v>
      </c>
      <c r="D76" s="67">
        <v>4</v>
      </c>
      <c r="E76" s="66">
        <v>120</v>
      </c>
      <c r="F76" s="66">
        <v>354</v>
      </c>
      <c r="G76" s="67">
        <v>0</v>
      </c>
      <c r="H76" s="67">
        <v>0</v>
      </c>
      <c r="I76" s="66">
        <v>163</v>
      </c>
      <c r="J76" s="67">
        <v>1</v>
      </c>
      <c r="K76" s="66">
        <v>0.6</v>
      </c>
      <c r="L76" s="67">
        <v>1</v>
      </c>
      <c r="M76" s="66">
        <v>0</v>
      </c>
      <c r="N76" s="67">
        <v>3</v>
      </c>
      <c r="O76" s="68">
        <v>1</v>
      </c>
      <c r="P76" s="93" t="str">
        <f>IFERROR(CHOOSE(MATCH(A76,'Dataset'!$B$5:$B$11,0),"S₁","S₂","S₃","S₄","S₅","S₆","S₇"),"")</f>
        <v/>
      </c>
    </row>
    <row r="77">
      <c r="A77" s="62">
        <v>73</v>
      </c>
      <c r="B77" s="66">
        <v>70</v>
      </c>
      <c r="C77" s="67">
        <v>1</v>
      </c>
      <c r="D77" s="67">
        <v>2</v>
      </c>
      <c r="E77" s="66">
        <v>156</v>
      </c>
      <c r="F77" s="66">
        <v>245</v>
      </c>
      <c r="G77" s="67">
        <v>0</v>
      </c>
      <c r="H77" s="67">
        <v>2</v>
      </c>
      <c r="I77" s="66">
        <v>143</v>
      </c>
      <c r="J77" s="67">
        <v>0</v>
      </c>
      <c r="K77" s="66">
        <v>0</v>
      </c>
      <c r="L77" s="67">
        <v>1</v>
      </c>
      <c r="M77" s="66">
        <v>0</v>
      </c>
      <c r="N77" s="67">
        <v>3</v>
      </c>
      <c r="O77" s="68">
        <v>1</v>
      </c>
      <c r="P77" s="93" t="str">
        <f>IFERROR(CHOOSE(MATCH(A77,'Dataset'!$B$5:$B$11,0),"S₁","S₂","S₃","S₄","S₅","S₆","S₇"),"")</f>
        <v>S₃</v>
      </c>
    </row>
    <row r="78">
      <c r="A78" s="62">
        <v>74</v>
      </c>
      <c r="B78" s="66">
        <v>76</v>
      </c>
      <c r="C78" s="67">
        <v>0</v>
      </c>
      <c r="D78" s="67">
        <v>3</v>
      </c>
      <c r="E78" s="66">
        <v>140</v>
      </c>
      <c r="F78" s="66">
        <v>197</v>
      </c>
      <c r="G78" s="67">
        <v>0</v>
      </c>
      <c r="H78" s="67">
        <v>1</v>
      </c>
      <c r="I78" s="66">
        <v>116</v>
      </c>
      <c r="J78" s="67">
        <v>0</v>
      </c>
      <c r="K78" s="66">
        <v>1.1</v>
      </c>
      <c r="L78" s="67">
        <v>2</v>
      </c>
      <c r="M78" s="66">
        <v>0</v>
      </c>
      <c r="N78" s="67">
        <v>3</v>
      </c>
      <c r="O78" s="68">
        <v>1</v>
      </c>
      <c r="P78" s="93" t="str">
        <f>IFERROR(CHOOSE(MATCH(A78,'Dataset'!$B$5:$B$11,0),"S₁","S₂","S₃","S₄","S₅","S₆","S₇"),"")</f>
        <v/>
      </c>
    </row>
    <row r="79">
      <c r="A79" s="62">
        <v>75</v>
      </c>
      <c r="B79" s="66">
        <v>67</v>
      </c>
      <c r="C79" s="67">
        <v>0</v>
      </c>
      <c r="D79" s="67">
        <v>4</v>
      </c>
      <c r="E79" s="66">
        <v>106</v>
      </c>
      <c r="F79" s="66">
        <v>223</v>
      </c>
      <c r="G79" s="67">
        <v>0</v>
      </c>
      <c r="H79" s="67">
        <v>0</v>
      </c>
      <c r="I79" s="66">
        <v>142</v>
      </c>
      <c r="J79" s="67">
        <v>0</v>
      </c>
      <c r="K79" s="66">
        <v>0.3</v>
      </c>
      <c r="L79" s="67">
        <v>1</v>
      </c>
      <c r="M79" s="66">
        <v>2</v>
      </c>
      <c r="N79" s="67">
        <v>3</v>
      </c>
      <c r="O79" s="68">
        <v>1</v>
      </c>
      <c r="P79" s="93" t="str">
        <f>IFERROR(CHOOSE(MATCH(A79,'Dataset'!$B$5:$B$11,0),"S₁","S₂","S₃","S₄","S₅","S₆","S₇"),"")</f>
        <v/>
      </c>
    </row>
    <row r="80">
      <c r="A80" s="62">
        <v>76</v>
      </c>
      <c r="B80" s="66">
        <v>45</v>
      </c>
      <c r="C80" s="67">
        <v>1</v>
      </c>
      <c r="D80" s="67">
        <v>4</v>
      </c>
      <c r="E80" s="66">
        <v>142</v>
      </c>
      <c r="F80" s="66">
        <v>309</v>
      </c>
      <c r="G80" s="67">
        <v>0</v>
      </c>
      <c r="H80" s="67">
        <v>2</v>
      </c>
      <c r="I80" s="66">
        <v>147</v>
      </c>
      <c r="J80" s="67">
        <v>1</v>
      </c>
      <c r="K80" s="66">
        <v>0</v>
      </c>
      <c r="L80" s="67">
        <v>2</v>
      </c>
      <c r="M80" s="66">
        <v>3</v>
      </c>
      <c r="N80" s="67">
        <v>7</v>
      </c>
      <c r="O80" s="68">
        <v>2</v>
      </c>
      <c r="P80" s="93" t="str">
        <f>IFERROR(CHOOSE(MATCH(A80,'Dataset'!$B$5:$B$11,0),"S₁","S₂","S₃","S₄","S₅","S₆","S₇"),"")</f>
        <v/>
      </c>
    </row>
    <row r="81">
      <c r="A81" s="62">
        <v>77</v>
      </c>
      <c r="B81" s="66">
        <v>45</v>
      </c>
      <c r="C81" s="67">
        <v>1</v>
      </c>
      <c r="D81" s="67">
        <v>4</v>
      </c>
      <c r="E81" s="66">
        <v>104</v>
      </c>
      <c r="F81" s="66">
        <v>208</v>
      </c>
      <c r="G81" s="67">
        <v>0</v>
      </c>
      <c r="H81" s="67">
        <v>2</v>
      </c>
      <c r="I81" s="66">
        <v>148</v>
      </c>
      <c r="J81" s="67">
        <v>1</v>
      </c>
      <c r="K81" s="66">
        <v>3</v>
      </c>
      <c r="L81" s="67">
        <v>2</v>
      </c>
      <c r="M81" s="66">
        <v>0</v>
      </c>
      <c r="N81" s="67">
        <v>3</v>
      </c>
      <c r="O81" s="68">
        <v>1</v>
      </c>
      <c r="P81" s="93" t="str">
        <f>IFERROR(CHOOSE(MATCH(A81,'Dataset'!$B$5:$B$11,0),"S₁","S₂","S₃","S₄","S₅","S₆","S₇"),"")</f>
        <v/>
      </c>
    </row>
    <row r="82">
      <c r="A82" s="62">
        <v>78</v>
      </c>
      <c r="B82" s="66">
        <v>39</v>
      </c>
      <c r="C82" s="67">
        <v>0</v>
      </c>
      <c r="D82" s="67">
        <v>3</v>
      </c>
      <c r="E82" s="66">
        <v>94</v>
      </c>
      <c r="F82" s="66">
        <v>199</v>
      </c>
      <c r="G82" s="67">
        <v>0</v>
      </c>
      <c r="H82" s="67">
        <v>0</v>
      </c>
      <c r="I82" s="66">
        <v>179</v>
      </c>
      <c r="J82" s="67">
        <v>0</v>
      </c>
      <c r="K82" s="66">
        <v>0</v>
      </c>
      <c r="L82" s="67">
        <v>1</v>
      </c>
      <c r="M82" s="66">
        <v>0</v>
      </c>
      <c r="N82" s="67">
        <v>3</v>
      </c>
      <c r="O82" s="68">
        <v>1</v>
      </c>
      <c r="P82" s="93" t="str">
        <f>IFERROR(CHOOSE(MATCH(A82,'Dataset'!$B$5:$B$11,0),"S₁","S₂","S₃","S₄","S₅","S₆","S₇"),"")</f>
        <v/>
      </c>
    </row>
    <row r="83">
      <c r="A83" s="62">
        <v>79</v>
      </c>
      <c r="B83" s="66">
        <v>42</v>
      </c>
      <c r="C83" s="67">
        <v>0</v>
      </c>
      <c r="D83" s="67">
        <v>3</v>
      </c>
      <c r="E83" s="66">
        <v>120</v>
      </c>
      <c r="F83" s="66">
        <v>209</v>
      </c>
      <c r="G83" s="67">
        <v>0</v>
      </c>
      <c r="H83" s="67">
        <v>0</v>
      </c>
      <c r="I83" s="66">
        <v>173</v>
      </c>
      <c r="J83" s="67">
        <v>0</v>
      </c>
      <c r="K83" s="66">
        <v>0</v>
      </c>
      <c r="L83" s="67">
        <v>2</v>
      </c>
      <c r="M83" s="66">
        <v>0</v>
      </c>
      <c r="N83" s="67">
        <v>3</v>
      </c>
      <c r="O83" s="68">
        <v>1</v>
      </c>
      <c r="P83" s="93" t="str">
        <f>IFERROR(CHOOSE(MATCH(A83,'Dataset'!$B$5:$B$11,0),"S₁","S₂","S₃","S₄","S₅","S₆","S₇"),"")</f>
        <v/>
      </c>
    </row>
    <row r="84">
      <c r="A84" s="62">
        <v>80</v>
      </c>
      <c r="B84" s="66">
        <v>56</v>
      </c>
      <c r="C84" s="67">
        <v>1</v>
      </c>
      <c r="D84" s="67">
        <v>2</v>
      </c>
      <c r="E84" s="66">
        <v>120</v>
      </c>
      <c r="F84" s="66">
        <v>236</v>
      </c>
      <c r="G84" s="67">
        <v>0</v>
      </c>
      <c r="H84" s="67">
        <v>0</v>
      </c>
      <c r="I84" s="66">
        <v>178</v>
      </c>
      <c r="J84" s="67">
        <v>0</v>
      </c>
      <c r="K84" s="66">
        <v>0.8</v>
      </c>
      <c r="L84" s="67">
        <v>1</v>
      </c>
      <c r="M84" s="66">
        <v>0</v>
      </c>
      <c r="N84" s="67">
        <v>3</v>
      </c>
      <c r="O84" s="68">
        <v>1</v>
      </c>
      <c r="P84" s="93" t="str">
        <f>IFERROR(CHOOSE(MATCH(A84,'Dataset'!$B$5:$B$11,0),"S₁","S₂","S₃","S₄","S₅","S₆","S₇"),"")</f>
        <v/>
      </c>
    </row>
    <row r="85">
      <c r="A85" s="62">
        <v>81</v>
      </c>
      <c r="B85" s="66">
        <v>58</v>
      </c>
      <c r="C85" s="67">
        <v>1</v>
      </c>
      <c r="D85" s="67">
        <v>4</v>
      </c>
      <c r="E85" s="66">
        <v>146</v>
      </c>
      <c r="F85" s="66">
        <v>218</v>
      </c>
      <c r="G85" s="67">
        <v>0</v>
      </c>
      <c r="H85" s="67">
        <v>0</v>
      </c>
      <c r="I85" s="66">
        <v>105</v>
      </c>
      <c r="J85" s="67">
        <v>0</v>
      </c>
      <c r="K85" s="66">
        <v>2</v>
      </c>
      <c r="L85" s="67">
        <v>2</v>
      </c>
      <c r="M85" s="66">
        <v>1</v>
      </c>
      <c r="N85" s="67">
        <v>7</v>
      </c>
      <c r="O85" s="68">
        <v>2</v>
      </c>
      <c r="P85" s="93" t="str">
        <f>IFERROR(CHOOSE(MATCH(A85,'Dataset'!$B$5:$B$11,0),"S₁","S₂","S₃","S₄","S₅","S₆","S₇"),"")</f>
        <v/>
      </c>
    </row>
    <row r="86">
      <c r="A86" s="62">
        <v>82</v>
      </c>
      <c r="B86" s="66">
        <v>35</v>
      </c>
      <c r="C86" s="67">
        <v>1</v>
      </c>
      <c r="D86" s="67">
        <v>4</v>
      </c>
      <c r="E86" s="66">
        <v>120</v>
      </c>
      <c r="F86" s="66">
        <v>198</v>
      </c>
      <c r="G86" s="67">
        <v>0</v>
      </c>
      <c r="H86" s="67">
        <v>0</v>
      </c>
      <c r="I86" s="66">
        <v>130</v>
      </c>
      <c r="J86" s="67">
        <v>1</v>
      </c>
      <c r="K86" s="66">
        <v>1.6</v>
      </c>
      <c r="L86" s="67">
        <v>2</v>
      </c>
      <c r="M86" s="66">
        <v>0</v>
      </c>
      <c r="N86" s="67">
        <v>7</v>
      </c>
      <c r="O86" s="68">
        <v>2</v>
      </c>
      <c r="P86" s="93" t="str">
        <f>IFERROR(CHOOSE(MATCH(A86,'Dataset'!$B$5:$B$11,0),"S₁","S₂","S₃","S₄","S₅","S₆","S₇"),"")</f>
        <v/>
      </c>
    </row>
    <row r="87">
      <c r="A87" s="62">
        <v>83</v>
      </c>
      <c r="B87" s="66">
        <v>58</v>
      </c>
      <c r="C87" s="67">
        <v>1</v>
      </c>
      <c r="D87" s="67">
        <v>4</v>
      </c>
      <c r="E87" s="66">
        <v>150</v>
      </c>
      <c r="F87" s="66">
        <v>270</v>
      </c>
      <c r="G87" s="67">
        <v>0</v>
      </c>
      <c r="H87" s="67">
        <v>2</v>
      </c>
      <c r="I87" s="66">
        <v>111</v>
      </c>
      <c r="J87" s="67">
        <v>1</v>
      </c>
      <c r="K87" s="66">
        <v>0.8</v>
      </c>
      <c r="L87" s="67">
        <v>1</v>
      </c>
      <c r="M87" s="66">
        <v>0</v>
      </c>
      <c r="N87" s="67">
        <v>7</v>
      </c>
      <c r="O87" s="68">
        <v>2</v>
      </c>
      <c r="P87" s="93" t="str">
        <f>IFERROR(CHOOSE(MATCH(A87,'Dataset'!$B$5:$B$11,0),"S₁","S₂","S₃","S₄","S₅","S₆","S₇"),"")</f>
        <v/>
      </c>
    </row>
    <row r="88">
      <c r="A88" s="62">
        <v>84</v>
      </c>
      <c r="B88" s="66">
        <v>41</v>
      </c>
      <c r="C88" s="67">
        <v>1</v>
      </c>
      <c r="D88" s="67">
        <v>3</v>
      </c>
      <c r="E88" s="66">
        <v>130</v>
      </c>
      <c r="F88" s="66">
        <v>214</v>
      </c>
      <c r="G88" s="67">
        <v>0</v>
      </c>
      <c r="H88" s="67">
        <v>2</v>
      </c>
      <c r="I88" s="66">
        <v>168</v>
      </c>
      <c r="J88" s="67">
        <v>0</v>
      </c>
      <c r="K88" s="66">
        <v>2</v>
      </c>
      <c r="L88" s="67">
        <v>2</v>
      </c>
      <c r="M88" s="66">
        <v>0</v>
      </c>
      <c r="N88" s="67">
        <v>3</v>
      </c>
      <c r="O88" s="68">
        <v>1</v>
      </c>
      <c r="P88" s="93" t="str">
        <f>IFERROR(CHOOSE(MATCH(A88,'Dataset'!$B$5:$B$11,0),"S₁","S₂","S₃","S₄","S₅","S₆","S₇"),"")</f>
        <v/>
      </c>
    </row>
    <row r="89">
      <c r="A89" s="62">
        <v>85</v>
      </c>
      <c r="B89" s="66">
        <v>57</v>
      </c>
      <c r="C89" s="67">
        <v>1</v>
      </c>
      <c r="D89" s="67">
        <v>4</v>
      </c>
      <c r="E89" s="66">
        <v>110</v>
      </c>
      <c r="F89" s="66">
        <v>201</v>
      </c>
      <c r="G89" s="67">
        <v>0</v>
      </c>
      <c r="H89" s="67">
        <v>0</v>
      </c>
      <c r="I89" s="66">
        <v>126</v>
      </c>
      <c r="J89" s="67">
        <v>1</v>
      </c>
      <c r="K89" s="66">
        <v>1.5</v>
      </c>
      <c r="L89" s="67">
        <v>2</v>
      </c>
      <c r="M89" s="66">
        <v>0</v>
      </c>
      <c r="N89" s="67">
        <v>6</v>
      </c>
      <c r="O89" s="68">
        <v>1</v>
      </c>
      <c r="P89" s="93" t="str">
        <f>IFERROR(CHOOSE(MATCH(A89,'Dataset'!$B$5:$B$11,0),"S₁","S₂","S₃","S₄","S₅","S₆","S₇"),"")</f>
        <v/>
      </c>
    </row>
    <row r="90">
      <c r="A90" s="62">
        <v>86</v>
      </c>
      <c r="B90" s="66">
        <v>42</v>
      </c>
      <c r="C90" s="67">
        <v>1</v>
      </c>
      <c r="D90" s="67">
        <v>1</v>
      </c>
      <c r="E90" s="66">
        <v>148</v>
      </c>
      <c r="F90" s="66">
        <v>244</v>
      </c>
      <c r="G90" s="67">
        <v>0</v>
      </c>
      <c r="H90" s="67">
        <v>2</v>
      </c>
      <c r="I90" s="66">
        <v>178</v>
      </c>
      <c r="J90" s="67">
        <v>0</v>
      </c>
      <c r="K90" s="66">
        <v>0.8</v>
      </c>
      <c r="L90" s="67">
        <v>1</v>
      </c>
      <c r="M90" s="66">
        <v>2</v>
      </c>
      <c r="N90" s="67">
        <v>3</v>
      </c>
      <c r="O90" s="68">
        <v>1</v>
      </c>
      <c r="P90" s="93" t="str">
        <f>IFERROR(CHOOSE(MATCH(A90,'Dataset'!$B$5:$B$11,0),"S₁","S₂","S₃","S₄","S₅","S₆","S₇"),"")</f>
        <v/>
      </c>
    </row>
    <row r="91">
      <c r="A91" s="62">
        <v>87</v>
      </c>
      <c r="B91" s="66">
        <v>62</v>
      </c>
      <c r="C91" s="67">
        <v>1</v>
      </c>
      <c r="D91" s="67">
        <v>2</v>
      </c>
      <c r="E91" s="66">
        <v>128</v>
      </c>
      <c r="F91" s="66">
        <v>208</v>
      </c>
      <c r="G91" s="67">
        <v>1</v>
      </c>
      <c r="H91" s="67">
        <v>2</v>
      </c>
      <c r="I91" s="66">
        <v>140</v>
      </c>
      <c r="J91" s="67">
        <v>0</v>
      </c>
      <c r="K91" s="66">
        <v>0</v>
      </c>
      <c r="L91" s="67">
        <v>1</v>
      </c>
      <c r="M91" s="66">
        <v>0</v>
      </c>
      <c r="N91" s="67">
        <v>3</v>
      </c>
      <c r="O91" s="68">
        <v>1</v>
      </c>
      <c r="P91" s="93" t="str">
        <f>IFERROR(CHOOSE(MATCH(A91,'Dataset'!$B$5:$B$11,0),"S₁","S₂","S₃","S₄","S₅","S₆","S₇"),"")</f>
        <v/>
      </c>
    </row>
    <row r="92">
      <c r="A92" s="62">
        <v>88</v>
      </c>
      <c r="B92" s="66">
        <v>59</v>
      </c>
      <c r="C92" s="67">
        <v>1</v>
      </c>
      <c r="D92" s="67">
        <v>1</v>
      </c>
      <c r="E92" s="66">
        <v>178</v>
      </c>
      <c r="F92" s="66">
        <v>270</v>
      </c>
      <c r="G92" s="67">
        <v>0</v>
      </c>
      <c r="H92" s="67">
        <v>2</v>
      </c>
      <c r="I92" s="66">
        <v>145</v>
      </c>
      <c r="J92" s="67">
        <v>0</v>
      </c>
      <c r="K92" s="66">
        <v>4.2</v>
      </c>
      <c r="L92" s="67">
        <v>3</v>
      </c>
      <c r="M92" s="66">
        <v>0</v>
      </c>
      <c r="N92" s="67">
        <v>7</v>
      </c>
      <c r="O92" s="68">
        <v>1</v>
      </c>
      <c r="P92" s="93" t="str">
        <f>IFERROR(CHOOSE(MATCH(A92,'Dataset'!$B$5:$B$11,0),"S₁","S₂","S₃","S₄","S₅","S₆","S₇"),"")</f>
        <v/>
      </c>
    </row>
    <row r="93">
      <c r="A93" s="62">
        <v>89</v>
      </c>
      <c r="B93" s="66">
        <v>41</v>
      </c>
      <c r="C93" s="67">
        <v>0</v>
      </c>
      <c r="D93" s="67">
        <v>2</v>
      </c>
      <c r="E93" s="66">
        <v>126</v>
      </c>
      <c r="F93" s="66">
        <v>306</v>
      </c>
      <c r="G93" s="67">
        <v>0</v>
      </c>
      <c r="H93" s="67">
        <v>0</v>
      </c>
      <c r="I93" s="66">
        <v>163</v>
      </c>
      <c r="J93" s="67">
        <v>0</v>
      </c>
      <c r="K93" s="66">
        <v>0</v>
      </c>
      <c r="L93" s="67">
        <v>1</v>
      </c>
      <c r="M93" s="66">
        <v>0</v>
      </c>
      <c r="N93" s="67">
        <v>3</v>
      </c>
      <c r="O93" s="68">
        <v>1</v>
      </c>
      <c r="P93" s="93" t="str">
        <f>IFERROR(CHOOSE(MATCH(A93,'Dataset'!$B$5:$B$11,0),"S₁","S₂","S₃","S₄","S₅","S₆","S₇"),"")</f>
        <v/>
      </c>
    </row>
    <row r="94">
      <c r="A94" s="62">
        <v>90</v>
      </c>
      <c r="B94" s="66">
        <v>50</v>
      </c>
      <c r="C94" s="67">
        <v>1</v>
      </c>
      <c r="D94" s="67">
        <v>4</v>
      </c>
      <c r="E94" s="66">
        <v>150</v>
      </c>
      <c r="F94" s="66">
        <v>243</v>
      </c>
      <c r="G94" s="67">
        <v>0</v>
      </c>
      <c r="H94" s="67">
        <v>2</v>
      </c>
      <c r="I94" s="66">
        <v>128</v>
      </c>
      <c r="J94" s="67">
        <v>0</v>
      </c>
      <c r="K94" s="66">
        <v>2.6</v>
      </c>
      <c r="L94" s="67">
        <v>2</v>
      </c>
      <c r="M94" s="66">
        <v>0</v>
      </c>
      <c r="N94" s="67">
        <v>7</v>
      </c>
      <c r="O94" s="68">
        <v>2</v>
      </c>
      <c r="P94" s="93" t="str">
        <f>IFERROR(CHOOSE(MATCH(A94,'Dataset'!$B$5:$B$11,0),"S₁","S₂","S₃","S₄","S₅","S₆","S₇"),"")</f>
        <v/>
      </c>
    </row>
    <row r="95">
      <c r="A95" s="62">
        <v>91</v>
      </c>
      <c r="B95" s="66">
        <v>59</v>
      </c>
      <c r="C95" s="67">
        <v>1</v>
      </c>
      <c r="D95" s="67">
        <v>2</v>
      </c>
      <c r="E95" s="66">
        <v>140</v>
      </c>
      <c r="F95" s="66">
        <v>221</v>
      </c>
      <c r="G95" s="67">
        <v>0</v>
      </c>
      <c r="H95" s="67">
        <v>0</v>
      </c>
      <c r="I95" s="66">
        <v>164</v>
      </c>
      <c r="J95" s="67">
        <v>1</v>
      </c>
      <c r="K95" s="66">
        <v>0</v>
      </c>
      <c r="L95" s="67">
        <v>1</v>
      </c>
      <c r="M95" s="66">
        <v>0</v>
      </c>
      <c r="N95" s="67">
        <v>3</v>
      </c>
      <c r="O95" s="68">
        <v>1</v>
      </c>
      <c r="P95" s="93" t="str">
        <f>IFERROR(CHOOSE(MATCH(A95,'Dataset'!$B$5:$B$11,0),"S₁","S₂","S₃","S₄","S₅","S₆","S₇"),"")</f>
        <v/>
      </c>
    </row>
    <row r="96">
      <c r="A96" s="62">
        <v>92</v>
      </c>
      <c r="B96" s="66">
        <v>61</v>
      </c>
      <c r="C96" s="67">
        <v>0</v>
      </c>
      <c r="D96" s="67">
        <v>4</v>
      </c>
      <c r="E96" s="66">
        <v>130</v>
      </c>
      <c r="F96" s="66">
        <v>330</v>
      </c>
      <c r="G96" s="67">
        <v>0</v>
      </c>
      <c r="H96" s="67">
        <v>2</v>
      </c>
      <c r="I96" s="66">
        <v>169</v>
      </c>
      <c r="J96" s="67">
        <v>0</v>
      </c>
      <c r="K96" s="66">
        <v>0</v>
      </c>
      <c r="L96" s="67">
        <v>1</v>
      </c>
      <c r="M96" s="66">
        <v>0</v>
      </c>
      <c r="N96" s="67">
        <v>3</v>
      </c>
      <c r="O96" s="68">
        <v>2</v>
      </c>
      <c r="P96" s="93" t="str">
        <f>IFERROR(CHOOSE(MATCH(A96,'Dataset'!$B$5:$B$11,0),"S₁","S₂","S₃","S₄","S₅","S₆","S₇"),"")</f>
        <v/>
      </c>
    </row>
    <row r="97">
      <c r="A97" s="62">
        <v>93</v>
      </c>
      <c r="B97" s="66">
        <v>54</v>
      </c>
      <c r="C97" s="67">
        <v>1</v>
      </c>
      <c r="D97" s="67">
        <v>4</v>
      </c>
      <c r="E97" s="66">
        <v>124</v>
      </c>
      <c r="F97" s="66">
        <v>266</v>
      </c>
      <c r="G97" s="67">
        <v>0</v>
      </c>
      <c r="H97" s="67">
        <v>2</v>
      </c>
      <c r="I97" s="66">
        <v>109</v>
      </c>
      <c r="J97" s="67">
        <v>1</v>
      </c>
      <c r="K97" s="66">
        <v>2.2</v>
      </c>
      <c r="L97" s="67">
        <v>2</v>
      </c>
      <c r="M97" s="66">
        <v>1</v>
      </c>
      <c r="N97" s="67">
        <v>7</v>
      </c>
      <c r="O97" s="68">
        <v>2</v>
      </c>
      <c r="P97" s="93" t="str">
        <f>IFERROR(CHOOSE(MATCH(A97,'Dataset'!$B$5:$B$11,0),"S₁","S₂","S₃","S₄","S₅","S₆","S₇"),"")</f>
        <v/>
      </c>
    </row>
    <row r="98">
      <c r="A98" s="62">
        <v>94</v>
      </c>
      <c r="B98" s="66">
        <v>54</v>
      </c>
      <c r="C98" s="67">
        <v>1</v>
      </c>
      <c r="D98" s="67">
        <v>4</v>
      </c>
      <c r="E98" s="66">
        <v>110</v>
      </c>
      <c r="F98" s="66">
        <v>206</v>
      </c>
      <c r="G98" s="67">
        <v>0</v>
      </c>
      <c r="H98" s="67">
        <v>2</v>
      </c>
      <c r="I98" s="66">
        <v>108</v>
      </c>
      <c r="J98" s="67">
        <v>1</v>
      </c>
      <c r="K98" s="66">
        <v>0</v>
      </c>
      <c r="L98" s="67">
        <v>2</v>
      </c>
      <c r="M98" s="66">
        <v>1</v>
      </c>
      <c r="N98" s="67">
        <v>3</v>
      </c>
      <c r="O98" s="68">
        <v>2</v>
      </c>
      <c r="P98" s="93" t="str">
        <f>IFERROR(CHOOSE(MATCH(A98,'Dataset'!$B$5:$B$11,0),"S₁","S₂","S₃","S₄","S₅","S₆","S₇"),"")</f>
        <v/>
      </c>
    </row>
    <row r="99">
      <c r="A99" s="62">
        <v>95</v>
      </c>
      <c r="B99" s="66">
        <v>52</v>
      </c>
      <c r="C99" s="67">
        <v>1</v>
      </c>
      <c r="D99" s="67">
        <v>4</v>
      </c>
      <c r="E99" s="66">
        <v>125</v>
      </c>
      <c r="F99" s="66">
        <v>212</v>
      </c>
      <c r="G99" s="67">
        <v>0</v>
      </c>
      <c r="H99" s="67">
        <v>0</v>
      </c>
      <c r="I99" s="66">
        <v>168</v>
      </c>
      <c r="J99" s="67">
        <v>0</v>
      </c>
      <c r="K99" s="66">
        <v>1</v>
      </c>
      <c r="L99" s="67">
        <v>1</v>
      </c>
      <c r="M99" s="66">
        <v>2</v>
      </c>
      <c r="N99" s="67">
        <v>7</v>
      </c>
      <c r="O99" s="68">
        <v>2</v>
      </c>
      <c r="P99" s="93" t="str">
        <f>IFERROR(CHOOSE(MATCH(A99,'Dataset'!$B$5:$B$11,0),"S₁","S₂","S₃","S₄","S₅","S₆","S₇"),"")</f>
        <v/>
      </c>
    </row>
    <row r="100">
      <c r="A100" s="62">
        <v>96</v>
      </c>
      <c r="B100" s="66">
        <v>47</v>
      </c>
      <c r="C100" s="67">
        <v>1</v>
      </c>
      <c r="D100" s="67">
        <v>4</v>
      </c>
      <c r="E100" s="66">
        <v>110</v>
      </c>
      <c r="F100" s="66">
        <v>275</v>
      </c>
      <c r="G100" s="67">
        <v>0</v>
      </c>
      <c r="H100" s="67">
        <v>2</v>
      </c>
      <c r="I100" s="66">
        <v>118</v>
      </c>
      <c r="J100" s="67">
        <v>1</v>
      </c>
      <c r="K100" s="66">
        <v>1</v>
      </c>
      <c r="L100" s="67">
        <v>2</v>
      </c>
      <c r="M100" s="66">
        <v>1</v>
      </c>
      <c r="N100" s="67">
        <v>3</v>
      </c>
      <c r="O100" s="68">
        <v>2</v>
      </c>
      <c r="P100" s="93" t="str">
        <f>IFERROR(CHOOSE(MATCH(A100,'Dataset'!$B$5:$B$11,0),"S₁","S₂","S₃","S₄","S₅","S₆","S₇"),"")</f>
        <v/>
      </c>
    </row>
    <row r="101">
      <c r="A101" s="62">
        <v>97</v>
      </c>
      <c r="B101" s="66">
        <v>66</v>
      </c>
      <c r="C101" s="67">
        <v>1</v>
      </c>
      <c r="D101" s="67">
        <v>4</v>
      </c>
      <c r="E101" s="66">
        <v>120</v>
      </c>
      <c r="F101" s="66">
        <v>302</v>
      </c>
      <c r="G101" s="67">
        <v>0</v>
      </c>
      <c r="H101" s="67">
        <v>2</v>
      </c>
      <c r="I101" s="66">
        <v>151</v>
      </c>
      <c r="J101" s="67">
        <v>0</v>
      </c>
      <c r="K101" s="66">
        <v>0.4</v>
      </c>
      <c r="L101" s="67">
        <v>2</v>
      </c>
      <c r="M101" s="66">
        <v>0</v>
      </c>
      <c r="N101" s="67">
        <v>3</v>
      </c>
      <c r="O101" s="68">
        <v>1</v>
      </c>
      <c r="P101" s="93" t="str">
        <f>IFERROR(CHOOSE(MATCH(A101,'Dataset'!$B$5:$B$11,0),"S₁","S₂","S₃","S₄","S₅","S₆","S₇"),"")</f>
        <v/>
      </c>
    </row>
    <row r="102">
      <c r="A102" s="62">
        <v>98</v>
      </c>
      <c r="B102" s="66">
        <v>58</v>
      </c>
      <c r="C102" s="67">
        <v>1</v>
      </c>
      <c r="D102" s="67">
        <v>4</v>
      </c>
      <c r="E102" s="66">
        <v>100</v>
      </c>
      <c r="F102" s="66">
        <v>234</v>
      </c>
      <c r="G102" s="67">
        <v>0</v>
      </c>
      <c r="H102" s="67">
        <v>0</v>
      </c>
      <c r="I102" s="66">
        <v>156</v>
      </c>
      <c r="J102" s="67">
        <v>0</v>
      </c>
      <c r="K102" s="66">
        <v>0.1</v>
      </c>
      <c r="L102" s="67">
        <v>1</v>
      </c>
      <c r="M102" s="66">
        <v>1</v>
      </c>
      <c r="N102" s="67">
        <v>7</v>
      </c>
      <c r="O102" s="68">
        <v>2</v>
      </c>
      <c r="P102" s="93" t="str">
        <f>IFERROR(CHOOSE(MATCH(A102,'Dataset'!$B$5:$B$11,0),"S₁","S₂","S₃","S₄","S₅","S₆","S₇"),"")</f>
        <v/>
      </c>
    </row>
    <row r="103">
      <c r="A103" s="62">
        <v>99</v>
      </c>
      <c r="B103" s="66">
        <v>64</v>
      </c>
      <c r="C103" s="67">
        <v>0</v>
      </c>
      <c r="D103" s="67">
        <v>3</v>
      </c>
      <c r="E103" s="66">
        <v>140</v>
      </c>
      <c r="F103" s="66">
        <v>313</v>
      </c>
      <c r="G103" s="67">
        <v>0</v>
      </c>
      <c r="H103" s="67">
        <v>0</v>
      </c>
      <c r="I103" s="66">
        <v>133</v>
      </c>
      <c r="J103" s="67">
        <v>0</v>
      </c>
      <c r="K103" s="66">
        <v>0.2</v>
      </c>
      <c r="L103" s="67">
        <v>1</v>
      </c>
      <c r="M103" s="66">
        <v>0</v>
      </c>
      <c r="N103" s="67">
        <v>7</v>
      </c>
      <c r="O103" s="68">
        <v>1</v>
      </c>
      <c r="P103" s="93" t="str">
        <f>IFERROR(CHOOSE(MATCH(A103,'Dataset'!$B$5:$B$11,0),"S₁","S₂","S₃","S₄","S₅","S₆","S₇"),"")</f>
        <v/>
      </c>
    </row>
    <row r="104">
      <c r="A104" s="62">
        <v>100</v>
      </c>
      <c r="B104" s="66">
        <v>50</v>
      </c>
      <c r="C104" s="67">
        <v>0</v>
      </c>
      <c r="D104" s="67">
        <v>2</v>
      </c>
      <c r="E104" s="66">
        <v>120</v>
      </c>
      <c r="F104" s="66">
        <v>244</v>
      </c>
      <c r="G104" s="67">
        <v>0</v>
      </c>
      <c r="H104" s="67">
        <v>0</v>
      </c>
      <c r="I104" s="66">
        <v>162</v>
      </c>
      <c r="J104" s="67">
        <v>0</v>
      </c>
      <c r="K104" s="66">
        <v>1.1</v>
      </c>
      <c r="L104" s="67">
        <v>1</v>
      </c>
      <c r="M104" s="66">
        <v>0</v>
      </c>
      <c r="N104" s="67">
        <v>3</v>
      </c>
      <c r="O104" s="68">
        <v>1</v>
      </c>
      <c r="P104" s="93" t="str">
        <f>IFERROR(CHOOSE(MATCH(A104,'Dataset'!$B$5:$B$11,0),"S₁","S₂","S₃","S₄","S₅","S₆","S₇"),"")</f>
        <v/>
      </c>
    </row>
    <row r="105">
      <c r="A105" s="62">
        <v>101</v>
      </c>
      <c r="B105" s="66">
        <v>44</v>
      </c>
      <c r="C105" s="67">
        <v>0</v>
      </c>
      <c r="D105" s="67">
        <v>3</v>
      </c>
      <c r="E105" s="66">
        <v>108</v>
      </c>
      <c r="F105" s="66">
        <v>141</v>
      </c>
      <c r="G105" s="67">
        <v>0</v>
      </c>
      <c r="H105" s="67">
        <v>0</v>
      </c>
      <c r="I105" s="66">
        <v>175</v>
      </c>
      <c r="J105" s="67">
        <v>0</v>
      </c>
      <c r="K105" s="66">
        <v>0.6</v>
      </c>
      <c r="L105" s="67">
        <v>2</v>
      </c>
      <c r="M105" s="66">
        <v>0</v>
      </c>
      <c r="N105" s="67">
        <v>3</v>
      </c>
      <c r="O105" s="68">
        <v>1</v>
      </c>
      <c r="P105" s="93" t="str">
        <f>IFERROR(CHOOSE(MATCH(A105,'Dataset'!$B$5:$B$11,0),"S₁","S₂","S₃","S₄","S₅","S₆","S₇"),"")</f>
        <v/>
      </c>
    </row>
    <row r="106">
      <c r="A106" s="62">
        <v>102</v>
      </c>
      <c r="B106" s="66">
        <v>67</v>
      </c>
      <c r="C106" s="67">
        <v>1</v>
      </c>
      <c r="D106" s="67">
        <v>4</v>
      </c>
      <c r="E106" s="66">
        <v>120</v>
      </c>
      <c r="F106" s="66">
        <v>237</v>
      </c>
      <c r="G106" s="67">
        <v>0</v>
      </c>
      <c r="H106" s="67">
        <v>0</v>
      </c>
      <c r="I106" s="66">
        <v>71</v>
      </c>
      <c r="J106" s="67">
        <v>0</v>
      </c>
      <c r="K106" s="66">
        <v>1</v>
      </c>
      <c r="L106" s="67">
        <v>2</v>
      </c>
      <c r="M106" s="66">
        <v>0</v>
      </c>
      <c r="N106" s="67">
        <v>3</v>
      </c>
      <c r="O106" s="68">
        <v>2</v>
      </c>
      <c r="P106" s="93" t="str">
        <f>IFERROR(CHOOSE(MATCH(A106,'Dataset'!$B$5:$B$11,0),"S₁","S₂","S₃","S₄","S₅","S₆","S₇"),"")</f>
        <v/>
      </c>
    </row>
    <row r="107">
      <c r="A107" s="62">
        <v>103</v>
      </c>
      <c r="B107" s="66">
        <v>49</v>
      </c>
      <c r="C107" s="67">
        <v>0</v>
      </c>
      <c r="D107" s="67">
        <v>4</v>
      </c>
      <c r="E107" s="66">
        <v>130</v>
      </c>
      <c r="F107" s="66">
        <v>269</v>
      </c>
      <c r="G107" s="67">
        <v>0</v>
      </c>
      <c r="H107" s="67">
        <v>0</v>
      </c>
      <c r="I107" s="66">
        <v>163</v>
      </c>
      <c r="J107" s="67">
        <v>0</v>
      </c>
      <c r="K107" s="66">
        <v>0</v>
      </c>
      <c r="L107" s="67">
        <v>1</v>
      </c>
      <c r="M107" s="66">
        <v>0</v>
      </c>
      <c r="N107" s="67">
        <v>3</v>
      </c>
      <c r="O107" s="68">
        <v>1</v>
      </c>
      <c r="P107" s="93" t="str">
        <f>IFERROR(CHOOSE(MATCH(A107,'Dataset'!$B$5:$B$11,0),"S₁","S₂","S₃","S₄","S₅","S₆","S₇"),"")</f>
        <v/>
      </c>
    </row>
    <row r="108">
      <c r="A108" s="62">
        <v>104</v>
      </c>
      <c r="B108" s="66">
        <v>57</v>
      </c>
      <c r="C108" s="67">
        <v>1</v>
      </c>
      <c r="D108" s="67">
        <v>4</v>
      </c>
      <c r="E108" s="66">
        <v>165</v>
      </c>
      <c r="F108" s="66">
        <v>289</v>
      </c>
      <c r="G108" s="67">
        <v>1</v>
      </c>
      <c r="H108" s="67">
        <v>2</v>
      </c>
      <c r="I108" s="66">
        <v>124</v>
      </c>
      <c r="J108" s="67">
        <v>0</v>
      </c>
      <c r="K108" s="66">
        <v>1</v>
      </c>
      <c r="L108" s="67">
        <v>2</v>
      </c>
      <c r="M108" s="66">
        <v>3</v>
      </c>
      <c r="N108" s="67">
        <v>7</v>
      </c>
      <c r="O108" s="68">
        <v>2</v>
      </c>
      <c r="P108" s="93" t="str">
        <f>IFERROR(CHOOSE(MATCH(A108,'Dataset'!$B$5:$B$11,0),"S₁","S₂","S₃","S₄","S₅","S₆","S₇"),"")</f>
        <v/>
      </c>
    </row>
    <row r="109">
      <c r="A109" s="62">
        <v>105</v>
      </c>
      <c r="B109" s="66">
        <v>63</v>
      </c>
      <c r="C109" s="67">
        <v>1</v>
      </c>
      <c r="D109" s="67">
        <v>4</v>
      </c>
      <c r="E109" s="66">
        <v>130</v>
      </c>
      <c r="F109" s="66">
        <v>254</v>
      </c>
      <c r="G109" s="67">
        <v>0</v>
      </c>
      <c r="H109" s="67">
        <v>2</v>
      </c>
      <c r="I109" s="66">
        <v>147</v>
      </c>
      <c r="J109" s="67">
        <v>0</v>
      </c>
      <c r="K109" s="66">
        <v>1.4</v>
      </c>
      <c r="L109" s="67">
        <v>2</v>
      </c>
      <c r="M109" s="66">
        <v>1</v>
      </c>
      <c r="N109" s="67">
        <v>7</v>
      </c>
      <c r="O109" s="68">
        <v>2</v>
      </c>
      <c r="P109" s="93" t="str">
        <f>IFERROR(CHOOSE(MATCH(A109,'Dataset'!$B$5:$B$11,0),"S₁","S₂","S₃","S₄","S₅","S₆","S₇"),"")</f>
        <v/>
      </c>
    </row>
    <row r="110">
      <c r="A110" s="62">
        <v>106</v>
      </c>
      <c r="B110" s="66">
        <v>48</v>
      </c>
      <c r="C110" s="67">
        <v>1</v>
      </c>
      <c r="D110" s="67">
        <v>4</v>
      </c>
      <c r="E110" s="66">
        <v>124</v>
      </c>
      <c r="F110" s="66">
        <v>274</v>
      </c>
      <c r="G110" s="67">
        <v>0</v>
      </c>
      <c r="H110" s="67">
        <v>2</v>
      </c>
      <c r="I110" s="66">
        <v>166</v>
      </c>
      <c r="J110" s="67">
        <v>0</v>
      </c>
      <c r="K110" s="66">
        <v>0.5</v>
      </c>
      <c r="L110" s="67">
        <v>2</v>
      </c>
      <c r="M110" s="66">
        <v>0</v>
      </c>
      <c r="N110" s="67">
        <v>7</v>
      </c>
      <c r="O110" s="68">
        <v>2</v>
      </c>
      <c r="P110" s="93" t="str">
        <f>IFERROR(CHOOSE(MATCH(A110,'Dataset'!$B$5:$B$11,0),"S₁","S₂","S₃","S₄","S₅","S₆","S₇"),"")</f>
        <v/>
      </c>
    </row>
    <row r="111">
      <c r="A111" s="62">
        <v>107</v>
      </c>
      <c r="B111" s="66">
        <v>51</v>
      </c>
      <c r="C111" s="67">
        <v>1</v>
      </c>
      <c r="D111" s="67">
        <v>3</v>
      </c>
      <c r="E111" s="66">
        <v>100</v>
      </c>
      <c r="F111" s="66">
        <v>222</v>
      </c>
      <c r="G111" s="67">
        <v>0</v>
      </c>
      <c r="H111" s="67">
        <v>0</v>
      </c>
      <c r="I111" s="66">
        <v>143</v>
      </c>
      <c r="J111" s="67">
        <v>1</v>
      </c>
      <c r="K111" s="66">
        <v>1.2</v>
      </c>
      <c r="L111" s="67">
        <v>2</v>
      </c>
      <c r="M111" s="66">
        <v>0</v>
      </c>
      <c r="N111" s="67">
        <v>3</v>
      </c>
      <c r="O111" s="68">
        <v>1</v>
      </c>
      <c r="P111" s="93" t="str">
        <f>IFERROR(CHOOSE(MATCH(A111,'Dataset'!$B$5:$B$11,0),"S₁","S₂","S₃","S₄","S₅","S₆","S₇"),"")</f>
        <v/>
      </c>
    </row>
    <row r="112">
      <c r="A112" s="62">
        <v>108</v>
      </c>
      <c r="B112" s="66">
        <v>60</v>
      </c>
      <c r="C112" s="67">
        <v>0</v>
      </c>
      <c r="D112" s="67">
        <v>4</v>
      </c>
      <c r="E112" s="66">
        <v>150</v>
      </c>
      <c r="F112" s="66">
        <v>258</v>
      </c>
      <c r="G112" s="67">
        <v>0</v>
      </c>
      <c r="H112" s="67">
        <v>2</v>
      </c>
      <c r="I112" s="66">
        <v>157</v>
      </c>
      <c r="J112" s="67">
        <v>0</v>
      </c>
      <c r="K112" s="66">
        <v>2.6</v>
      </c>
      <c r="L112" s="67">
        <v>2</v>
      </c>
      <c r="M112" s="66">
        <v>2</v>
      </c>
      <c r="N112" s="67">
        <v>7</v>
      </c>
      <c r="O112" s="68">
        <v>2</v>
      </c>
      <c r="P112" s="93" t="str">
        <f>IFERROR(CHOOSE(MATCH(A112,'Dataset'!$B$5:$B$11,0),"S₁","S₂","S₃","S₄","S₅","S₆","S₇"),"")</f>
        <v/>
      </c>
    </row>
    <row r="113">
      <c r="A113" s="62">
        <v>109</v>
      </c>
      <c r="B113" s="66">
        <v>59</v>
      </c>
      <c r="C113" s="67">
        <v>1</v>
      </c>
      <c r="D113" s="67">
        <v>4</v>
      </c>
      <c r="E113" s="66">
        <v>140</v>
      </c>
      <c r="F113" s="66">
        <v>177</v>
      </c>
      <c r="G113" s="67">
        <v>0</v>
      </c>
      <c r="H113" s="67">
        <v>0</v>
      </c>
      <c r="I113" s="66">
        <v>162</v>
      </c>
      <c r="J113" s="67">
        <v>1</v>
      </c>
      <c r="K113" s="66">
        <v>0</v>
      </c>
      <c r="L113" s="67">
        <v>1</v>
      </c>
      <c r="M113" s="66">
        <v>1</v>
      </c>
      <c r="N113" s="67">
        <v>7</v>
      </c>
      <c r="O113" s="68">
        <v>2</v>
      </c>
      <c r="P113" s="93" t="str">
        <f>IFERROR(CHOOSE(MATCH(A113,'Dataset'!$B$5:$B$11,0),"S₁","S₂","S₃","S₄","S₅","S₆","S₇"),"")</f>
        <v/>
      </c>
    </row>
    <row r="114">
      <c r="A114" s="62">
        <v>110</v>
      </c>
      <c r="B114" s="66">
        <v>45</v>
      </c>
      <c r="C114" s="67">
        <v>0</v>
      </c>
      <c r="D114" s="67">
        <v>2</v>
      </c>
      <c r="E114" s="66">
        <v>112</v>
      </c>
      <c r="F114" s="66">
        <v>160</v>
      </c>
      <c r="G114" s="67">
        <v>0</v>
      </c>
      <c r="H114" s="67">
        <v>0</v>
      </c>
      <c r="I114" s="66">
        <v>138</v>
      </c>
      <c r="J114" s="67">
        <v>0</v>
      </c>
      <c r="K114" s="66">
        <v>0</v>
      </c>
      <c r="L114" s="67">
        <v>2</v>
      </c>
      <c r="M114" s="66">
        <v>0</v>
      </c>
      <c r="N114" s="67">
        <v>3</v>
      </c>
      <c r="O114" s="68">
        <v>1</v>
      </c>
      <c r="P114" s="93" t="str">
        <f>IFERROR(CHOOSE(MATCH(A114,'Dataset'!$B$5:$B$11,0),"S₁","S₂","S₃","S₄","S₅","S₆","S₇"),"")</f>
        <v/>
      </c>
    </row>
    <row r="115">
      <c r="A115" s="62">
        <v>111</v>
      </c>
      <c r="B115" s="66">
        <v>55</v>
      </c>
      <c r="C115" s="67">
        <v>0</v>
      </c>
      <c r="D115" s="67">
        <v>4</v>
      </c>
      <c r="E115" s="66">
        <v>180</v>
      </c>
      <c r="F115" s="66">
        <v>327</v>
      </c>
      <c r="G115" s="67">
        <v>0</v>
      </c>
      <c r="H115" s="67">
        <v>1</v>
      </c>
      <c r="I115" s="66">
        <v>117</v>
      </c>
      <c r="J115" s="67">
        <v>1</v>
      </c>
      <c r="K115" s="66">
        <v>3.4</v>
      </c>
      <c r="L115" s="67">
        <v>2</v>
      </c>
      <c r="M115" s="66">
        <v>0</v>
      </c>
      <c r="N115" s="67">
        <v>3</v>
      </c>
      <c r="O115" s="68">
        <v>2</v>
      </c>
      <c r="P115" s="93" t="str">
        <f>IFERROR(CHOOSE(MATCH(A115,'Dataset'!$B$5:$B$11,0),"S₁","S₂","S₃","S₄","S₅","S₆","S₇"),"")</f>
        <v/>
      </c>
    </row>
    <row r="116">
      <c r="A116" s="62">
        <v>112</v>
      </c>
      <c r="B116" s="66">
        <v>41</v>
      </c>
      <c r="C116" s="67">
        <v>1</v>
      </c>
      <c r="D116" s="67">
        <v>2</v>
      </c>
      <c r="E116" s="66">
        <v>110</v>
      </c>
      <c r="F116" s="66">
        <v>235</v>
      </c>
      <c r="G116" s="67">
        <v>0</v>
      </c>
      <c r="H116" s="67">
        <v>0</v>
      </c>
      <c r="I116" s="66">
        <v>153</v>
      </c>
      <c r="J116" s="67">
        <v>0</v>
      </c>
      <c r="K116" s="66">
        <v>0</v>
      </c>
      <c r="L116" s="67">
        <v>1</v>
      </c>
      <c r="M116" s="66">
        <v>0</v>
      </c>
      <c r="N116" s="67">
        <v>3</v>
      </c>
      <c r="O116" s="68">
        <v>1</v>
      </c>
      <c r="P116" s="93" t="str">
        <f>IFERROR(CHOOSE(MATCH(A116,'Dataset'!$B$5:$B$11,0),"S₁","S₂","S₃","S₄","S₅","S₆","S₇"),"")</f>
        <v/>
      </c>
    </row>
    <row r="117">
      <c r="A117" s="62">
        <v>113</v>
      </c>
      <c r="B117" s="66">
        <v>60</v>
      </c>
      <c r="C117" s="67">
        <v>0</v>
      </c>
      <c r="D117" s="67">
        <v>4</v>
      </c>
      <c r="E117" s="66">
        <v>158</v>
      </c>
      <c r="F117" s="66">
        <v>305</v>
      </c>
      <c r="G117" s="67">
        <v>0</v>
      </c>
      <c r="H117" s="67">
        <v>2</v>
      </c>
      <c r="I117" s="66">
        <v>161</v>
      </c>
      <c r="J117" s="67">
        <v>0</v>
      </c>
      <c r="K117" s="66">
        <v>0</v>
      </c>
      <c r="L117" s="67">
        <v>1</v>
      </c>
      <c r="M117" s="66">
        <v>0</v>
      </c>
      <c r="N117" s="67">
        <v>3</v>
      </c>
      <c r="O117" s="68">
        <v>2</v>
      </c>
      <c r="P117" s="93" t="str">
        <f>IFERROR(CHOOSE(MATCH(A117,'Dataset'!$B$5:$B$11,0),"S₁","S₂","S₃","S₄","S₅","S₆","S₇"),"")</f>
        <v/>
      </c>
    </row>
    <row r="118">
      <c r="A118" s="62">
        <v>114</v>
      </c>
      <c r="B118" s="66">
        <v>54</v>
      </c>
      <c r="C118" s="67">
        <v>0</v>
      </c>
      <c r="D118" s="67">
        <v>3</v>
      </c>
      <c r="E118" s="66">
        <v>135</v>
      </c>
      <c r="F118" s="66">
        <v>304</v>
      </c>
      <c r="G118" s="67">
        <v>1</v>
      </c>
      <c r="H118" s="67">
        <v>0</v>
      </c>
      <c r="I118" s="66">
        <v>170</v>
      </c>
      <c r="J118" s="67">
        <v>0</v>
      </c>
      <c r="K118" s="66">
        <v>0</v>
      </c>
      <c r="L118" s="67">
        <v>1</v>
      </c>
      <c r="M118" s="66">
        <v>0</v>
      </c>
      <c r="N118" s="67">
        <v>3</v>
      </c>
      <c r="O118" s="68">
        <v>1</v>
      </c>
      <c r="P118" s="93" t="str">
        <f>IFERROR(CHOOSE(MATCH(A118,'Dataset'!$B$5:$B$11,0),"S₁","S₂","S₃","S₄","S₅","S₆","S₇"),"")</f>
        <v/>
      </c>
    </row>
    <row r="119">
      <c r="A119" s="62">
        <v>115</v>
      </c>
      <c r="B119" s="66">
        <v>42</v>
      </c>
      <c r="C119" s="67">
        <v>1</v>
      </c>
      <c r="D119" s="67">
        <v>2</v>
      </c>
      <c r="E119" s="66">
        <v>120</v>
      </c>
      <c r="F119" s="66">
        <v>295</v>
      </c>
      <c r="G119" s="67">
        <v>0</v>
      </c>
      <c r="H119" s="67">
        <v>0</v>
      </c>
      <c r="I119" s="66">
        <v>162</v>
      </c>
      <c r="J119" s="67">
        <v>0</v>
      </c>
      <c r="K119" s="66">
        <v>0</v>
      </c>
      <c r="L119" s="67">
        <v>1</v>
      </c>
      <c r="M119" s="66">
        <v>0</v>
      </c>
      <c r="N119" s="67">
        <v>3</v>
      </c>
      <c r="O119" s="68">
        <v>1</v>
      </c>
      <c r="P119" s="93" t="str">
        <f>IFERROR(CHOOSE(MATCH(A119,'Dataset'!$B$5:$B$11,0),"S₁","S₂","S₃","S₄","S₅","S₆","S₇"),"")</f>
        <v/>
      </c>
    </row>
    <row r="120">
      <c r="A120" s="62">
        <v>116</v>
      </c>
      <c r="B120" s="66">
        <v>49</v>
      </c>
      <c r="C120" s="67">
        <v>0</v>
      </c>
      <c r="D120" s="67">
        <v>2</v>
      </c>
      <c r="E120" s="66">
        <v>134</v>
      </c>
      <c r="F120" s="66">
        <v>271</v>
      </c>
      <c r="G120" s="67">
        <v>0</v>
      </c>
      <c r="H120" s="67">
        <v>0</v>
      </c>
      <c r="I120" s="66">
        <v>162</v>
      </c>
      <c r="J120" s="67">
        <v>0</v>
      </c>
      <c r="K120" s="66">
        <v>0</v>
      </c>
      <c r="L120" s="67">
        <v>2</v>
      </c>
      <c r="M120" s="66">
        <v>0</v>
      </c>
      <c r="N120" s="67">
        <v>3</v>
      </c>
      <c r="O120" s="68">
        <v>1</v>
      </c>
      <c r="P120" s="93" t="str">
        <f>IFERROR(CHOOSE(MATCH(A120,'Dataset'!$B$5:$B$11,0),"S₁","S₂","S₃","S₄","S₅","S₆","S₇"),"")</f>
        <v/>
      </c>
    </row>
    <row r="121">
      <c r="A121" s="62">
        <v>117</v>
      </c>
      <c r="B121" s="66">
        <v>46</v>
      </c>
      <c r="C121" s="67">
        <v>1</v>
      </c>
      <c r="D121" s="67">
        <v>4</v>
      </c>
      <c r="E121" s="66">
        <v>120</v>
      </c>
      <c r="F121" s="66">
        <v>249</v>
      </c>
      <c r="G121" s="67">
        <v>0</v>
      </c>
      <c r="H121" s="67">
        <v>2</v>
      </c>
      <c r="I121" s="66">
        <v>144</v>
      </c>
      <c r="J121" s="67">
        <v>0</v>
      </c>
      <c r="K121" s="66">
        <v>0.8</v>
      </c>
      <c r="L121" s="67">
        <v>1</v>
      </c>
      <c r="M121" s="66">
        <v>0</v>
      </c>
      <c r="N121" s="67">
        <v>7</v>
      </c>
      <c r="O121" s="68">
        <v>2</v>
      </c>
      <c r="P121" s="93" t="str">
        <f>IFERROR(CHOOSE(MATCH(A121,'Dataset'!$B$5:$B$11,0),"S₁","S₂","S₃","S₄","S₅","S₆","S₇"),"")</f>
        <v/>
      </c>
    </row>
    <row r="122">
      <c r="A122" s="62">
        <v>118</v>
      </c>
      <c r="B122" s="66">
        <v>56</v>
      </c>
      <c r="C122" s="67">
        <v>0</v>
      </c>
      <c r="D122" s="67">
        <v>4</v>
      </c>
      <c r="E122" s="66">
        <v>200</v>
      </c>
      <c r="F122" s="66">
        <v>288</v>
      </c>
      <c r="G122" s="67">
        <v>1</v>
      </c>
      <c r="H122" s="67">
        <v>2</v>
      </c>
      <c r="I122" s="66">
        <v>133</v>
      </c>
      <c r="J122" s="67">
        <v>1</v>
      </c>
      <c r="K122" s="66">
        <v>4</v>
      </c>
      <c r="L122" s="67">
        <v>3</v>
      </c>
      <c r="M122" s="66">
        <v>2</v>
      </c>
      <c r="N122" s="67">
        <v>7</v>
      </c>
      <c r="O122" s="68">
        <v>2</v>
      </c>
      <c r="P122" s="93" t="str">
        <f>IFERROR(CHOOSE(MATCH(A122,'Dataset'!$B$5:$B$11,0),"S₁","S₂","S₃","S₄","S₅","S₆","S₇"),"")</f>
        <v/>
      </c>
    </row>
    <row r="123">
      <c r="A123" s="62">
        <v>119</v>
      </c>
      <c r="B123" s="66">
        <v>66</v>
      </c>
      <c r="C123" s="67">
        <v>0</v>
      </c>
      <c r="D123" s="67">
        <v>1</v>
      </c>
      <c r="E123" s="66">
        <v>150</v>
      </c>
      <c r="F123" s="66">
        <v>226</v>
      </c>
      <c r="G123" s="67">
        <v>0</v>
      </c>
      <c r="H123" s="67">
        <v>0</v>
      </c>
      <c r="I123" s="66">
        <v>114</v>
      </c>
      <c r="J123" s="67">
        <v>0</v>
      </c>
      <c r="K123" s="66">
        <v>2.6</v>
      </c>
      <c r="L123" s="67">
        <v>3</v>
      </c>
      <c r="M123" s="66">
        <v>0</v>
      </c>
      <c r="N123" s="67">
        <v>3</v>
      </c>
      <c r="O123" s="68">
        <v>1</v>
      </c>
      <c r="P123" s="93" t="str">
        <f>IFERROR(CHOOSE(MATCH(A123,'Dataset'!$B$5:$B$11,0),"S₁","S₂","S₃","S₄","S₅","S₆","S₇"),"")</f>
        <v/>
      </c>
    </row>
    <row r="124">
      <c r="A124" s="62">
        <v>120</v>
      </c>
      <c r="B124" s="66">
        <v>56</v>
      </c>
      <c r="C124" s="67">
        <v>1</v>
      </c>
      <c r="D124" s="67">
        <v>4</v>
      </c>
      <c r="E124" s="66">
        <v>130</v>
      </c>
      <c r="F124" s="66">
        <v>283</v>
      </c>
      <c r="G124" s="67">
        <v>1</v>
      </c>
      <c r="H124" s="67">
        <v>2</v>
      </c>
      <c r="I124" s="66">
        <v>103</v>
      </c>
      <c r="J124" s="67">
        <v>1</v>
      </c>
      <c r="K124" s="66">
        <v>1.6</v>
      </c>
      <c r="L124" s="67">
        <v>3</v>
      </c>
      <c r="M124" s="66">
        <v>0</v>
      </c>
      <c r="N124" s="67">
        <v>7</v>
      </c>
      <c r="O124" s="68">
        <v>2</v>
      </c>
      <c r="P124" s="93" t="str">
        <f>IFERROR(CHOOSE(MATCH(A124,'Dataset'!$B$5:$B$11,0),"S₁","S₂","S₃","S₄","S₅","S₆","S₇"),"")</f>
        <v/>
      </c>
    </row>
    <row r="125">
      <c r="A125" s="62">
        <v>121</v>
      </c>
      <c r="B125" s="66">
        <v>49</v>
      </c>
      <c r="C125" s="67">
        <v>1</v>
      </c>
      <c r="D125" s="67">
        <v>3</v>
      </c>
      <c r="E125" s="66">
        <v>120</v>
      </c>
      <c r="F125" s="66">
        <v>188</v>
      </c>
      <c r="G125" s="67">
        <v>0</v>
      </c>
      <c r="H125" s="67">
        <v>0</v>
      </c>
      <c r="I125" s="66">
        <v>139</v>
      </c>
      <c r="J125" s="67">
        <v>0</v>
      </c>
      <c r="K125" s="66">
        <v>2</v>
      </c>
      <c r="L125" s="67">
        <v>2</v>
      </c>
      <c r="M125" s="66">
        <v>3</v>
      </c>
      <c r="N125" s="67">
        <v>7</v>
      </c>
      <c r="O125" s="68">
        <v>2</v>
      </c>
      <c r="P125" s="93" t="str">
        <f>IFERROR(CHOOSE(MATCH(A125,'Dataset'!$B$5:$B$11,0),"S₁","S₂","S₃","S₄","S₅","S₆","S₇"),"")</f>
        <v/>
      </c>
    </row>
    <row r="126">
      <c r="A126" s="62">
        <v>122</v>
      </c>
      <c r="B126" s="66">
        <v>54</v>
      </c>
      <c r="C126" s="67">
        <v>1</v>
      </c>
      <c r="D126" s="67">
        <v>4</v>
      </c>
      <c r="E126" s="66">
        <v>122</v>
      </c>
      <c r="F126" s="66">
        <v>286</v>
      </c>
      <c r="G126" s="67">
        <v>0</v>
      </c>
      <c r="H126" s="67">
        <v>2</v>
      </c>
      <c r="I126" s="66">
        <v>116</v>
      </c>
      <c r="J126" s="67">
        <v>1</v>
      </c>
      <c r="K126" s="66">
        <v>3.2</v>
      </c>
      <c r="L126" s="67">
        <v>2</v>
      </c>
      <c r="M126" s="66">
        <v>2</v>
      </c>
      <c r="N126" s="67">
        <v>3</v>
      </c>
      <c r="O126" s="68">
        <v>2</v>
      </c>
      <c r="P126" s="93" t="str">
        <f>IFERROR(CHOOSE(MATCH(A126,'Dataset'!$B$5:$B$11,0),"S₁","S₂","S₃","S₄","S₅","S₆","S₇"),"")</f>
        <v/>
      </c>
    </row>
    <row r="127">
      <c r="A127" s="62">
        <v>123</v>
      </c>
      <c r="B127" s="66">
        <v>57</v>
      </c>
      <c r="C127" s="67">
        <v>1</v>
      </c>
      <c r="D127" s="67">
        <v>4</v>
      </c>
      <c r="E127" s="66">
        <v>152</v>
      </c>
      <c r="F127" s="66">
        <v>274</v>
      </c>
      <c r="G127" s="67">
        <v>0</v>
      </c>
      <c r="H127" s="67">
        <v>0</v>
      </c>
      <c r="I127" s="66">
        <v>88</v>
      </c>
      <c r="J127" s="67">
        <v>1</v>
      </c>
      <c r="K127" s="66">
        <v>1.2</v>
      </c>
      <c r="L127" s="67">
        <v>2</v>
      </c>
      <c r="M127" s="66">
        <v>1</v>
      </c>
      <c r="N127" s="67">
        <v>7</v>
      </c>
      <c r="O127" s="68">
        <v>2</v>
      </c>
      <c r="P127" s="93" t="str">
        <f>IFERROR(CHOOSE(MATCH(A127,'Dataset'!$B$5:$B$11,0),"S₁","S₂","S₃","S₄","S₅","S₆","S₇"),"")</f>
        <v/>
      </c>
    </row>
    <row r="128">
      <c r="A128" s="62">
        <v>124</v>
      </c>
      <c r="B128" s="66">
        <v>65</v>
      </c>
      <c r="C128" s="67">
        <v>0</v>
      </c>
      <c r="D128" s="67">
        <v>3</v>
      </c>
      <c r="E128" s="66">
        <v>160</v>
      </c>
      <c r="F128" s="66">
        <v>360</v>
      </c>
      <c r="G128" s="67">
        <v>0</v>
      </c>
      <c r="H128" s="67">
        <v>2</v>
      </c>
      <c r="I128" s="66">
        <v>151</v>
      </c>
      <c r="J128" s="67">
        <v>0</v>
      </c>
      <c r="K128" s="66">
        <v>0.8</v>
      </c>
      <c r="L128" s="67">
        <v>1</v>
      </c>
      <c r="M128" s="66">
        <v>0</v>
      </c>
      <c r="N128" s="67">
        <v>3</v>
      </c>
      <c r="O128" s="68">
        <v>1</v>
      </c>
      <c r="P128" s="93" t="str">
        <f>IFERROR(CHOOSE(MATCH(A128,'Dataset'!$B$5:$B$11,0),"S₁","S₂","S₃","S₄","S₅","S₆","S₇"),"")</f>
        <v/>
      </c>
    </row>
    <row r="129">
      <c r="A129" s="62">
        <v>125</v>
      </c>
      <c r="B129" s="66">
        <v>54</v>
      </c>
      <c r="C129" s="67">
        <v>1</v>
      </c>
      <c r="D129" s="67">
        <v>3</v>
      </c>
      <c r="E129" s="66">
        <v>125</v>
      </c>
      <c r="F129" s="66">
        <v>273</v>
      </c>
      <c r="G129" s="67">
        <v>0</v>
      </c>
      <c r="H129" s="67">
        <v>2</v>
      </c>
      <c r="I129" s="66">
        <v>152</v>
      </c>
      <c r="J129" s="67">
        <v>0</v>
      </c>
      <c r="K129" s="66">
        <v>0.5</v>
      </c>
      <c r="L129" s="67">
        <v>3</v>
      </c>
      <c r="M129" s="66">
        <v>1</v>
      </c>
      <c r="N129" s="67">
        <v>3</v>
      </c>
      <c r="O129" s="68">
        <v>1</v>
      </c>
      <c r="P129" s="93" t="str">
        <f>IFERROR(CHOOSE(MATCH(A129,'Dataset'!$B$5:$B$11,0),"S₁","S₂","S₃","S₄","S₅","S₆","S₇"),"")</f>
        <v/>
      </c>
    </row>
    <row r="130">
      <c r="A130" s="62">
        <v>126</v>
      </c>
      <c r="B130" s="66">
        <v>54</v>
      </c>
      <c r="C130" s="67">
        <v>0</v>
      </c>
      <c r="D130" s="67">
        <v>3</v>
      </c>
      <c r="E130" s="66">
        <v>160</v>
      </c>
      <c r="F130" s="66">
        <v>201</v>
      </c>
      <c r="G130" s="67">
        <v>0</v>
      </c>
      <c r="H130" s="67">
        <v>0</v>
      </c>
      <c r="I130" s="66">
        <v>163</v>
      </c>
      <c r="J130" s="67">
        <v>0</v>
      </c>
      <c r="K130" s="66">
        <v>0</v>
      </c>
      <c r="L130" s="67">
        <v>1</v>
      </c>
      <c r="M130" s="66">
        <v>1</v>
      </c>
      <c r="N130" s="67">
        <v>3</v>
      </c>
      <c r="O130" s="68">
        <v>1</v>
      </c>
      <c r="P130" s="93" t="str">
        <f>IFERROR(CHOOSE(MATCH(A130,'Dataset'!$B$5:$B$11,0),"S₁","S₂","S₃","S₄","S₅","S₆","S₇"),"")</f>
        <v/>
      </c>
    </row>
    <row r="131">
      <c r="A131" s="62">
        <v>127</v>
      </c>
      <c r="B131" s="66">
        <v>62</v>
      </c>
      <c r="C131" s="67">
        <v>1</v>
      </c>
      <c r="D131" s="67">
        <v>4</v>
      </c>
      <c r="E131" s="66">
        <v>120</v>
      </c>
      <c r="F131" s="66">
        <v>267</v>
      </c>
      <c r="G131" s="67">
        <v>0</v>
      </c>
      <c r="H131" s="67">
        <v>0</v>
      </c>
      <c r="I131" s="66">
        <v>99</v>
      </c>
      <c r="J131" s="67">
        <v>1</v>
      </c>
      <c r="K131" s="66">
        <v>1.8</v>
      </c>
      <c r="L131" s="67">
        <v>2</v>
      </c>
      <c r="M131" s="66">
        <v>2</v>
      </c>
      <c r="N131" s="67">
        <v>7</v>
      </c>
      <c r="O131" s="68">
        <v>2</v>
      </c>
      <c r="P131" s="93" t="str">
        <f>IFERROR(CHOOSE(MATCH(A131,'Dataset'!$B$5:$B$11,0),"S₁","S₂","S₃","S₄","S₅","S₆","S₇"),"")</f>
        <v/>
      </c>
    </row>
    <row r="132">
      <c r="A132" s="62">
        <v>128</v>
      </c>
      <c r="B132" s="66">
        <v>52</v>
      </c>
      <c r="C132" s="67">
        <v>0</v>
      </c>
      <c r="D132" s="67">
        <v>3</v>
      </c>
      <c r="E132" s="66">
        <v>136</v>
      </c>
      <c r="F132" s="66">
        <v>196</v>
      </c>
      <c r="G132" s="67">
        <v>0</v>
      </c>
      <c r="H132" s="67">
        <v>2</v>
      </c>
      <c r="I132" s="66">
        <v>169</v>
      </c>
      <c r="J132" s="67">
        <v>0</v>
      </c>
      <c r="K132" s="66">
        <v>0.1</v>
      </c>
      <c r="L132" s="67">
        <v>2</v>
      </c>
      <c r="M132" s="66">
        <v>0</v>
      </c>
      <c r="N132" s="67">
        <v>3</v>
      </c>
      <c r="O132" s="68">
        <v>1</v>
      </c>
      <c r="P132" s="93" t="str">
        <f>IFERROR(CHOOSE(MATCH(A132,'Dataset'!$B$5:$B$11,0),"S₁","S₂","S₃","S₄","S₅","S₆","S₇"),"")</f>
        <v/>
      </c>
    </row>
    <row r="133">
      <c r="A133" s="62">
        <v>129</v>
      </c>
      <c r="B133" s="66">
        <v>52</v>
      </c>
      <c r="C133" s="67">
        <v>1</v>
      </c>
      <c r="D133" s="67">
        <v>2</v>
      </c>
      <c r="E133" s="66">
        <v>134</v>
      </c>
      <c r="F133" s="66">
        <v>201</v>
      </c>
      <c r="G133" s="67">
        <v>0</v>
      </c>
      <c r="H133" s="67">
        <v>0</v>
      </c>
      <c r="I133" s="66">
        <v>158</v>
      </c>
      <c r="J133" s="67">
        <v>0</v>
      </c>
      <c r="K133" s="66">
        <v>0.8</v>
      </c>
      <c r="L133" s="67">
        <v>1</v>
      </c>
      <c r="M133" s="66">
        <v>1</v>
      </c>
      <c r="N133" s="67">
        <v>3</v>
      </c>
      <c r="O133" s="68">
        <v>1</v>
      </c>
      <c r="P133" s="93" t="str">
        <f>IFERROR(CHOOSE(MATCH(A133,'Dataset'!$B$5:$B$11,0),"S₁","S₂","S₃","S₄","S₅","S₆","S₇"),"")</f>
        <v/>
      </c>
    </row>
    <row r="134">
      <c r="A134" s="62">
        <v>130</v>
      </c>
      <c r="B134" s="66">
        <v>60</v>
      </c>
      <c r="C134" s="67">
        <v>1</v>
      </c>
      <c r="D134" s="67">
        <v>4</v>
      </c>
      <c r="E134" s="66">
        <v>117</v>
      </c>
      <c r="F134" s="66">
        <v>230</v>
      </c>
      <c r="G134" s="67">
        <v>1</v>
      </c>
      <c r="H134" s="67">
        <v>0</v>
      </c>
      <c r="I134" s="66">
        <v>160</v>
      </c>
      <c r="J134" s="67">
        <v>1</v>
      </c>
      <c r="K134" s="66">
        <v>1.4</v>
      </c>
      <c r="L134" s="67">
        <v>1</v>
      </c>
      <c r="M134" s="66">
        <v>2</v>
      </c>
      <c r="N134" s="67">
        <v>7</v>
      </c>
      <c r="O134" s="68">
        <v>2</v>
      </c>
      <c r="P134" s="93" t="str">
        <f>IFERROR(CHOOSE(MATCH(A134,'Dataset'!$B$5:$B$11,0),"S₁","S₂","S₃","S₄","S₅","S₆","S₇"),"")</f>
        <v/>
      </c>
    </row>
    <row r="135">
      <c r="A135" s="62">
        <v>131</v>
      </c>
      <c r="B135" s="66">
        <v>63</v>
      </c>
      <c r="C135" s="67">
        <v>0</v>
      </c>
      <c r="D135" s="67">
        <v>4</v>
      </c>
      <c r="E135" s="66">
        <v>108</v>
      </c>
      <c r="F135" s="66">
        <v>269</v>
      </c>
      <c r="G135" s="67">
        <v>0</v>
      </c>
      <c r="H135" s="67">
        <v>0</v>
      </c>
      <c r="I135" s="66">
        <v>169</v>
      </c>
      <c r="J135" s="67">
        <v>1</v>
      </c>
      <c r="K135" s="66">
        <v>1.8</v>
      </c>
      <c r="L135" s="67">
        <v>2</v>
      </c>
      <c r="M135" s="66">
        <v>2</v>
      </c>
      <c r="N135" s="67">
        <v>3</v>
      </c>
      <c r="O135" s="68">
        <v>2</v>
      </c>
      <c r="P135" s="93" t="str">
        <f>IFERROR(CHOOSE(MATCH(A135,'Dataset'!$B$5:$B$11,0),"S₁","S₂","S₃","S₄","S₅","S₆","S₇"),"")</f>
        <v/>
      </c>
    </row>
    <row r="136">
      <c r="A136" s="62">
        <v>132</v>
      </c>
      <c r="B136" s="66">
        <v>66</v>
      </c>
      <c r="C136" s="67">
        <v>1</v>
      </c>
      <c r="D136" s="67">
        <v>4</v>
      </c>
      <c r="E136" s="66">
        <v>112</v>
      </c>
      <c r="F136" s="66">
        <v>212</v>
      </c>
      <c r="G136" s="67">
        <v>0</v>
      </c>
      <c r="H136" s="67">
        <v>2</v>
      </c>
      <c r="I136" s="66">
        <v>132</v>
      </c>
      <c r="J136" s="67">
        <v>1</v>
      </c>
      <c r="K136" s="66">
        <v>0.1</v>
      </c>
      <c r="L136" s="67">
        <v>1</v>
      </c>
      <c r="M136" s="66">
        <v>1</v>
      </c>
      <c r="N136" s="67">
        <v>3</v>
      </c>
      <c r="O136" s="68">
        <v>2</v>
      </c>
      <c r="P136" s="93" t="str">
        <f>IFERROR(CHOOSE(MATCH(A136,'Dataset'!$B$5:$B$11,0),"S₁","S₂","S₃","S₄","S₅","S₆","S₇"),"")</f>
        <v/>
      </c>
    </row>
    <row r="137">
      <c r="A137" s="62">
        <v>133</v>
      </c>
      <c r="B137" s="66">
        <v>42</v>
      </c>
      <c r="C137" s="67">
        <v>1</v>
      </c>
      <c r="D137" s="67">
        <v>4</v>
      </c>
      <c r="E137" s="66">
        <v>140</v>
      </c>
      <c r="F137" s="66">
        <v>226</v>
      </c>
      <c r="G137" s="67">
        <v>0</v>
      </c>
      <c r="H137" s="67">
        <v>0</v>
      </c>
      <c r="I137" s="66">
        <v>178</v>
      </c>
      <c r="J137" s="67">
        <v>0</v>
      </c>
      <c r="K137" s="66">
        <v>0</v>
      </c>
      <c r="L137" s="67">
        <v>1</v>
      </c>
      <c r="M137" s="66">
        <v>0</v>
      </c>
      <c r="N137" s="67">
        <v>3</v>
      </c>
      <c r="O137" s="68">
        <v>1</v>
      </c>
      <c r="P137" s="93" t="str">
        <f>IFERROR(CHOOSE(MATCH(A137,'Dataset'!$B$5:$B$11,0),"S₁","S₂","S₃","S₄","S₅","S₆","S₇"),"")</f>
        <v/>
      </c>
    </row>
    <row r="138">
      <c r="A138" s="62">
        <v>134</v>
      </c>
      <c r="B138" s="66">
        <v>64</v>
      </c>
      <c r="C138" s="67">
        <v>1</v>
      </c>
      <c r="D138" s="67">
        <v>4</v>
      </c>
      <c r="E138" s="66">
        <v>120</v>
      </c>
      <c r="F138" s="66">
        <v>246</v>
      </c>
      <c r="G138" s="67">
        <v>0</v>
      </c>
      <c r="H138" s="67">
        <v>2</v>
      </c>
      <c r="I138" s="66">
        <v>96</v>
      </c>
      <c r="J138" s="67">
        <v>1</v>
      </c>
      <c r="K138" s="66">
        <v>2.2</v>
      </c>
      <c r="L138" s="67">
        <v>3</v>
      </c>
      <c r="M138" s="66">
        <v>1</v>
      </c>
      <c r="N138" s="67">
        <v>3</v>
      </c>
      <c r="O138" s="68">
        <v>2</v>
      </c>
      <c r="P138" s="93" t="str">
        <f>IFERROR(CHOOSE(MATCH(A138,'Dataset'!$B$5:$B$11,0),"S₁","S₂","S₃","S₄","S₅","S₆","S₇"),"")</f>
        <v/>
      </c>
    </row>
    <row r="139">
      <c r="A139" s="62">
        <v>135</v>
      </c>
      <c r="B139" s="66">
        <v>54</v>
      </c>
      <c r="C139" s="67">
        <v>1</v>
      </c>
      <c r="D139" s="67">
        <v>3</v>
      </c>
      <c r="E139" s="66">
        <v>150</v>
      </c>
      <c r="F139" s="66">
        <v>232</v>
      </c>
      <c r="G139" s="67">
        <v>0</v>
      </c>
      <c r="H139" s="67">
        <v>2</v>
      </c>
      <c r="I139" s="66">
        <v>165</v>
      </c>
      <c r="J139" s="67">
        <v>0</v>
      </c>
      <c r="K139" s="66">
        <v>1.6</v>
      </c>
      <c r="L139" s="67">
        <v>1</v>
      </c>
      <c r="M139" s="66">
        <v>0</v>
      </c>
      <c r="N139" s="67">
        <v>7</v>
      </c>
      <c r="O139" s="68">
        <v>1</v>
      </c>
      <c r="P139" s="93" t="str">
        <f>IFERROR(CHOOSE(MATCH(A139,'Dataset'!$B$5:$B$11,0),"S₁","S₂","S₃","S₄","S₅","S₆","S₇"),"")</f>
        <v/>
      </c>
    </row>
    <row r="140">
      <c r="A140" s="62">
        <v>136</v>
      </c>
      <c r="B140" s="66">
        <v>46</v>
      </c>
      <c r="C140" s="67">
        <v>0</v>
      </c>
      <c r="D140" s="67">
        <v>3</v>
      </c>
      <c r="E140" s="66">
        <v>142</v>
      </c>
      <c r="F140" s="66">
        <v>177</v>
      </c>
      <c r="G140" s="67">
        <v>0</v>
      </c>
      <c r="H140" s="67">
        <v>2</v>
      </c>
      <c r="I140" s="66">
        <v>160</v>
      </c>
      <c r="J140" s="67">
        <v>1</v>
      </c>
      <c r="K140" s="66">
        <v>1.4</v>
      </c>
      <c r="L140" s="67">
        <v>3</v>
      </c>
      <c r="M140" s="66">
        <v>0</v>
      </c>
      <c r="N140" s="67">
        <v>3</v>
      </c>
      <c r="O140" s="68">
        <v>1</v>
      </c>
      <c r="P140" s="93" t="str">
        <f>IFERROR(CHOOSE(MATCH(A140,'Dataset'!$B$5:$B$11,0),"S₁","S₂","S₃","S₄","S₅","S₆","S₇"),"")</f>
        <v/>
      </c>
    </row>
    <row r="141">
      <c r="A141" s="62">
        <v>137</v>
      </c>
      <c r="B141" s="66">
        <v>67</v>
      </c>
      <c r="C141" s="67">
        <v>0</v>
      </c>
      <c r="D141" s="67">
        <v>3</v>
      </c>
      <c r="E141" s="66">
        <v>152</v>
      </c>
      <c r="F141" s="66">
        <v>277</v>
      </c>
      <c r="G141" s="67">
        <v>0</v>
      </c>
      <c r="H141" s="67">
        <v>0</v>
      </c>
      <c r="I141" s="66">
        <v>172</v>
      </c>
      <c r="J141" s="67">
        <v>0</v>
      </c>
      <c r="K141" s="66">
        <v>0</v>
      </c>
      <c r="L141" s="67">
        <v>1</v>
      </c>
      <c r="M141" s="66">
        <v>1</v>
      </c>
      <c r="N141" s="67">
        <v>3</v>
      </c>
      <c r="O141" s="68">
        <v>1</v>
      </c>
      <c r="P141" s="93" t="str">
        <f>IFERROR(CHOOSE(MATCH(A141,'Dataset'!$B$5:$B$11,0),"S₁","S₂","S₃","S₄","S₅","S₆","S₇"),"")</f>
        <v/>
      </c>
    </row>
    <row r="142">
      <c r="A142" s="62">
        <v>138</v>
      </c>
      <c r="B142" s="66">
        <v>56</v>
      </c>
      <c r="C142" s="67">
        <v>1</v>
      </c>
      <c r="D142" s="67">
        <v>4</v>
      </c>
      <c r="E142" s="66">
        <v>125</v>
      </c>
      <c r="F142" s="66">
        <v>249</v>
      </c>
      <c r="G142" s="67">
        <v>1</v>
      </c>
      <c r="H142" s="67">
        <v>2</v>
      </c>
      <c r="I142" s="66">
        <v>144</v>
      </c>
      <c r="J142" s="67">
        <v>1</v>
      </c>
      <c r="K142" s="66">
        <v>1.2</v>
      </c>
      <c r="L142" s="67">
        <v>2</v>
      </c>
      <c r="M142" s="66">
        <v>1</v>
      </c>
      <c r="N142" s="67">
        <v>3</v>
      </c>
      <c r="O142" s="68">
        <v>2</v>
      </c>
      <c r="P142" s="93" t="str">
        <f>IFERROR(CHOOSE(MATCH(A142,'Dataset'!$B$5:$B$11,0),"S₁","S₂","S₃","S₄","S₅","S₆","S₇"),"")</f>
        <v/>
      </c>
    </row>
    <row r="143">
      <c r="A143" s="62">
        <v>139</v>
      </c>
      <c r="B143" s="66">
        <v>34</v>
      </c>
      <c r="C143" s="67">
        <v>0</v>
      </c>
      <c r="D143" s="67">
        <v>2</v>
      </c>
      <c r="E143" s="66">
        <v>118</v>
      </c>
      <c r="F143" s="66">
        <v>210</v>
      </c>
      <c r="G143" s="67">
        <v>0</v>
      </c>
      <c r="H143" s="67">
        <v>0</v>
      </c>
      <c r="I143" s="66">
        <v>192</v>
      </c>
      <c r="J143" s="67">
        <v>0</v>
      </c>
      <c r="K143" s="66">
        <v>0.7</v>
      </c>
      <c r="L143" s="67">
        <v>1</v>
      </c>
      <c r="M143" s="66">
        <v>0</v>
      </c>
      <c r="N143" s="67">
        <v>3</v>
      </c>
      <c r="O143" s="68">
        <v>1</v>
      </c>
      <c r="P143" s="93" t="str">
        <f>IFERROR(CHOOSE(MATCH(A143,'Dataset'!$B$5:$B$11,0),"S₁","S₂","S₃","S₄","S₅","S₆","S₇"),"")</f>
        <v/>
      </c>
    </row>
    <row r="144">
      <c r="A144" s="62">
        <v>140</v>
      </c>
      <c r="B144" s="66">
        <v>57</v>
      </c>
      <c r="C144" s="67">
        <v>1</v>
      </c>
      <c r="D144" s="67">
        <v>4</v>
      </c>
      <c r="E144" s="66">
        <v>132</v>
      </c>
      <c r="F144" s="66">
        <v>207</v>
      </c>
      <c r="G144" s="67">
        <v>0</v>
      </c>
      <c r="H144" s="67">
        <v>0</v>
      </c>
      <c r="I144" s="66">
        <v>168</v>
      </c>
      <c r="J144" s="67">
        <v>1</v>
      </c>
      <c r="K144" s="66">
        <v>0</v>
      </c>
      <c r="L144" s="67">
        <v>1</v>
      </c>
      <c r="M144" s="66">
        <v>0</v>
      </c>
      <c r="N144" s="67">
        <v>7</v>
      </c>
      <c r="O144" s="68">
        <v>1</v>
      </c>
      <c r="P144" s="93" t="str">
        <f>IFERROR(CHOOSE(MATCH(A144,'Dataset'!$B$5:$B$11,0),"S₁","S₂","S₃","S₄","S₅","S₆","S₇"),"")</f>
        <v/>
      </c>
    </row>
    <row r="145">
      <c r="A145" s="62">
        <v>141</v>
      </c>
      <c r="B145" s="66">
        <v>64</v>
      </c>
      <c r="C145" s="67">
        <v>1</v>
      </c>
      <c r="D145" s="67">
        <v>4</v>
      </c>
      <c r="E145" s="66">
        <v>145</v>
      </c>
      <c r="F145" s="66">
        <v>212</v>
      </c>
      <c r="G145" s="67">
        <v>0</v>
      </c>
      <c r="H145" s="67">
        <v>2</v>
      </c>
      <c r="I145" s="66">
        <v>132</v>
      </c>
      <c r="J145" s="67">
        <v>0</v>
      </c>
      <c r="K145" s="66">
        <v>2</v>
      </c>
      <c r="L145" s="67">
        <v>2</v>
      </c>
      <c r="M145" s="66">
        <v>2</v>
      </c>
      <c r="N145" s="67">
        <v>6</v>
      </c>
      <c r="O145" s="68">
        <v>2</v>
      </c>
      <c r="P145" s="93" t="str">
        <f>IFERROR(CHOOSE(MATCH(A145,'Dataset'!$B$5:$B$11,0),"S₁","S₂","S₃","S₄","S₅","S₆","S₇"),"")</f>
        <v/>
      </c>
    </row>
    <row r="146">
      <c r="A146" s="62">
        <v>142</v>
      </c>
      <c r="B146" s="66">
        <v>59</v>
      </c>
      <c r="C146" s="67">
        <v>1</v>
      </c>
      <c r="D146" s="67">
        <v>4</v>
      </c>
      <c r="E146" s="66">
        <v>138</v>
      </c>
      <c r="F146" s="66">
        <v>271</v>
      </c>
      <c r="G146" s="67">
        <v>0</v>
      </c>
      <c r="H146" s="67">
        <v>2</v>
      </c>
      <c r="I146" s="66">
        <v>182</v>
      </c>
      <c r="J146" s="67">
        <v>0</v>
      </c>
      <c r="K146" s="66">
        <v>0</v>
      </c>
      <c r="L146" s="67">
        <v>1</v>
      </c>
      <c r="M146" s="66">
        <v>0</v>
      </c>
      <c r="N146" s="67">
        <v>3</v>
      </c>
      <c r="O146" s="68">
        <v>1</v>
      </c>
      <c r="P146" s="93" t="str">
        <f>IFERROR(CHOOSE(MATCH(A146,'Dataset'!$B$5:$B$11,0),"S₁","S₂","S₃","S₄","S₅","S₆","S₇"),"")</f>
        <v/>
      </c>
    </row>
    <row r="147">
      <c r="A147" s="62">
        <v>143</v>
      </c>
      <c r="B147" s="66">
        <v>50</v>
      </c>
      <c r="C147" s="67">
        <v>1</v>
      </c>
      <c r="D147" s="67">
        <v>3</v>
      </c>
      <c r="E147" s="66">
        <v>140</v>
      </c>
      <c r="F147" s="66">
        <v>233</v>
      </c>
      <c r="G147" s="67">
        <v>0</v>
      </c>
      <c r="H147" s="67">
        <v>0</v>
      </c>
      <c r="I147" s="66">
        <v>163</v>
      </c>
      <c r="J147" s="67">
        <v>0</v>
      </c>
      <c r="K147" s="66">
        <v>0.6</v>
      </c>
      <c r="L147" s="67">
        <v>2</v>
      </c>
      <c r="M147" s="66">
        <v>1</v>
      </c>
      <c r="N147" s="67">
        <v>7</v>
      </c>
      <c r="O147" s="68">
        <v>2</v>
      </c>
      <c r="P147" s="93" t="str">
        <f>IFERROR(CHOOSE(MATCH(A147,'Dataset'!$B$5:$B$11,0),"S₁","S₂","S₃","S₄","S₅","S₆","S₇"),"")</f>
        <v>S₄</v>
      </c>
    </row>
    <row r="148">
      <c r="A148" s="62">
        <v>144</v>
      </c>
      <c r="B148" s="66">
        <v>51</v>
      </c>
      <c r="C148" s="67">
        <v>1</v>
      </c>
      <c r="D148" s="67">
        <v>1</v>
      </c>
      <c r="E148" s="66">
        <v>125</v>
      </c>
      <c r="F148" s="66">
        <v>213</v>
      </c>
      <c r="G148" s="67">
        <v>0</v>
      </c>
      <c r="H148" s="67">
        <v>2</v>
      </c>
      <c r="I148" s="66">
        <v>125</v>
      </c>
      <c r="J148" s="67">
        <v>1</v>
      </c>
      <c r="K148" s="66">
        <v>1.4</v>
      </c>
      <c r="L148" s="67">
        <v>1</v>
      </c>
      <c r="M148" s="66">
        <v>1</v>
      </c>
      <c r="N148" s="67">
        <v>3</v>
      </c>
      <c r="O148" s="68">
        <v>1</v>
      </c>
      <c r="P148" s="93" t="str">
        <f>IFERROR(CHOOSE(MATCH(A148,'Dataset'!$B$5:$B$11,0),"S₁","S₂","S₃","S₄","S₅","S₆","S₇"),"")</f>
        <v/>
      </c>
    </row>
    <row r="149">
      <c r="A149" s="62">
        <v>145</v>
      </c>
      <c r="B149" s="66">
        <v>54</v>
      </c>
      <c r="C149" s="67">
        <v>1</v>
      </c>
      <c r="D149" s="67">
        <v>2</v>
      </c>
      <c r="E149" s="66">
        <v>192</v>
      </c>
      <c r="F149" s="66">
        <v>283</v>
      </c>
      <c r="G149" s="67">
        <v>0</v>
      </c>
      <c r="H149" s="67">
        <v>2</v>
      </c>
      <c r="I149" s="66">
        <v>195</v>
      </c>
      <c r="J149" s="67">
        <v>0</v>
      </c>
      <c r="K149" s="66">
        <v>0</v>
      </c>
      <c r="L149" s="67">
        <v>1</v>
      </c>
      <c r="M149" s="66">
        <v>1</v>
      </c>
      <c r="N149" s="67">
        <v>7</v>
      </c>
      <c r="O149" s="68">
        <v>2</v>
      </c>
      <c r="P149" s="93" t="str">
        <f>IFERROR(CHOOSE(MATCH(A149,'Dataset'!$B$5:$B$11,0),"S₁","S₂","S₃","S₄","S₅","S₆","S₇"),"")</f>
        <v/>
      </c>
    </row>
    <row r="150">
      <c r="A150" s="62">
        <v>146</v>
      </c>
      <c r="B150" s="66">
        <v>53</v>
      </c>
      <c r="C150" s="67">
        <v>1</v>
      </c>
      <c r="D150" s="67">
        <v>4</v>
      </c>
      <c r="E150" s="66">
        <v>123</v>
      </c>
      <c r="F150" s="66">
        <v>282</v>
      </c>
      <c r="G150" s="67">
        <v>0</v>
      </c>
      <c r="H150" s="67">
        <v>0</v>
      </c>
      <c r="I150" s="66">
        <v>95</v>
      </c>
      <c r="J150" s="67">
        <v>1</v>
      </c>
      <c r="K150" s="66">
        <v>2</v>
      </c>
      <c r="L150" s="67">
        <v>2</v>
      </c>
      <c r="M150" s="66">
        <v>2</v>
      </c>
      <c r="N150" s="67">
        <v>7</v>
      </c>
      <c r="O150" s="68">
        <v>2</v>
      </c>
      <c r="P150" s="93" t="str">
        <f>IFERROR(CHOOSE(MATCH(A150,'Dataset'!$B$5:$B$11,0),"S₁","S₂","S₃","S₄","S₅","S₆","S₇"),"")</f>
        <v/>
      </c>
    </row>
    <row r="151">
      <c r="A151" s="62">
        <v>147</v>
      </c>
      <c r="B151" s="66">
        <v>52</v>
      </c>
      <c r="C151" s="67">
        <v>1</v>
      </c>
      <c r="D151" s="67">
        <v>4</v>
      </c>
      <c r="E151" s="66">
        <v>112</v>
      </c>
      <c r="F151" s="66">
        <v>230</v>
      </c>
      <c r="G151" s="67">
        <v>0</v>
      </c>
      <c r="H151" s="67">
        <v>0</v>
      </c>
      <c r="I151" s="66">
        <v>160</v>
      </c>
      <c r="J151" s="67">
        <v>0</v>
      </c>
      <c r="K151" s="66">
        <v>0</v>
      </c>
      <c r="L151" s="67">
        <v>1</v>
      </c>
      <c r="M151" s="66">
        <v>1</v>
      </c>
      <c r="N151" s="67">
        <v>3</v>
      </c>
      <c r="O151" s="68">
        <v>2</v>
      </c>
      <c r="P151" s="93" t="str">
        <f>IFERROR(CHOOSE(MATCH(A151,'Dataset'!$B$5:$B$11,0),"S₁","S₂","S₃","S₄","S₅","S₆","S₇"),"")</f>
        <v/>
      </c>
    </row>
    <row r="152">
      <c r="A152" s="62">
        <v>148</v>
      </c>
      <c r="B152" s="66">
        <v>40</v>
      </c>
      <c r="C152" s="67">
        <v>1</v>
      </c>
      <c r="D152" s="67">
        <v>4</v>
      </c>
      <c r="E152" s="66">
        <v>110</v>
      </c>
      <c r="F152" s="66">
        <v>167</v>
      </c>
      <c r="G152" s="67">
        <v>0</v>
      </c>
      <c r="H152" s="67">
        <v>2</v>
      </c>
      <c r="I152" s="66">
        <v>114</v>
      </c>
      <c r="J152" s="67">
        <v>1</v>
      </c>
      <c r="K152" s="66">
        <v>2</v>
      </c>
      <c r="L152" s="67">
        <v>2</v>
      </c>
      <c r="M152" s="66">
        <v>0</v>
      </c>
      <c r="N152" s="67">
        <v>7</v>
      </c>
      <c r="O152" s="68">
        <v>2</v>
      </c>
      <c r="P152" s="93" t="str">
        <f>IFERROR(CHOOSE(MATCH(A152,'Dataset'!$B$5:$B$11,0),"S₁","S₂","S₃","S₄","S₅","S₆","S₇"),"")</f>
        <v/>
      </c>
    </row>
    <row r="153">
      <c r="A153" s="62">
        <v>149</v>
      </c>
      <c r="B153" s="66">
        <v>58</v>
      </c>
      <c r="C153" s="67">
        <v>1</v>
      </c>
      <c r="D153" s="67">
        <v>3</v>
      </c>
      <c r="E153" s="66">
        <v>132</v>
      </c>
      <c r="F153" s="66">
        <v>224</v>
      </c>
      <c r="G153" s="67">
        <v>0</v>
      </c>
      <c r="H153" s="67">
        <v>2</v>
      </c>
      <c r="I153" s="66">
        <v>173</v>
      </c>
      <c r="J153" s="67">
        <v>0</v>
      </c>
      <c r="K153" s="66">
        <v>3.2</v>
      </c>
      <c r="L153" s="67">
        <v>1</v>
      </c>
      <c r="M153" s="66">
        <v>2</v>
      </c>
      <c r="N153" s="67">
        <v>7</v>
      </c>
      <c r="O153" s="68">
        <v>2</v>
      </c>
      <c r="P153" s="93" t="str">
        <f>IFERROR(CHOOSE(MATCH(A153,'Dataset'!$B$5:$B$11,0),"S₁","S₂","S₃","S₄","S₅","S₆","S₇"),"")</f>
        <v/>
      </c>
    </row>
    <row r="154">
      <c r="A154" s="62">
        <v>150</v>
      </c>
      <c r="B154" s="66">
        <v>41</v>
      </c>
      <c r="C154" s="67">
        <v>0</v>
      </c>
      <c r="D154" s="67">
        <v>3</v>
      </c>
      <c r="E154" s="66">
        <v>112</v>
      </c>
      <c r="F154" s="66">
        <v>268</v>
      </c>
      <c r="G154" s="67">
        <v>0</v>
      </c>
      <c r="H154" s="67">
        <v>2</v>
      </c>
      <c r="I154" s="66">
        <v>172</v>
      </c>
      <c r="J154" s="67">
        <v>1</v>
      </c>
      <c r="K154" s="66">
        <v>0</v>
      </c>
      <c r="L154" s="67">
        <v>1</v>
      </c>
      <c r="M154" s="66">
        <v>0</v>
      </c>
      <c r="N154" s="67">
        <v>3</v>
      </c>
      <c r="O154" s="68">
        <v>1</v>
      </c>
      <c r="P154" s="93" t="str">
        <f>IFERROR(CHOOSE(MATCH(A154,'Dataset'!$B$5:$B$11,0),"S₁","S₂","S₃","S₄","S₅","S₆","S₇"),"")</f>
        <v/>
      </c>
    </row>
    <row r="155">
      <c r="A155" s="62">
        <v>151</v>
      </c>
      <c r="B155" s="66">
        <v>41</v>
      </c>
      <c r="C155" s="67">
        <v>1</v>
      </c>
      <c r="D155" s="67">
        <v>3</v>
      </c>
      <c r="E155" s="66">
        <v>112</v>
      </c>
      <c r="F155" s="66">
        <v>250</v>
      </c>
      <c r="G155" s="67">
        <v>0</v>
      </c>
      <c r="H155" s="67">
        <v>0</v>
      </c>
      <c r="I155" s="66">
        <v>179</v>
      </c>
      <c r="J155" s="67">
        <v>0</v>
      </c>
      <c r="K155" s="66">
        <v>0</v>
      </c>
      <c r="L155" s="67">
        <v>1</v>
      </c>
      <c r="M155" s="66">
        <v>0</v>
      </c>
      <c r="N155" s="67">
        <v>3</v>
      </c>
      <c r="O155" s="68">
        <v>1</v>
      </c>
      <c r="P155" s="93" t="str">
        <f>IFERROR(CHOOSE(MATCH(A155,'Dataset'!$B$5:$B$11,0),"S₁","S₂","S₃","S₄","S₅","S₆","S₇"),"")</f>
        <v/>
      </c>
    </row>
    <row r="156">
      <c r="A156" s="62">
        <v>152</v>
      </c>
      <c r="B156" s="66">
        <v>50</v>
      </c>
      <c r="C156" s="67">
        <v>0</v>
      </c>
      <c r="D156" s="67">
        <v>3</v>
      </c>
      <c r="E156" s="66">
        <v>120</v>
      </c>
      <c r="F156" s="66">
        <v>219</v>
      </c>
      <c r="G156" s="67">
        <v>0</v>
      </c>
      <c r="H156" s="67">
        <v>0</v>
      </c>
      <c r="I156" s="66">
        <v>158</v>
      </c>
      <c r="J156" s="67">
        <v>0</v>
      </c>
      <c r="K156" s="66">
        <v>1.6</v>
      </c>
      <c r="L156" s="67">
        <v>2</v>
      </c>
      <c r="M156" s="66">
        <v>0</v>
      </c>
      <c r="N156" s="67">
        <v>3</v>
      </c>
      <c r="O156" s="68">
        <v>1</v>
      </c>
      <c r="P156" s="93" t="str">
        <f>IFERROR(CHOOSE(MATCH(A156,'Dataset'!$B$5:$B$11,0),"S₁","S₂","S₃","S₄","S₅","S₆","S₇"),"")</f>
        <v/>
      </c>
    </row>
    <row r="157">
      <c r="A157" s="62">
        <v>153</v>
      </c>
      <c r="B157" s="66">
        <v>54</v>
      </c>
      <c r="C157" s="67">
        <v>0</v>
      </c>
      <c r="D157" s="67">
        <v>3</v>
      </c>
      <c r="E157" s="66">
        <v>108</v>
      </c>
      <c r="F157" s="66">
        <v>267</v>
      </c>
      <c r="G157" s="67">
        <v>0</v>
      </c>
      <c r="H157" s="67">
        <v>2</v>
      </c>
      <c r="I157" s="66">
        <v>167</v>
      </c>
      <c r="J157" s="67">
        <v>0</v>
      </c>
      <c r="K157" s="66">
        <v>0</v>
      </c>
      <c r="L157" s="67">
        <v>1</v>
      </c>
      <c r="M157" s="66">
        <v>0</v>
      </c>
      <c r="N157" s="67">
        <v>3</v>
      </c>
      <c r="O157" s="68">
        <v>1</v>
      </c>
      <c r="P157" s="93" t="str">
        <f>IFERROR(CHOOSE(MATCH(A157,'Dataset'!$B$5:$B$11,0),"S₁","S₂","S₃","S₄","S₅","S₆","S₇"),"")</f>
        <v/>
      </c>
    </row>
    <row r="158">
      <c r="A158" s="62">
        <v>154</v>
      </c>
      <c r="B158" s="66">
        <v>64</v>
      </c>
      <c r="C158" s="67">
        <v>0</v>
      </c>
      <c r="D158" s="67">
        <v>4</v>
      </c>
      <c r="E158" s="66">
        <v>130</v>
      </c>
      <c r="F158" s="66">
        <v>303</v>
      </c>
      <c r="G158" s="67">
        <v>0</v>
      </c>
      <c r="H158" s="67">
        <v>0</v>
      </c>
      <c r="I158" s="66">
        <v>122</v>
      </c>
      <c r="J158" s="67">
        <v>0</v>
      </c>
      <c r="K158" s="66">
        <v>2</v>
      </c>
      <c r="L158" s="67">
        <v>2</v>
      </c>
      <c r="M158" s="66">
        <v>2</v>
      </c>
      <c r="N158" s="67">
        <v>3</v>
      </c>
      <c r="O158" s="68">
        <v>1</v>
      </c>
      <c r="P158" s="93" t="str">
        <f>IFERROR(CHOOSE(MATCH(A158,'Dataset'!$B$5:$B$11,0),"S₁","S₂","S₃","S₄","S₅","S₆","S₇"),"")</f>
        <v/>
      </c>
    </row>
    <row r="159">
      <c r="A159" s="62">
        <v>155</v>
      </c>
      <c r="B159" s="66">
        <v>51</v>
      </c>
      <c r="C159" s="67">
        <v>0</v>
      </c>
      <c r="D159" s="67">
        <v>3</v>
      </c>
      <c r="E159" s="66">
        <v>130</v>
      </c>
      <c r="F159" s="66">
        <v>256</v>
      </c>
      <c r="G159" s="67">
        <v>0</v>
      </c>
      <c r="H159" s="67">
        <v>2</v>
      </c>
      <c r="I159" s="66">
        <v>149</v>
      </c>
      <c r="J159" s="67">
        <v>0</v>
      </c>
      <c r="K159" s="66">
        <v>0.5</v>
      </c>
      <c r="L159" s="67">
        <v>1</v>
      </c>
      <c r="M159" s="66">
        <v>0</v>
      </c>
      <c r="N159" s="67">
        <v>3</v>
      </c>
      <c r="O159" s="68">
        <v>1</v>
      </c>
      <c r="P159" s="93" t="str">
        <f>IFERROR(CHOOSE(MATCH(A159,'Dataset'!$B$5:$B$11,0),"S₁","S₂","S₃","S₄","S₅","S₆","S₇"),"")</f>
        <v/>
      </c>
    </row>
    <row r="160">
      <c r="A160" s="62">
        <v>156</v>
      </c>
      <c r="B160" s="66">
        <v>46</v>
      </c>
      <c r="C160" s="67">
        <v>0</v>
      </c>
      <c r="D160" s="67">
        <v>2</v>
      </c>
      <c r="E160" s="66">
        <v>105</v>
      </c>
      <c r="F160" s="66">
        <v>204</v>
      </c>
      <c r="G160" s="67">
        <v>0</v>
      </c>
      <c r="H160" s="67">
        <v>0</v>
      </c>
      <c r="I160" s="66">
        <v>172</v>
      </c>
      <c r="J160" s="67">
        <v>0</v>
      </c>
      <c r="K160" s="66">
        <v>0</v>
      </c>
      <c r="L160" s="67">
        <v>1</v>
      </c>
      <c r="M160" s="66">
        <v>0</v>
      </c>
      <c r="N160" s="67">
        <v>3</v>
      </c>
      <c r="O160" s="68">
        <v>1</v>
      </c>
      <c r="P160" s="93" t="str">
        <f>IFERROR(CHOOSE(MATCH(A160,'Dataset'!$B$5:$B$11,0),"S₁","S₂","S₃","S₄","S₅","S₆","S₇"),"")</f>
        <v/>
      </c>
    </row>
    <row r="161">
      <c r="A161" s="62">
        <v>157</v>
      </c>
      <c r="B161" s="66">
        <v>55</v>
      </c>
      <c r="C161" s="67">
        <v>1</v>
      </c>
      <c r="D161" s="67">
        <v>4</v>
      </c>
      <c r="E161" s="66">
        <v>140</v>
      </c>
      <c r="F161" s="66">
        <v>217</v>
      </c>
      <c r="G161" s="67">
        <v>0</v>
      </c>
      <c r="H161" s="67">
        <v>0</v>
      </c>
      <c r="I161" s="66">
        <v>111</v>
      </c>
      <c r="J161" s="67">
        <v>1</v>
      </c>
      <c r="K161" s="66">
        <v>5.6</v>
      </c>
      <c r="L161" s="67">
        <v>3</v>
      </c>
      <c r="M161" s="66">
        <v>0</v>
      </c>
      <c r="N161" s="67">
        <v>7</v>
      </c>
      <c r="O161" s="68">
        <v>2</v>
      </c>
      <c r="P161" s="93" t="str">
        <f>IFERROR(CHOOSE(MATCH(A161,'Dataset'!$B$5:$B$11,0),"S₁","S₂","S₃","S₄","S₅","S₆","S₇"),"")</f>
        <v/>
      </c>
    </row>
    <row r="162">
      <c r="A162" s="62">
        <v>158</v>
      </c>
      <c r="B162" s="66">
        <v>45</v>
      </c>
      <c r="C162" s="67">
        <v>1</v>
      </c>
      <c r="D162" s="67">
        <v>2</v>
      </c>
      <c r="E162" s="66">
        <v>128</v>
      </c>
      <c r="F162" s="66">
        <v>308</v>
      </c>
      <c r="G162" s="67">
        <v>0</v>
      </c>
      <c r="H162" s="67">
        <v>2</v>
      </c>
      <c r="I162" s="66">
        <v>170</v>
      </c>
      <c r="J162" s="67">
        <v>0</v>
      </c>
      <c r="K162" s="66">
        <v>0</v>
      </c>
      <c r="L162" s="67">
        <v>1</v>
      </c>
      <c r="M162" s="66">
        <v>0</v>
      </c>
      <c r="N162" s="67">
        <v>3</v>
      </c>
      <c r="O162" s="68">
        <v>1</v>
      </c>
      <c r="P162" s="93" t="str">
        <f>IFERROR(CHOOSE(MATCH(A162,'Dataset'!$B$5:$B$11,0),"S₁","S₂","S₃","S₄","S₅","S₆","S₇"),"")</f>
        <v/>
      </c>
    </row>
    <row r="163">
      <c r="A163" s="62">
        <v>159</v>
      </c>
      <c r="B163" s="66">
        <v>56</v>
      </c>
      <c r="C163" s="67">
        <v>1</v>
      </c>
      <c r="D163" s="67">
        <v>1</v>
      </c>
      <c r="E163" s="66">
        <v>120</v>
      </c>
      <c r="F163" s="66">
        <v>193</v>
      </c>
      <c r="G163" s="67">
        <v>0</v>
      </c>
      <c r="H163" s="67">
        <v>2</v>
      </c>
      <c r="I163" s="66">
        <v>162</v>
      </c>
      <c r="J163" s="67">
        <v>0</v>
      </c>
      <c r="K163" s="66">
        <v>1.9</v>
      </c>
      <c r="L163" s="67">
        <v>2</v>
      </c>
      <c r="M163" s="66">
        <v>0</v>
      </c>
      <c r="N163" s="67">
        <v>7</v>
      </c>
      <c r="O163" s="68">
        <v>1</v>
      </c>
      <c r="P163" s="93" t="str">
        <f>IFERROR(CHOOSE(MATCH(A163,'Dataset'!$B$5:$B$11,0),"S₁","S₂","S₃","S₄","S₅","S₆","S₇"),"")</f>
        <v/>
      </c>
    </row>
    <row r="164">
      <c r="A164" s="62">
        <v>160</v>
      </c>
      <c r="B164" s="66">
        <v>66</v>
      </c>
      <c r="C164" s="67">
        <v>0</v>
      </c>
      <c r="D164" s="67">
        <v>4</v>
      </c>
      <c r="E164" s="66">
        <v>178</v>
      </c>
      <c r="F164" s="66">
        <v>228</v>
      </c>
      <c r="G164" s="67">
        <v>1</v>
      </c>
      <c r="H164" s="67">
        <v>0</v>
      </c>
      <c r="I164" s="66">
        <v>165</v>
      </c>
      <c r="J164" s="67">
        <v>1</v>
      </c>
      <c r="K164" s="66">
        <v>1</v>
      </c>
      <c r="L164" s="67">
        <v>2</v>
      </c>
      <c r="M164" s="66">
        <v>2</v>
      </c>
      <c r="N164" s="67">
        <v>7</v>
      </c>
      <c r="O164" s="68">
        <v>2</v>
      </c>
      <c r="P164" s="93" t="str">
        <f>IFERROR(CHOOSE(MATCH(A164,'Dataset'!$B$5:$B$11,0),"S₁","S₂","S₃","S₄","S₅","S₆","S₇"),"")</f>
        <v/>
      </c>
    </row>
    <row r="165">
      <c r="A165" s="62">
        <v>161</v>
      </c>
      <c r="B165" s="66">
        <v>38</v>
      </c>
      <c r="C165" s="67">
        <v>1</v>
      </c>
      <c r="D165" s="67">
        <v>1</v>
      </c>
      <c r="E165" s="66">
        <v>120</v>
      </c>
      <c r="F165" s="66">
        <v>231</v>
      </c>
      <c r="G165" s="67">
        <v>0</v>
      </c>
      <c r="H165" s="67">
        <v>0</v>
      </c>
      <c r="I165" s="66">
        <v>182</v>
      </c>
      <c r="J165" s="67">
        <v>1</v>
      </c>
      <c r="K165" s="66">
        <v>3.8</v>
      </c>
      <c r="L165" s="67">
        <v>2</v>
      </c>
      <c r="M165" s="66">
        <v>0</v>
      </c>
      <c r="N165" s="67">
        <v>7</v>
      </c>
      <c r="O165" s="68">
        <v>2</v>
      </c>
      <c r="P165" s="93" t="str">
        <f>IFERROR(CHOOSE(MATCH(A165,'Dataset'!$B$5:$B$11,0),"S₁","S₂","S₃","S₄","S₅","S₆","S₇"),"")</f>
        <v/>
      </c>
    </row>
    <row r="166">
      <c r="A166" s="62">
        <v>162</v>
      </c>
      <c r="B166" s="66">
        <v>62</v>
      </c>
      <c r="C166" s="67">
        <v>0</v>
      </c>
      <c r="D166" s="67">
        <v>4</v>
      </c>
      <c r="E166" s="66">
        <v>150</v>
      </c>
      <c r="F166" s="66">
        <v>244</v>
      </c>
      <c r="G166" s="67">
        <v>0</v>
      </c>
      <c r="H166" s="67">
        <v>0</v>
      </c>
      <c r="I166" s="66">
        <v>154</v>
      </c>
      <c r="J166" s="67">
        <v>1</v>
      </c>
      <c r="K166" s="66">
        <v>1.4</v>
      </c>
      <c r="L166" s="67">
        <v>2</v>
      </c>
      <c r="M166" s="66">
        <v>0</v>
      </c>
      <c r="N166" s="67">
        <v>3</v>
      </c>
      <c r="O166" s="68">
        <v>2</v>
      </c>
      <c r="P166" s="93" t="str">
        <f>IFERROR(CHOOSE(MATCH(A166,'Dataset'!$B$5:$B$11,0),"S₁","S₂","S₃","S₄","S₅","S₆","S₇"),"")</f>
        <v/>
      </c>
    </row>
    <row r="167">
      <c r="A167" s="62">
        <v>163</v>
      </c>
      <c r="B167" s="66">
        <v>55</v>
      </c>
      <c r="C167" s="67">
        <v>1</v>
      </c>
      <c r="D167" s="67">
        <v>2</v>
      </c>
      <c r="E167" s="66">
        <v>130</v>
      </c>
      <c r="F167" s="66">
        <v>262</v>
      </c>
      <c r="G167" s="67">
        <v>0</v>
      </c>
      <c r="H167" s="67">
        <v>0</v>
      </c>
      <c r="I167" s="66">
        <v>155</v>
      </c>
      <c r="J167" s="67">
        <v>0</v>
      </c>
      <c r="K167" s="66">
        <v>0</v>
      </c>
      <c r="L167" s="67">
        <v>1</v>
      </c>
      <c r="M167" s="66">
        <v>0</v>
      </c>
      <c r="N167" s="67">
        <v>3</v>
      </c>
      <c r="O167" s="68">
        <v>1</v>
      </c>
      <c r="P167" s="93" t="str">
        <f>IFERROR(CHOOSE(MATCH(A167,'Dataset'!$B$5:$B$11,0),"S₁","S₂","S₃","S₄","S₅","S₆","S₇"),"")</f>
        <v/>
      </c>
    </row>
    <row r="168">
      <c r="A168" s="62">
        <v>164</v>
      </c>
      <c r="B168" s="66">
        <v>58</v>
      </c>
      <c r="C168" s="67">
        <v>1</v>
      </c>
      <c r="D168" s="67">
        <v>4</v>
      </c>
      <c r="E168" s="66">
        <v>128</v>
      </c>
      <c r="F168" s="66">
        <v>259</v>
      </c>
      <c r="G168" s="67">
        <v>0</v>
      </c>
      <c r="H168" s="67">
        <v>2</v>
      </c>
      <c r="I168" s="66">
        <v>130</v>
      </c>
      <c r="J168" s="67">
        <v>1</v>
      </c>
      <c r="K168" s="66">
        <v>3</v>
      </c>
      <c r="L168" s="67">
        <v>2</v>
      </c>
      <c r="M168" s="66">
        <v>2</v>
      </c>
      <c r="N168" s="67">
        <v>7</v>
      </c>
      <c r="O168" s="68">
        <v>2</v>
      </c>
      <c r="P168" s="93" t="str">
        <f>IFERROR(CHOOSE(MATCH(A168,'Dataset'!$B$5:$B$11,0),"S₁","S₂","S₃","S₄","S₅","S₆","S₇"),"")</f>
        <v/>
      </c>
    </row>
    <row r="169">
      <c r="A169" s="62">
        <v>165</v>
      </c>
      <c r="B169" s="66">
        <v>43</v>
      </c>
      <c r="C169" s="67">
        <v>1</v>
      </c>
      <c r="D169" s="67">
        <v>4</v>
      </c>
      <c r="E169" s="66">
        <v>110</v>
      </c>
      <c r="F169" s="66">
        <v>211</v>
      </c>
      <c r="G169" s="67">
        <v>0</v>
      </c>
      <c r="H169" s="67">
        <v>0</v>
      </c>
      <c r="I169" s="66">
        <v>161</v>
      </c>
      <c r="J169" s="67">
        <v>0</v>
      </c>
      <c r="K169" s="66">
        <v>0</v>
      </c>
      <c r="L169" s="67">
        <v>1</v>
      </c>
      <c r="M169" s="66">
        <v>0</v>
      </c>
      <c r="N169" s="67">
        <v>7</v>
      </c>
      <c r="O169" s="68">
        <v>1</v>
      </c>
      <c r="P169" s="93" t="str">
        <f>IFERROR(CHOOSE(MATCH(A169,'Dataset'!$B$5:$B$11,0),"S₁","S₂","S₃","S₄","S₅","S₆","S₇"),"")</f>
        <v/>
      </c>
    </row>
    <row r="170">
      <c r="A170" s="62">
        <v>166</v>
      </c>
      <c r="B170" s="66">
        <v>64</v>
      </c>
      <c r="C170" s="67">
        <v>0</v>
      </c>
      <c r="D170" s="67">
        <v>4</v>
      </c>
      <c r="E170" s="66">
        <v>180</v>
      </c>
      <c r="F170" s="66">
        <v>325</v>
      </c>
      <c r="G170" s="67">
        <v>0</v>
      </c>
      <c r="H170" s="67">
        <v>0</v>
      </c>
      <c r="I170" s="66">
        <v>154</v>
      </c>
      <c r="J170" s="67">
        <v>1</v>
      </c>
      <c r="K170" s="66">
        <v>0</v>
      </c>
      <c r="L170" s="67">
        <v>1</v>
      </c>
      <c r="M170" s="66">
        <v>0</v>
      </c>
      <c r="N170" s="67">
        <v>3</v>
      </c>
      <c r="O170" s="68">
        <v>1</v>
      </c>
      <c r="P170" s="93" t="str">
        <f>IFERROR(CHOOSE(MATCH(A170,'Dataset'!$B$5:$B$11,0),"S₁","S₂","S₃","S₄","S₅","S₆","S₇"),"")</f>
        <v/>
      </c>
    </row>
    <row r="171">
      <c r="A171" s="62">
        <v>167</v>
      </c>
      <c r="B171" s="66">
        <v>50</v>
      </c>
      <c r="C171" s="67">
        <v>0</v>
      </c>
      <c r="D171" s="67">
        <v>4</v>
      </c>
      <c r="E171" s="66">
        <v>110</v>
      </c>
      <c r="F171" s="66">
        <v>254</v>
      </c>
      <c r="G171" s="67">
        <v>0</v>
      </c>
      <c r="H171" s="67">
        <v>2</v>
      </c>
      <c r="I171" s="66">
        <v>159</v>
      </c>
      <c r="J171" s="67">
        <v>0</v>
      </c>
      <c r="K171" s="66">
        <v>0</v>
      </c>
      <c r="L171" s="67">
        <v>1</v>
      </c>
      <c r="M171" s="66">
        <v>0</v>
      </c>
      <c r="N171" s="67">
        <v>3</v>
      </c>
      <c r="O171" s="68">
        <v>1</v>
      </c>
      <c r="P171" s="93" t="str">
        <f>IFERROR(CHOOSE(MATCH(A171,'Dataset'!$B$5:$B$11,0),"S₁","S₂","S₃","S₄","S₅","S₆","S₇"),"")</f>
        <v/>
      </c>
    </row>
    <row r="172">
      <c r="A172" s="62">
        <v>168</v>
      </c>
      <c r="B172" s="66">
        <v>53</v>
      </c>
      <c r="C172" s="67">
        <v>1</v>
      </c>
      <c r="D172" s="67">
        <v>3</v>
      </c>
      <c r="E172" s="66">
        <v>130</v>
      </c>
      <c r="F172" s="66">
        <v>197</v>
      </c>
      <c r="G172" s="67">
        <v>1</v>
      </c>
      <c r="H172" s="67">
        <v>2</v>
      </c>
      <c r="I172" s="66">
        <v>152</v>
      </c>
      <c r="J172" s="67">
        <v>0</v>
      </c>
      <c r="K172" s="66">
        <v>1.2</v>
      </c>
      <c r="L172" s="67">
        <v>3</v>
      </c>
      <c r="M172" s="66">
        <v>0</v>
      </c>
      <c r="N172" s="67">
        <v>3</v>
      </c>
      <c r="O172" s="68">
        <v>1</v>
      </c>
      <c r="P172" s="93" t="str">
        <f>IFERROR(CHOOSE(MATCH(A172,'Dataset'!$B$5:$B$11,0),"S₁","S₂","S₃","S₄","S₅","S₆","S₇"),"")</f>
        <v/>
      </c>
    </row>
    <row r="173">
      <c r="A173" s="62">
        <v>169</v>
      </c>
      <c r="B173" s="66">
        <v>45</v>
      </c>
      <c r="C173" s="67">
        <v>0</v>
      </c>
      <c r="D173" s="67">
        <v>4</v>
      </c>
      <c r="E173" s="66">
        <v>138</v>
      </c>
      <c r="F173" s="66">
        <v>236</v>
      </c>
      <c r="G173" s="67">
        <v>0</v>
      </c>
      <c r="H173" s="67">
        <v>2</v>
      </c>
      <c r="I173" s="66">
        <v>152</v>
      </c>
      <c r="J173" s="67">
        <v>1</v>
      </c>
      <c r="K173" s="66">
        <v>0.2</v>
      </c>
      <c r="L173" s="67">
        <v>2</v>
      </c>
      <c r="M173" s="66">
        <v>0</v>
      </c>
      <c r="N173" s="67">
        <v>3</v>
      </c>
      <c r="O173" s="68">
        <v>1</v>
      </c>
      <c r="P173" s="93" t="str">
        <f>IFERROR(CHOOSE(MATCH(A173,'Dataset'!$B$5:$B$11,0),"S₁","S₂","S₃","S₄","S₅","S₆","S₇"),"")</f>
        <v/>
      </c>
    </row>
    <row r="174">
      <c r="A174" s="62">
        <v>170</v>
      </c>
      <c r="B174" s="66">
        <v>65</v>
      </c>
      <c r="C174" s="67">
        <v>1</v>
      </c>
      <c r="D174" s="67">
        <v>1</v>
      </c>
      <c r="E174" s="66">
        <v>138</v>
      </c>
      <c r="F174" s="66">
        <v>282</v>
      </c>
      <c r="G174" s="67">
        <v>1</v>
      </c>
      <c r="H174" s="67">
        <v>2</v>
      </c>
      <c r="I174" s="66">
        <v>174</v>
      </c>
      <c r="J174" s="67">
        <v>0</v>
      </c>
      <c r="K174" s="66">
        <v>1.4</v>
      </c>
      <c r="L174" s="67">
        <v>2</v>
      </c>
      <c r="M174" s="66">
        <v>1</v>
      </c>
      <c r="N174" s="67">
        <v>3</v>
      </c>
      <c r="O174" s="68">
        <v>2</v>
      </c>
      <c r="P174" s="93" t="str">
        <f>IFERROR(CHOOSE(MATCH(A174,'Dataset'!$B$5:$B$11,0),"S₁","S₂","S₃","S₄","S₅","S₆","S₇"),"")</f>
        <v/>
      </c>
    </row>
    <row r="175">
      <c r="A175" s="62">
        <v>171</v>
      </c>
      <c r="B175" s="66">
        <v>69</v>
      </c>
      <c r="C175" s="67">
        <v>1</v>
      </c>
      <c r="D175" s="67">
        <v>1</v>
      </c>
      <c r="E175" s="66">
        <v>160</v>
      </c>
      <c r="F175" s="66">
        <v>234</v>
      </c>
      <c r="G175" s="67">
        <v>1</v>
      </c>
      <c r="H175" s="67">
        <v>2</v>
      </c>
      <c r="I175" s="66">
        <v>131</v>
      </c>
      <c r="J175" s="67">
        <v>0</v>
      </c>
      <c r="K175" s="66">
        <v>0.1</v>
      </c>
      <c r="L175" s="67">
        <v>2</v>
      </c>
      <c r="M175" s="66">
        <v>1</v>
      </c>
      <c r="N175" s="67">
        <v>3</v>
      </c>
      <c r="O175" s="68">
        <v>1</v>
      </c>
      <c r="P175" s="93" t="str">
        <f>IFERROR(CHOOSE(MATCH(A175,'Dataset'!$B$5:$B$11,0),"S₁","S₂","S₃","S₄","S₅","S₆","S₇"),"")</f>
        <v/>
      </c>
    </row>
    <row r="176">
      <c r="A176" s="62">
        <v>172</v>
      </c>
      <c r="B176" s="66">
        <v>69</v>
      </c>
      <c r="C176" s="67">
        <v>1</v>
      </c>
      <c r="D176" s="67">
        <v>3</v>
      </c>
      <c r="E176" s="66">
        <v>140</v>
      </c>
      <c r="F176" s="66">
        <v>254</v>
      </c>
      <c r="G176" s="67">
        <v>0</v>
      </c>
      <c r="H176" s="67">
        <v>2</v>
      </c>
      <c r="I176" s="66">
        <v>146</v>
      </c>
      <c r="J176" s="67">
        <v>0</v>
      </c>
      <c r="K176" s="66">
        <v>2</v>
      </c>
      <c r="L176" s="67">
        <v>2</v>
      </c>
      <c r="M176" s="66">
        <v>3</v>
      </c>
      <c r="N176" s="67">
        <v>7</v>
      </c>
      <c r="O176" s="68">
        <v>2</v>
      </c>
      <c r="P176" s="93" t="str">
        <f>IFERROR(CHOOSE(MATCH(A176,'Dataset'!$B$5:$B$11,0),"S₁","S₂","S₃","S₄","S₅","S₆","S₇"),"")</f>
        <v/>
      </c>
    </row>
    <row r="177">
      <c r="A177" s="62">
        <v>173</v>
      </c>
      <c r="B177" s="66">
        <v>67</v>
      </c>
      <c r="C177" s="67">
        <v>1</v>
      </c>
      <c r="D177" s="67">
        <v>4</v>
      </c>
      <c r="E177" s="66">
        <v>100</v>
      </c>
      <c r="F177" s="66">
        <v>299</v>
      </c>
      <c r="G177" s="67">
        <v>0</v>
      </c>
      <c r="H177" s="67">
        <v>2</v>
      </c>
      <c r="I177" s="66">
        <v>125</v>
      </c>
      <c r="J177" s="67">
        <v>1</v>
      </c>
      <c r="K177" s="66">
        <v>0.9</v>
      </c>
      <c r="L177" s="67">
        <v>2</v>
      </c>
      <c r="M177" s="66">
        <v>2</v>
      </c>
      <c r="N177" s="67">
        <v>3</v>
      </c>
      <c r="O177" s="68">
        <v>2</v>
      </c>
      <c r="P177" s="93" t="str">
        <f>IFERROR(CHOOSE(MATCH(A177,'Dataset'!$B$5:$B$11,0),"S₁","S₂","S₃","S₄","S₅","S₆","S₇"),"")</f>
        <v/>
      </c>
    </row>
    <row r="178">
      <c r="A178" s="62">
        <v>174</v>
      </c>
      <c r="B178" s="66">
        <v>68</v>
      </c>
      <c r="C178" s="67">
        <v>0</v>
      </c>
      <c r="D178" s="67">
        <v>3</v>
      </c>
      <c r="E178" s="66">
        <v>120</v>
      </c>
      <c r="F178" s="66">
        <v>211</v>
      </c>
      <c r="G178" s="67">
        <v>0</v>
      </c>
      <c r="H178" s="67">
        <v>2</v>
      </c>
      <c r="I178" s="66">
        <v>115</v>
      </c>
      <c r="J178" s="67">
        <v>0</v>
      </c>
      <c r="K178" s="66">
        <v>1.5</v>
      </c>
      <c r="L178" s="67">
        <v>2</v>
      </c>
      <c r="M178" s="66">
        <v>0</v>
      </c>
      <c r="N178" s="67">
        <v>3</v>
      </c>
      <c r="O178" s="68">
        <v>1</v>
      </c>
      <c r="P178" s="93" t="str">
        <f>IFERROR(CHOOSE(MATCH(A178,'Dataset'!$B$5:$B$11,0),"S₁","S₂","S₃","S₄","S₅","S₆","S₇"),"")</f>
        <v/>
      </c>
    </row>
    <row r="179">
      <c r="A179" s="62">
        <v>175</v>
      </c>
      <c r="B179" s="66">
        <v>34</v>
      </c>
      <c r="C179" s="67">
        <v>1</v>
      </c>
      <c r="D179" s="67">
        <v>1</v>
      </c>
      <c r="E179" s="66">
        <v>118</v>
      </c>
      <c r="F179" s="66">
        <v>182</v>
      </c>
      <c r="G179" s="67">
        <v>0</v>
      </c>
      <c r="H179" s="67">
        <v>2</v>
      </c>
      <c r="I179" s="66">
        <v>174</v>
      </c>
      <c r="J179" s="67">
        <v>0</v>
      </c>
      <c r="K179" s="66">
        <v>0</v>
      </c>
      <c r="L179" s="67">
        <v>1</v>
      </c>
      <c r="M179" s="66">
        <v>0</v>
      </c>
      <c r="N179" s="67">
        <v>3</v>
      </c>
      <c r="O179" s="68">
        <v>1</v>
      </c>
      <c r="P179" s="93" t="str">
        <f>IFERROR(CHOOSE(MATCH(A179,'Dataset'!$B$5:$B$11,0),"S₁","S₂","S₃","S₄","S₅","S₆","S₇"),"")</f>
        <v/>
      </c>
    </row>
    <row r="180">
      <c r="A180" s="62">
        <v>176</v>
      </c>
      <c r="B180" s="66">
        <v>62</v>
      </c>
      <c r="C180" s="67">
        <v>0</v>
      </c>
      <c r="D180" s="67">
        <v>4</v>
      </c>
      <c r="E180" s="66">
        <v>138</v>
      </c>
      <c r="F180" s="66">
        <v>294</v>
      </c>
      <c r="G180" s="67">
        <v>1</v>
      </c>
      <c r="H180" s="67">
        <v>0</v>
      </c>
      <c r="I180" s="66">
        <v>106</v>
      </c>
      <c r="J180" s="67">
        <v>0</v>
      </c>
      <c r="K180" s="66">
        <v>1.9</v>
      </c>
      <c r="L180" s="67">
        <v>2</v>
      </c>
      <c r="M180" s="66">
        <v>3</v>
      </c>
      <c r="N180" s="67">
        <v>3</v>
      </c>
      <c r="O180" s="68">
        <v>2</v>
      </c>
      <c r="P180" s="93" t="str">
        <f>IFERROR(CHOOSE(MATCH(A180,'Dataset'!$B$5:$B$11,0),"S₁","S₂","S₃","S₄","S₅","S₆","S₇"),"")</f>
        <v/>
      </c>
    </row>
    <row r="181">
      <c r="A181" s="62">
        <v>177</v>
      </c>
      <c r="B181" s="66">
        <v>51</v>
      </c>
      <c r="C181" s="67">
        <v>1</v>
      </c>
      <c r="D181" s="67">
        <v>4</v>
      </c>
      <c r="E181" s="66">
        <v>140</v>
      </c>
      <c r="F181" s="66">
        <v>298</v>
      </c>
      <c r="G181" s="67">
        <v>0</v>
      </c>
      <c r="H181" s="67">
        <v>0</v>
      </c>
      <c r="I181" s="66">
        <v>122</v>
      </c>
      <c r="J181" s="67">
        <v>1</v>
      </c>
      <c r="K181" s="66">
        <v>4.2</v>
      </c>
      <c r="L181" s="67">
        <v>2</v>
      </c>
      <c r="M181" s="66">
        <v>3</v>
      </c>
      <c r="N181" s="67">
        <v>7</v>
      </c>
      <c r="O181" s="68">
        <v>2</v>
      </c>
      <c r="P181" s="93" t="str">
        <f>IFERROR(CHOOSE(MATCH(A181,'Dataset'!$B$5:$B$11,0),"S₁","S₂","S₃","S₄","S₅","S₆","S₇"),"")</f>
        <v/>
      </c>
    </row>
    <row r="182">
      <c r="A182" s="62">
        <v>178</v>
      </c>
      <c r="B182" s="66">
        <v>46</v>
      </c>
      <c r="C182" s="67">
        <v>1</v>
      </c>
      <c r="D182" s="67">
        <v>3</v>
      </c>
      <c r="E182" s="66">
        <v>150</v>
      </c>
      <c r="F182" s="66">
        <v>231</v>
      </c>
      <c r="G182" s="67">
        <v>0</v>
      </c>
      <c r="H182" s="67">
        <v>0</v>
      </c>
      <c r="I182" s="66">
        <v>147</v>
      </c>
      <c r="J182" s="67">
        <v>0</v>
      </c>
      <c r="K182" s="66">
        <v>3.6</v>
      </c>
      <c r="L182" s="67">
        <v>2</v>
      </c>
      <c r="M182" s="66">
        <v>0</v>
      </c>
      <c r="N182" s="67">
        <v>3</v>
      </c>
      <c r="O182" s="68">
        <v>2</v>
      </c>
      <c r="P182" s="93" t="str">
        <f>IFERROR(CHOOSE(MATCH(A182,'Dataset'!$B$5:$B$11,0),"S₁","S₂","S₃","S₄","S₅","S₆","S₇"),"")</f>
        <v/>
      </c>
    </row>
    <row r="183">
      <c r="A183" s="62">
        <v>179</v>
      </c>
      <c r="B183" s="66">
        <v>67</v>
      </c>
      <c r="C183" s="67">
        <v>1</v>
      </c>
      <c r="D183" s="67">
        <v>4</v>
      </c>
      <c r="E183" s="66">
        <v>125</v>
      </c>
      <c r="F183" s="66">
        <v>254</v>
      </c>
      <c r="G183" s="67">
        <v>1</v>
      </c>
      <c r="H183" s="67">
        <v>0</v>
      </c>
      <c r="I183" s="66">
        <v>163</v>
      </c>
      <c r="J183" s="67">
        <v>0</v>
      </c>
      <c r="K183" s="66">
        <v>0.2</v>
      </c>
      <c r="L183" s="67">
        <v>2</v>
      </c>
      <c r="M183" s="66">
        <v>2</v>
      </c>
      <c r="N183" s="67">
        <v>7</v>
      </c>
      <c r="O183" s="68">
        <v>2</v>
      </c>
      <c r="P183" s="93" t="str">
        <f>IFERROR(CHOOSE(MATCH(A183,'Dataset'!$B$5:$B$11,0),"S₁","S₂","S₃","S₄","S₅","S₆","S₇"),"")</f>
        <v/>
      </c>
    </row>
    <row r="184">
      <c r="A184" s="62">
        <v>180</v>
      </c>
      <c r="B184" s="66">
        <v>50</v>
      </c>
      <c r="C184" s="67">
        <v>1</v>
      </c>
      <c r="D184" s="67">
        <v>3</v>
      </c>
      <c r="E184" s="66">
        <v>129</v>
      </c>
      <c r="F184" s="66">
        <v>196</v>
      </c>
      <c r="G184" s="67">
        <v>0</v>
      </c>
      <c r="H184" s="67">
        <v>0</v>
      </c>
      <c r="I184" s="66">
        <v>163</v>
      </c>
      <c r="J184" s="67">
        <v>0</v>
      </c>
      <c r="K184" s="66">
        <v>0</v>
      </c>
      <c r="L184" s="67">
        <v>1</v>
      </c>
      <c r="M184" s="66">
        <v>0</v>
      </c>
      <c r="N184" s="67">
        <v>3</v>
      </c>
      <c r="O184" s="68">
        <v>1</v>
      </c>
      <c r="P184" s="93" t="str">
        <f>IFERROR(CHOOSE(MATCH(A184,'Dataset'!$B$5:$B$11,0),"S₁","S₂","S₃","S₄","S₅","S₆","S₇"),"")</f>
        <v/>
      </c>
    </row>
    <row r="185">
      <c r="A185" s="62">
        <v>181</v>
      </c>
      <c r="B185" s="66">
        <v>42</v>
      </c>
      <c r="C185" s="67">
        <v>1</v>
      </c>
      <c r="D185" s="67">
        <v>3</v>
      </c>
      <c r="E185" s="66">
        <v>120</v>
      </c>
      <c r="F185" s="66">
        <v>240</v>
      </c>
      <c r="G185" s="67">
        <v>1</v>
      </c>
      <c r="H185" s="67">
        <v>0</v>
      </c>
      <c r="I185" s="66">
        <v>194</v>
      </c>
      <c r="J185" s="67">
        <v>0</v>
      </c>
      <c r="K185" s="66">
        <v>0.8</v>
      </c>
      <c r="L185" s="67">
        <v>3</v>
      </c>
      <c r="M185" s="66">
        <v>0</v>
      </c>
      <c r="N185" s="67">
        <v>7</v>
      </c>
      <c r="O185" s="68">
        <v>1</v>
      </c>
      <c r="P185" s="93" t="str">
        <f>IFERROR(CHOOSE(MATCH(A185,'Dataset'!$B$5:$B$11,0),"S₁","S₂","S₃","S₄","S₅","S₆","S₇"),"")</f>
        <v/>
      </c>
    </row>
    <row r="186">
      <c r="A186" s="62">
        <v>182</v>
      </c>
      <c r="B186" s="66">
        <v>56</v>
      </c>
      <c r="C186" s="67">
        <v>0</v>
      </c>
      <c r="D186" s="67">
        <v>4</v>
      </c>
      <c r="E186" s="66">
        <v>134</v>
      </c>
      <c r="F186" s="66">
        <v>409</v>
      </c>
      <c r="G186" s="67">
        <v>0</v>
      </c>
      <c r="H186" s="67">
        <v>2</v>
      </c>
      <c r="I186" s="66">
        <v>150</v>
      </c>
      <c r="J186" s="67">
        <v>1</v>
      </c>
      <c r="K186" s="66">
        <v>1.9</v>
      </c>
      <c r="L186" s="67">
        <v>2</v>
      </c>
      <c r="M186" s="66">
        <v>2</v>
      </c>
      <c r="N186" s="67">
        <v>7</v>
      </c>
      <c r="O186" s="68">
        <v>2</v>
      </c>
      <c r="P186" s="93" t="str">
        <f>IFERROR(CHOOSE(MATCH(A186,'Dataset'!$B$5:$B$11,0),"S₁","S₂","S₃","S₄","S₅","S₆","S₇"),"")</f>
        <v/>
      </c>
    </row>
    <row r="187">
      <c r="A187" s="62">
        <v>183</v>
      </c>
      <c r="B187" s="66">
        <v>41</v>
      </c>
      <c r="C187" s="67">
        <v>1</v>
      </c>
      <c r="D187" s="67">
        <v>4</v>
      </c>
      <c r="E187" s="66">
        <v>110</v>
      </c>
      <c r="F187" s="66">
        <v>172</v>
      </c>
      <c r="G187" s="67">
        <v>0</v>
      </c>
      <c r="H187" s="67">
        <v>2</v>
      </c>
      <c r="I187" s="66">
        <v>158</v>
      </c>
      <c r="J187" s="67">
        <v>0</v>
      </c>
      <c r="K187" s="66">
        <v>0</v>
      </c>
      <c r="L187" s="67">
        <v>1</v>
      </c>
      <c r="M187" s="66">
        <v>0</v>
      </c>
      <c r="N187" s="67">
        <v>7</v>
      </c>
      <c r="O187" s="68">
        <v>2</v>
      </c>
      <c r="P187" s="93" t="str">
        <f>IFERROR(CHOOSE(MATCH(A187,'Dataset'!$B$5:$B$11,0),"S₁","S₂","S₃","S₄","S₅","S₆","S₇"),"")</f>
        <v/>
      </c>
    </row>
    <row r="188">
      <c r="A188" s="62">
        <v>184</v>
      </c>
      <c r="B188" s="66">
        <v>42</v>
      </c>
      <c r="C188" s="67">
        <v>0</v>
      </c>
      <c r="D188" s="67">
        <v>4</v>
      </c>
      <c r="E188" s="66">
        <v>102</v>
      </c>
      <c r="F188" s="66">
        <v>265</v>
      </c>
      <c r="G188" s="67">
        <v>0</v>
      </c>
      <c r="H188" s="67">
        <v>2</v>
      </c>
      <c r="I188" s="66">
        <v>122</v>
      </c>
      <c r="J188" s="67">
        <v>0</v>
      </c>
      <c r="K188" s="66">
        <v>0.6</v>
      </c>
      <c r="L188" s="67">
        <v>2</v>
      </c>
      <c r="M188" s="66">
        <v>0</v>
      </c>
      <c r="N188" s="67">
        <v>3</v>
      </c>
      <c r="O188" s="68">
        <v>1</v>
      </c>
      <c r="P188" s="93" t="str">
        <f>IFERROR(CHOOSE(MATCH(A188,'Dataset'!$B$5:$B$11,0),"S₁","S₂","S₃","S₄","S₅","S₆","S₇"),"")</f>
        <v/>
      </c>
    </row>
    <row r="189">
      <c r="A189" s="62">
        <v>185</v>
      </c>
      <c r="B189" s="66">
        <v>53</v>
      </c>
      <c r="C189" s="67">
        <v>1</v>
      </c>
      <c r="D189" s="67">
        <v>3</v>
      </c>
      <c r="E189" s="66">
        <v>130</v>
      </c>
      <c r="F189" s="66">
        <v>246</v>
      </c>
      <c r="G189" s="67">
        <v>1</v>
      </c>
      <c r="H189" s="67">
        <v>2</v>
      </c>
      <c r="I189" s="66">
        <v>173</v>
      </c>
      <c r="J189" s="67">
        <v>0</v>
      </c>
      <c r="K189" s="66">
        <v>0</v>
      </c>
      <c r="L189" s="67">
        <v>1</v>
      </c>
      <c r="M189" s="66">
        <v>3</v>
      </c>
      <c r="N189" s="67">
        <v>3</v>
      </c>
      <c r="O189" s="68">
        <v>1</v>
      </c>
      <c r="P189" s="93" t="str">
        <f>IFERROR(CHOOSE(MATCH(A189,'Dataset'!$B$5:$B$11,0),"S₁","S₂","S₃","S₄","S₅","S₆","S₇"),"")</f>
        <v/>
      </c>
    </row>
    <row r="190">
      <c r="A190" s="62">
        <v>186</v>
      </c>
      <c r="B190" s="66">
        <v>43</v>
      </c>
      <c r="C190" s="67">
        <v>1</v>
      </c>
      <c r="D190" s="67">
        <v>3</v>
      </c>
      <c r="E190" s="66">
        <v>130</v>
      </c>
      <c r="F190" s="66">
        <v>315</v>
      </c>
      <c r="G190" s="67">
        <v>0</v>
      </c>
      <c r="H190" s="67">
        <v>0</v>
      </c>
      <c r="I190" s="66">
        <v>162</v>
      </c>
      <c r="J190" s="67">
        <v>0</v>
      </c>
      <c r="K190" s="66">
        <v>1.9</v>
      </c>
      <c r="L190" s="67">
        <v>1</v>
      </c>
      <c r="M190" s="66">
        <v>1</v>
      </c>
      <c r="N190" s="67">
        <v>3</v>
      </c>
      <c r="O190" s="68">
        <v>1</v>
      </c>
      <c r="P190" s="93" t="str">
        <f>IFERROR(CHOOSE(MATCH(A190,'Dataset'!$B$5:$B$11,0),"S₁","S₂","S₃","S₄","S₅","S₆","S₇"),"")</f>
        <v/>
      </c>
    </row>
    <row r="191">
      <c r="A191" s="62">
        <v>187</v>
      </c>
      <c r="B191" s="66">
        <v>56</v>
      </c>
      <c r="C191" s="67">
        <v>1</v>
      </c>
      <c r="D191" s="67">
        <v>4</v>
      </c>
      <c r="E191" s="66">
        <v>132</v>
      </c>
      <c r="F191" s="66">
        <v>184</v>
      </c>
      <c r="G191" s="67">
        <v>0</v>
      </c>
      <c r="H191" s="67">
        <v>2</v>
      </c>
      <c r="I191" s="66">
        <v>105</v>
      </c>
      <c r="J191" s="67">
        <v>1</v>
      </c>
      <c r="K191" s="66">
        <v>2.1</v>
      </c>
      <c r="L191" s="67">
        <v>2</v>
      </c>
      <c r="M191" s="66">
        <v>1</v>
      </c>
      <c r="N191" s="67">
        <v>6</v>
      </c>
      <c r="O191" s="68">
        <v>2</v>
      </c>
      <c r="P191" s="93" t="str">
        <f>IFERROR(CHOOSE(MATCH(A191,'Dataset'!$B$5:$B$11,0),"S₁","S₂","S₃","S₄","S₅","S₆","S₇"),"")</f>
        <v/>
      </c>
    </row>
    <row r="192">
      <c r="A192" s="62">
        <v>188</v>
      </c>
      <c r="B192" s="66">
        <v>52</v>
      </c>
      <c r="C192" s="67">
        <v>1</v>
      </c>
      <c r="D192" s="67">
        <v>4</v>
      </c>
      <c r="E192" s="66">
        <v>108</v>
      </c>
      <c r="F192" s="66">
        <v>233</v>
      </c>
      <c r="G192" s="67">
        <v>1</v>
      </c>
      <c r="H192" s="67">
        <v>0</v>
      </c>
      <c r="I192" s="66">
        <v>147</v>
      </c>
      <c r="J192" s="67">
        <v>0</v>
      </c>
      <c r="K192" s="66">
        <v>0.1</v>
      </c>
      <c r="L192" s="67">
        <v>1</v>
      </c>
      <c r="M192" s="66">
        <v>3</v>
      </c>
      <c r="N192" s="67">
        <v>7</v>
      </c>
      <c r="O192" s="68">
        <v>1</v>
      </c>
      <c r="P192" s="93" t="str">
        <f>IFERROR(CHOOSE(MATCH(A192,'Dataset'!$B$5:$B$11,0),"S₁","S₂","S₃","S₄","S₅","S₆","S₇"),"")</f>
        <v/>
      </c>
    </row>
    <row r="193">
      <c r="A193" s="62">
        <v>189</v>
      </c>
      <c r="B193" s="66">
        <v>62</v>
      </c>
      <c r="C193" s="67">
        <v>0</v>
      </c>
      <c r="D193" s="67">
        <v>4</v>
      </c>
      <c r="E193" s="66">
        <v>140</v>
      </c>
      <c r="F193" s="66">
        <v>394</v>
      </c>
      <c r="G193" s="67">
        <v>0</v>
      </c>
      <c r="H193" s="67">
        <v>2</v>
      </c>
      <c r="I193" s="66">
        <v>157</v>
      </c>
      <c r="J193" s="67">
        <v>0</v>
      </c>
      <c r="K193" s="66">
        <v>1.2</v>
      </c>
      <c r="L193" s="67">
        <v>2</v>
      </c>
      <c r="M193" s="66">
        <v>0</v>
      </c>
      <c r="N193" s="67">
        <v>3</v>
      </c>
      <c r="O193" s="68">
        <v>1</v>
      </c>
      <c r="P193" s="93" t="str">
        <f>IFERROR(CHOOSE(MATCH(A193,'Dataset'!$B$5:$B$11,0),"S₁","S₂","S₃","S₄","S₅","S₆","S₇"),"")</f>
        <v/>
      </c>
    </row>
    <row r="194">
      <c r="A194" s="62">
        <v>190</v>
      </c>
      <c r="B194" s="66">
        <v>70</v>
      </c>
      <c r="C194" s="67">
        <v>1</v>
      </c>
      <c r="D194" s="67">
        <v>3</v>
      </c>
      <c r="E194" s="66">
        <v>160</v>
      </c>
      <c r="F194" s="66">
        <v>269</v>
      </c>
      <c r="G194" s="67">
        <v>0</v>
      </c>
      <c r="H194" s="67">
        <v>0</v>
      </c>
      <c r="I194" s="66">
        <v>112</v>
      </c>
      <c r="J194" s="67">
        <v>1</v>
      </c>
      <c r="K194" s="66">
        <v>2.9</v>
      </c>
      <c r="L194" s="67">
        <v>2</v>
      </c>
      <c r="M194" s="66">
        <v>1</v>
      </c>
      <c r="N194" s="67">
        <v>7</v>
      </c>
      <c r="O194" s="68">
        <v>2</v>
      </c>
      <c r="P194" s="93" t="str">
        <f>IFERROR(CHOOSE(MATCH(A194,'Dataset'!$B$5:$B$11,0),"S₁","S₂","S₃","S₄","S₅","S₆","S₇"),"")</f>
        <v/>
      </c>
    </row>
    <row r="195">
      <c r="A195" s="62">
        <v>191</v>
      </c>
      <c r="B195" s="66">
        <v>54</v>
      </c>
      <c r="C195" s="67">
        <v>1</v>
      </c>
      <c r="D195" s="67">
        <v>4</v>
      </c>
      <c r="E195" s="66">
        <v>140</v>
      </c>
      <c r="F195" s="66">
        <v>239</v>
      </c>
      <c r="G195" s="67">
        <v>0</v>
      </c>
      <c r="H195" s="67">
        <v>0</v>
      </c>
      <c r="I195" s="66">
        <v>160</v>
      </c>
      <c r="J195" s="67">
        <v>0</v>
      </c>
      <c r="K195" s="66">
        <v>1.2</v>
      </c>
      <c r="L195" s="67">
        <v>1</v>
      </c>
      <c r="M195" s="66">
        <v>0</v>
      </c>
      <c r="N195" s="67">
        <v>3</v>
      </c>
      <c r="O195" s="68">
        <v>1</v>
      </c>
      <c r="P195" s="93" t="str">
        <f>IFERROR(CHOOSE(MATCH(A195,'Dataset'!$B$5:$B$11,0),"S₁","S₂","S₃","S₄","S₅","S₆","S₇"),"")</f>
        <v/>
      </c>
    </row>
    <row r="196">
      <c r="A196" s="62">
        <v>192</v>
      </c>
      <c r="B196" s="66">
        <v>70</v>
      </c>
      <c r="C196" s="67">
        <v>1</v>
      </c>
      <c r="D196" s="67">
        <v>4</v>
      </c>
      <c r="E196" s="66">
        <v>145</v>
      </c>
      <c r="F196" s="66">
        <v>174</v>
      </c>
      <c r="G196" s="67">
        <v>0</v>
      </c>
      <c r="H196" s="67">
        <v>0</v>
      </c>
      <c r="I196" s="66">
        <v>125</v>
      </c>
      <c r="J196" s="67">
        <v>1</v>
      </c>
      <c r="K196" s="66">
        <v>2.6</v>
      </c>
      <c r="L196" s="67">
        <v>3</v>
      </c>
      <c r="M196" s="66">
        <v>0</v>
      </c>
      <c r="N196" s="67">
        <v>7</v>
      </c>
      <c r="O196" s="68">
        <v>2</v>
      </c>
      <c r="P196" s="93" t="str">
        <f>IFERROR(CHOOSE(MATCH(A196,'Dataset'!$B$5:$B$11,0),"S₁","S₂","S₃","S₄","S₅","S₆","S₇"),"")</f>
        <v/>
      </c>
    </row>
    <row r="197">
      <c r="A197" s="62">
        <v>193</v>
      </c>
      <c r="B197" s="66">
        <v>54</v>
      </c>
      <c r="C197" s="67">
        <v>1</v>
      </c>
      <c r="D197" s="67">
        <v>2</v>
      </c>
      <c r="E197" s="66">
        <v>108</v>
      </c>
      <c r="F197" s="66">
        <v>309</v>
      </c>
      <c r="G197" s="67">
        <v>0</v>
      </c>
      <c r="H197" s="67">
        <v>0</v>
      </c>
      <c r="I197" s="66">
        <v>156</v>
      </c>
      <c r="J197" s="67">
        <v>0</v>
      </c>
      <c r="K197" s="66">
        <v>0</v>
      </c>
      <c r="L197" s="67">
        <v>1</v>
      </c>
      <c r="M197" s="66">
        <v>0</v>
      </c>
      <c r="N197" s="67">
        <v>7</v>
      </c>
      <c r="O197" s="68">
        <v>1</v>
      </c>
      <c r="P197" s="93" t="str">
        <f>IFERROR(CHOOSE(MATCH(A197,'Dataset'!$B$5:$B$11,0),"S₁","S₂","S₃","S₄","S₅","S₆","S₇"),"")</f>
        <v/>
      </c>
    </row>
    <row r="198">
      <c r="A198" s="62">
        <v>194</v>
      </c>
      <c r="B198" s="66">
        <v>35</v>
      </c>
      <c r="C198" s="67">
        <v>1</v>
      </c>
      <c r="D198" s="67">
        <v>4</v>
      </c>
      <c r="E198" s="66">
        <v>126</v>
      </c>
      <c r="F198" s="66">
        <v>282</v>
      </c>
      <c r="G198" s="67">
        <v>0</v>
      </c>
      <c r="H198" s="67">
        <v>2</v>
      </c>
      <c r="I198" s="66">
        <v>156</v>
      </c>
      <c r="J198" s="67">
        <v>1</v>
      </c>
      <c r="K198" s="66">
        <v>0</v>
      </c>
      <c r="L198" s="67">
        <v>1</v>
      </c>
      <c r="M198" s="66">
        <v>0</v>
      </c>
      <c r="N198" s="67">
        <v>7</v>
      </c>
      <c r="O198" s="68">
        <v>2</v>
      </c>
      <c r="P198" s="93" t="str">
        <f>IFERROR(CHOOSE(MATCH(A198,'Dataset'!$B$5:$B$11,0),"S₁","S₂","S₃","S₄","S₅","S₆","S₇"),"")</f>
        <v/>
      </c>
    </row>
    <row r="199">
      <c r="A199" s="62">
        <v>195</v>
      </c>
      <c r="B199" s="66">
        <v>48</v>
      </c>
      <c r="C199" s="67">
        <v>1</v>
      </c>
      <c r="D199" s="67">
        <v>3</v>
      </c>
      <c r="E199" s="66">
        <v>124</v>
      </c>
      <c r="F199" s="66">
        <v>255</v>
      </c>
      <c r="G199" s="67">
        <v>1</v>
      </c>
      <c r="H199" s="67">
        <v>0</v>
      </c>
      <c r="I199" s="66">
        <v>175</v>
      </c>
      <c r="J199" s="67">
        <v>0</v>
      </c>
      <c r="K199" s="66">
        <v>0</v>
      </c>
      <c r="L199" s="67">
        <v>1</v>
      </c>
      <c r="M199" s="66">
        <v>2</v>
      </c>
      <c r="N199" s="67">
        <v>3</v>
      </c>
      <c r="O199" s="68">
        <v>1</v>
      </c>
      <c r="P199" s="93" t="str">
        <f>IFERROR(CHOOSE(MATCH(A199,'Dataset'!$B$5:$B$11,0),"S₁","S₂","S₃","S₄","S₅","S₆","S₇"),"")</f>
        <v/>
      </c>
    </row>
    <row r="200">
      <c r="A200" s="62">
        <v>196</v>
      </c>
      <c r="B200" s="66">
        <v>55</v>
      </c>
      <c r="C200" s="67">
        <v>0</v>
      </c>
      <c r="D200" s="67">
        <v>2</v>
      </c>
      <c r="E200" s="66">
        <v>135</v>
      </c>
      <c r="F200" s="66">
        <v>250</v>
      </c>
      <c r="G200" s="67">
        <v>0</v>
      </c>
      <c r="H200" s="67">
        <v>2</v>
      </c>
      <c r="I200" s="66">
        <v>161</v>
      </c>
      <c r="J200" s="67">
        <v>0</v>
      </c>
      <c r="K200" s="66">
        <v>1.4</v>
      </c>
      <c r="L200" s="67">
        <v>2</v>
      </c>
      <c r="M200" s="66">
        <v>0</v>
      </c>
      <c r="N200" s="67">
        <v>3</v>
      </c>
      <c r="O200" s="68">
        <v>1</v>
      </c>
      <c r="P200" s="93" t="str">
        <f>IFERROR(CHOOSE(MATCH(A200,'Dataset'!$B$5:$B$11,0),"S₁","S₂","S₃","S₄","S₅","S₆","S₇"),"")</f>
        <v/>
      </c>
    </row>
    <row r="201">
      <c r="A201" s="62">
        <v>197</v>
      </c>
      <c r="B201" s="66">
        <v>58</v>
      </c>
      <c r="C201" s="67">
        <v>0</v>
      </c>
      <c r="D201" s="67">
        <v>4</v>
      </c>
      <c r="E201" s="66">
        <v>100</v>
      </c>
      <c r="F201" s="66">
        <v>248</v>
      </c>
      <c r="G201" s="67">
        <v>0</v>
      </c>
      <c r="H201" s="67">
        <v>2</v>
      </c>
      <c r="I201" s="66">
        <v>122</v>
      </c>
      <c r="J201" s="67">
        <v>0</v>
      </c>
      <c r="K201" s="66">
        <v>1</v>
      </c>
      <c r="L201" s="67">
        <v>2</v>
      </c>
      <c r="M201" s="66">
        <v>0</v>
      </c>
      <c r="N201" s="67">
        <v>3</v>
      </c>
      <c r="O201" s="68">
        <v>1</v>
      </c>
      <c r="P201" s="93" t="str">
        <f>IFERROR(CHOOSE(MATCH(A201,'Dataset'!$B$5:$B$11,0),"S₁","S₂","S₃","S₄","S₅","S₆","S₇"),"")</f>
        <v/>
      </c>
    </row>
    <row r="202">
      <c r="A202" s="62">
        <v>198</v>
      </c>
      <c r="B202" s="66">
        <v>54</v>
      </c>
      <c r="C202" s="67">
        <v>0</v>
      </c>
      <c r="D202" s="67">
        <v>3</v>
      </c>
      <c r="E202" s="66">
        <v>110</v>
      </c>
      <c r="F202" s="66">
        <v>214</v>
      </c>
      <c r="G202" s="67">
        <v>0</v>
      </c>
      <c r="H202" s="67">
        <v>0</v>
      </c>
      <c r="I202" s="66">
        <v>158</v>
      </c>
      <c r="J202" s="67">
        <v>0</v>
      </c>
      <c r="K202" s="66">
        <v>1.6</v>
      </c>
      <c r="L202" s="67">
        <v>2</v>
      </c>
      <c r="M202" s="66">
        <v>0</v>
      </c>
      <c r="N202" s="67">
        <v>3</v>
      </c>
      <c r="O202" s="68">
        <v>1</v>
      </c>
      <c r="P202" s="93" t="str">
        <f>IFERROR(CHOOSE(MATCH(A202,'Dataset'!$B$5:$B$11,0),"S₁","S₂","S₃","S₄","S₅","S₆","S₇"),"")</f>
        <v/>
      </c>
    </row>
    <row r="203">
      <c r="A203" s="62">
        <v>199</v>
      </c>
      <c r="B203" s="66">
        <v>69</v>
      </c>
      <c r="C203" s="67">
        <v>0</v>
      </c>
      <c r="D203" s="67">
        <v>1</v>
      </c>
      <c r="E203" s="66">
        <v>140</v>
      </c>
      <c r="F203" s="66">
        <v>239</v>
      </c>
      <c r="G203" s="67">
        <v>0</v>
      </c>
      <c r="H203" s="67">
        <v>0</v>
      </c>
      <c r="I203" s="66">
        <v>151</v>
      </c>
      <c r="J203" s="67">
        <v>0</v>
      </c>
      <c r="K203" s="66">
        <v>1.8</v>
      </c>
      <c r="L203" s="67">
        <v>1</v>
      </c>
      <c r="M203" s="66">
        <v>2</v>
      </c>
      <c r="N203" s="67">
        <v>3</v>
      </c>
      <c r="O203" s="68">
        <v>1</v>
      </c>
      <c r="P203" s="93" t="str">
        <f>IFERROR(CHOOSE(MATCH(A203,'Dataset'!$B$5:$B$11,0),"S₁","S₂","S₃","S₄","S₅","S₆","S₇"),"")</f>
        <v/>
      </c>
    </row>
    <row r="204">
      <c r="A204" s="62">
        <v>200</v>
      </c>
      <c r="B204" s="66">
        <v>77</v>
      </c>
      <c r="C204" s="67">
        <v>1</v>
      </c>
      <c r="D204" s="67">
        <v>4</v>
      </c>
      <c r="E204" s="66">
        <v>125</v>
      </c>
      <c r="F204" s="66">
        <v>304</v>
      </c>
      <c r="G204" s="67">
        <v>0</v>
      </c>
      <c r="H204" s="67">
        <v>2</v>
      </c>
      <c r="I204" s="66">
        <v>162</v>
      </c>
      <c r="J204" s="67">
        <v>1</v>
      </c>
      <c r="K204" s="66">
        <v>0</v>
      </c>
      <c r="L204" s="67">
        <v>1</v>
      </c>
      <c r="M204" s="66">
        <v>3</v>
      </c>
      <c r="N204" s="67">
        <v>3</v>
      </c>
      <c r="O204" s="68">
        <v>2</v>
      </c>
      <c r="P204" s="93" t="str">
        <f>IFERROR(CHOOSE(MATCH(A204,'Dataset'!$B$5:$B$11,0),"S₁","S₂","S₃","S₄","S₅","S₆","S₇"),"")</f>
        <v/>
      </c>
    </row>
    <row r="205">
      <c r="A205" s="62">
        <v>201</v>
      </c>
      <c r="B205" s="66">
        <v>68</v>
      </c>
      <c r="C205" s="67">
        <v>1</v>
      </c>
      <c r="D205" s="67">
        <v>3</v>
      </c>
      <c r="E205" s="66">
        <v>118</v>
      </c>
      <c r="F205" s="66">
        <v>277</v>
      </c>
      <c r="G205" s="67">
        <v>0</v>
      </c>
      <c r="H205" s="67">
        <v>0</v>
      </c>
      <c r="I205" s="66">
        <v>151</v>
      </c>
      <c r="J205" s="67">
        <v>0</v>
      </c>
      <c r="K205" s="66">
        <v>1</v>
      </c>
      <c r="L205" s="67">
        <v>1</v>
      </c>
      <c r="M205" s="66">
        <v>1</v>
      </c>
      <c r="N205" s="67">
        <v>7</v>
      </c>
      <c r="O205" s="68">
        <v>1</v>
      </c>
      <c r="P205" s="93" t="str">
        <f>IFERROR(CHOOSE(MATCH(A205,'Dataset'!$B$5:$B$11,0),"S₁","S₂","S₃","S₄","S₅","S₆","S₇"),"")</f>
        <v/>
      </c>
    </row>
    <row r="206">
      <c r="A206" s="62">
        <v>202</v>
      </c>
      <c r="B206" s="66">
        <v>58</v>
      </c>
      <c r="C206" s="67">
        <v>1</v>
      </c>
      <c r="D206" s="67">
        <v>4</v>
      </c>
      <c r="E206" s="66">
        <v>125</v>
      </c>
      <c r="F206" s="66">
        <v>300</v>
      </c>
      <c r="G206" s="67">
        <v>0</v>
      </c>
      <c r="H206" s="67">
        <v>2</v>
      </c>
      <c r="I206" s="66">
        <v>171</v>
      </c>
      <c r="J206" s="67">
        <v>0</v>
      </c>
      <c r="K206" s="66">
        <v>0</v>
      </c>
      <c r="L206" s="67">
        <v>1</v>
      </c>
      <c r="M206" s="66">
        <v>2</v>
      </c>
      <c r="N206" s="67">
        <v>7</v>
      </c>
      <c r="O206" s="68">
        <v>2</v>
      </c>
      <c r="P206" s="93" t="str">
        <f>IFERROR(CHOOSE(MATCH(A206,'Dataset'!$B$5:$B$11,0),"S₁","S₂","S₃","S₄","S₅","S₆","S₇"),"")</f>
        <v/>
      </c>
    </row>
    <row r="207">
      <c r="A207" s="62">
        <v>203</v>
      </c>
      <c r="B207" s="66">
        <v>60</v>
      </c>
      <c r="C207" s="67">
        <v>1</v>
      </c>
      <c r="D207" s="67">
        <v>4</v>
      </c>
      <c r="E207" s="66">
        <v>125</v>
      </c>
      <c r="F207" s="66">
        <v>258</v>
      </c>
      <c r="G207" s="67">
        <v>0</v>
      </c>
      <c r="H207" s="67">
        <v>2</v>
      </c>
      <c r="I207" s="66">
        <v>141</v>
      </c>
      <c r="J207" s="67">
        <v>1</v>
      </c>
      <c r="K207" s="66">
        <v>2.8</v>
      </c>
      <c r="L207" s="67">
        <v>2</v>
      </c>
      <c r="M207" s="66">
        <v>1</v>
      </c>
      <c r="N207" s="67">
        <v>7</v>
      </c>
      <c r="O207" s="68">
        <v>2</v>
      </c>
      <c r="P207" s="93" t="str">
        <f>IFERROR(CHOOSE(MATCH(A207,'Dataset'!$B$5:$B$11,0),"S₁","S₂","S₃","S₄","S₅","S₆","S₇"),"")</f>
        <v/>
      </c>
    </row>
    <row r="208">
      <c r="A208" s="62">
        <v>204</v>
      </c>
      <c r="B208" s="66">
        <v>51</v>
      </c>
      <c r="C208" s="67">
        <v>1</v>
      </c>
      <c r="D208" s="67">
        <v>4</v>
      </c>
      <c r="E208" s="66">
        <v>140</v>
      </c>
      <c r="F208" s="66">
        <v>299</v>
      </c>
      <c r="G208" s="67">
        <v>0</v>
      </c>
      <c r="H208" s="67">
        <v>0</v>
      </c>
      <c r="I208" s="66">
        <v>173</v>
      </c>
      <c r="J208" s="67">
        <v>1</v>
      </c>
      <c r="K208" s="66">
        <v>1.6</v>
      </c>
      <c r="L208" s="67">
        <v>1</v>
      </c>
      <c r="M208" s="66">
        <v>0</v>
      </c>
      <c r="N208" s="67">
        <v>7</v>
      </c>
      <c r="O208" s="68">
        <v>2</v>
      </c>
      <c r="P208" s="93" t="str">
        <f>IFERROR(CHOOSE(MATCH(A208,'Dataset'!$B$5:$B$11,0),"S₁","S₂","S₃","S₄","S₅","S₆","S₇"),"")</f>
        <v/>
      </c>
    </row>
    <row r="209">
      <c r="A209" s="62">
        <v>205</v>
      </c>
      <c r="B209" s="66">
        <v>55</v>
      </c>
      <c r="C209" s="67">
        <v>1</v>
      </c>
      <c r="D209" s="67">
        <v>4</v>
      </c>
      <c r="E209" s="66">
        <v>160</v>
      </c>
      <c r="F209" s="66">
        <v>289</v>
      </c>
      <c r="G209" s="67">
        <v>0</v>
      </c>
      <c r="H209" s="67">
        <v>2</v>
      </c>
      <c r="I209" s="66">
        <v>145</v>
      </c>
      <c r="J209" s="67">
        <v>1</v>
      </c>
      <c r="K209" s="66">
        <v>0.8</v>
      </c>
      <c r="L209" s="67">
        <v>2</v>
      </c>
      <c r="M209" s="66">
        <v>1</v>
      </c>
      <c r="N209" s="67">
        <v>7</v>
      </c>
      <c r="O209" s="68">
        <v>2</v>
      </c>
      <c r="P209" s="93" t="str">
        <f>IFERROR(CHOOSE(MATCH(A209,'Dataset'!$B$5:$B$11,0),"S₁","S₂","S₃","S₄","S₅","S₆","S₇"),"")</f>
        <v/>
      </c>
    </row>
    <row r="210">
      <c r="A210" s="62">
        <v>206</v>
      </c>
      <c r="B210" s="66">
        <v>52</v>
      </c>
      <c r="C210" s="67">
        <v>1</v>
      </c>
      <c r="D210" s="67">
        <v>1</v>
      </c>
      <c r="E210" s="66">
        <v>152</v>
      </c>
      <c r="F210" s="66">
        <v>298</v>
      </c>
      <c r="G210" s="67">
        <v>1</v>
      </c>
      <c r="H210" s="67">
        <v>0</v>
      </c>
      <c r="I210" s="66">
        <v>178</v>
      </c>
      <c r="J210" s="67">
        <v>0</v>
      </c>
      <c r="K210" s="66">
        <v>1.2</v>
      </c>
      <c r="L210" s="67">
        <v>2</v>
      </c>
      <c r="M210" s="66">
        <v>0</v>
      </c>
      <c r="N210" s="67">
        <v>7</v>
      </c>
      <c r="O210" s="68">
        <v>1</v>
      </c>
      <c r="P210" s="93" t="str">
        <f>IFERROR(CHOOSE(MATCH(A210,'Dataset'!$B$5:$B$11,0),"S₁","S₂","S₃","S₄","S₅","S₆","S₇"),"")</f>
        <v/>
      </c>
    </row>
    <row r="211">
      <c r="A211" s="62">
        <v>207</v>
      </c>
      <c r="B211" s="66">
        <v>60</v>
      </c>
      <c r="C211" s="67">
        <v>0</v>
      </c>
      <c r="D211" s="67">
        <v>3</v>
      </c>
      <c r="E211" s="66">
        <v>102</v>
      </c>
      <c r="F211" s="66">
        <v>318</v>
      </c>
      <c r="G211" s="67">
        <v>0</v>
      </c>
      <c r="H211" s="67">
        <v>0</v>
      </c>
      <c r="I211" s="66">
        <v>160</v>
      </c>
      <c r="J211" s="67">
        <v>0</v>
      </c>
      <c r="K211" s="66">
        <v>0</v>
      </c>
      <c r="L211" s="67">
        <v>1</v>
      </c>
      <c r="M211" s="66">
        <v>1</v>
      </c>
      <c r="N211" s="67">
        <v>3</v>
      </c>
      <c r="O211" s="68">
        <v>1</v>
      </c>
      <c r="P211" s="93" t="str">
        <f>IFERROR(CHOOSE(MATCH(A211,'Dataset'!$B$5:$B$11,0),"S₁","S₂","S₃","S₄","S₅","S₆","S₇"),"")</f>
        <v/>
      </c>
    </row>
    <row r="212">
      <c r="A212" s="62">
        <v>208</v>
      </c>
      <c r="B212" s="66">
        <v>58</v>
      </c>
      <c r="C212" s="67">
        <v>1</v>
      </c>
      <c r="D212" s="67">
        <v>3</v>
      </c>
      <c r="E212" s="66">
        <v>105</v>
      </c>
      <c r="F212" s="66">
        <v>240</v>
      </c>
      <c r="G212" s="67">
        <v>0</v>
      </c>
      <c r="H212" s="67">
        <v>2</v>
      </c>
      <c r="I212" s="66">
        <v>154</v>
      </c>
      <c r="J212" s="67">
        <v>1</v>
      </c>
      <c r="K212" s="66">
        <v>0.6</v>
      </c>
      <c r="L212" s="67">
        <v>2</v>
      </c>
      <c r="M212" s="66">
        <v>0</v>
      </c>
      <c r="N212" s="67">
        <v>7</v>
      </c>
      <c r="O212" s="68">
        <v>1</v>
      </c>
      <c r="P212" s="93" t="str">
        <f>IFERROR(CHOOSE(MATCH(A212,'Dataset'!$B$5:$B$11,0),"S₁","S₂","S₃","S₄","S₅","S₆","S₇"),"")</f>
        <v/>
      </c>
    </row>
    <row r="213">
      <c r="A213" s="62">
        <v>209</v>
      </c>
      <c r="B213" s="66">
        <v>64</v>
      </c>
      <c r="C213" s="67">
        <v>1</v>
      </c>
      <c r="D213" s="67">
        <v>3</v>
      </c>
      <c r="E213" s="66">
        <v>125</v>
      </c>
      <c r="F213" s="66">
        <v>309</v>
      </c>
      <c r="G213" s="67">
        <v>0</v>
      </c>
      <c r="H213" s="67">
        <v>0</v>
      </c>
      <c r="I213" s="66">
        <v>131</v>
      </c>
      <c r="J213" s="67">
        <v>1</v>
      </c>
      <c r="K213" s="66">
        <v>1.8</v>
      </c>
      <c r="L213" s="67">
        <v>2</v>
      </c>
      <c r="M213" s="66">
        <v>0</v>
      </c>
      <c r="N213" s="67">
        <v>7</v>
      </c>
      <c r="O213" s="68">
        <v>2</v>
      </c>
      <c r="P213" s="93" t="str">
        <f>IFERROR(CHOOSE(MATCH(A213,'Dataset'!$B$5:$B$11,0),"S₁","S₂","S₃","S₄","S₅","S₆","S₇"),"")</f>
        <v/>
      </c>
    </row>
    <row r="214">
      <c r="A214" s="62">
        <v>210</v>
      </c>
      <c r="B214" s="66">
        <v>37</v>
      </c>
      <c r="C214" s="67">
        <v>1</v>
      </c>
      <c r="D214" s="67">
        <v>3</v>
      </c>
      <c r="E214" s="66">
        <v>130</v>
      </c>
      <c r="F214" s="66">
        <v>250</v>
      </c>
      <c r="G214" s="67">
        <v>0</v>
      </c>
      <c r="H214" s="67">
        <v>0</v>
      </c>
      <c r="I214" s="66">
        <v>187</v>
      </c>
      <c r="J214" s="67">
        <v>0</v>
      </c>
      <c r="K214" s="66">
        <v>3.5</v>
      </c>
      <c r="L214" s="67">
        <v>3</v>
      </c>
      <c r="M214" s="66">
        <v>0</v>
      </c>
      <c r="N214" s="67">
        <v>3</v>
      </c>
      <c r="O214" s="68">
        <v>1</v>
      </c>
      <c r="P214" s="93" t="str">
        <f>IFERROR(CHOOSE(MATCH(A214,'Dataset'!$B$5:$B$11,0),"S₁","S₂","S₃","S₄","S₅","S₆","S₇"),"")</f>
        <v/>
      </c>
    </row>
    <row r="215">
      <c r="A215" s="62">
        <v>211</v>
      </c>
      <c r="B215" s="66">
        <v>59</v>
      </c>
      <c r="C215" s="67">
        <v>1</v>
      </c>
      <c r="D215" s="67">
        <v>1</v>
      </c>
      <c r="E215" s="66">
        <v>170</v>
      </c>
      <c r="F215" s="66">
        <v>288</v>
      </c>
      <c r="G215" s="67">
        <v>0</v>
      </c>
      <c r="H215" s="67">
        <v>2</v>
      </c>
      <c r="I215" s="66">
        <v>159</v>
      </c>
      <c r="J215" s="67">
        <v>0</v>
      </c>
      <c r="K215" s="66">
        <v>0.2</v>
      </c>
      <c r="L215" s="67">
        <v>2</v>
      </c>
      <c r="M215" s="66">
        <v>0</v>
      </c>
      <c r="N215" s="67">
        <v>7</v>
      </c>
      <c r="O215" s="68">
        <v>2</v>
      </c>
      <c r="P215" s="93" t="str">
        <f>IFERROR(CHOOSE(MATCH(A215,'Dataset'!$B$5:$B$11,0),"S₁","S₂","S₃","S₄","S₅","S₆","S₇"),"")</f>
        <v/>
      </c>
    </row>
    <row r="216">
      <c r="A216" s="62">
        <v>212</v>
      </c>
      <c r="B216" s="66">
        <v>51</v>
      </c>
      <c r="C216" s="67">
        <v>1</v>
      </c>
      <c r="D216" s="67">
        <v>3</v>
      </c>
      <c r="E216" s="66">
        <v>125</v>
      </c>
      <c r="F216" s="66">
        <v>245</v>
      </c>
      <c r="G216" s="67">
        <v>1</v>
      </c>
      <c r="H216" s="67">
        <v>2</v>
      </c>
      <c r="I216" s="66">
        <v>166</v>
      </c>
      <c r="J216" s="67">
        <v>0</v>
      </c>
      <c r="K216" s="66">
        <v>2.4</v>
      </c>
      <c r="L216" s="67">
        <v>2</v>
      </c>
      <c r="M216" s="66">
        <v>0</v>
      </c>
      <c r="N216" s="67">
        <v>3</v>
      </c>
      <c r="O216" s="68">
        <v>1</v>
      </c>
      <c r="P216" s="93" t="str">
        <f>IFERROR(CHOOSE(MATCH(A216,'Dataset'!$B$5:$B$11,0),"S₁","S₂","S₃","S₄","S₅","S₆","S₇"),"")</f>
        <v/>
      </c>
    </row>
    <row r="217">
      <c r="A217" s="62">
        <v>213</v>
      </c>
      <c r="B217" s="66">
        <v>43</v>
      </c>
      <c r="C217" s="67">
        <v>0</v>
      </c>
      <c r="D217" s="67">
        <v>3</v>
      </c>
      <c r="E217" s="66">
        <v>122</v>
      </c>
      <c r="F217" s="66">
        <v>213</v>
      </c>
      <c r="G217" s="67">
        <v>0</v>
      </c>
      <c r="H217" s="67">
        <v>0</v>
      </c>
      <c r="I217" s="66">
        <v>165</v>
      </c>
      <c r="J217" s="67">
        <v>0</v>
      </c>
      <c r="K217" s="66">
        <v>0.2</v>
      </c>
      <c r="L217" s="67">
        <v>2</v>
      </c>
      <c r="M217" s="66">
        <v>0</v>
      </c>
      <c r="N217" s="67">
        <v>3</v>
      </c>
      <c r="O217" s="68">
        <v>1</v>
      </c>
      <c r="P217" s="93" t="str">
        <f>IFERROR(CHOOSE(MATCH(A217,'Dataset'!$B$5:$B$11,0),"S₁","S₂","S₃","S₄","S₅","S₆","S₇"),"")</f>
        <v/>
      </c>
    </row>
    <row r="218">
      <c r="A218" s="62">
        <v>214</v>
      </c>
      <c r="B218" s="66">
        <v>58</v>
      </c>
      <c r="C218" s="67">
        <v>1</v>
      </c>
      <c r="D218" s="67">
        <v>4</v>
      </c>
      <c r="E218" s="66">
        <v>128</v>
      </c>
      <c r="F218" s="66">
        <v>216</v>
      </c>
      <c r="G218" s="67">
        <v>0</v>
      </c>
      <c r="H218" s="67">
        <v>2</v>
      </c>
      <c r="I218" s="66">
        <v>131</v>
      </c>
      <c r="J218" s="67">
        <v>1</v>
      </c>
      <c r="K218" s="66">
        <v>2.2</v>
      </c>
      <c r="L218" s="67">
        <v>2</v>
      </c>
      <c r="M218" s="66">
        <v>3</v>
      </c>
      <c r="N218" s="67">
        <v>7</v>
      </c>
      <c r="O218" s="68">
        <v>2</v>
      </c>
      <c r="P218" s="93" t="str">
        <f>IFERROR(CHOOSE(MATCH(A218,'Dataset'!$B$5:$B$11,0),"S₁","S₂","S₃","S₄","S₅","S₆","S₇"),"")</f>
        <v/>
      </c>
    </row>
    <row r="219">
      <c r="A219" s="62">
        <v>215</v>
      </c>
      <c r="B219" s="66">
        <v>29</v>
      </c>
      <c r="C219" s="67">
        <v>1</v>
      </c>
      <c r="D219" s="67">
        <v>2</v>
      </c>
      <c r="E219" s="66">
        <v>130</v>
      </c>
      <c r="F219" s="66">
        <v>204</v>
      </c>
      <c r="G219" s="67">
        <v>0</v>
      </c>
      <c r="H219" s="67">
        <v>2</v>
      </c>
      <c r="I219" s="66">
        <v>202</v>
      </c>
      <c r="J219" s="67">
        <v>0</v>
      </c>
      <c r="K219" s="66">
        <v>0</v>
      </c>
      <c r="L219" s="67">
        <v>1</v>
      </c>
      <c r="M219" s="66">
        <v>0</v>
      </c>
      <c r="N219" s="67">
        <v>3</v>
      </c>
      <c r="O219" s="68">
        <v>1</v>
      </c>
      <c r="P219" s="93" t="str">
        <f>IFERROR(CHOOSE(MATCH(A219,'Dataset'!$B$5:$B$11,0),"S₁","S₂","S₃","S₄","S₅","S₆","S₇"),"")</f>
        <v/>
      </c>
    </row>
    <row r="220">
      <c r="A220" s="62">
        <v>216</v>
      </c>
      <c r="B220" s="66">
        <v>41</v>
      </c>
      <c r="C220" s="67">
        <v>0</v>
      </c>
      <c r="D220" s="67">
        <v>2</v>
      </c>
      <c r="E220" s="66">
        <v>130</v>
      </c>
      <c r="F220" s="66">
        <v>204</v>
      </c>
      <c r="G220" s="67">
        <v>0</v>
      </c>
      <c r="H220" s="67">
        <v>2</v>
      </c>
      <c r="I220" s="66">
        <v>172</v>
      </c>
      <c r="J220" s="67">
        <v>0</v>
      </c>
      <c r="K220" s="66">
        <v>1.4</v>
      </c>
      <c r="L220" s="67">
        <v>1</v>
      </c>
      <c r="M220" s="66">
        <v>0</v>
      </c>
      <c r="N220" s="67">
        <v>3</v>
      </c>
      <c r="O220" s="68">
        <v>1</v>
      </c>
      <c r="P220" s="93" t="str">
        <f>IFERROR(CHOOSE(MATCH(A220,'Dataset'!$B$5:$B$11,0),"S₁","S₂","S₃","S₄","S₅","S₆","S₇"),"")</f>
        <v/>
      </c>
    </row>
    <row r="221">
      <c r="A221" s="62">
        <v>217</v>
      </c>
      <c r="B221" s="66">
        <v>63</v>
      </c>
      <c r="C221" s="67">
        <v>0</v>
      </c>
      <c r="D221" s="67">
        <v>3</v>
      </c>
      <c r="E221" s="66">
        <v>135</v>
      </c>
      <c r="F221" s="66">
        <v>252</v>
      </c>
      <c r="G221" s="67">
        <v>0</v>
      </c>
      <c r="H221" s="67">
        <v>2</v>
      </c>
      <c r="I221" s="66">
        <v>172</v>
      </c>
      <c r="J221" s="67">
        <v>0</v>
      </c>
      <c r="K221" s="66">
        <v>0</v>
      </c>
      <c r="L221" s="67">
        <v>1</v>
      </c>
      <c r="M221" s="66">
        <v>0</v>
      </c>
      <c r="N221" s="67">
        <v>3</v>
      </c>
      <c r="O221" s="68">
        <v>1</v>
      </c>
      <c r="P221" s="93" t="str">
        <f>IFERROR(CHOOSE(MATCH(A221,'Dataset'!$B$5:$B$11,0),"S₁","S₂","S₃","S₄","S₅","S₆","S₇"),"")</f>
        <v/>
      </c>
    </row>
    <row r="222">
      <c r="A222" s="62">
        <v>218</v>
      </c>
      <c r="B222" s="66">
        <v>51</v>
      </c>
      <c r="C222" s="67">
        <v>1</v>
      </c>
      <c r="D222" s="67">
        <v>3</v>
      </c>
      <c r="E222" s="66">
        <v>94</v>
      </c>
      <c r="F222" s="66">
        <v>227</v>
      </c>
      <c r="G222" s="67">
        <v>0</v>
      </c>
      <c r="H222" s="67">
        <v>0</v>
      </c>
      <c r="I222" s="66">
        <v>154</v>
      </c>
      <c r="J222" s="67">
        <v>1</v>
      </c>
      <c r="K222" s="66">
        <v>0</v>
      </c>
      <c r="L222" s="67">
        <v>1</v>
      </c>
      <c r="M222" s="66">
        <v>1</v>
      </c>
      <c r="N222" s="67">
        <v>7</v>
      </c>
      <c r="O222" s="68">
        <v>1</v>
      </c>
      <c r="P222" s="93" t="str">
        <f>IFERROR(CHOOSE(MATCH(A222,'Dataset'!$B$5:$B$11,0),"S₁","S₂","S₃","S₄","S₅","S₆","S₇"),"")</f>
        <v/>
      </c>
    </row>
    <row r="223">
      <c r="A223" s="62">
        <v>219</v>
      </c>
      <c r="B223" s="66">
        <v>54</v>
      </c>
      <c r="C223" s="67">
        <v>1</v>
      </c>
      <c r="D223" s="67">
        <v>3</v>
      </c>
      <c r="E223" s="66">
        <v>120</v>
      </c>
      <c r="F223" s="66">
        <v>258</v>
      </c>
      <c r="G223" s="67">
        <v>0</v>
      </c>
      <c r="H223" s="67">
        <v>2</v>
      </c>
      <c r="I223" s="66">
        <v>147</v>
      </c>
      <c r="J223" s="67">
        <v>0</v>
      </c>
      <c r="K223" s="66">
        <v>0.4</v>
      </c>
      <c r="L223" s="67">
        <v>2</v>
      </c>
      <c r="M223" s="66">
        <v>0</v>
      </c>
      <c r="N223" s="67">
        <v>7</v>
      </c>
      <c r="O223" s="68">
        <v>1</v>
      </c>
      <c r="P223" s="93" t="str">
        <f>IFERROR(CHOOSE(MATCH(A223,'Dataset'!$B$5:$B$11,0),"S₁","S₂","S₃","S₄","S₅","S₆","S₇"),"")</f>
        <v/>
      </c>
    </row>
    <row r="224">
      <c r="A224" s="62">
        <v>220</v>
      </c>
      <c r="B224" s="66">
        <v>44</v>
      </c>
      <c r="C224" s="67">
        <v>1</v>
      </c>
      <c r="D224" s="67">
        <v>2</v>
      </c>
      <c r="E224" s="66">
        <v>120</v>
      </c>
      <c r="F224" s="66">
        <v>220</v>
      </c>
      <c r="G224" s="67">
        <v>0</v>
      </c>
      <c r="H224" s="67">
        <v>0</v>
      </c>
      <c r="I224" s="66">
        <v>170</v>
      </c>
      <c r="J224" s="67">
        <v>0</v>
      </c>
      <c r="K224" s="66">
        <v>0</v>
      </c>
      <c r="L224" s="67">
        <v>1</v>
      </c>
      <c r="M224" s="66">
        <v>0</v>
      </c>
      <c r="N224" s="67">
        <v>3</v>
      </c>
      <c r="O224" s="68">
        <v>1</v>
      </c>
      <c r="P224" s="93" t="str">
        <f>IFERROR(CHOOSE(MATCH(A224,'Dataset'!$B$5:$B$11,0),"S₁","S₂","S₃","S₄","S₅","S₆","S₇"),"")</f>
        <v/>
      </c>
    </row>
    <row r="225">
      <c r="A225" s="62">
        <v>221</v>
      </c>
      <c r="B225" s="66">
        <v>54</v>
      </c>
      <c r="C225" s="67">
        <v>1</v>
      </c>
      <c r="D225" s="67">
        <v>4</v>
      </c>
      <c r="E225" s="66">
        <v>110</v>
      </c>
      <c r="F225" s="66">
        <v>239</v>
      </c>
      <c r="G225" s="67">
        <v>0</v>
      </c>
      <c r="H225" s="67">
        <v>0</v>
      </c>
      <c r="I225" s="66">
        <v>126</v>
      </c>
      <c r="J225" s="67">
        <v>1</v>
      </c>
      <c r="K225" s="66">
        <v>2.8</v>
      </c>
      <c r="L225" s="67">
        <v>2</v>
      </c>
      <c r="M225" s="66">
        <v>1</v>
      </c>
      <c r="N225" s="67">
        <v>7</v>
      </c>
      <c r="O225" s="68">
        <v>2</v>
      </c>
      <c r="P225" s="93" t="str">
        <f>IFERROR(CHOOSE(MATCH(A225,'Dataset'!$B$5:$B$11,0),"S₁","S₂","S₃","S₄","S₅","S₆","S₇"),"")</f>
        <v/>
      </c>
    </row>
    <row r="226">
      <c r="A226" s="62">
        <v>222</v>
      </c>
      <c r="B226" s="66">
        <v>65</v>
      </c>
      <c r="C226" s="67">
        <v>1</v>
      </c>
      <c r="D226" s="67">
        <v>4</v>
      </c>
      <c r="E226" s="66">
        <v>135</v>
      </c>
      <c r="F226" s="66">
        <v>254</v>
      </c>
      <c r="G226" s="67">
        <v>0</v>
      </c>
      <c r="H226" s="67">
        <v>2</v>
      </c>
      <c r="I226" s="66">
        <v>127</v>
      </c>
      <c r="J226" s="67">
        <v>0</v>
      </c>
      <c r="K226" s="66">
        <v>2.8</v>
      </c>
      <c r="L226" s="67">
        <v>2</v>
      </c>
      <c r="M226" s="66">
        <v>1</v>
      </c>
      <c r="N226" s="67">
        <v>7</v>
      </c>
      <c r="O226" s="68">
        <v>2</v>
      </c>
      <c r="P226" s="93" t="str">
        <f>IFERROR(CHOOSE(MATCH(A226,'Dataset'!$B$5:$B$11,0),"S₁","S₂","S₃","S₄","S₅","S₆","S₇"),"")</f>
        <v/>
      </c>
    </row>
    <row r="227">
      <c r="A227" s="62">
        <v>223</v>
      </c>
      <c r="B227" s="66">
        <v>57</v>
      </c>
      <c r="C227" s="67">
        <v>1</v>
      </c>
      <c r="D227" s="67">
        <v>3</v>
      </c>
      <c r="E227" s="66">
        <v>150</v>
      </c>
      <c r="F227" s="66">
        <v>168</v>
      </c>
      <c r="G227" s="67">
        <v>0</v>
      </c>
      <c r="H227" s="67">
        <v>0</v>
      </c>
      <c r="I227" s="66">
        <v>174</v>
      </c>
      <c r="J227" s="67">
        <v>0</v>
      </c>
      <c r="K227" s="66">
        <v>1.6</v>
      </c>
      <c r="L227" s="67">
        <v>1</v>
      </c>
      <c r="M227" s="66">
        <v>0</v>
      </c>
      <c r="N227" s="67">
        <v>3</v>
      </c>
      <c r="O227" s="68">
        <v>1</v>
      </c>
      <c r="P227" s="93" t="str">
        <f>IFERROR(CHOOSE(MATCH(A227,'Dataset'!$B$5:$B$11,0),"S₁","S₂","S₃","S₄","S₅","S₆","S₇"),"")</f>
        <v/>
      </c>
    </row>
    <row r="228">
      <c r="A228" s="62">
        <v>224</v>
      </c>
      <c r="B228" s="66">
        <v>63</v>
      </c>
      <c r="C228" s="67">
        <v>1</v>
      </c>
      <c r="D228" s="67">
        <v>4</v>
      </c>
      <c r="E228" s="66">
        <v>130</v>
      </c>
      <c r="F228" s="66">
        <v>330</v>
      </c>
      <c r="G228" s="67">
        <v>1</v>
      </c>
      <c r="H228" s="67">
        <v>2</v>
      </c>
      <c r="I228" s="66">
        <v>132</v>
      </c>
      <c r="J228" s="67">
        <v>1</v>
      </c>
      <c r="K228" s="66">
        <v>1.8</v>
      </c>
      <c r="L228" s="67">
        <v>1</v>
      </c>
      <c r="M228" s="66">
        <v>3</v>
      </c>
      <c r="N228" s="67">
        <v>7</v>
      </c>
      <c r="O228" s="68">
        <v>2</v>
      </c>
      <c r="P228" s="93" t="str">
        <f>IFERROR(CHOOSE(MATCH(A228,'Dataset'!$B$5:$B$11,0),"S₁","S₂","S₃","S₄","S₅","S₆","S₇"),"")</f>
        <v>S₅</v>
      </c>
    </row>
    <row r="229">
      <c r="A229" s="62">
        <v>225</v>
      </c>
      <c r="B229" s="66">
        <v>35</v>
      </c>
      <c r="C229" s="67">
        <v>0</v>
      </c>
      <c r="D229" s="67">
        <v>4</v>
      </c>
      <c r="E229" s="66">
        <v>138</v>
      </c>
      <c r="F229" s="66">
        <v>183</v>
      </c>
      <c r="G229" s="67">
        <v>0</v>
      </c>
      <c r="H229" s="67">
        <v>0</v>
      </c>
      <c r="I229" s="66">
        <v>182</v>
      </c>
      <c r="J229" s="67">
        <v>0</v>
      </c>
      <c r="K229" s="66">
        <v>1.4</v>
      </c>
      <c r="L229" s="67">
        <v>1</v>
      </c>
      <c r="M229" s="66">
        <v>0</v>
      </c>
      <c r="N229" s="67">
        <v>3</v>
      </c>
      <c r="O229" s="68">
        <v>1</v>
      </c>
      <c r="P229" s="93" t="str">
        <f>IFERROR(CHOOSE(MATCH(A229,'Dataset'!$B$5:$B$11,0),"S₁","S₂","S₃","S₄","S₅","S₆","S₇"),"")</f>
        <v/>
      </c>
    </row>
    <row r="230">
      <c r="A230" s="62">
        <v>226</v>
      </c>
      <c r="B230" s="66">
        <v>41</v>
      </c>
      <c r="C230" s="67">
        <v>1</v>
      </c>
      <c r="D230" s="67">
        <v>2</v>
      </c>
      <c r="E230" s="66">
        <v>135</v>
      </c>
      <c r="F230" s="66">
        <v>203</v>
      </c>
      <c r="G230" s="67">
        <v>0</v>
      </c>
      <c r="H230" s="67">
        <v>0</v>
      </c>
      <c r="I230" s="66">
        <v>132</v>
      </c>
      <c r="J230" s="67">
        <v>0</v>
      </c>
      <c r="K230" s="66">
        <v>0</v>
      </c>
      <c r="L230" s="67">
        <v>2</v>
      </c>
      <c r="M230" s="66">
        <v>0</v>
      </c>
      <c r="N230" s="67">
        <v>6</v>
      </c>
      <c r="O230" s="68">
        <v>1</v>
      </c>
      <c r="P230" s="93" t="str">
        <f>IFERROR(CHOOSE(MATCH(A230,'Dataset'!$B$5:$B$11,0),"S₁","S₂","S₃","S₄","S₅","S₆","S₇"),"")</f>
        <v>S₆</v>
      </c>
    </row>
    <row r="231">
      <c r="A231" s="62">
        <v>227</v>
      </c>
      <c r="B231" s="66">
        <v>62</v>
      </c>
      <c r="C231" s="67">
        <v>0</v>
      </c>
      <c r="D231" s="67">
        <v>3</v>
      </c>
      <c r="E231" s="66">
        <v>130</v>
      </c>
      <c r="F231" s="66">
        <v>263</v>
      </c>
      <c r="G231" s="67">
        <v>0</v>
      </c>
      <c r="H231" s="67">
        <v>0</v>
      </c>
      <c r="I231" s="66">
        <v>97</v>
      </c>
      <c r="J231" s="67">
        <v>0</v>
      </c>
      <c r="K231" s="66">
        <v>1.2</v>
      </c>
      <c r="L231" s="67">
        <v>2</v>
      </c>
      <c r="M231" s="66">
        <v>1</v>
      </c>
      <c r="N231" s="67">
        <v>7</v>
      </c>
      <c r="O231" s="68">
        <v>2</v>
      </c>
      <c r="P231" s="93" t="str">
        <f>IFERROR(CHOOSE(MATCH(A231,'Dataset'!$B$5:$B$11,0),"S₁","S₂","S₃","S₄","S₅","S₆","S₇"),"")</f>
        <v/>
      </c>
    </row>
    <row r="232">
      <c r="A232" s="62">
        <v>228</v>
      </c>
      <c r="B232" s="66">
        <v>43</v>
      </c>
      <c r="C232" s="67">
        <v>0</v>
      </c>
      <c r="D232" s="67">
        <v>4</v>
      </c>
      <c r="E232" s="66">
        <v>132</v>
      </c>
      <c r="F232" s="66">
        <v>341</v>
      </c>
      <c r="G232" s="67">
        <v>1</v>
      </c>
      <c r="H232" s="67">
        <v>2</v>
      </c>
      <c r="I232" s="66">
        <v>136</v>
      </c>
      <c r="J232" s="67">
        <v>1</v>
      </c>
      <c r="K232" s="66">
        <v>3</v>
      </c>
      <c r="L232" s="67">
        <v>2</v>
      </c>
      <c r="M232" s="66">
        <v>0</v>
      </c>
      <c r="N232" s="67">
        <v>7</v>
      </c>
      <c r="O232" s="68">
        <v>2</v>
      </c>
      <c r="P232" s="93" t="str">
        <f>IFERROR(CHOOSE(MATCH(A232,'Dataset'!$B$5:$B$11,0),"S₁","S₂","S₃","S₄","S₅","S₆","S₇"),"")</f>
        <v/>
      </c>
    </row>
    <row r="233">
      <c r="A233" s="62">
        <v>229</v>
      </c>
      <c r="B233" s="66">
        <v>58</v>
      </c>
      <c r="C233" s="67">
        <v>0</v>
      </c>
      <c r="D233" s="67">
        <v>1</v>
      </c>
      <c r="E233" s="66">
        <v>150</v>
      </c>
      <c r="F233" s="66">
        <v>283</v>
      </c>
      <c r="G233" s="67">
        <v>1</v>
      </c>
      <c r="H233" s="67">
        <v>2</v>
      </c>
      <c r="I233" s="66">
        <v>162</v>
      </c>
      <c r="J233" s="67">
        <v>0</v>
      </c>
      <c r="K233" s="66">
        <v>1</v>
      </c>
      <c r="L233" s="67">
        <v>1</v>
      </c>
      <c r="M233" s="66">
        <v>0</v>
      </c>
      <c r="N233" s="67">
        <v>3</v>
      </c>
      <c r="O233" s="68">
        <v>1</v>
      </c>
      <c r="P233" s="93" t="str">
        <f>IFERROR(CHOOSE(MATCH(A233,'Dataset'!$B$5:$B$11,0),"S₁","S₂","S₃","S₄","S₅","S₆","S₇"),"")</f>
        <v/>
      </c>
    </row>
    <row r="234">
      <c r="A234" s="62">
        <v>230</v>
      </c>
      <c r="B234" s="66">
        <v>52</v>
      </c>
      <c r="C234" s="67">
        <v>1</v>
      </c>
      <c r="D234" s="67">
        <v>1</v>
      </c>
      <c r="E234" s="66">
        <v>118</v>
      </c>
      <c r="F234" s="66">
        <v>186</v>
      </c>
      <c r="G234" s="67">
        <v>0</v>
      </c>
      <c r="H234" s="67">
        <v>2</v>
      </c>
      <c r="I234" s="66">
        <v>190</v>
      </c>
      <c r="J234" s="67">
        <v>0</v>
      </c>
      <c r="K234" s="66">
        <v>0</v>
      </c>
      <c r="L234" s="67">
        <v>2</v>
      </c>
      <c r="M234" s="66">
        <v>0</v>
      </c>
      <c r="N234" s="67">
        <v>6</v>
      </c>
      <c r="O234" s="68">
        <v>1</v>
      </c>
      <c r="P234" s="93" t="str">
        <f>IFERROR(CHOOSE(MATCH(A234,'Dataset'!$B$5:$B$11,0),"S₁","S₂","S₃","S₄","S₅","S₆","S₇"),"")</f>
        <v/>
      </c>
    </row>
    <row r="235">
      <c r="A235" s="62">
        <v>231</v>
      </c>
      <c r="B235" s="66">
        <v>61</v>
      </c>
      <c r="C235" s="67">
        <v>0</v>
      </c>
      <c r="D235" s="67">
        <v>4</v>
      </c>
      <c r="E235" s="66">
        <v>145</v>
      </c>
      <c r="F235" s="66">
        <v>307</v>
      </c>
      <c r="G235" s="67">
        <v>0</v>
      </c>
      <c r="H235" s="67">
        <v>2</v>
      </c>
      <c r="I235" s="66">
        <v>146</v>
      </c>
      <c r="J235" s="67">
        <v>1</v>
      </c>
      <c r="K235" s="66">
        <v>1</v>
      </c>
      <c r="L235" s="67">
        <v>2</v>
      </c>
      <c r="M235" s="66">
        <v>0</v>
      </c>
      <c r="N235" s="67">
        <v>7</v>
      </c>
      <c r="O235" s="68">
        <v>2</v>
      </c>
      <c r="P235" s="93" t="str">
        <f>IFERROR(CHOOSE(MATCH(A235,'Dataset'!$B$5:$B$11,0),"S₁","S₂","S₃","S₄","S₅","S₆","S₇"),"")</f>
        <v/>
      </c>
    </row>
    <row r="236">
      <c r="A236" s="62">
        <v>232</v>
      </c>
      <c r="B236" s="66">
        <v>39</v>
      </c>
      <c r="C236" s="67">
        <v>1</v>
      </c>
      <c r="D236" s="67">
        <v>4</v>
      </c>
      <c r="E236" s="66">
        <v>118</v>
      </c>
      <c r="F236" s="66">
        <v>219</v>
      </c>
      <c r="G236" s="67">
        <v>0</v>
      </c>
      <c r="H236" s="67">
        <v>0</v>
      </c>
      <c r="I236" s="66">
        <v>140</v>
      </c>
      <c r="J236" s="67">
        <v>0</v>
      </c>
      <c r="K236" s="66">
        <v>1.2</v>
      </c>
      <c r="L236" s="67">
        <v>2</v>
      </c>
      <c r="M236" s="66">
        <v>0</v>
      </c>
      <c r="N236" s="67">
        <v>7</v>
      </c>
      <c r="O236" s="68">
        <v>2</v>
      </c>
      <c r="P236" s="93" t="str">
        <f>IFERROR(CHOOSE(MATCH(A236,'Dataset'!$B$5:$B$11,0),"S₁","S₂","S₃","S₄","S₅","S₆","S₇"),"")</f>
        <v/>
      </c>
    </row>
    <row r="237">
      <c r="A237" s="62">
        <v>233</v>
      </c>
      <c r="B237" s="66">
        <v>45</v>
      </c>
      <c r="C237" s="67">
        <v>1</v>
      </c>
      <c r="D237" s="67">
        <v>4</v>
      </c>
      <c r="E237" s="66">
        <v>115</v>
      </c>
      <c r="F237" s="66">
        <v>260</v>
      </c>
      <c r="G237" s="67">
        <v>0</v>
      </c>
      <c r="H237" s="67">
        <v>2</v>
      </c>
      <c r="I237" s="66">
        <v>185</v>
      </c>
      <c r="J237" s="67">
        <v>0</v>
      </c>
      <c r="K237" s="66">
        <v>0</v>
      </c>
      <c r="L237" s="67">
        <v>1</v>
      </c>
      <c r="M237" s="66">
        <v>0</v>
      </c>
      <c r="N237" s="67">
        <v>3</v>
      </c>
      <c r="O237" s="68">
        <v>1</v>
      </c>
      <c r="P237" s="93" t="str">
        <f>IFERROR(CHOOSE(MATCH(A237,'Dataset'!$B$5:$B$11,0),"S₁","S₂","S₃","S₄","S₅","S₆","S₇"),"")</f>
        <v/>
      </c>
    </row>
    <row r="238">
      <c r="A238" s="62">
        <v>234</v>
      </c>
      <c r="B238" s="66">
        <v>52</v>
      </c>
      <c r="C238" s="67">
        <v>1</v>
      </c>
      <c r="D238" s="67">
        <v>4</v>
      </c>
      <c r="E238" s="66">
        <v>128</v>
      </c>
      <c r="F238" s="66">
        <v>255</v>
      </c>
      <c r="G238" s="67">
        <v>0</v>
      </c>
      <c r="H238" s="67">
        <v>0</v>
      </c>
      <c r="I238" s="66">
        <v>161</v>
      </c>
      <c r="J238" s="67">
        <v>1</v>
      </c>
      <c r="K238" s="66">
        <v>0</v>
      </c>
      <c r="L238" s="67">
        <v>1</v>
      </c>
      <c r="M238" s="66">
        <v>1</v>
      </c>
      <c r="N238" s="67">
        <v>7</v>
      </c>
      <c r="O238" s="68">
        <v>2</v>
      </c>
      <c r="P238" s="93" t="str">
        <f>IFERROR(CHOOSE(MATCH(A238,'Dataset'!$B$5:$B$11,0),"S₁","S₂","S₃","S₄","S₅","S₆","S₇"),"")</f>
        <v/>
      </c>
    </row>
    <row r="239">
      <c r="A239" s="62">
        <v>235</v>
      </c>
      <c r="B239" s="66">
        <v>62</v>
      </c>
      <c r="C239" s="67">
        <v>1</v>
      </c>
      <c r="D239" s="67">
        <v>3</v>
      </c>
      <c r="E239" s="66">
        <v>130</v>
      </c>
      <c r="F239" s="66">
        <v>231</v>
      </c>
      <c r="G239" s="67">
        <v>0</v>
      </c>
      <c r="H239" s="67">
        <v>0</v>
      </c>
      <c r="I239" s="66">
        <v>146</v>
      </c>
      <c r="J239" s="67">
        <v>0</v>
      </c>
      <c r="K239" s="66">
        <v>1.8</v>
      </c>
      <c r="L239" s="67">
        <v>2</v>
      </c>
      <c r="M239" s="66">
        <v>3</v>
      </c>
      <c r="N239" s="67">
        <v>7</v>
      </c>
      <c r="O239" s="68">
        <v>1</v>
      </c>
      <c r="P239" s="93" t="str">
        <f>IFERROR(CHOOSE(MATCH(A239,'Dataset'!$B$5:$B$11,0),"S₁","S₂","S₃","S₄","S₅","S₆","S₇"),"")</f>
        <v/>
      </c>
    </row>
    <row r="240">
      <c r="A240" s="62">
        <v>236</v>
      </c>
      <c r="B240" s="66">
        <v>62</v>
      </c>
      <c r="C240" s="67">
        <v>0</v>
      </c>
      <c r="D240" s="67">
        <v>4</v>
      </c>
      <c r="E240" s="66">
        <v>160</v>
      </c>
      <c r="F240" s="66">
        <v>164</v>
      </c>
      <c r="G240" s="67">
        <v>0</v>
      </c>
      <c r="H240" s="67">
        <v>2</v>
      </c>
      <c r="I240" s="66">
        <v>145</v>
      </c>
      <c r="J240" s="67">
        <v>0</v>
      </c>
      <c r="K240" s="66">
        <v>6.2</v>
      </c>
      <c r="L240" s="67">
        <v>3</v>
      </c>
      <c r="M240" s="66">
        <v>3</v>
      </c>
      <c r="N240" s="67">
        <v>7</v>
      </c>
      <c r="O240" s="68">
        <v>2</v>
      </c>
      <c r="P240" s="93" t="str">
        <f>IFERROR(CHOOSE(MATCH(A240,'Dataset'!$B$5:$B$11,0),"S₁","S₂","S₃","S₄","S₅","S₆","S₇"),"")</f>
        <v/>
      </c>
    </row>
    <row r="241">
      <c r="A241" s="62">
        <v>237</v>
      </c>
      <c r="B241" s="66">
        <v>53</v>
      </c>
      <c r="C241" s="67">
        <v>0</v>
      </c>
      <c r="D241" s="67">
        <v>4</v>
      </c>
      <c r="E241" s="66">
        <v>138</v>
      </c>
      <c r="F241" s="66">
        <v>234</v>
      </c>
      <c r="G241" s="67">
        <v>0</v>
      </c>
      <c r="H241" s="67">
        <v>2</v>
      </c>
      <c r="I241" s="66">
        <v>160</v>
      </c>
      <c r="J241" s="67">
        <v>0</v>
      </c>
      <c r="K241" s="66">
        <v>0</v>
      </c>
      <c r="L241" s="67">
        <v>1</v>
      </c>
      <c r="M241" s="66">
        <v>0</v>
      </c>
      <c r="N241" s="67">
        <v>3</v>
      </c>
      <c r="O241" s="68">
        <v>1</v>
      </c>
      <c r="P241" s="93" t="str">
        <f>IFERROR(CHOOSE(MATCH(A241,'Dataset'!$B$5:$B$11,0),"S₁","S₂","S₃","S₄","S₅","S₆","S₇"),"")</f>
        <v/>
      </c>
    </row>
    <row r="242">
      <c r="A242" s="62">
        <v>238</v>
      </c>
      <c r="B242" s="66">
        <v>43</v>
      </c>
      <c r="C242" s="67">
        <v>1</v>
      </c>
      <c r="D242" s="67">
        <v>4</v>
      </c>
      <c r="E242" s="66">
        <v>120</v>
      </c>
      <c r="F242" s="66">
        <v>177</v>
      </c>
      <c r="G242" s="67">
        <v>0</v>
      </c>
      <c r="H242" s="67">
        <v>2</v>
      </c>
      <c r="I242" s="66">
        <v>120</v>
      </c>
      <c r="J242" s="67">
        <v>1</v>
      </c>
      <c r="K242" s="66">
        <v>2.5</v>
      </c>
      <c r="L242" s="67">
        <v>2</v>
      </c>
      <c r="M242" s="66">
        <v>0</v>
      </c>
      <c r="N242" s="67">
        <v>7</v>
      </c>
      <c r="O242" s="68">
        <v>2</v>
      </c>
      <c r="P242" s="93" t="str">
        <f>IFERROR(CHOOSE(MATCH(A242,'Dataset'!$B$5:$B$11,0),"S₁","S₂","S₃","S₄","S₅","S₆","S₇"),"")</f>
        <v/>
      </c>
    </row>
    <row r="243">
      <c r="A243" s="62">
        <v>239</v>
      </c>
      <c r="B243" s="66">
        <v>47</v>
      </c>
      <c r="C243" s="67">
        <v>1</v>
      </c>
      <c r="D243" s="67">
        <v>3</v>
      </c>
      <c r="E243" s="66">
        <v>138</v>
      </c>
      <c r="F243" s="66">
        <v>257</v>
      </c>
      <c r="G243" s="67">
        <v>0</v>
      </c>
      <c r="H243" s="67">
        <v>2</v>
      </c>
      <c r="I243" s="66">
        <v>156</v>
      </c>
      <c r="J243" s="67">
        <v>0</v>
      </c>
      <c r="K243" s="66">
        <v>0</v>
      </c>
      <c r="L243" s="67">
        <v>1</v>
      </c>
      <c r="M243" s="66">
        <v>0</v>
      </c>
      <c r="N243" s="67">
        <v>3</v>
      </c>
      <c r="O243" s="68">
        <v>1</v>
      </c>
      <c r="P243" s="93" t="str">
        <f>IFERROR(CHOOSE(MATCH(A243,'Dataset'!$B$5:$B$11,0),"S₁","S₂","S₃","S₄","S₅","S₆","S₇"),"")</f>
        <v>S₇</v>
      </c>
    </row>
    <row r="244">
      <c r="A244" s="62">
        <v>240</v>
      </c>
      <c r="B244" s="66">
        <v>52</v>
      </c>
      <c r="C244" s="67">
        <v>1</v>
      </c>
      <c r="D244" s="67">
        <v>2</v>
      </c>
      <c r="E244" s="66">
        <v>120</v>
      </c>
      <c r="F244" s="66">
        <v>325</v>
      </c>
      <c r="G244" s="67">
        <v>0</v>
      </c>
      <c r="H244" s="67">
        <v>0</v>
      </c>
      <c r="I244" s="66">
        <v>172</v>
      </c>
      <c r="J244" s="67">
        <v>0</v>
      </c>
      <c r="K244" s="66">
        <v>0.2</v>
      </c>
      <c r="L244" s="67">
        <v>1</v>
      </c>
      <c r="M244" s="66">
        <v>0</v>
      </c>
      <c r="N244" s="67">
        <v>3</v>
      </c>
      <c r="O244" s="68">
        <v>1</v>
      </c>
      <c r="P244" s="93" t="str">
        <f>IFERROR(CHOOSE(MATCH(A244,'Dataset'!$B$5:$B$11,0),"S₁","S₂","S₃","S₄","S₅","S₆","S₇"),"")</f>
        <v/>
      </c>
    </row>
    <row r="245">
      <c r="A245" s="62">
        <v>241</v>
      </c>
      <c r="B245" s="66">
        <v>68</v>
      </c>
      <c r="C245" s="67">
        <v>1</v>
      </c>
      <c r="D245" s="67">
        <v>3</v>
      </c>
      <c r="E245" s="66">
        <v>180</v>
      </c>
      <c r="F245" s="66">
        <v>274</v>
      </c>
      <c r="G245" s="67">
        <v>1</v>
      </c>
      <c r="H245" s="67">
        <v>2</v>
      </c>
      <c r="I245" s="66">
        <v>150</v>
      </c>
      <c r="J245" s="67">
        <v>1</v>
      </c>
      <c r="K245" s="66">
        <v>1.6</v>
      </c>
      <c r="L245" s="67">
        <v>2</v>
      </c>
      <c r="M245" s="66">
        <v>0</v>
      </c>
      <c r="N245" s="67">
        <v>7</v>
      </c>
      <c r="O245" s="68">
        <v>2</v>
      </c>
      <c r="P245" s="93" t="str">
        <f>IFERROR(CHOOSE(MATCH(A245,'Dataset'!$B$5:$B$11,0),"S₁","S₂","S₃","S₄","S₅","S₆","S₇"),"")</f>
        <v/>
      </c>
    </row>
    <row r="246">
      <c r="A246" s="62">
        <v>242</v>
      </c>
      <c r="B246" s="66">
        <v>39</v>
      </c>
      <c r="C246" s="67">
        <v>1</v>
      </c>
      <c r="D246" s="67">
        <v>3</v>
      </c>
      <c r="E246" s="66">
        <v>140</v>
      </c>
      <c r="F246" s="66">
        <v>321</v>
      </c>
      <c r="G246" s="67">
        <v>0</v>
      </c>
      <c r="H246" s="67">
        <v>2</v>
      </c>
      <c r="I246" s="66">
        <v>182</v>
      </c>
      <c r="J246" s="67">
        <v>0</v>
      </c>
      <c r="K246" s="66">
        <v>0</v>
      </c>
      <c r="L246" s="67">
        <v>1</v>
      </c>
      <c r="M246" s="66">
        <v>0</v>
      </c>
      <c r="N246" s="67">
        <v>3</v>
      </c>
      <c r="O246" s="68">
        <v>1</v>
      </c>
      <c r="P246" s="93" t="str">
        <f>IFERROR(CHOOSE(MATCH(A246,'Dataset'!$B$5:$B$11,0),"S₁","S₂","S₃","S₄","S₅","S₆","S₇"),"")</f>
        <v/>
      </c>
    </row>
    <row r="247">
      <c r="A247" s="62">
        <v>243</v>
      </c>
      <c r="B247" s="66">
        <v>53</v>
      </c>
      <c r="C247" s="67">
        <v>0</v>
      </c>
      <c r="D247" s="67">
        <v>4</v>
      </c>
      <c r="E247" s="66">
        <v>130</v>
      </c>
      <c r="F247" s="66">
        <v>264</v>
      </c>
      <c r="G247" s="67">
        <v>0</v>
      </c>
      <c r="H247" s="67">
        <v>2</v>
      </c>
      <c r="I247" s="66">
        <v>143</v>
      </c>
      <c r="J247" s="67">
        <v>0</v>
      </c>
      <c r="K247" s="66">
        <v>0.4</v>
      </c>
      <c r="L247" s="67">
        <v>2</v>
      </c>
      <c r="M247" s="66">
        <v>0</v>
      </c>
      <c r="N247" s="67">
        <v>3</v>
      </c>
      <c r="O247" s="68">
        <v>1</v>
      </c>
      <c r="P247" s="93" t="str">
        <f>IFERROR(CHOOSE(MATCH(A247,'Dataset'!$B$5:$B$11,0),"S₁","S₂","S₃","S₄","S₅","S₆","S₇"),"")</f>
        <v/>
      </c>
    </row>
    <row r="248">
      <c r="A248" s="62">
        <v>244</v>
      </c>
      <c r="B248" s="66">
        <v>62</v>
      </c>
      <c r="C248" s="67">
        <v>0</v>
      </c>
      <c r="D248" s="67">
        <v>4</v>
      </c>
      <c r="E248" s="66">
        <v>140</v>
      </c>
      <c r="F248" s="66">
        <v>268</v>
      </c>
      <c r="G248" s="67">
        <v>0</v>
      </c>
      <c r="H248" s="67">
        <v>2</v>
      </c>
      <c r="I248" s="66">
        <v>160</v>
      </c>
      <c r="J248" s="67">
        <v>0</v>
      </c>
      <c r="K248" s="66">
        <v>3.6</v>
      </c>
      <c r="L248" s="67">
        <v>3</v>
      </c>
      <c r="M248" s="66">
        <v>2</v>
      </c>
      <c r="N248" s="67">
        <v>3</v>
      </c>
      <c r="O248" s="68">
        <v>2</v>
      </c>
      <c r="P248" s="93" t="str">
        <f>IFERROR(CHOOSE(MATCH(A248,'Dataset'!$B$5:$B$11,0),"S₁","S₂","S₃","S₄","S₅","S₆","S₇"),"")</f>
        <v/>
      </c>
    </row>
    <row r="249">
      <c r="A249" s="62">
        <v>245</v>
      </c>
      <c r="B249" s="66">
        <v>51</v>
      </c>
      <c r="C249" s="67">
        <v>0</v>
      </c>
      <c r="D249" s="67">
        <v>3</v>
      </c>
      <c r="E249" s="66">
        <v>140</v>
      </c>
      <c r="F249" s="66">
        <v>308</v>
      </c>
      <c r="G249" s="67">
        <v>0</v>
      </c>
      <c r="H249" s="67">
        <v>2</v>
      </c>
      <c r="I249" s="66">
        <v>142</v>
      </c>
      <c r="J249" s="67">
        <v>0</v>
      </c>
      <c r="K249" s="66">
        <v>1.5</v>
      </c>
      <c r="L249" s="67">
        <v>1</v>
      </c>
      <c r="M249" s="66">
        <v>1</v>
      </c>
      <c r="N249" s="67">
        <v>3</v>
      </c>
      <c r="O249" s="68">
        <v>1</v>
      </c>
      <c r="P249" s="93" t="str">
        <f>IFERROR(CHOOSE(MATCH(A249,'Dataset'!$B$5:$B$11,0),"S₁","S₂","S₃","S₄","S₅","S₆","S₇"),"")</f>
        <v/>
      </c>
    </row>
    <row r="250">
      <c r="A250" s="62">
        <v>246</v>
      </c>
      <c r="B250" s="66">
        <v>60</v>
      </c>
      <c r="C250" s="67">
        <v>1</v>
      </c>
      <c r="D250" s="67">
        <v>4</v>
      </c>
      <c r="E250" s="66">
        <v>130</v>
      </c>
      <c r="F250" s="66">
        <v>253</v>
      </c>
      <c r="G250" s="67">
        <v>0</v>
      </c>
      <c r="H250" s="67">
        <v>0</v>
      </c>
      <c r="I250" s="66">
        <v>144</v>
      </c>
      <c r="J250" s="67">
        <v>1</v>
      </c>
      <c r="K250" s="66">
        <v>1.4</v>
      </c>
      <c r="L250" s="67">
        <v>1</v>
      </c>
      <c r="M250" s="66">
        <v>1</v>
      </c>
      <c r="N250" s="67">
        <v>7</v>
      </c>
      <c r="O250" s="68">
        <v>2</v>
      </c>
      <c r="P250" s="93" t="str">
        <f>IFERROR(CHOOSE(MATCH(A250,'Dataset'!$B$5:$B$11,0),"S₁","S₂","S₃","S₄","S₅","S₆","S₇"),"")</f>
        <v/>
      </c>
    </row>
    <row r="251">
      <c r="A251" s="62">
        <v>247</v>
      </c>
      <c r="B251" s="66">
        <v>65</v>
      </c>
      <c r="C251" s="67">
        <v>1</v>
      </c>
      <c r="D251" s="67">
        <v>4</v>
      </c>
      <c r="E251" s="66">
        <v>110</v>
      </c>
      <c r="F251" s="66">
        <v>248</v>
      </c>
      <c r="G251" s="67">
        <v>0</v>
      </c>
      <c r="H251" s="67">
        <v>2</v>
      </c>
      <c r="I251" s="66">
        <v>158</v>
      </c>
      <c r="J251" s="67">
        <v>0</v>
      </c>
      <c r="K251" s="66">
        <v>0.6</v>
      </c>
      <c r="L251" s="67">
        <v>1</v>
      </c>
      <c r="M251" s="66">
        <v>2</v>
      </c>
      <c r="N251" s="67">
        <v>6</v>
      </c>
      <c r="O251" s="68">
        <v>2</v>
      </c>
      <c r="P251" s="93" t="str">
        <f>IFERROR(CHOOSE(MATCH(A251,'Dataset'!$B$5:$B$11,0),"S₁","S₂","S₃","S₄","S₅","S₆","S₇"),"")</f>
        <v/>
      </c>
    </row>
    <row r="252">
      <c r="A252" s="62">
        <v>248</v>
      </c>
      <c r="B252" s="66">
        <v>65</v>
      </c>
      <c r="C252" s="67">
        <v>0</v>
      </c>
      <c r="D252" s="67">
        <v>3</v>
      </c>
      <c r="E252" s="66">
        <v>155</v>
      </c>
      <c r="F252" s="66">
        <v>269</v>
      </c>
      <c r="G252" s="67">
        <v>0</v>
      </c>
      <c r="H252" s="67">
        <v>0</v>
      </c>
      <c r="I252" s="66">
        <v>148</v>
      </c>
      <c r="J252" s="67">
        <v>0</v>
      </c>
      <c r="K252" s="66">
        <v>0.8</v>
      </c>
      <c r="L252" s="67">
        <v>1</v>
      </c>
      <c r="M252" s="66">
        <v>0</v>
      </c>
      <c r="N252" s="67">
        <v>3</v>
      </c>
      <c r="O252" s="68">
        <v>1</v>
      </c>
      <c r="P252" s="93" t="str">
        <f>IFERROR(CHOOSE(MATCH(A252,'Dataset'!$B$5:$B$11,0),"S₁","S₂","S₃","S₄","S₅","S₆","S₇"),"")</f>
        <v/>
      </c>
    </row>
    <row r="253">
      <c r="A253" s="62">
        <v>249</v>
      </c>
      <c r="B253" s="66">
        <v>60</v>
      </c>
      <c r="C253" s="67">
        <v>1</v>
      </c>
      <c r="D253" s="67">
        <v>3</v>
      </c>
      <c r="E253" s="66">
        <v>140</v>
      </c>
      <c r="F253" s="66">
        <v>185</v>
      </c>
      <c r="G253" s="67">
        <v>0</v>
      </c>
      <c r="H253" s="67">
        <v>2</v>
      </c>
      <c r="I253" s="66">
        <v>155</v>
      </c>
      <c r="J253" s="67">
        <v>0</v>
      </c>
      <c r="K253" s="66">
        <v>3</v>
      </c>
      <c r="L253" s="67">
        <v>2</v>
      </c>
      <c r="M253" s="66">
        <v>0</v>
      </c>
      <c r="N253" s="67">
        <v>3</v>
      </c>
      <c r="O253" s="68">
        <v>2</v>
      </c>
      <c r="P253" s="93" t="str">
        <f>IFERROR(CHOOSE(MATCH(A253,'Dataset'!$B$5:$B$11,0),"S₁","S₂","S₃","S₄","S₅","S₆","S₇"),"")</f>
        <v/>
      </c>
    </row>
    <row r="254">
      <c r="A254" s="62">
        <v>250</v>
      </c>
      <c r="B254" s="66">
        <v>60</v>
      </c>
      <c r="C254" s="67">
        <v>1</v>
      </c>
      <c r="D254" s="67">
        <v>4</v>
      </c>
      <c r="E254" s="66">
        <v>145</v>
      </c>
      <c r="F254" s="66">
        <v>282</v>
      </c>
      <c r="G254" s="67">
        <v>0</v>
      </c>
      <c r="H254" s="67">
        <v>2</v>
      </c>
      <c r="I254" s="66">
        <v>142</v>
      </c>
      <c r="J254" s="67">
        <v>1</v>
      </c>
      <c r="K254" s="66">
        <v>2.8</v>
      </c>
      <c r="L254" s="67">
        <v>2</v>
      </c>
      <c r="M254" s="66">
        <v>2</v>
      </c>
      <c r="N254" s="67">
        <v>7</v>
      </c>
      <c r="O254" s="68">
        <v>2</v>
      </c>
      <c r="P254" s="93" t="str">
        <f>IFERROR(CHOOSE(MATCH(A254,'Dataset'!$B$5:$B$11,0),"S₁","S₂","S₃","S₄","S₅","S₆","S₇"),"")</f>
        <v/>
      </c>
    </row>
    <row r="255">
      <c r="A255" s="62">
        <v>251</v>
      </c>
      <c r="B255" s="66">
        <v>54</v>
      </c>
      <c r="C255" s="67">
        <v>1</v>
      </c>
      <c r="D255" s="67">
        <v>4</v>
      </c>
      <c r="E255" s="66">
        <v>120</v>
      </c>
      <c r="F255" s="66">
        <v>188</v>
      </c>
      <c r="G255" s="67">
        <v>0</v>
      </c>
      <c r="H255" s="67">
        <v>0</v>
      </c>
      <c r="I255" s="66">
        <v>113</v>
      </c>
      <c r="J255" s="67">
        <v>0</v>
      </c>
      <c r="K255" s="66">
        <v>1.4</v>
      </c>
      <c r="L255" s="67">
        <v>2</v>
      </c>
      <c r="M255" s="66">
        <v>1</v>
      </c>
      <c r="N255" s="67">
        <v>7</v>
      </c>
      <c r="O255" s="68">
        <v>2</v>
      </c>
      <c r="P255" s="93" t="str">
        <f>IFERROR(CHOOSE(MATCH(A255,'Dataset'!$B$5:$B$11,0),"S₁","S₂","S₃","S₄","S₅","S₆","S₇"),"")</f>
        <v/>
      </c>
    </row>
    <row r="256">
      <c r="A256" s="62">
        <v>252</v>
      </c>
      <c r="B256" s="66">
        <v>44</v>
      </c>
      <c r="C256" s="67">
        <v>1</v>
      </c>
      <c r="D256" s="67">
        <v>2</v>
      </c>
      <c r="E256" s="66">
        <v>130</v>
      </c>
      <c r="F256" s="66">
        <v>219</v>
      </c>
      <c r="G256" s="67">
        <v>0</v>
      </c>
      <c r="H256" s="67">
        <v>2</v>
      </c>
      <c r="I256" s="66">
        <v>188</v>
      </c>
      <c r="J256" s="67">
        <v>0</v>
      </c>
      <c r="K256" s="66">
        <v>0</v>
      </c>
      <c r="L256" s="67">
        <v>1</v>
      </c>
      <c r="M256" s="66">
        <v>0</v>
      </c>
      <c r="N256" s="67">
        <v>3</v>
      </c>
      <c r="O256" s="68">
        <v>1</v>
      </c>
      <c r="P256" s="93" t="str">
        <f>IFERROR(CHOOSE(MATCH(A256,'Dataset'!$B$5:$B$11,0),"S₁","S₂","S₃","S₄","S₅","S₆","S₇"),"")</f>
        <v/>
      </c>
    </row>
    <row r="257">
      <c r="A257" s="62">
        <v>253</v>
      </c>
      <c r="B257" s="66">
        <v>44</v>
      </c>
      <c r="C257" s="67">
        <v>1</v>
      </c>
      <c r="D257" s="67">
        <v>4</v>
      </c>
      <c r="E257" s="66">
        <v>112</v>
      </c>
      <c r="F257" s="66">
        <v>290</v>
      </c>
      <c r="G257" s="67">
        <v>0</v>
      </c>
      <c r="H257" s="67">
        <v>2</v>
      </c>
      <c r="I257" s="66">
        <v>153</v>
      </c>
      <c r="J257" s="67">
        <v>0</v>
      </c>
      <c r="K257" s="66">
        <v>0</v>
      </c>
      <c r="L257" s="67">
        <v>1</v>
      </c>
      <c r="M257" s="66">
        <v>1</v>
      </c>
      <c r="N257" s="67">
        <v>3</v>
      </c>
      <c r="O257" s="68">
        <v>2</v>
      </c>
      <c r="P257" s="93" t="str">
        <f>IFERROR(CHOOSE(MATCH(A257,'Dataset'!$B$5:$B$11,0),"S₁","S₂","S₃","S₄","S₅","S₆","S₇"),"")</f>
        <v/>
      </c>
    </row>
    <row r="258">
      <c r="A258" s="62">
        <v>254</v>
      </c>
      <c r="B258" s="66">
        <v>51</v>
      </c>
      <c r="C258" s="67">
        <v>1</v>
      </c>
      <c r="D258" s="67">
        <v>3</v>
      </c>
      <c r="E258" s="66">
        <v>110</v>
      </c>
      <c r="F258" s="66">
        <v>175</v>
      </c>
      <c r="G258" s="67">
        <v>0</v>
      </c>
      <c r="H258" s="67">
        <v>0</v>
      </c>
      <c r="I258" s="66">
        <v>123</v>
      </c>
      <c r="J258" s="67">
        <v>0</v>
      </c>
      <c r="K258" s="66">
        <v>0.6</v>
      </c>
      <c r="L258" s="67">
        <v>1</v>
      </c>
      <c r="M258" s="66">
        <v>0</v>
      </c>
      <c r="N258" s="67">
        <v>3</v>
      </c>
      <c r="O258" s="68">
        <v>1</v>
      </c>
      <c r="P258" s="93" t="str">
        <f>IFERROR(CHOOSE(MATCH(A258,'Dataset'!$B$5:$B$11,0),"S₁","S₂","S₃","S₄","S₅","S₆","S₇"),"")</f>
        <v/>
      </c>
    </row>
    <row r="259">
      <c r="A259" s="62">
        <v>255</v>
      </c>
      <c r="B259" s="66">
        <v>59</v>
      </c>
      <c r="C259" s="67">
        <v>1</v>
      </c>
      <c r="D259" s="67">
        <v>3</v>
      </c>
      <c r="E259" s="66">
        <v>150</v>
      </c>
      <c r="F259" s="66">
        <v>212</v>
      </c>
      <c r="G259" s="67">
        <v>1</v>
      </c>
      <c r="H259" s="67">
        <v>0</v>
      </c>
      <c r="I259" s="66">
        <v>157</v>
      </c>
      <c r="J259" s="67">
        <v>0</v>
      </c>
      <c r="K259" s="66">
        <v>1.6</v>
      </c>
      <c r="L259" s="67">
        <v>1</v>
      </c>
      <c r="M259" s="66">
        <v>0</v>
      </c>
      <c r="N259" s="67">
        <v>3</v>
      </c>
      <c r="O259" s="68">
        <v>1</v>
      </c>
      <c r="P259" s="93" t="str">
        <f>IFERROR(CHOOSE(MATCH(A259,'Dataset'!$B$5:$B$11,0),"S₁","S₂","S₃","S₄","S₅","S₆","S₇"),"")</f>
        <v/>
      </c>
    </row>
    <row r="260">
      <c r="A260" s="62">
        <v>256</v>
      </c>
      <c r="B260" s="66">
        <v>71</v>
      </c>
      <c r="C260" s="67">
        <v>0</v>
      </c>
      <c r="D260" s="67">
        <v>2</v>
      </c>
      <c r="E260" s="66">
        <v>160</v>
      </c>
      <c r="F260" s="66">
        <v>302</v>
      </c>
      <c r="G260" s="67">
        <v>0</v>
      </c>
      <c r="H260" s="67">
        <v>0</v>
      </c>
      <c r="I260" s="66">
        <v>162</v>
      </c>
      <c r="J260" s="67">
        <v>0</v>
      </c>
      <c r="K260" s="66">
        <v>0.4</v>
      </c>
      <c r="L260" s="67">
        <v>1</v>
      </c>
      <c r="M260" s="66">
        <v>2</v>
      </c>
      <c r="N260" s="67">
        <v>3</v>
      </c>
      <c r="O260" s="68">
        <v>1</v>
      </c>
      <c r="P260" s="93" t="str">
        <f>IFERROR(CHOOSE(MATCH(A260,'Dataset'!$B$5:$B$11,0),"S₁","S₂","S₃","S₄","S₅","S₆","S₇"),"")</f>
        <v/>
      </c>
    </row>
    <row r="261">
      <c r="A261" s="62">
        <v>257</v>
      </c>
      <c r="B261" s="66">
        <v>61</v>
      </c>
      <c r="C261" s="67">
        <v>1</v>
      </c>
      <c r="D261" s="67">
        <v>3</v>
      </c>
      <c r="E261" s="66">
        <v>150</v>
      </c>
      <c r="F261" s="66">
        <v>243</v>
      </c>
      <c r="G261" s="67">
        <v>1</v>
      </c>
      <c r="H261" s="67">
        <v>0</v>
      </c>
      <c r="I261" s="66">
        <v>137</v>
      </c>
      <c r="J261" s="67">
        <v>1</v>
      </c>
      <c r="K261" s="66">
        <v>1</v>
      </c>
      <c r="L261" s="67">
        <v>2</v>
      </c>
      <c r="M261" s="66">
        <v>0</v>
      </c>
      <c r="N261" s="67">
        <v>3</v>
      </c>
      <c r="O261" s="68">
        <v>1</v>
      </c>
      <c r="P261" s="93" t="str">
        <f>IFERROR(CHOOSE(MATCH(A261,'Dataset'!$B$5:$B$11,0),"S₁","S₂","S₃","S₄","S₅","S₆","S₇"),"")</f>
        <v/>
      </c>
    </row>
    <row r="262">
      <c r="A262" s="62">
        <v>258</v>
      </c>
      <c r="B262" s="66">
        <v>55</v>
      </c>
      <c r="C262" s="67">
        <v>1</v>
      </c>
      <c r="D262" s="67">
        <v>4</v>
      </c>
      <c r="E262" s="66">
        <v>132</v>
      </c>
      <c r="F262" s="66">
        <v>353</v>
      </c>
      <c r="G262" s="67">
        <v>0</v>
      </c>
      <c r="H262" s="67">
        <v>0</v>
      </c>
      <c r="I262" s="66">
        <v>132</v>
      </c>
      <c r="J262" s="67">
        <v>1</v>
      </c>
      <c r="K262" s="66">
        <v>1.2</v>
      </c>
      <c r="L262" s="67">
        <v>2</v>
      </c>
      <c r="M262" s="66">
        <v>1</v>
      </c>
      <c r="N262" s="67">
        <v>7</v>
      </c>
      <c r="O262" s="68">
        <v>2</v>
      </c>
      <c r="P262" s="93" t="str">
        <f>IFERROR(CHOOSE(MATCH(A262,'Dataset'!$B$5:$B$11,0),"S₁","S₂","S₃","S₄","S₅","S₆","S₇"),"")</f>
        <v/>
      </c>
    </row>
    <row r="263">
      <c r="A263" s="62">
        <v>259</v>
      </c>
      <c r="B263" s="66">
        <v>64</v>
      </c>
      <c r="C263" s="67">
        <v>1</v>
      </c>
      <c r="D263" s="67">
        <v>3</v>
      </c>
      <c r="E263" s="66">
        <v>140</v>
      </c>
      <c r="F263" s="66">
        <v>335</v>
      </c>
      <c r="G263" s="67">
        <v>0</v>
      </c>
      <c r="H263" s="67">
        <v>0</v>
      </c>
      <c r="I263" s="66">
        <v>158</v>
      </c>
      <c r="J263" s="67">
        <v>0</v>
      </c>
      <c r="K263" s="66">
        <v>0</v>
      </c>
      <c r="L263" s="67">
        <v>1</v>
      </c>
      <c r="M263" s="66">
        <v>0</v>
      </c>
      <c r="N263" s="67">
        <v>3</v>
      </c>
      <c r="O263" s="68">
        <v>2</v>
      </c>
      <c r="P263" s="93" t="str">
        <f>IFERROR(CHOOSE(MATCH(A263,'Dataset'!$B$5:$B$11,0),"S₁","S₂","S₃","S₄","S₅","S₆","S₇"),"")</f>
        <v/>
      </c>
    </row>
    <row r="264">
      <c r="A264" s="62">
        <v>260</v>
      </c>
      <c r="B264" s="66">
        <v>43</v>
      </c>
      <c r="C264" s="67">
        <v>1</v>
      </c>
      <c r="D264" s="67">
        <v>4</v>
      </c>
      <c r="E264" s="66">
        <v>150</v>
      </c>
      <c r="F264" s="66">
        <v>247</v>
      </c>
      <c r="G264" s="67">
        <v>0</v>
      </c>
      <c r="H264" s="67">
        <v>0</v>
      </c>
      <c r="I264" s="66">
        <v>171</v>
      </c>
      <c r="J264" s="67">
        <v>0</v>
      </c>
      <c r="K264" s="66">
        <v>1.5</v>
      </c>
      <c r="L264" s="67">
        <v>1</v>
      </c>
      <c r="M264" s="66">
        <v>0</v>
      </c>
      <c r="N264" s="67">
        <v>3</v>
      </c>
      <c r="O264" s="68">
        <v>1</v>
      </c>
      <c r="P264" s="93" t="str">
        <f>IFERROR(CHOOSE(MATCH(A264,'Dataset'!$B$5:$B$11,0),"S₁","S₂","S₃","S₄","S₅","S₆","S₇"),"")</f>
        <v/>
      </c>
    </row>
    <row r="265">
      <c r="A265" s="62">
        <v>261</v>
      </c>
      <c r="B265" s="66">
        <v>58</v>
      </c>
      <c r="C265" s="67">
        <v>0</v>
      </c>
      <c r="D265" s="67">
        <v>3</v>
      </c>
      <c r="E265" s="66">
        <v>120</v>
      </c>
      <c r="F265" s="66">
        <v>340</v>
      </c>
      <c r="G265" s="67">
        <v>0</v>
      </c>
      <c r="H265" s="67">
        <v>0</v>
      </c>
      <c r="I265" s="66">
        <v>172</v>
      </c>
      <c r="J265" s="67">
        <v>0</v>
      </c>
      <c r="K265" s="66">
        <v>0</v>
      </c>
      <c r="L265" s="67">
        <v>1</v>
      </c>
      <c r="M265" s="66">
        <v>0</v>
      </c>
      <c r="N265" s="67">
        <v>3</v>
      </c>
      <c r="O265" s="68">
        <v>1</v>
      </c>
      <c r="P265" s="93" t="str">
        <f>IFERROR(CHOOSE(MATCH(A265,'Dataset'!$B$5:$B$11,0),"S₁","S₂","S₃","S₄","S₅","S₆","S₇"),"")</f>
        <v/>
      </c>
    </row>
    <row r="266">
      <c r="A266" s="62">
        <v>262</v>
      </c>
      <c r="B266" s="66">
        <v>60</v>
      </c>
      <c r="C266" s="67">
        <v>1</v>
      </c>
      <c r="D266" s="67">
        <v>4</v>
      </c>
      <c r="E266" s="66">
        <v>130</v>
      </c>
      <c r="F266" s="66">
        <v>206</v>
      </c>
      <c r="G266" s="67">
        <v>0</v>
      </c>
      <c r="H266" s="67">
        <v>2</v>
      </c>
      <c r="I266" s="66">
        <v>132</v>
      </c>
      <c r="J266" s="67">
        <v>1</v>
      </c>
      <c r="K266" s="66">
        <v>2.4</v>
      </c>
      <c r="L266" s="67">
        <v>2</v>
      </c>
      <c r="M266" s="66">
        <v>2</v>
      </c>
      <c r="N266" s="67">
        <v>7</v>
      </c>
      <c r="O266" s="68">
        <v>2</v>
      </c>
      <c r="P266" s="93" t="str">
        <f>IFERROR(CHOOSE(MATCH(A266,'Dataset'!$B$5:$B$11,0),"S₁","S₂","S₃","S₄","S₅","S₆","S₇"),"")</f>
        <v/>
      </c>
    </row>
    <row r="267">
      <c r="A267" s="62">
        <v>263</v>
      </c>
      <c r="B267" s="66">
        <v>58</v>
      </c>
      <c r="C267" s="67">
        <v>1</v>
      </c>
      <c r="D267" s="67">
        <v>2</v>
      </c>
      <c r="E267" s="66">
        <v>120</v>
      </c>
      <c r="F267" s="66">
        <v>284</v>
      </c>
      <c r="G267" s="67">
        <v>0</v>
      </c>
      <c r="H267" s="67">
        <v>2</v>
      </c>
      <c r="I267" s="66">
        <v>160</v>
      </c>
      <c r="J267" s="67">
        <v>0</v>
      </c>
      <c r="K267" s="66">
        <v>1.8</v>
      </c>
      <c r="L267" s="67">
        <v>2</v>
      </c>
      <c r="M267" s="66">
        <v>0</v>
      </c>
      <c r="N267" s="67">
        <v>3</v>
      </c>
      <c r="O267" s="68">
        <v>2</v>
      </c>
      <c r="P267" s="93" t="str">
        <f>IFERROR(CHOOSE(MATCH(A267,'Dataset'!$B$5:$B$11,0),"S₁","S₂","S₃","S₄","S₅","S₆","S₇"),"")</f>
        <v/>
      </c>
    </row>
    <row r="268">
      <c r="A268" s="62">
        <v>264</v>
      </c>
      <c r="B268" s="66">
        <v>49</v>
      </c>
      <c r="C268" s="67">
        <v>1</v>
      </c>
      <c r="D268" s="67">
        <v>2</v>
      </c>
      <c r="E268" s="66">
        <v>130</v>
      </c>
      <c r="F268" s="66">
        <v>266</v>
      </c>
      <c r="G268" s="67">
        <v>0</v>
      </c>
      <c r="H268" s="67">
        <v>0</v>
      </c>
      <c r="I268" s="66">
        <v>171</v>
      </c>
      <c r="J268" s="67">
        <v>0</v>
      </c>
      <c r="K268" s="66">
        <v>0.6</v>
      </c>
      <c r="L268" s="67">
        <v>1</v>
      </c>
      <c r="M268" s="66">
        <v>0</v>
      </c>
      <c r="N268" s="67">
        <v>3</v>
      </c>
      <c r="O268" s="68">
        <v>1</v>
      </c>
      <c r="P268" s="93" t="str">
        <f>IFERROR(CHOOSE(MATCH(A268,'Dataset'!$B$5:$B$11,0),"S₁","S₂","S₃","S₄","S₅","S₆","S₇"),"")</f>
        <v/>
      </c>
    </row>
    <row r="269">
      <c r="A269" s="62">
        <v>265</v>
      </c>
      <c r="B269" s="66">
        <v>48</v>
      </c>
      <c r="C269" s="67">
        <v>1</v>
      </c>
      <c r="D269" s="67">
        <v>2</v>
      </c>
      <c r="E269" s="66">
        <v>110</v>
      </c>
      <c r="F269" s="66">
        <v>229</v>
      </c>
      <c r="G269" s="67">
        <v>0</v>
      </c>
      <c r="H269" s="67">
        <v>0</v>
      </c>
      <c r="I269" s="66">
        <v>168</v>
      </c>
      <c r="J269" s="67">
        <v>0</v>
      </c>
      <c r="K269" s="66">
        <v>1</v>
      </c>
      <c r="L269" s="67">
        <v>3</v>
      </c>
      <c r="M269" s="66">
        <v>0</v>
      </c>
      <c r="N269" s="67">
        <v>7</v>
      </c>
      <c r="O269" s="68">
        <v>2</v>
      </c>
      <c r="P269" s="93" t="str">
        <f>IFERROR(CHOOSE(MATCH(A269,'Dataset'!$B$5:$B$11,0),"S₁","S₂","S₃","S₄","S₅","S₆","S₇"),"")</f>
        <v/>
      </c>
    </row>
    <row r="270">
      <c r="A270" s="62">
        <v>266</v>
      </c>
      <c r="B270" s="66">
        <v>52</v>
      </c>
      <c r="C270" s="67">
        <v>1</v>
      </c>
      <c r="D270" s="67">
        <v>3</v>
      </c>
      <c r="E270" s="66">
        <v>172</v>
      </c>
      <c r="F270" s="66">
        <v>199</v>
      </c>
      <c r="G270" s="67">
        <v>1</v>
      </c>
      <c r="H270" s="67">
        <v>0</v>
      </c>
      <c r="I270" s="66">
        <v>162</v>
      </c>
      <c r="J270" s="67">
        <v>0</v>
      </c>
      <c r="K270" s="66">
        <v>0.5</v>
      </c>
      <c r="L270" s="67">
        <v>1</v>
      </c>
      <c r="M270" s="66">
        <v>0</v>
      </c>
      <c r="N270" s="67">
        <v>7</v>
      </c>
      <c r="O270" s="68">
        <v>1</v>
      </c>
      <c r="P270" s="93" t="str">
        <f>IFERROR(CHOOSE(MATCH(A270,'Dataset'!$B$5:$B$11,0),"S₁","S₂","S₃","S₄","S₅","S₆","S₇"),"")</f>
        <v/>
      </c>
    </row>
    <row r="271">
      <c r="A271" s="62">
        <v>267</v>
      </c>
      <c r="B271" s="66">
        <v>44</v>
      </c>
      <c r="C271" s="67">
        <v>1</v>
      </c>
      <c r="D271" s="67">
        <v>2</v>
      </c>
      <c r="E271" s="66">
        <v>120</v>
      </c>
      <c r="F271" s="66">
        <v>263</v>
      </c>
      <c r="G271" s="67">
        <v>0</v>
      </c>
      <c r="H271" s="67">
        <v>0</v>
      </c>
      <c r="I271" s="66">
        <v>173</v>
      </c>
      <c r="J271" s="67">
        <v>0</v>
      </c>
      <c r="K271" s="66">
        <v>0</v>
      </c>
      <c r="L271" s="67">
        <v>1</v>
      </c>
      <c r="M271" s="66">
        <v>0</v>
      </c>
      <c r="N271" s="67">
        <v>7</v>
      </c>
      <c r="O271" s="68">
        <v>1</v>
      </c>
      <c r="P271" s="93" t="str">
        <f>IFERROR(CHOOSE(MATCH(A271,'Dataset'!$B$5:$B$11,0),"S₁","S₂","S₃","S₄","S₅","S₆","S₇"),"")</f>
        <v/>
      </c>
    </row>
    <row r="272">
      <c r="A272" s="62">
        <v>268</v>
      </c>
      <c r="B272" s="66">
        <v>56</v>
      </c>
      <c r="C272" s="67">
        <v>0</v>
      </c>
      <c r="D272" s="67">
        <v>2</v>
      </c>
      <c r="E272" s="66">
        <v>140</v>
      </c>
      <c r="F272" s="66">
        <v>294</v>
      </c>
      <c r="G272" s="67">
        <v>0</v>
      </c>
      <c r="H272" s="67">
        <v>2</v>
      </c>
      <c r="I272" s="66">
        <v>153</v>
      </c>
      <c r="J272" s="67">
        <v>0</v>
      </c>
      <c r="K272" s="66">
        <v>1.3</v>
      </c>
      <c r="L272" s="67">
        <v>2</v>
      </c>
      <c r="M272" s="66">
        <v>0</v>
      </c>
      <c r="N272" s="67">
        <v>3</v>
      </c>
      <c r="O272" s="68">
        <v>1</v>
      </c>
      <c r="P272" s="93" t="str">
        <f>IFERROR(CHOOSE(MATCH(A272,'Dataset'!$B$5:$B$11,0),"S₁","S₂","S₃","S₄","S₅","S₆","S₇"),"")</f>
        <v/>
      </c>
    </row>
    <row r="273">
      <c r="A273" s="62">
        <v>269</v>
      </c>
      <c r="B273" s="66">
        <v>57</v>
      </c>
      <c r="C273" s="67">
        <v>1</v>
      </c>
      <c r="D273" s="67">
        <v>4</v>
      </c>
      <c r="E273" s="66">
        <v>140</v>
      </c>
      <c r="F273" s="66">
        <v>192</v>
      </c>
      <c r="G273" s="67">
        <v>0</v>
      </c>
      <c r="H273" s="67">
        <v>0</v>
      </c>
      <c r="I273" s="66">
        <v>148</v>
      </c>
      <c r="J273" s="67">
        <v>0</v>
      </c>
      <c r="K273" s="66">
        <v>0.4</v>
      </c>
      <c r="L273" s="67">
        <v>2</v>
      </c>
      <c r="M273" s="66">
        <v>0</v>
      </c>
      <c r="N273" s="67">
        <v>6</v>
      </c>
      <c r="O273" s="68">
        <v>1</v>
      </c>
      <c r="P273" s="93" t="str">
        <f>IFERROR(CHOOSE(MATCH(A273,'Dataset'!$B$5:$B$11,0),"S₁","S₂","S₃","S₄","S₅","S₆","S₇"),"")</f>
        <v/>
      </c>
    </row>
    <row r="274">
      <c r="A274" s="62">
        <v>270</v>
      </c>
      <c r="B274" s="66">
        <v>67</v>
      </c>
      <c r="C274" s="67">
        <v>1</v>
      </c>
      <c r="D274" s="67">
        <v>4</v>
      </c>
      <c r="E274" s="66">
        <v>160</v>
      </c>
      <c r="F274" s="66">
        <v>286</v>
      </c>
      <c r="G274" s="67">
        <v>0</v>
      </c>
      <c r="H274" s="67">
        <v>2</v>
      </c>
      <c r="I274" s="66">
        <v>108</v>
      </c>
      <c r="J274" s="67">
        <v>1</v>
      </c>
      <c r="K274" s="66">
        <v>1.5</v>
      </c>
      <c r="L274" s="67">
        <v>2</v>
      </c>
      <c r="M274" s="66">
        <v>3</v>
      </c>
      <c r="N274" s="67">
        <v>3</v>
      </c>
      <c r="O274" s="68">
        <v>2</v>
      </c>
      <c r="P274" s="93" t="str">
        <f>IFERROR(CHOOSE(MATCH(A274,'Dataset'!$B$5:$B$11,0),"S₁","S₂","S₃","S₄","S₅","S₆","S₇"),"")</f>
        <v/>
      </c>
    </row>
    <row r="275">
      <c r="A275" s="69" t="inlineStr">
        <is>
          <t xml:space="preserve">Type</t>
        </is>
      </c>
      <c r="B275" s="69">
        <v>1</v>
      </c>
      <c r="C275" s="69">
        <v>0</v>
      </c>
      <c r="D275" s="69">
        <v>0</v>
      </c>
      <c r="E275" s="69">
        <v>1</v>
      </c>
      <c r="F275" s="69">
        <v>1</v>
      </c>
      <c r="G275" s="69">
        <v>0</v>
      </c>
      <c r="H275" s="69">
        <v>0</v>
      </c>
      <c r="I275" s="69">
        <v>1</v>
      </c>
      <c r="J275" s="69">
        <v>0</v>
      </c>
      <c r="K275" s="69">
        <v>1</v>
      </c>
      <c r="L275" s="69">
        <v>0</v>
      </c>
      <c r="M275" s="69">
        <v>1</v>
      </c>
      <c r="N275" s="69">
        <v>0</v>
      </c>
      <c r="O275" s="69" t="inlineStr">
        <is>
          <t xml:space="preserve">1 = I</t>
        </is>
      </c>
      <c r="P275" s="69" t="inlineStr">
        <is>
          <t xml:space="preserve"/>
        </is>
      </c>
    </row>
    <row r="276"/>
    <row r="277">
      <c r="A277" s="82" t="inlineStr">
        <is>
          <t xml:space="preserve">Class 1</t>
        </is>
      </c>
      <c r="B277" s="84">
        <f>COUNTIF(O5:O274,1)</f>
        <v>150</v>
      </c>
    </row>
    <row r="278">
      <c r="A278" s="82" t="inlineStr">
        <is>
          <t xml:space="preserve">Class 2</t>
        </is>
      </c>
      <c r="B278" s="84">
        <f>COUNTIF(O5:O274,2)</f>
        <v>120</v>
      </c>
    </row>
    <row r="279">
      <c r="A279" s="82" t="inlineStr">
        <is>
          <t xml:space="preserve">Objects</t>
        </is>
      </c>
      <c r="B279" s="84">
        <f>COUNT(O5:O274)</f>
        <v>270</v>
      </c>
    </row>
    <row r="280"/>
    <row r="281">
      <c r="A281" s="100" t="inlineStr">
        <is>
          <t xml:space="preserve">Source: the lab file Heart-Disease (270,13,2).csv — first line "270,13,2" (objects, features, classes), 270 object lines, last line = type flags (the Statlog Heart data).</t>
        </is>
      </c>
    </row>
    <row r="282">
      <c r="A282" s="100" t="inlineStr">
        <is>
          <t xml:space="preserve">Type flags as in the file: x₁, x₄, x₅, x₈, x₁₀, x₁₂ quantitative (6); x₂, x₃, x₆, x₇, x₉, x₁₁, x₁₃ nominal (7) — the same as in Heart-Disease (10, 13, 2), whose 10 objects are rows 1–10 here.</t>
        </is>
      </c>
    </row>
    <row r="283">
      <c r="A283" s="100" t="inlineStr">
        <is>
          <t xml:space="preserve">The article (§3) counts 7 quantitative and 6 nominal features (probably x₁₁, the ordered slope, as quantitative); this workbook keeps the file’s flags.</t>
        </is>
      </c>
    </row>
  </sheetData>
  <mergeCells count="2">
    <mergeCell ref="A1:P1"/>
    <mergeCell ref="A3:P3"/>
  </mergeCells>
  <conditionalFormatting sqref="A5:P274">
    <cfRule type="expression" dxfId="0" priority="1">
      <formula>$P5&lt;&gt;""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F5597"/>
    <pageSetUpPr fitToPage="1"/>
  </sheetPr>
  <dimension ref="A1:P4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8.77734375" customWidth="1"/>
    <col min="2" max="2" width="11.77734375" customWidth="1"/>
    <col min="3" max="15" width="9.77734375" customWidth="1"/>
    <col min="16" max="16" width="9.77734375" customWidth="1"/>
  </cols>
  <sheetData>
    <row r="1" ht="22" customHeight="1">
      <c r="A1" s="57" t="inlineStr">
        <is>
          <t xml:space="preserve">Dataset · Heart-Disease (7, 13, 2) — the 7 objects selected from Heart-Disease (270, 13, 2) for the ERDR experiment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/>
    <row r="3">
      <c r="A3" s="58" t="inlineStr">
        <is>
          <t xml:space="preserve">Selected objects S₁ … S₇ (source rows in ascending order) · values are read from “Source Dataset (270)” — type another source row to try another object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>
      <c r="A4" s="60" t="inlineStr">
        <is>
          <t xml:space="preserve">№</t>
        </is>
      </c>
      <c r="B4" s="60" t="inlineStr">
        <is>
          <t xml:space="preserve">Source row</t>
        </is>
      </c>
      <c r="C4" s="60" t="inlineStr">
        <is>
          <t xml:space="preserve">x₁</t>
        </is>
      </c>
      <c r="D4" s="60" t="inlineStr">
        <is>
          <t xml:space="preserve">x₂</t>
        </is>
      </c>
      <c r="E4" s="60" t="inlineStr">
        <is>
          <t xml:space="preserve">x₃</t>
        </is>
      </c>
      <c r="F4" s="60" t="inlineStr">
        <is>
          <t xml:space="preserve">x₄</t>
        </is>
      </c>
      <c r="G4" s="60" t="inlineStr">
        <is>
          <t xml:space="preserve">x₅</t>
        </is>
      </c>
      <c r="H4" s="60" t="inlineStr">
        <is>
          <t xml:space="preserve">x₆</t>
        </is>
      </c>
      <c r="I4" s="60" t="inlineStr">
        <is>
          <t xml:space="preserve">x₇</t>
        </is>
      </c>
      <c r="J4" s="60" t="inlineStr">
        <is>
          <t xml:space="preserve">x₈</t>
        </is>
      </c>
      <c r="K4" s="60" t="inlineStr">
        <is>
          <t xml:space="preserve">x₉</t>
        </is>
      </c>
      <c r="L4" s="60" t="inlineStr">
        <is>
          <t xml:space="preserve">x₁₀</t>
        </is>
      </c>
      <c r="M4" s="60" t="inlineStr">
        <is>
          <t xml:space="preserve">x₁₁</t>
        </is>
      </c>
      <c r="N4" s="60" t="inlineStr">
        <is>
          <t xml:space="preserve">x₁₂</t>
        </is>
      </c>
      <c r="O4" s="60" t="inlineStr">
        <is>
          <t xml:space="preserve">x₁₃</t>
        </is>
      </c>
      <c r="P4" s="60" t="inlineStr">
        <is>
          <t xml:space="preserve">Class</t>
        </is>
      </c>
    </row>
    <row r="5">
      <c r="A5" s="62" t="inlineStr">
        <is>
          <t xml:space="preserve">S₁</t>
        </is>
      </c>
      <c r="B5" s="88">
        <v>1</v>
      </c>
      <c r="C5" s="66">
        <f>INDEX('Source Dataset (270)'!B$5:B$274,$B5)</f>
        <v>70</v>
      </c>
      <c r="D5" s="67">
        <f>INDEX('Source Dataset (270)'!C$5:C$274,$B5)</f>
        <v>1</v>
      </c>
      <c r="E5" s="67">
        <f>INDEX('Source Dataset (270)'!D$5:D$274,$B5)</f>
        <v>4</v>
      </c>
      <c r="F5" s="66">
        <f>INDEX('Source Dataset (270)'!E$5:E$274,$B5)</f>
        <v>130</v>
      </c>
      <c r="G5" s="66">
        <f>INDEX('Source Dataset (270)'!F$5:F$274,$B5)</f>
        <v>322</v>
      </c>
      <c r="H5" s="67">
        <f>INDEX('Source Dataset (270)'!G$5:G$274,$B5)</f>
        <v>0</v>
      </c>
      <c r="I5" s="67">
        <f>INDEX('Source Dataset (270)'!H$5:H$274,$B5)</f>
        <v>2</v>
      </c>
      <c r="J5" s="66">
        <f>INDEX('Source Dataset (270)'!I$5:I$274,$B5)</f>
        <v>109</v>
      </c>
      <c r="K5" s="67">
        <f>INDEX('Source Dataset (270)'!J$5:J$274,$B5)</f>
        <v>0</v>
      </c>
      <c r="L5" s="66">
        <f>INDEX('Source Dataset (270)'!K$5:K$274,$B5)</f>
        <v>2.4</v>
      </c>
      <c r="M5" s="67">
        <f>INDEX('Source Dataset (270)'!L$5:L$274,$B5)</f>
        <v>2</v>
      </c>
      <c r="N5" s="66">
        <f>INDEX('Source Dataset (270)'!M$5:M$274,$B5)</f>
        <v>3</v>
      </c>
      <c r="O5" s="67">
        <f>INDEX('Source Dataset (270)'!N$5:N$274,$B5)</f>
        <v>3</v>
      </c>
      <c r="P5" s="68">
        <f>INDEX('Source Dataset (270)'!$O$5:$O$274,$B5)</f>
        <v>2</v>
      </c>
    </row>
    <row r="6">
      <c r="A6" s="62" t="inlineStr">
        <is>
          <t xml:space="preserve">S₂</t>
        </is>
      </c>
      <c r="B6" s="88">
        <v>10</v>
      </c>
      <c r="C6" s="66">
        <f>INDEX('Source Dataset (270)'!B$5:B$274,$B6)</f>
        <v>63</v>
      </c>
      <c r="D6" s="67">
        <f>INDEX('Source Dataset (270)'!C$5:C$274,$B6)</f>
        <v>0</v>
      </c>
      <c r="E6" s="67">
        <f>INDEX('Source Dataset (270)'!D$5:D$274,$B6)</f>
        <v>4</v>
      </c>
      <c r="F6" s="66">
        <f>INDEX('Source Dataset (270)'!E$5:E$274,$B6)</f>
        <v>150</v>
      </c>
      <c r="G6" s="66">
        <f>INDEX('Source Dataset (270)'!F$5:F$274,$B6)</f>
        <v>407</v>
      </c>
      <c r="H6" s="67">
        <f>INDEX('Source Dataset (270)'!G$5:G$274,$B6)</f>
        <v>0</v>
      </c>
      <c r="I6" s="67">
        <f>INDEX('Source Dataset (270)'!H$5:H$274,$B6)</f>
        <v>2</v>
      </c>
      <c r="J6" s="66">
        <f>INDEX('Source Dataset (270)'!I$5:I$274,$B6)</f>
        <v>154</v>
      </c>
      <c r="K6" s="67">
        <f>INDEX('Source Dataset (270)'!J$5:J$274,$B6)</f>
        <v>0</v>
      </c>
      <c r="L6" s="66">
        <f>INDEX('Source Dataset (270)'!K$5:K$274,$B6)</f>
        <v>4</v>
      </c>
      <c r="M6" s="67">
        <f>INDEX('Source Dataset (270)'!L$5:L$274,$B6)</f>
        <v>2</v>
      </c>
      <c r="N6" s="66">
        <f>INDEX('Source Dataset (270)'!M$5:M$274,$B6)</f>
        <v>3</v>
      </c>
      <c r="O6" s="67">
        <f>INDEX('Source Dataset (270)'!N$5:N$274,$B6)</f>
        <v>7</v>
      </c>
      <c r="P6" s="68">
        <f>INDEX('Source Dataset (270)'!$O$5:$O$274,$B6)</f>
        <v>2</v>
      </c>
    </row>
    <row r="7">
      <c r="A7" s="62" t="inlineStr">
        <is>
          <t xml:space="preserve">S₃</t>
        </is>
      </c>
      <c r="B7" s="88">
        <v>73</v>
      </c>
      <c r="C7" s="66">
        <f>INDEX('Source Dataset (270)'!B$5:B$274,$B7)</f>
        <v>70</v>
      </c>
      <c r="D7" s="67">
        <f>INDEX('Source Dataset (270)'!C$5:C$274,$B7)</f>
        <v>1</v>
      </c>
      <c r="E7" s="67">
        <f>INDEX('Source Dataset (270)'!D$5:D$274,$B7)</f>
        <v>2</v>
      </c>
      <c r="F7" s="66">
        <f>INDEX('Source Dataset (270)'!E$5:E$274,$B7)</f>
        <v>156</v>
      </c>
      <c r="G7" s="66">
        <f>INDEX('Source Dataset (270)'!F$5:F$274,$B7)</f>
        <v>245</v>
      </c>
      <c r="H7" s="67">
        <f>INDEX('Source Dataset (270)'!G$5:G$274,$B7)</f>
        <v>0</v>
      </c>
      <c r="I7" s="67">
        <f>INDEX('Source Dataset (270)'!H$5:H$274,$B7)</f>
        <v>2</v>
      </c>
      <c r="J7" s="66">
        <f>INDEX('Source Dataset (270)'!I$5:I$274,$B7)</f>
        <v>143</v>
      </c>
      <c r="K7" s="67">
        <f>INDEX('Source Dataset (270)'!J$5:J$274,$B7)</f>
        <v>0</v>
      </c>
      <c r="L7" s="66">
        <f>INDEX('Source Dataset (270)'!K$5:K$274,$B7)</f>
        <v>0</v>
      </c>
      <c r="M7" s="67">
        <f>INDEX('Source Dataset (270)'!L$5:L$274,$B7)</f>
        <v>1</v>
      </c>
      <c r="N7" s="66">
        <f>INDEX('Source Dataset (270)'!M$5:M$274,$B7)</f>
        <v>0</v>
      </c>
      <c r="O7" s="67">
        <f>INDEX('Source Dataset (270)'!N$5:N$274,$B7)</f>
        <v>3</v>
      </c>
      <c r="P7" s="68">
        <f>INDEX('Source Dataset (270)'!$O$5:$O$274,$B7)</f>
        <v>1</v>
      </c>
    </row>
    <row r="8">
      <c r="A8" s="62" t="inlineStr">
        <is>
          <t xml:space="preserve">S₄</t>
        </is>
      </c>
      <c r="B8" s="88">
        <v>143</v>
      </c>
      <c r="C8" s="66">
        <f>INDEX('Source Dataset (270)'!B$5:B$274,$B8)</f>
        <v>50</v>
      </c>
      <c r="D8" s="67">
        <f>INDEX('Source Dataset (270)'!C$5:C$274,$B8)</f>
        <v>1</v>
      </c>
      <c r="E8" s="67">
        <f>INDEX('Source Dataset (270)'!D$5:D$274,$B8)</f>
        <v>3</v>
      </c>
      <c r="F8" s="66">
        <f>INDEX('Source Dataset (270)'!E$5:E$274,$B8)</f>
        <v>140</v>
      </c>
      <c r="G8" s="66">
        <f>INDEX('Source Dataset (270)'!F$5:F$274,$B8)</f>
        <v>233</v>
      </c>
      <c r="H8" s="67">
        <f>INDEX('Source Dataset (270)'!G$5:G$274,$B8)</f>
        <v>0</v>
      </c>
      <c r="I8" s="67">
        <f>INDEX('Source Dataset (270)'!H$5:H$274,$B8)</f>
        <v>0</v>
      </c>
      <c r="J8" s="66">
        <f>INDEX('Source Dataset (270)'!I$5:I$274,$B8)</f>
        <v>163</v>
      </c>
      <c r="K8" s="67">
        <f>INDEX('Source Dataset (270)'!J$5:J$274,$B8)</f>
        <v>0</v>
      </c>
      <c r="L8" s="66">
        <f>INDEX('Source Dataset (270)'!K$5:K$274,$B8)</f>
        <v>0.6</v>
      </c>
      <c r="M8" s="67">
        <f>INDEX('Source Dataset (270)'!L$5:L$274,$B8)</f>
        <v>2</v>
      </c>
      <c r="N8" s="66">
        <f>INDEX('Source Dataset (270)'!M$5:M$274,$B8)</f>
        <v>1</v>
      </c>
      <c r="O8" s="67">
        <f>INDEX('Source Dataset (270)'!N$5:N$274,$B8)</f>
        <v>7</v>
      </c>
      <c r="P8" s="68">
        <f>INDEX('Source Dataset (270)'!$O$5:$O$274,$B8)</f>
        <v>2</v>
      </c>
    </row>
    <row r="9">
      <c r="A9" s="62" t="inlineStr">
        <is>
          <t xml:space="preserve">S₅</t>
        </is>
      </c>
      <c r="B9" s="88">
        <v>224</v>
      </c>
      <c r="C9" s="66">
        <f>INDEX('Source Dataset (270)'!B$5:B$274,$B9)</f>
        <v>63</v>
      </c>
      <c r="D9" s="67">
        <f>INDEX('Source Dataset (270)'!C$5:C$274,$B9)</f>
        <v>1</v>
      </c>
      <c r="E9" s="67">
        <f>INDEX('Source Dataset (270)'!D$5:D$274,$B9)</f>
        <v>4</v>
      </c>
      <c r="F9" s="66">
        <f>INDEX('Source Dataset (270)'!E$5:E$274,$B9)</f>
        <v>130</v>
      </c>
      <c r="G9" s="66">
        <f>INDEX('Source Dataset (270)'!F$5:F$274,$B9)</f>
        <v>330</v>
      </c>
      <c r="H9" s="67">
        <f>INDEX('Source Dataset (270)'!G$5:G$274,$B9)</f>
        <v>1</v>
      </c>
      <c r="I9" s="67">
        <f>INDEX('Source Dataset (270)'!H$5:H$274,$B9)</f>
        <v>2</v>
      </c>
      <c r="J9" s="66">
        <f>INDEX('Source Dataset (270)'!I$5:I$274,$B9)</f>
        <v>132</v>
      </c>
      <c r="K9" s="67">
        <f>INDEX('Source Dataset (270)'!J$5:J$274,$B9)</f>
        <v>1</v>
      </c>
      <c r="L9" s="66">
        <f>INDEX('Source Dataset (270)'!K$5:K$274,$B9)</f>
        <v>1.8</v>
      </c>
      <c r="M9" s="67">
        <f>INDEX('Source Dataset (270)'!L$5:L$274,$B9)</f>
        <v>1</v>
      </c>
      <c r="N9" s="66">
        <f>INDEX('Source Dataset (270)'!M$5:M$274,$B9)</f>
        <v>3</v>
      </c>
      <c r="O9" s="67">
        <f>INDEX('Source Dataset (270)'!N$5:N$274,$B9)</f>
        <v>7</v>
      </c>
      <c r="P9" s="68">
        <f>INDEX('Source Dataset (270)'!$O$5:$O$274,$B9)</f>
        <v>2</v>
      </c>
    </row>
    <row r="10">
      <c r="A10" s="62" t="inlineStr">
        <is>
          <t xml:space="preserve">S₆</t>
        </is>
      </c>
      <c r="B10" s="88">
        <v>226</v>
      </c>
      <c r="C10" s="66">
        <f>INDEX('Source Dataset (270)'!B$5:B$274,$B10)</f>
        <v>41</v>
      </c>
      <c r="D10" s="67">
        <f>INDEX('Source Dataset (270)'!C$5:C$274,$B10)</f>
        <v>1</v>
      </c>
      <c r="E10" s="67">
        <f>INDEX('Source Dataset (270)'!D$5:D$274,$B10)</f>
        <v>2</v>
      </c>
      <c r="F10" s="66">
        <f>INDEX('Source Dataset (270)'!E$5:E$274,$B10)</f>
        <v>135</v>
      </c>
      <c r="G10" s="66">
        <f>INDEX('Source Dataset (270)'!F$5:F$274,$B10)</f>
        <v>203</v>
      </c>
      <c r="H10" s="67">
        <f>INDEX('Source Dataset (270)'!G$5:G$274,$B10)</f>
        <v>0</v>
      </c>
      <c r="I10" s="67">
        <f>INDEX('Source Dataset (270)'!H$5:H$274,$B10)</f>
        <v>0</v>
      </c>
      <c r="J10" s="66">
        <f>INDEX('Source Dataset (270)'!I$5:I$274,$B10)</f>
        <v>132</v>
      </c>
      <c r="K10" s="67">
        <f>INDEX('Source Dataset (270)'!J$5:J$274,$B10)</f>
        <v>0</v>
      </c>
      <c r="L10" s="66">
        <f>INDEX('Source Dataset (270)'!K$5:K$274,$B10)</f>
        <v>0</v>
      </c>
      <c r="M10" s="67">
        <f>INDEX('Source Dataset (270)'!L$5:L$274,$B10)</f>
        <v>2</v>
      </c>
      <c r="N10" s="66">
        <f>INDEX('Source Dataset (270)'!M$5:M$274,$B10)</f>
        <v>0</v>
      </c>
      <c r="O10" s="67">
        <f>INDEX('Source Dataset (270)'!N$5:N$274,$B10)</f>
        <v>6</v>
      </c>
      <c r="P10" s="68">
        <f>INDEX('Source Dataset (270)'!$O$5:$O$274,$B10)</f>
        <v>1</v>
      </c>
    </row>
    <row r="11">
      <c r="A11" s="62" t="inlineStr">
        <is>
          <t xml:space="preserve">S₇</t>
        </is>
      </c>
      <c r="B11" s="88">
        <v>239</v>
      </c>
      <c r="C11" s="66">
        <f>INDEX('Source Dataset (270)'!B$5:B$274,$B11)</f>
        <v>47</v>
      </c>
      <c r="D11" s="67">
        <f>INDEX('Source Dataset (270)'!C$5:C$274,$B11)</f>
        <v>1</v>
      </c>
      <c r="E11" s="67">
        <f>INDEX('Source Dataset (270)'!D$5:D$274,$B11)</f>
        <v>3</v>
      </c>
      <c r="F11" s="66">
        <f>INDEX('Source Dataset (270)'!E$5:E$274,$B11)</f>
        <v>138</v>
      </c>
      <c r="G11" s="66">
        <f>INDEX('Source Dataset (270)'!F$5:F$274,$B11)</f>
        <v>257</v>
      </c>
      <c r="H11" s="67">
        <f>INDEX('Source Dataset (270)'!G$5:G$274,$B11)</f>
        <v>0</v>
      </c>
      <c r="I11" s="67">
        <f>INDEX('Source Dataset (270)'!H$5:H$274,$B11)</f>
        <v>2</v>
      </c>
      <c r="J11" s="66">
        <f>INDEX('Source Dataset (270)'!I$5:I$274,$B11)</f>
        <v>156</v>
      </c>
      <c r="K11" s="67">
        <f>INDEX('Source Dataset (270)'!J$5:J$274,$B11)</f>
        <v>0</v>
      </c>
      <c r="L11" s="66">
        <f>INDEX('Source Dataset (270)'!K$5:K$274,$B11)</f>
        <v>0</v>
      </c>
      <c r="M11" s="67">
        <f>INDEX('Source Dataset (270)'!L$5:L$274,$B11)</f>
        <v>1</v>
      </c>
      <c r="N11" s="66">
        <f>INDEX('Source Dataset (270)'!M$5:M$274,$B11)</f>
        <v>0</v>
      </c>
      <c r="O11" s="67">
        <f>INDEX('Source Dataset (270)'!N$5:N$274,$B11)</f>
        <v>3</v>
      </c>
      <c r="P11" s="68">
        <f>INDEX('Source Dataset (270)'!$O$5:$O$274,$B11)</f>
        <v>1</v>
      </c>
    </row>
    <row r="12">
      <c r="A12" s="69" t="inlineStr">
        <is>
          <t xml:space="preserve">Type</t>
        </is>
      </c>
      <c r="B12" s="69" t="inlineStr">
        <is>
          <t xml:space="preserve">—</t>
        </is>
      </c>
      <c r="C12" s="69">
        <f>'Source Dataset (270)'!B$275</f>
        <v>1</v>
      </c>
      <c r="D12" s="69">
        <f>'Source Dataset (270)'!C$275</f>
        <v>0</v>
      </c>
      <c r="E12" s="69">
        <f>'Source Dataset (270)'!D$275</f>
        <v>0</v>
      </c>
      <c r="F12" s="69">
        <f>'Source Dataset (270)'!E$275</f>
        <v>1</v>
      </c>
      <c r="G12" s="69">
        <f>'Source Dataset (270)'!F$275</f>
        <v>1</v>
      </c>
      <c r="H12" s="69">
        <f>'Source Dataset (270)'!G$275</f>
        <v>0</v>
      </c>
      <c r="I12" s="69">
        <f>'Source Dataset (270)'!H$275</f>
        <v>0</v>
      </c>
      <c r="J12" s="69">
        <f>'Source Dataset (270)'!I$275</f>
        <v>1</v>
      </c>
      <c r="K12" s="69">
        <f>'Source Dataset (270)'!J$275</f>
        <v>0</v>
      </c>
      <c r="L12" s="69">
        <f>'Source Dataset (270)'!K$275</f>
        <v>1</v>
      </c>
      <c r="M12" s="69">
        <f>'Source Dataset (270)'!L$275</f>
        <v>0</v>
      </c>
      <c r="N12" s="69">
        <f>'Source Dataset (270)'!M$275</f>
        <v>1</v>
      </c>
      <c r="O12" s="69">
        <f>'Source Dataset (270)'!N$275</f>
        <v>0</v>
      </c>
      <c r="P12" s="69" t="inlineStr">
        <is>
          <t xml:space="preserve">1 = I</t>
        </is>
      </c>
    </row>
    <row r="13"/>
    <row r="14">
      <c r="A14" s="82" t="inlineStr">
        <is>
          <t xml:space="preserve">Check</t>
        </is>
      </c>
      <c r="B14" s="85" t="str">
        <f>IF(AND(B5&lt;B6,B6&lt;B7,B7&lt;B8,B8&lt;B9,B9&lt;B10,B10&lt;B11,B5&gt;=1,B11&lt;=270),"✓ 7 distinct source rows in ascending order","⚠ the source rows must be distinct, ascending and between 1 and 270")</f>
        <v>✓ 7 distinct source rows in ascending order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/>
    <row r="16">
      <c r="A16" s="58" t="inlineStr">
        <is>
          <t xml:space="preserve">Quantitative features (set I, type 1) with class — view of the table above</t>
        </is>
      </c>
      <c r="B16" s="58"/>
      <c r="C16" s="58"/>
      <c r="D16" s="58"/>
      <c r="E16" s="58"/>
      <c r="F16" s="58"/>
      <c r="G16" s="58"/>
      <c r="H16" s="58"/>
      <c r="I16" s="58"/>
    </row>
    <row r="17">
      <c r="A17" s="60" t="inlineStr">
        <is>
          <t xml:space="preserve">№</t>
        </is>
      </c>
      <c r="B17" s="60" t="inlineStr">
        <is>
          <t xml:space="preserve">Source row</t>
        </is>
      </c>
      <c r="C17" s="60" t="inlineStr">
        <is>
          <t xml:space="preserve">x₁</t>
        </is>
      </c>
      <c r="D17" s="60" t="inlineStr">
        <is>
          <t xml:space="preserve">x₄</t>
        </is>
      </c>
      <c r="E17" s="60" t="inlineStr">
        <is>
          <t xml:space="preserve">x₅</t>
        </is>
      </c>
      <c r="F17" s="60" t="inlineStr">
        <is>
          <t xml:space="preserve">x₈</t>
        </is>
      </c>
      <c r="G17" s="60" t="inlineStr">
        <is>
          <t xml:space="preserve">x₁₀</t>
        </is>
      </c>
      <c r="H17" s="60" t="inlineStr">
        <is>
          <t xml:space="preserve">x₁₂</t>
        </is>
      </c>
      <c r="I17" s="60" t="inlineStr">
        <is>
          <t xml:space="preserve">Class</t>
        </is>
      </c>
    </row>
    <row r="18">
      <c r="A18" s="62" t="inlineStr">
        <is>
          <t xml:space="preserve">S₁</t>
        </is>
      </c>
      <c r="B18" s="78">
        <f>B5</f>
        <v>1</v>
      </c>
      <c r="C18" s="66">
        <f>C5</f>
        <v>70</v>
      </c>
      <c r="D18" s="66">
        <f>F5</f>
        <v>130</v>
      </c>
      <c r="E18" s="66">
        <f>G5</f>
        <v>322</v>
      </c>
      <c r="F18" s="66">
        <f>J5</f>
        <v>109</v>
      </c>
      <c r="G18" s="66">
        <f>L5</f>
        <v>2.4</v>
      </c>
      <c r="H18" s="66">
        <f>N5</f>
        <v>3</v>
      </c>
      <c r="I18" s="68">
        <f>P5</f>
        <v>2</v>
      </c>
    </row>
    <row r="19">
      <c r="A19" s="62" t="inlineStr">
        <is>
          <t xml:space="preserve">S₂</t>
        </is>
      </c>
      <c r="B19" s="78">
        <f>B6</f>
        <v>10</v>
      </c>
      <c r="C19" s="66">
        <f>C6</f>
        <v>63</v>
      </c>
      <c r="D19" s="66">
        <f>F6</f>
        <v>150</v>
      </c>
      <c r="E19" s="66">
        <f>G6</f>
        <v>407</v>
      </c>
      <c r="F19" s="66">
        <f>J6</f>
        <v>154</v>
      </c>
      <c r="G19" s="66">
        <f>L6</f>
        <v>4</v>
      </c>
      <c r="H19" s="66">
        <f>N6</f>
        <v>3</v>
      </c>
      <c r="I19" s="68">
        <f>P6</f>
        <v>2</v>
      </c>
    </row>
    <row r="20">
      <c r="A20" s="62" t="inlineStr">
        <is>
          <t xml:space="preserve">S₃</t>
        </is>
      </c>
      <c r="B20" s="78">
        <f>B7</f>
        <v>73</v>
      </c>
      <c r="C20" s="66">
        <f>C7</f>
        <v>70</v>
      </c>
      <c r="D20" s="66">
        <f>F7</f>
        <v>156</v>
      </c>
      <c r="E20" s="66">
        <f>G7</f>
        <v>245</v>
      </c>
      <c r="F20" s="66">
        <f>J7</f>
        <v>143</v>
      </c>
      <c r="G20" s="66">
        <f>L7</f>
        <v>0</v>
      </c>
      <c r="H20" s="66">
        <f>N7</f>
        <v>0</v>
      </c>
      <c r="I20" s="68">
        <f>P7</f>
        <v>1</v>
      </c>
    </row>
    <row r="21">
      <c r="A21" s="62" t="inlineStr">
        <is>
          <t xml:space="preserve">S₄</t>
        </is>
      </c>
      <c r="B21" s="78">
        <f>B8</f>
        <v>143</v>
      </c>
      <c r="C21" s="66">
        <f>C8</f>
        <v>50</v>
      </c>
      <c r="D21" s="66">
        <f>F8</f>
        <v>140</v>
      </c>
      <c r="E21" s="66">
        <f>G8</f>
        <v>233</v>
      </c>
      <c r="F21" s="66">
        <f>J8</f>
        <v>163</v>
      </c>
      <c r="G21" s="66">
        <f>L8</f>
        <v>0.6</v>
      </c>
      <c r="H21" s="66">
        <f>N8</f>
        <v>1</v>
      </c>
      <c r="I21" s="68">
        <f>P8</f>
        <v>2</v>
      </c>
    </row>
    <row r="22">
      <c r="A22" s="62" t="inlineStr">
        <is>
          <t xml:space="preserve">S₅</t>
        </is>
      </c>
      <c r="B22" s="78">
        <f>B9</f>
        <v>224</v>
      </c>
      <c r="C22" s="66">
        <f>C9</f>
        <v>63</v>
      </c>
      <c r="D22" s="66">
        <f>F9</f>
        <v>130</v>
      </c>
      <c r="E22" s="66">
        <f>G9</f>
        <v>330</v>
      </c>
      <c r="F22" s="66">
        <f>J9</f>
        <v>132</v>
      </c>
      <c r="G22" s="66">
        <f>L9</f>
        <v>1.8</v>
      </c>
      <c r="H22" s="66">
        <f>N9</f>
        <v>3</v>
      </c>
      <c r="I22" s="68">
        <f>P9</f>
        <v>2</v>
      </c>
    </row>
    <row r="23">
      <c r="A23" s="62" t="inlineStr">
        <is>
          <t xml:space="preserve">S₆</t>
        </is>
      </c>
      <c r="B23" s="78">
        <f>B10</f>
        <v>226</v>
      </c>
      <c r="C23" s="66">
        <f>C10</f>
        <v>41</v>
      </c>
      <c r="D23" s="66">
        <f>F10</f>
        <v>135</v>
      </c>
      <c r="E23" s="66">
        <f>G10</f>
        <v>203</v>
      </c>
      <c r="F23" s="66">
        <f>J10</f>
        <v>132</v>
      </c>
      <c r="G23" s="66">
        <f>L10</f>
        <v>0</v>
      </c>
      <c r="H23" s="66">
        <f>N10</f>
        <v>0</v>
      </c>
      <c r="I23" s="68">
        <f>P10</f>
        <v>1</v>
      </c>
    </row>
    <row r="24">
      <c r="A24" s="62" t="inlineStr">
        <is>
          <t xml:space="preserve">S₇</t>
        </is>
      </c>
      <c r="B24" s="78">
        <f>B11</f>
        <v>239</v>
      </c>
      <c r="C24" s="66">
        <f>C11</f>
        <v>47</v>
      </c>
      <c r="D24" s="66">
        <f>F11</f>
        <v>138</v>
      </c>
      <c r="E24" s="66">
        <f>G11</f>
        <v>257</v>
      </c>
      <c r="F24" s="66">
        <f>J11</f>
        <v>156</v>
      </c>
      <c r="G24" s="66">
        <f>L11</f>
        <v>0</v>
      </c>
      <c r="H24" s="66">
        <f>N11</f>
        <v>0</v>
      </c>
      <c r="I24" s="68">
        <f>P11</f>
        <v>1</v>
      </c>
    </row>
    <row r="25"/>
    <row r="26"/>
    <row r="27">
      <c r="A27" s="58" t="inlineStr">
        <is>
          <t xml:space="preserve">Nominal features (set J, type 0) with class — view of the table above</t>
        </is>
      </c>
      <c r="B27" s="58"/>
      <c r="C27" s="58"/>
      <c r="D27" s="58"/>
      <c r="E27" s="58"/>
      <c r="F27" s="58"/>
      <c r="G27" s="58"/>
      <c r="H27" s="58"/>
      <c r="I27" s="58"/>
      <c r="J27" s="58"/>
    </row>
    <row r="28">
      <c r="A28" s="60" t="inlineStr">
        <is>
          <t xml:space="preserve">№</t>
        </is>
      </c>
      <c r="B28" s="60" t="inlineStr">
        <is>
          <t xml:space="preserve">Source row</t>
        </is>
      </c>
      <c r="C28" s="60" t="inlineStr">
        <is>
          <t xml:space="preserve">x₂</t>
        </is>
      </c>
      <c r="D28" s="60" t="inlineStr">
        <is>
          <t xml:space="preserve">x₃</t>
        </is>
      </c>
      <c r="E28" s="60" t="inlineStr">
        <is>
          <t xml:space="preserve">x₆</t>
        </is>
      </c>
      <c r="F28" s="60" t="inlineStr">
        <is>
          <t xml:space="preserve">x₇</t>
        </is>
      </c>
      <c r="G28" s="60" t="inlineStr">
        <is>
          <t xml:space="preserve">x₉</t>
        </is>
      </c>
      <c r="H28" s="60" t="inlineStr">
        <is>
          <t xml:space="preserve">x₁₁</t>
        </is>
      </c>
      <c r="I28" s="60" t="inlineStr">
        <is>
          <t xml:space="preserve">x₁₃</t>
        </is>
      </c>
      <c r="J28" s="60" t="inlineStr">
        <is>
          <t xml:space="preserve">Class</t>
        </is>
      </c>
    </row>
    <row r="29">
      <c r="A29" s="62" t="inlineStr">
        <is>
          <t xml:space="preserve">S₁</t>
        </is>
      </c>
      <c r="B29" s="78">
        <f>B5</f>
        <v>1</v>
      </c>
      <c r="C29" s="67">
        <f>D5</f>
        <v>1</v>
      </c>
      <c r="D29" s="67">
        <f>E5</f>
        <v>4</v>
      </c>
      <c r="E29" s="67">
        <f>H5</f>
        <v>0</v>
      </c>
      <c r="F29" s="67">
        <f>I5</f>
        <v>2</v>
      </c>
      <c r="G29" s="67">
        <f>K5</f>
        <v>0</v>
      </c>
      <c r="H29" s="67">
        <f>M5</f>
        <v>2</v>
      </c>
      <c r="I29" s="67">
        <f>O5</f>
        <v>3</v>
      </c>
      <c r="J29" s="68">
        <f>P5</f>
        <v>2</v>
      </c>
    </row>
    <row r="30">
      <c r="A30" s="62" t="inlineStr">
        <is>
          <t xml:space="preserve">S₂</t>
        </is>
      </c>
      <c r="B30" s="78">
        <f>B6</f>
        <v>10</v>
      </c>
      <c r="C30" s="67">
        <f>D6</f>
        <v>0</v>
      </c>
      <c r="D30" s="67">
        <f>E6</f>
        <v>4</v>
      </c>
      <c r="E30" s="67">
        <f>H6</f>
        <v>0</v>
      </c>
      <c r="F30" s="67">
        <f>I6</f>
        <v>2</v>
      </c>
      <c r="G30" s="67">
        <f>K6</f>
        <v>0</v>
      </c>
      <c r="H30" s="67">
        <f>M6</f>
        <v>2</v>
      </c>
      <c r="I30" s="67">
        <f>O6</f>
        <v>7</v>
      </c>
      <c r="J30" s="68">
        <f>P6</f>
        <v>2</v>
      </c>
    </row>
    <row r="31">
      <c r="A31" s="62" t="inlineStr">
        <is>
          <t xml:space="preserve">S₃</t>
        </is>
      </c>
      <c r="B31" s="78">
        <f>B7</f>
        <v>73</v>
      </c>
      <c r="C31" s="67">
        <f>D7</f>
        <v>1</v>
      </c>
      <c r="D31" s="67">
        <f>E7</f>
        <v>2</v>
      </c>
      <c r="E31" s="67">
        <f>H7</f>
        <v>0</v>
      </c>
      <c r="F31" s="67">
        <f>I7</f>
        <v>2</v>
      </c>
      <c r="G31" s="67">
        <f>K7</f>
        <v>0</v>
      </c>
      <c r="H31" s="67">
        <f>M7</f>
        <v>1</v>
      </c>
      <c r="I31" s="67">
        <f>O7</f>
        <v>3</v>
      </c>
      <c r="J31" s="68">
        <f>P7</f>
        <v>1</v>
      </c>
    </row>
    <row r="32">
      <c r="A32" s="62" t="inlineStr">
        <is>
          <t xml:space="preserve">S₄</t>
        </is>
      </c>
      <c r="B32" s="78">
        <f>B8</f>
        <v>143</v>
      </c>
      <c r="C32" s="67">
        <f>D8</f>
        <v>1</v>
      </c>
      <c r="D32" s="67">
        <f>E8</f>
        <v>3</v>
      </c>
      <c r="E32" s="67">
        <f>H8</f>
        <v>0</v>
      </c>
      <c r="F32" s="67">
        <f>I8</f>
        <v>0</v>
      </c>
      <c r="G32" s="67">
        <f>K8</f>
        <v>0</v>
      </c>
      <c r="H32" s="67">
        <f>M8</f>
        <v>2</v>
      </c>
      <c r="I32" s="67">
        <f>O8</f>
        <v>7</v>
      </c>
      <c r="J32" s="68">
        <f>P8</f>
        <v>2</v>
      </c>
    </row>
    <row r="33">
      <c r="A33" s="62" t="inlineStr">
        <is>
          <t xml:space="preserve">S₅</t>
        </is>
      </c>
      <c r="B33" s="78">
        <f>B9</f>
        <v>224</v>
      </c>
      <c r="C33" s="67">
        <f>D9</f>
        <v>1</v>
      </c>
      <c r="D33" s="67">
        <f>E9</f>
        <v>4</v>
      </c>
      <c r="E33" s="67">
        <f>H9</f>
        <v>1</v>
      </c>
      <c r="F33" s="67">
        <f>I9</f>
        <v>2</v>
      </c>
      <c r="G33" s="67">
        <f>K9</f>
        <v>1</v>
      </c>
      <c r="H33" s="67">
        <f>M9</f>
        <v>1</v>
      </c>
      <c r="I33" s="67">
        <f>O9</f>
        <v>7</v>
      </c>
      <c r="J33" s="68">
        <f>P9</f>
        <v>2</v>
      </c>
    </row>
    <row r="34">
      <c r="A34" s="62" t="inlineStr">
        <is>
          <t xml:space="preserve">S₆</t>
        </is>
      </c>
      <c r="B34" s="78">
        <f>B10</f>
        <v>226</v>
      </c>
      <c r="C34" s="67">
        <f>D10</f>
        <v>1</v>
      </c>
      <c r="D34" s="67">
        <f>E10</f>
        <v>2</v>
      </c>
      <c r="E34" s="67">
        <f>H10</f>
        <v>0</v>
      </c>
      <c r="F34" s="67">
        <f>I10</f>
        <v>0</v>
      </c>
      <c r="G34" s="67">
        <f>K10</f>
        <v>0</v>
      </c>
      <c r="H34" s="67">
        <f>M10</f>
        <v>2</v>
      </c>
      <c r="I34" s="67">
        <f>O10</f>
        <v>6</v>
      </c>
      <c r="J34" s="68">
        <f>P10</f>
        <v>1</v>
      </c>
    </row>
    <row r="35">
      <c r="A35" s="62" t="inlineStr">
        <is>
          <t xml:space="preserve">S₇</t>
        </is>
      </c>
      <c r="B35" s="78">
        <f>B11</f>
        <v>239</v>
      </c>
      <c r="C35" s="67">
        <f>D11</f>
        <v>1</v>
      </c>
      <c r="D35" s="67">
        <f>E11</f>
        <v>3</v>
      </c>
      <c r="E35" s="67">
        <f>H11</f>
        <v>0</v>
      </c>
      <c r="F35" s="67">
        <f>I11</f>
        <v>2</v>
      </c>
      <c r="G35" s="67">
        <f>K11</f>
        <v>0</v>
      </c>
      <c r="H35" s="67">
        <f>M11</f>
        <v>1</v>
      </c>
      <c r="I35" s="67">
        <f>O11</f>
        <v>3</v>
      </c>
      <c r="J35" s="68">
        <f>P11</f>
        <v>1</v>
      </c>
    </row>
    <row r="36"/>
    <row r="37"/>
    <row r="38">
      <c r="A38" s="100" t="inlineStr">
        <is>
          <t xml:space="preserve">Source rows 1 and 10 are S₁ and S₁₀ of the earlier Heart-Disease (10, 13, 2) experiment; here they are S₁ and S₂.</t>
        </is>
      </c>
    </row>
    <row r="39">
      <c r="A39" s="100" t="inlineStr">
        <is>
          <t xml:space="preserve">The two lower tables split the features by the type flags of the source file (6 quantitative, 7 nominal); every calculation uses the Type row above.</t>
        </is>
      </c>
    </row>
    <row r="40">
      <c r="A40" s="100" t="inlineStr">
        <is>
          <t xml:space="preserve">Why exactly these 7 objects: the smallest sample in which every case of the ERDR algorithm occurs — see “Object Selection” and “Case Checklist”.</t>
        </is>
      </c>
    </row>
  </sheetData>
  <mergeCells count="5">
    <mergeCell ref="A1:P1"/>
    <mergeCell ref="A3:P3"/>
    <mergeCell ref="B14:P14"/>
    <mergeCell ref="A16:I16"/>
    <mergeCell ref="A27:J27"/>
  </mergeCells>
  <dataValidations count="1">
    <dataValidation type="whole" allowBlank="0" showInputMessage="1" showErrorMessage="1" promptTitle="Source row" prompt="Row 1–270 of Source Dataset (270), ascending" sqref="B5:B11">
      <formula1>1</formula1>
      <formula2>270</formula2>
    </dataValidation>
  </dataValidation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O17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15" width="10.77734375" customWidth="1"/>
  </cols>
  <sheetData>
    <row r="1" ht="20" customHeight="1">
      <c r="A1" s="57" t="inlineStr">
        <is>
          <t xml:space="preserve">Step 0 · Scale unification — quantitative features mapped to [0, 1], nominal features unchanged (required by the Zhuravlev metric)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/>
    <row r="3">
      <c r="A3" s="58" t="inlineStr">
        <is>
          <t xml:space="preserve">Heart-Disease (7, 13, 2) after x′ = (x − min) / (max − min) for type 1 (min and max over the 7 objects)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>
      <c r="A4" s="60" t="inlineStr">
        <is>
          <t xml:space="preserve">№</t>
        </is>
      </c>
      <c r="B4" s="60" t="inlineStr">
        <is>
          <t xml:space="preserve">x₁</t>
        </is>
      </c>
      <c r="C4" s="60" t="inlineStr">
        <is>
          <t xml:space="preserve">x₂</t>
        </is>
      </c>
      <c r="D4" s="60" t="inlineStr">
        <is>
          <t xml:space="preserve">x₃</t>
        </is>
      </c>
      <c r="E4" s="60" t="inlineStr">
        <is>
          <t xml:space="preserve">x₄</t>
        </is>
      </c>
      <c r="F4" s="60" t="inlineStr">
        <is>
          <t xml:space="preserve">x₅</t>
        </is>
      </c>
      <c r="G4" s="60" t="inlineStr">
        <is>
          <t xml:space="preserve">x₆</t>
        </is>
      </c>
      <c r="H4" s="60" t="inlineStr">
        <is>
          <t xml:space="preserve">x₇</t>
        </is>
      </c>
      <c r="I4" s="60" t="inlineStr">
        <is>
          <t xml:space="preserve">x₈</t>
        </is>
      </c>
      <c r="J4" s="60" t="inlineStr">
        <is>
          <t xml:space="preserve">x₉</t>
        </is>
      </c>
      <c r="K4" s="60" t="inlineStr">
        <is>
          <t xml:space="preserve">x₁₀</t>
        </is>
      </c>
      <c r="L4" s="60" t="inlineStr">
        <is>
          <t xml:space="preserve">x₁₁</t>
        </is>
      </c>
      <c r="M4" s="60" t="inlineStr">
        <is>
          <t xml:space="preserve">x₁₂</t>
        </is>
      </c>
      <c r="N4" s="60" t="inlineStr">
        <is>
          <t xml:space="preserve">x₁₃</t>
        </is>
      </c>
      <c r="O4" s="60" t="inlineStr">
        <is>
          <t xml:space="preserve">Class</t>
        </is>
      </c>
    </row>
    <row r="5">
      <c r="A5" s="62" t="inlineStr">
        <is>
          <t xml:space="preserve">S₁</t>
        </is>
      </c>
      <c r="B5" s="65">
        <f>IF('Dataset'!C$12=1,IF(MAX('Dataset'!C$5:C$11)=MIN('Dataset'!C$5:C$11),0,('Dataset'!C5-MIN('Dataset'!C$5:C$11))/(MAX('Dataset'!C$5:C$11)-MIN('Dataset'!C$5:C$11))),'Dataset'!C5)</f>
        <v>1</v>
      </c>
      <c r="C5" s="67">
        <f>IF('Dataset'!D$12=1,IF(MAX('Dataset'!D$5:D$11)=MIN('Dataset'!D$5:D$11),0,('Dataset'!D5-MIN('Dataset'!D$5:D$11))/(MAX('Dataset'!D$5:D$11)-MIN('Dataset'!D$5:D$11))),'Dataset'!D5)</f>
        <v>1</v>
      </c>
      <c r="D5" s="67">
        <f>IF('Dataset'!E$12=1,IF(MAX('Dataset'!E$5:E$11)=MIN('Dataset'!E$5:E$11),0,('Dataset'!E5-MIN('Dataset'!E$5:E$11))/(MAX('Dataset'!E$5:E$11)-MIN('Dataset'!E$5:E$11))),'Dataset'!E5)</f>
        <v>4</v>
      </c>
      <c r="E5" s="65">
        <f>IF('Dataset'!F$12=1,IF(MAX('Dataset'!F$5:F$11)=MIN('Dataset'!F$5:F$11),0,('Dataset'!F5-MIN('Dataset'!F$5:F$11))/(MAX('Dataset'!F$5:F$11)-MIN('Dataset'!F$5:F$11))),'Dataset'!F5)</f>
        <v>0</v>
      </c>
      <c r="F5" s="65">
        <f>IF('Dataset'!G$12=1,IF(MAX('Dataset'!G$5:G$11)=MIN('Dataset'!G$5:G$11),0,('Dataset'!G5-MIN('Dataset'!G$5:G$11))/(MAX('Dataset'!G$5:G$11)-MIN('Dataset'!G$5:G$11))),'Dataset'!G5)</f>
        <v>0.583333333333333</v>
      </c>
      <c r="G5" s="67">
        <f>IF('Dataset'!H$12=1,IF(MAX('Dataset'!H$5:H$11)=MIN('Dataset'!H$5:H$11),0,('Dataset'!H5-MIN('Dataset'!H$5:H$11))/(MAX('Dataset'!H$5:H$11)-MIN('Dataset'!H$5:H$11))),'Dataset'!H5)</f>
        <v>0</v>
      </c>
      <c r="H5" s="67">
        <f>IF('Dataset'!I$12=1,IF(MAX('Dataset'!I$5:I$11)=MIN('Dataset'!I$5:I$11),0,('Dataset'!I5-MIN('Dataset'!I$5:I$11))/(MAX('Dataset'!I$5:I$11)-MIN('Dataset'!I$5:I$11))),'Dataset'!I5)</f>
        <v>2</v>
      </c>
      <c r="I5" s="65">
        <f>IF('Dataset'!J$12=1,IF(MAX('Dataset'!J$5:J$11)=MIN('Dataset'!J$5:J$11),0,('Dataset'!J5-MIN('Dataset'!J$5:J$11))/(MAX('Dataset'!J$5:J$11)-MIN('Dataset'!J$5:J$11))),'Dataset'!J5)</f>
        <v>0</v>
      </c>
      <c r="J5" s="67">
        <f>IF('Dataset'!K$12=1,IF(MAX('Dataset'!K$5:K$11)=MIN('Dataset'!K$5:K$11),0,('Dataset'!K5-MIN('Dataset'!K$5:K$11))/(MAX('Dataset'!K$5:K$11)-MIN('Dataset'!K$5:K$11))),'Dataset'!K5)</f>
        <v>0</v>
      </c>
      <c r="K5" s="65">
        <f>IF('Dataset'!L$12=1,IF(MAX('Dataset'!L$5:L$11)=MIN('Dataset'!L$5:L$11),0,('Dataset'!L5-MIN('Dataset'!L$5:L$11))/(MAX('Dataset'!L$5:L$11)-MIN('Dataset'!L$5:L$11))),'Dataset'!L5)</f>
        <v>0.6</v>
      </c>
      <c r="L5" s="67">
        <f>IF('Dataset'!M$12=1,IF(MAX('Dataset'!M$5:M$11)=MIN('Dataset'!M$5:M$11),0,('Dataset'!M5-MIN('Dataset'!M$5:M$11))/(MAX('Dataset'!M$5:M$11)-MIN('Dataset'!M$5:M$11))),'Dataset'!M5)</f>
        <v>2</v>
      </c>
      <c r="M5" s="65">
        <f>IF('Dataset'!N$12=1,IF(MAX('Dataset'!N$5:N$11)=MIN('Dataset'!N$5:N$11),0,('Dataset'!N5-MIN('Dataset'!N$5:N$11))/(MAX('Dataset'!N$5:N$11)-MIN('Dataset'!N$5:N$11))),'Dataset'!N5)</f>
        <v>1</v>
      </c>
      <c r="N5" s="67">
        <f>IF('Dataset'!O$12=1,IF(MAX('Dataset'!O$5:O$11)=MIN('Dataset'!O$5:O$11),0,('Dataset'!O5-MIN('Dataset'!O$5:O$11))/(MAX('Dataset'!O$5:O$11)-MIN('Dataset'!O$5:O$11))),'Dataset'!O5)</f>
        <v>3</v>
      </c>
      <c r="O5" s="68">
        <f>'Dataset'!P5</f>
        <v>2</v>
      </c>
    </row>
    <row r="6">
      <c r="A6" s="62" t="inlineStr">
        <is>
          <t xml:space="preserve">S₂</t>
        </is>
      </c>
      <c r="B6" s="65">
        <f>IF('Dataset'!C$12=1,IF(MAX('Dataset'!C$5:C$11)=MIN('Dataset'!C$5:C$11),0,('Dataset'!C6-MIN('Dataset'!C$5:C$11))/(MAX('Dataset'!C$5:C$11)-MIN('Dataset'!C$5:C$11))),'Dataset'!C6)</f>
        <v>0.758620689655172</v>
      </c>
      <c r="C6" s="67">
        <f>IF('Dataset'!D$12=1,IF(MAX('Dataset'!D$5:D$11)=MIN('Dataset'!D$5:D$11),0,('Dataset'!D6-MIN('Dataset'!D$5:D$11))/(MAX('Dataset'!D$5:D$11)-MIN('Dataset'!D$5:D$11))),'Dataset'!D6)</f>
        <v>0</v>
      </c>
      <c r="D6" s="67">
        <f>IF('Dataset'!E$12=1,IF(MAX('Dataset'!E$5:E$11)=MIN('Dataset'!E$5:E$11),0,('Dataset'!E6-MIN('Dataset'!E$5:E$11))/(MAX('Dataset'!E$5:E$11)-MIN('Dataset'!E$5:E$11))),'Dataset'!E6)</f>
        <v>4</v>
      </c>
      <c r="E6" s="65">
        <f>IF('Dataset'!F$12=1,IF(MAX('Dataset'!F$5:F$11)=MIN('Dataset'!F$5:F$11),0,('Dataset'!F6-MIN('Dataset'!F$5:F$11))/(MAX('Dataset'!F$5:F$11)-MIN('Dataset'!F$5:F$11))),'Dataset'!F6)</f>
        <v>0.769230769230769</v>
      </c>
      <c r="F6" s="65">
        <f>IF('Dataset'!G$12=1,IF(MAX('Dataset'!G$5:G$11)=MIN('Dataset'!G$5:G$11),0,('Dataset'!G6-MIN('Dataset'!G$5:G$11))/(MAX('Dataset'!G$5:G$11)-MIN('Dataset'!G$5:G$11))),'Dataset'!G6)</f>
        <v>1</v>
      </c>
      <c r="G6" s="67">
        <f>IF('Dataset'!H$12=1,IF(MAX('Dataset'!H$5:H$11)=MIN('Dataset'!H$5:H$11),0,('Dataset'!H6-MIN('Dataset'!H$5:H$11))/(MAX('Dataset'!H$5:H$11)-MIN('Dataset'!H$5:H$11))),'Dataset'!H6)</f>
        <v>0</v>
      </c>
      <c r="H6" s="67">
        <f>IF('Dataset'!I$12=1,IF(MAX('Dataset'!I$5:I$11)=MIN('Dataset'!I$5:I$11),0,('Dataset'!I6-MIN('Dataset'!I$5:I$11))/(MAX('Dataset'!I$5:I$11)-MIN('Dataset'!I$5:I$11))),'Dataset'!I6)</f>
        <v>2</v>
      </c>
      <c r="I6" s="65">
        <f>IF('Dataset'!J$12=1,IF(MAX('Dataset'!J$5:J$11)=MIN('Dataset'!J$5:J$11),0,('Dataset'!J6-MIN('Dataset'!J$5:J$11))/(MAX('Dataset'!J$5:J$11)-MIN('Dataset'!J$5:J$11))),'Dataset'!J6)</f>
        <v>0.833333333333333</v>
      </c>
      <c r="J6" s="67">
        <f>IF('Dataset'!K$12=1,IF(MAX('Dataset'!K$5:K$11)=MIN('Dataset'!K$5:K$11),0,('Dataset'!K6-MIN('Dataset'!K$5:K$11))/(MAX('Dataset'!K$5:K$11)-MIN('Dataset'!K$5:K$11))),'Dataset'!K6)</f>
        <v>0</v>
      </c>
      <c r="K6" s="65">
        <f>IF('Dataset'!L$12=1,IF(MAX('Dataset'!L$5:L$11)=MIN('Dataset'!L$5:L$11),0,('Dataset'!L6-MIN('Dataset'!L$5:L$11))/(MAX('Dataset'!L$5:L$11)-MIN('Dataset'!L$5:L$11))),'Dataset'!L6)</f>
        <v>1</v>
      </c>
      <c r="L6" s="67">
        <f>IF('Dataset'!M$12=1,IF(MAX('Dataset'!M$5:M$11)=MIN('Dataset'!M$5:M$11),0,('Dataset'!M6-MIN('Dataset'!M$5:M$11))/(MAX('Dataset'!M$5:M$11)-MIN('Dataset'!M$5:M$11))),'Dataset'!M6)</f>
        <v>2</v>
      </c>
      <c r="M6" s="65">
        <f>IF('Dataset'!N$12=1,IF(MAX('Dataset'!N$5:N$11)=MIN('Dataset'!N$5:N$11),0,('Dataset'!N6-MIN('Dataset'!N$5:N$11))/(MAX('Dataset'!N$5:N$11)-MIN('Dataset'!N$5:N$11))),'Dataset'!N6)</f>
        <v>1</v>
      </c>
      <c r="N6" s="67">
        <f>IF('Dataset'!O$12=1,IF(MAX('Dataset'!O$5:O$11)=MIN('Dataset'!O$5:O$11),0,('Dataset'!O6-MIN('Dataset'!O$5:O$11))/(MAX('Dataset'!O$5:O$11)-MIN('Dataset'!O$5:O$11))),'Dataset'!O6)</f>
        <v>7</v>
      </c>
      <c r="O6" s="68">
        <f>'Dataset'!P6</f>
        <v>2</v>
      </c>
    </row>
    <row r="7">
      <c r="A7" s="62" t="inlineStr">
        <is>
          <t xml:space="preserve">S₃</t>
        </is>
      </c>
      <c r="B7" s="65">
        <f>IF('Dataset'!C$12=1,IF(MAX('Dataset'!C$5:C$11)=MIN('Dataset'!C$5:C$11),0,('Dataset'!C7-MIN('Dataset'!C$5:C$11))/(MAX('Dataset'!C$5:C$11)-MIN('Dataset'!C$5:C$11))),'Dataset'!C7)</f>
        <v>1</v>
      </c>
      <c r="C7" s="67">
        <f>IF('Dataset'!D$12=1,IF(MAX('Dataset'!D$5:D$11)=MIN('Dataset'!D$5:D$11),0,('Dataset'!D7-MIN('Dataset'!D$5:D$11))/(MAX('Dataset'!D$5:D$11)-MIN('Dataset'!D$5:D$11))),'Dataset'!D7)</f>
        <v>1</v>
      </c>
      <c r="D7" s="67">
        <f>IF('Dataset'!E$12=1,IF(MAX('Dataset'!E$5:E$11)=MIN('Dataset'!E$5:E$11),0,('Dataset'!E7-MIN('Dataset'!E$5:E$11))/(MAX('Dataset'!E$5:E$11)-MIN('Dataset'!E$5:E$11))),'Dataset'!E7)</f>
        <v>2</v>
      </c>
      <c r="E7" s="65">
        <f>IF('Dataset'!F$12=1,IF(MAX('Dataset'!F$5:F$11)=MIN('Dataset'!F$5:F$11),0,('Dataset'!F7-MIN('Dataset'!F$5:F$11))/(MAX('Dataset'!F$5:F$11)-MIN('Dataset'!F$5:F$11))),'Dataset'!F7)</f>
        <v>1</v>
      </c>
      <c r="F7" s="65">
        <f>IF('Dataset'!G$12=1,IF(MAX('Dataset'!G$5:G$11)=MIN('Dataset'!G$5:G$11),0,('Dataset'!G7-MIN('Dataset'!G$5:G$11))/(MAX('Dataset'!G$5:G$11)-MIN('Dataset'!G$5:G$11))),'Dataset'!G7)</f>
        <v>0.205882352941176</v>
      </c>
      <c r="G7" s="67">
        <f>IF('Dataset'!H$12=1,IF(MAX('Dataset'!H$5:H$11)=MIN('Dataset'!H$5:H$11),0,('Dataset'!H7-MIN('Dataset'!H$5:H$11))/(MAX('Dataset'!H$5:H$11)-MIN('Dataset'!H$5:H$11))),'Dataset'!H7)</f>
        <v>0</v>
      </c>
      <c r="H7" s="67">
        <f>IF('Dataset'!I$12=1,IF(MAX('Dataset'!I$5:I$11)=MIN('Dataset'!I$5:I$11),0,('Dataset'!I7-MIN('Dataset'!I$5:I$11))/(MAX('Dataset'!I$5:I$11)-MIN('Dataset'!I$5:I$11))),'Dataset'!I7)</f>
        <v>2</v>
      </c>
      <c r="I7" s="65">
        <f>IF('Dataset'!J$12=1,IF(MAX('Dataset'!J$5:J$11)=MIN('Dataset'!J$5:J$11),0,('Dataset'!J7-MIN('Dataset'!J$5:J$11))/(MAX('Dataset'!J$5:J$11)-MIN('Dataset'!J$5:J$11))),'Dataset'!J7)</f>
        <v>0.62962962962963</v>
      </c>
      <c r="J7" s="67">
        <f>IF('Dataset'!K$12=1,IF(MAX('Dataset'!K$5:K$11)=MIN('Dataset'!K$5:K$11),0,('Dataset'!K7-MIN('Dataset'!K$5:K$11))/(MAX('Dataset'!K$5:K$11)-MIN('Dataset'!K$5:K$11))),'Dataset'!K7)</f>
        <v>0</v>
      </c>
      <c r="K7" s="65">
        <f>IF('Dataset'!L$12=1,IF(MAX('Dataset'!L$5:L$11)=MIN('Dataset'!L$5:L$11),0,('Dataset'!L7-MIN('Dataset'!L$5:L$11))/(MAX('Dataset'!L$5:L$11)-MIN('Dataset'!L$5:L$11))),'Dataset'!L7)</f>
        <v>0</v>
      </c>
      <c r="L7" s="67">
        <f>IF('Dataset'!M$12=1,IF(MAX('Dataset'!M$5:M$11)=MIN('Dataset'!M$5:M$11),0,('Dataset'!M7-MIN('Dataset'!M$5:M$11))/(MAX('Dataset'!M$5:M$11)-MIN('Dataset'!M$5:M$11))),'Dataset'!M7)</f>
        <v>1</v>
      </c>
      <c r="M7" s="65">
        <f>IF('Dataset'!N$12=1,IF(MAX('Dataset'!N$5:N$11)=MIN('Dataset'!N$5:N$11),0,('Dataset'!N7-MIN('Dataset'!N$5:N$11))/(MAX('Dataset'!N$5:N$11)-MIN('Dataset'!N$5:N$11))),'Dataset'!N7)</f>
        <v>0</v>
      </c>
      <c r="N7" s="67">
        <f>IF('Dataset'!O$12=1,IF(MAX('Dataset'!O$5:O$11)=MIN('Dataset'!O$5:O$11),0,('Dataset'!O7-MIN('Dataset'!O$5:O$11))/(MAX('Dataset'!O$5:O$11)-MIN('Dataset'!O$5:O$11))),'Dataset'!O7)</f>
        <v>3</v>
      </c>
      <c r="O7" s="68">
        <f>'Dataset'!P7</f>
        <v>1</v>
      </c>
    </row>
    <row r="8">
      <c r="A8" s="62" t="inlineStr">
        <is>
          <t xml:space="preserve">S₄</t>
        </is>
      </c>
      <c r="B8" s="65">
        <f>IF('Dataset'!C$12=1,IF(MAX('Dataset'!C$5:C$11)=MIN('Dataset'!C$5:C$11),0,('Dataset'!C8-MIN('Dataset'!C$5:C$11))/(MAX('Dataset'!C$5:C$11)-MIN('Dataset'!C$5:C$11))),'Dataset'!C8)</f>
        <v>0.310344827586207</v>
      </c>
      <c r="C8" s="67">
        <f>IF('Dataset'!D$12=1,IF(MAX('Dataset'!D$5:D$11)=MIN('Dataset'!D$5:D$11),0,('Dataset'!D8-MIN('Dataset'!D$5:D$11))/(MAX('Dataset'!D$5:D$11)-MIN('Dataset'!D$5:D$11))),'Dataset'!D8)</f>
        <v>1</v>
      </c>
      <c r="D8" s="67">
        <f>IF('Dataset'!E$12=1,IF(MAX('Dataset'!E$5:E$11)=MIN('Dataset'!E$5:E$11),0,('Dataset'!E8-MIN('Dataset'!E$5:E$11))/(MAX('Dataset'!E$5:E$11)-MIN('Dataset'!E$5:E$11))),'Dataset'!E8)</f>
        <v>3</v>
      </c>
      <c r="E8" s="65">
        <f>IF('Dataset'!F$12=1,IF(MAX('Dataset'!F$5:F$11)=MIN('Dataset'!F$5:F$11),0,('Dataset'!F8-MIN('Dataset'!F$5:F$11))/(MAX('Dataset'!F$5:F$11)-MIN('Dataset'!F$5:F$11))),'Dataset'!F8)</f>
        <v>0.384615384615385</v>
      </c>
      <c r="F8" s="65">
        <f>IF('Dataset'!G$12=1,IF(MAX('Dataset'!G$5:G$11)=MIN('Dataset'!G$5:G$11),0,('Dataset'!G8-MIN('Dataset'!G$5:G$11))/(MAX('Dataset'!G$5:G$11)-MIN('Dataset'!G$5:G$11))),'Dataset'!G8)</f>
        <v>0.147058823529412</v>
      </c>
      <c r="G8" s="67">
        <f>IF('Dataset'!H$12=1,IF(MAX('Dataset'!H$5:H$11)=MIN('Dataset'!H$5:H$11),0,('Dataset'!H8-MIN('Dataset'!H$5:H$11))/(MAX('Dataset'!H$5:H$11)-MIN('Dataset'!H$5:H$11))),'Dataset'!H8)</f>
        <v>0</v>
      </c>
      <c r="H8" s="67">
        <f>IF('Dataset'!I$12=1,IF(MAX('Dataset'!I$5:I$11)=MIN('Dataset'!I$5:I$11),0,('Dataset'!I8-MIN('Dataset'!I$5:I$11))/(MAX('Dataset'!I$5:I$11)-MIN('Dataset'!I$5:I$11))),'Dataset'!I8)</f>
        <v>0</v>
      </c>
      <c r="I8" s="65">
        <f>IF('Dataset'!J$12=1,IF(MAX('Dataset'!J$5:J$11)=MIN('Dataset'!J$5:J$11),0,('Dataset'!J8-MIN('Dataset'!J$5:J$11))/(MAX('Dataset'!J$5:J$11)-MIN('Dataset'!J$5:J$11))),'Dataset'!J8)</f>
        <v>1</v>
      </c>
      <c r="J8" s="67">
        <f>IF('Dataset'!K$12=1,IF(MAX('Dataset'!K$5:K$11)=MIN('Dataset'!K$5:K$11),0,('Dataset'!K8-MIN('Dataset'!K$5:K$11))/(MAX('Dataset'!K$5:K$11)-MIN('Dataset'!K$5:K$11))),'Dataset'!K8)</f>
        <v>0</v>
      </c>
      <c r="K8" s="65">
        <f>IF('Dataset'!L$12=1,IF(MAX('Dataset'!L$5:L$11)=MIN('Dataset'!L$5:L$11),0,('Dataset'!L8-MIN('Dataset'!L$5:L$11))/(MAX('Dataset'!L$5:L$11)-MIN('Dataset'!L$5:L$11))),'Dataset'!L8)</f>
        <v>0.15</v>
      </c>
      <c r="L8" s="67">
        <f>IF('Dataset'!M$12=1,IF(MAX('Dataset'!M$5:M$11)=MIN('Dataset'!M$5:M$11),0,('Dataset'!M8-MIN('Dataset'!M$5:M$11))/(MAX('Dataset'!M$5:M$11)-MIN('Dataset'!M$5:M$11))),'Dataset'!M8)</f>
        <v>2</v>
      </c>
      <c r="M8" s="65">
        <f>IF('Dataset'!N$12=1,IF(MAX('Dataset'!N$5:N$11)=MIN('Dataset'!N$5:N$11),0,('Dataset'!N8-MIN('Dataset'!N$5:N$11))/(MAX('Dataset'!N$5:N$11)-MIN('Dataset'!N$5:N$11))),'Dataset'!N8)</f>
        <v>0.333333333333333</v>
      </c>
      <c r="N8" s="67">
        <f>IF('Dataset'!O$12=1,IF(MAX('Dataset'!O$5:O$11)=MIN('Dataset'!O$5:O$11),0,('Dataset'!O8-MIN('Dataset'!O$5:O$11))/(MAX('Dataset'!O$5:O$11)-MIN('Dataset'!O$5:O$11))),'Dataset'!O8)</f>
        <v>7</v>
      </c>
      <c r="O8" s="68">
        <f>'Dataset'!P8</f>
        <v>2</v>
      </c>
    </row>
    <row r="9">
      <c r="A9" s="62" t="inlineStr">
        <is>
          <t xml:space="preserve">S₅</t>
        </is>
      </c>
      <c r="B9" s="65">
        <f>IF('Dataset'!C$12=1,IF(MAX('Dataset'!C$5:C$11)=MIN('Dataset'!C$5:C$11),0,('Dataset'!C9-MIN('Dataset'!C$5:C$11))/(MAX('Dataset'!C$5:C$11)-MIN('Dataset'!C$5:C$11))),'Dataset'!C9)</f>
        <v>0.758620689655172</v>
      </c>
      <c r="C9" s="67">
        <f>IF('Dataset'!D$12=1,IF(MAX('Dataset'!D$5:D$11)=MIN('Dataset'!D$5:D$11),0,('Dataset'!D9-MIN('Dataset'!D$5:D$11))/(MAX('Dataset'!D$5:D$11)-MIN('Dataset'!D$5:D$11))),'Dataset'!D9)</f>
        <v>1</v>
      </c>
      <c r="D9" s="67">
        <f>IF('Dataset'!E$12=1,IF(MAX('Dataset'!E$5:E$11)=MIN('Dataset'!E$5:E$11),0,('Dataset'!E9-MIN('Dataset'!E$5:E$11))/(MAX('Dataset'!E$5:E$11)-MIN('Dataset'!E$5:E$11))),'Dataset'!E9)</f>
        <v>4</v>
      </c>
      <c r="E9" s="65">
        <f>IF('Dataset'!F$12=1,IF(MAX('Dataset'!F$5:F$11)=MIN('Dataset'!F$5:F$11),0,('Dataset'!F9-MIN('Dataset'!F$5:F$11))/(MAX('Dataset'!F$5:F$11)-MIN('Dataset'!F$5:F$11))),'Dataset'!F9)</f>
        <v>0</v>
      </c>
      <c r="F9" s="65">
        <f>IF('Dataset'!G$12=1,IF(MAX('Dataset'!G$5:G$11)=MIN('Dataset'!G$5:G$11),0,('Dataset'!G9-MIN('Dataset'!G$5:G$11))/(MAX('Dataset'!G$5:G$11)-MIN('Dataset'!G$5:G$11))),'Dataset'!G9)</f>
        <v>0.622549019607843</v>
      </c>
      <c r="G9" s="67">
        <f>IF('Dataset'!H$12=1,IF(MAX('Dataset'!H$5:H$11)=MIN('Dataset'!H$5:H$11),0,('Dataset'!H9-MIN('Dataset'!H$5:H$11))/(MAX('Dataset'!H$5:H$11)-MIN('Dataset'!H$5:H$11))),'Dataset'!H9)</f>
        <v>1</v>
      </c>
      <c r="H9" s="67">
        <f>IF('Dataset'!I$12=1,IF(MAX('Dataset'!I$5:I$11)=MIN('Dataset'!I$5:I$11),0,('Dataset'!I9-MIN('Dataset'!I$5:I$11))/(MAX('Dataset'!I$5:I$11)-MIN('Dataset'!I$5:I$11))),'Dataset'!I9)</f>
        <v>2</v>
      </c>
      <c r="I9" s="65">
        <f>IF('Dataset'!J$12=1,IF(MAX('Dataset'!J$5:J$11)=MIN('Dataset'!J$5:J$11),0,('Dataset'!J9-MIN('Dataset'!J$5:J$11))/(MAX('Dataset'!J$5:J$11)-MIN('Dataset'!J$5:J$11))),'Dataset'!J9)</f>
        <v>0.425925925925926</v>
      </c>
      <c r="J9" s="67">
        <f>IF('Dataset'!K$12=1,IF(MAX('Dataset'!K$5:K$11)=MIN('Dataset'!K$5:K$11),0,('Dataset'!K9-MIN('Dataset'!K$5:K$11))/(MAX('Dataset'!K$5:K$11)-MIN('Dataset'!K$5:K$11))),'Dataset'!K9)</f>
        <v>1</v>
      </c>
      <c r="K9" s="65">
        <f>IF('Dataset'!L$12=1,IF(MAX('Dataset'!L$5:L$11)=MIN('Dataset'!L$5:L$11),0,('Dataset'!L9-MIN('Dataset'!L$5:L$11))/(MAX('Dataset'!L$5:L$11)-MIN('Dataset'!L$5:L$11))),'Dataset'!L9)</f>
        <v>0.45</v>
      </c>
      <c r="L9" s="67">
        <f>IF('Dataset'!M$12=1,IF(MAX('Dataset'!M$5:M$11)=MIN('Dataset'!M$5:M$11),0,('Dataset'!M9-MIN('Dataset'!M$5:M$11))/(MAX('Dataset'!M$5:M$11)-MIN('Dataset'!M$5:M$11))),'Dataset'!M9)</f>
        <v>1</v>
      </c>
      <c r="M9" s="65">
        <f>IF('Dataset'!N$12=1,IF(MAX('Dataset'!N$5:N$11)=MIN('Dataset'!N$5:N$11),0,('Dataset'!N9-MIN('Dataset'!N$5:N$11))/(MAX('Dataset'!N$5:N$11)-MIN('Dataset'!N$5:N$11))),'Dataset'!N9)</f>
        <v>1</v>
      </c>
      <c r="N9" s="67">
        <f>IF('Dataset'!O$12=1,IF(MAX('Dataset'!O$5:O$11)=MIN('Dataset'!O$5:O$11),0,('Dataset'!O9-MIN('Dataset'!O$5:O$11))/(MAX('Dataset'!O$5:O$11)-MIN('Dataset'!O$5:O$11))),'Dataset'!O9)</f>
        <v>7</v>
      </c>
      <c r="O9" s="68">
        <f>'Dataset'!P9</f>
        <v>2</v>
      </c>
    </row>
    <row r="10">
      <c r="A10" s="62" t="inlineStr">
        <is>
          <t xml:space="preserve">S₆</t>
        </is>
      </c>
      <c r="B10" s="65">
        <f>IF('Dataset'!C$12=1,IF(MAX('Dataset'!C$5:C$11)=MIN('Dataset'!C$5:C$11),0,('Dataset'!C10-MIN('Dataset'!C$5:C$11))/(MAX('Dataset'!C$5:C$11)-MIN('Dataset'!C$5:C$11))),'Dataset'!C10)</f>
        <v>0</v>
      </c>
      <c r="C10" s="67">
        <f>IF('Dataset'!D$12=1,IF(MAX('Dataset'!D$5:D$11)=MIN('Dataset'!D$5:D$11),0,('Dataset'!D10-MIN('Dataset'!D$5:D$11))/(MAX('Dataset'!D$5:D$11)-MIN('Dataset'!D$5:D$11))),'Dataset'!D10)</f>
        <v>1</v>
      </c>
      <c r="D10" s="67">
        <f>IF('Dataset'!E$12=1,IF(MAX('Dataset'!E$5:E$11)=MIN('Dataset'!E$5:E$11),0,('Dataset'!E10-MIN('Dataset'!E$5:E$11))/(MAX('Dataset'!E$5:E$11)-MIN('Dataset'!E$5:E$11))),'Dataset'!E10)</f>
        <v>2</v>
      </c>
      <c r="E10" s="65">
        <f>IF('Dataset'!F$12=1,IF(MAX('Dataset'!F$5:F$11)=MIN('Dataset'!F$5:F$11),0,('Dataset'!F10-MIN('Dataset'!F$5:F$11))/(MAX('Dataset'!F$5:F$11)-MIN('Dataset'!F$5:F$11))),'Dataset'!F10)</f>
        <v>0.192307692307692</v>
      </c>
      <c r="F10" s="65">
        <f>IF('Dataset'!G$12=1,IF(MAX('Dataset'!G$5:G$11)=MIN('Dataset'!G$5:G$11),0,('Dataset'!G10-MIN('Dataset'!G$5:G$11))/(MAX('Dataset'!G$5:G$11)-MIN('Dataset'!G$5:G$11))),'Dataset'!G10)</f>
        <v>0</v>
      </c>
      <c r="G10" s="67">
        <f>IF('Dataset'!H$12=1,IF(MAX('Dataset'!H$5:H$11)=MIN('Dataset'!H$5:H$11),0,('Dataset'!H10-MIN('Dataset'!H$5:H$11))/(MAX('Dataset'!H$5:H$11)-MIN('Dataset'!H$5:H$11))),'Dataset'!H10)</f>
        <v>0</v>
      </c>
      <c r="H10" s="67">
        <f>IF('Dataset'!I$12=1,IF(MAX('Dataset'!I$5:I$11)=MIN('Dataset'!I$5:I$11),0,('Dataset'!I10-MIN('Dataset'!I$5:I$11))/(MAX('Dataset'!I$5:I$11)-MIN('Dataset'!I$5:I$11))),'Dataset'!I10)</f>
        <v>0</v>
      </c>
      <c r="I10" s="65">
        <f>IF('Dataset'!J$12=1,IF(MAX('Dataset'!J$5:J$11)=MIN('Dataset'!J$5:J$11),0,('Dataset'!J10-MIN('Dataset'!J$5:J$11))/(MAX('Dataset'!J$5:J$11)-MIN('Dataset'!J$5:J$11))),'Dataset'!J10)</f>
        <v>0.425925925925926</v>
      </c>
      <c r="J10" s="67">
        <f>IF('Dataset'!K$12=1,IF(MAX('Dataset'!K$5:K$11)=MIN('Dataset'!K$5:K$11),0,('Dataset'!K10-MIN('Dataset'!K$5:K$11))/(MAX('Dataset'!K$5:K$11)-MIN('Dataset'!K$5:K$11))),'Dataset'!K10)</f>
        <v>0</v>
      </c>
      <c r="K10" s="65">
        <f>IF('Dataset'!L$12=1,IF(MAX('Dataset'!L$5:L$11)=MIN('Dataset'!L$5:L$11),0,('Dataset'!L10-MIN('Dataset'!L$5:L$11))/(MAX('Dataset'!L$5:L$11)-MIN('Dataset'!L$5:L$11))),'Dataset'!L10)</f>
        <v>0</v>
      </c>
      <c r="L10" s="67">
        <f>IF('Dataset'!M$12=1,IF(MAX('Dataset'!M$5:M$11)=MIN('Dataset'!M$5:M$11),0,('Dataset'!M10-MIN('Dataset'!M$5:M$11))/(MAX('Dataset'!M$5:M$11)-MIN('Dataset'!M$5:M$11))),'Dataset'!M10)</f>
        <v>2</v>
      </c>
      <c r="M10" s="65">
        <f>IF('Dataset'!N$12=1,IF(MAX('Dataset'!N$5:N$11)=MIN('Dataset'!N$5:N$11),0,('Dataset'!N10-MIN('Dataset'!N$5:N$11))/(MAX('Dataset'!N$5:N$11)-MIN('Dataset'!N$5:N$11))),'Dataset'!N10)</f>
        <v>0</v>
      </c>
      <c r="N10" s="67">
        <f>IF('Dataset'!O$12=1,IF(MAX('Dataset'!O$5:O$11)=MIN('Dataset'!O$5:O$11),0,('Dataset'!O10-MIN('Dataset'!O$5:O$11))/(MAX('Dataset'!O$5:O$11)-MIN('Dataset'!O$5:O$11))),'Dataset'!O10)</f>
        <v>6</v>
      </c>
      <c r="O10" s="68">
        <f>'Dataset'!P10</f>
        <v>1</v>
      </c>
    </row>
    <row r="11">
      <c r="A11" s="62" t="inlineStr">
        <is>
          <t xml:space="preserve">S₇</t>
        </is>
      </c>
      <c r="B11" s="65">
        <f>IF('Dataset'!C$12=1,IF(MAX('Dataset'!C$5:C$11)=MIN('Dataset'!C$5:C$11),0,('Dataset'!C11-MIN('Dataset'!C$5:C$11))/(MAX('Dataset'!C$5:C$11)-MIN('Dataset'!C$5:C$11))),'Dataset'!C11)</f>
        <v>0.206896551724138</v>
      </c>
      <c r="C11" s="67">
        <f>IF('Dataset'!D$12=1,IF(MAX('Dataset'!D$5:D$11)=MIN('Dataset'!D$5:D$11),0,('Dataset'!D11-MIN('Dataset'!D$5:D$11))/(MAX('Dataset'!D$5:D$11)-MIN('Dataset'!D$5:D$11))),'Dataset'!D11)</f>
        <v>1</v>
      </c>
      <c r="D11" s="67">
        <f>IF('Dataset'!E$12=1,IF(MAX('Dataset'!E$5:E$11)=MIN('Dataset'!E$5:E$11),0,('Dataset'!E11-MIN('Dataset'!E$5:E$11))/(MAX('Dataset'!E$5:E$11)-MIN('Dataset'!E$5:E$11))),'Dataset'!E11)</f>
        <v>3</v>
      </c>
      <c r="E11" s="65">
        <f>IF('Dataset'!F$12=1,IF(MAX('Dataset'!F$5:F$11)=MIN('Dataset'!F$5:F$11),0,('Dataset'!F11-MIN('Dataset'!F$5:F$11))/(MAX('Dataset'!F$5:F$11)-MIN('Dataset'!F$5:F$11))),'Dataset'!F11)</f>
        <v>0.307692307692308</v>
      </c>
      <c r="F11" s="65">
        <f>IF('Dataset'!G$12=1,IF(MAX('Dataset'!G$5:G$11)=MIN('Dataset'!G$5:G$11),0,('Dataset'!G11-MIN('Dataset'!G$5:G$11))/(MAX('Dataset'!G$5:G$11)-MIN('Dataset'!G$5:G$11))),'Dataset'!G11)</f>
        <v>0.264705882352941</v>
      </c>
      <c r="G11" s="67">
        <f>IF('Dataset'!H$12=1,IF(MAX('Dataset'!H$5:H$11)=MIN('Dataset'!H$5:H$11),0,('Dataset'!H11-MIN('Dataset'!H$5:H$11))/(MAX('Dataset'!H$5:H$11)-MIN('Dataset'!H$5:H$11))),'Dataset'!H11)</f>
        <v>0</v>
      </c>
      <c r="H11" s="67">
        <f>IF('Dataset'!I$12=1,IF(MAX('Dataset'!I$5:I$11)=MIN('Dataset'!I$5:I$11),0,('Dataset'!I11-MIN('Dataset'!I$5:I$11))/(MAX('Dataset'!I$5:I$11)-MIN('Dataset'!I$5:I$11))),'Dataset'!I11)</f>
        <v>2</v>
      </c>
      <c r="I11" s="65">
        <f>IF('Dataset'!J$12=1,IF(MAX('Dataset'!J$5:J$11)=MIN('Dataset'!J$5:J$11),0,('Dataset'!J11-MIN('Dataset'!J$5:J$11))/(MAX('Dataset'!J$5:J$11)-MIN('Dataset'!J$5:J$11))),'Dataset'!J11)</f>
        <v>0.87037037037037</v>
      </c>
      <c r="J11" s="67">
        <f>IF('Dataset'!K$12=1,IF(MAX('Dataset'!K$5:K$11)=MIN('Dataset'!K$5:K$11),0,('Dataset'!K11-MIN('Dataset'!K$5:K$11))/(MAX('Dataset'!K$5:K$11)-MIN('Dataset'!K$5:K$11))),'Dataset'!K11)</f>
        <v>0</v>
      </c>
      <c r="K11" s="65">
        <f>IF('Dataset'!L$12=1,IF(MAX('Dataset'!L$5:L$11)=MIN('Dataset'!L$5:L$11),0,('Dataset'!L11-MIN('Dataset'!L$5:L$11))/(MAX('Dataset'!L$5:L$11)-MIN('Dataset'!L$5:L$11))),'Dataset'!L11)</f>
        <v>0</v>
      </c>
      <c r="L11" s="67">
        <f>IF('Dataset'!M$12=1,IF(MAX('Dataset'!M$5:M$11)=MIN('Dataset'!M$5:M$11),0,('Dataset'!M11-MIN('Dataset'!M$5:M$11))/(MAX('Dataset'!M$5:M$11)-MIN('Dataset'!M$5:M$11))),'Dataset'!M11)</f>
        <v>1</v>
      </c>
      <c r="M11" s="65">
        <f>IF('Dataset'!N$12=1,IF(MAX('Dataset'!N$5:N$11)=MIN('Dataset'!N$5:N$11),0,('Dataset'!N11-MIN('Dataset'!N$5:N$11))/(MAX('Dataset'!N$5:N$11)-MIN('Dataset'!N$5:N$11))),'Dataset'!N11)</f>
        <v>0</v>
      </c>
      <c r="N11" s="67">
        <f>IF('Dataset'!O$12=1,IF(MAX('Dataset'!O$5:O$11)=MIN('Dataset'!O$5:O$11),0,('Dataset'!O11-MIN('Dataset'!O$5:O$11))/(MAX('Dataset'!O$5:O$11)-MIN('Dataset'!O$5:O$11))),'Dataset'!O11)</f>
        <v>3</v>
      </c>
      <c r="O11" s="68">
        <f>'Dataset'!P11</f>
        <v>1</v>
      </c>
    </row>
    <row r="12">
      <c r="A12" s="69" t="inlineStr">
        <is>
          <t xml:space="preserve">Type</t>
        </is>
      </c>
      <c r="B12" s="69">
        <f>'Dataset'!C$12</f>
        <v>1</v>
      </c>
      <c r="C12" s="69">
        <f>'Dataset'!D$12</f>
        <v>0</v>
      </c>
      <c r="D12" s="69">
        <f>'Dataset'!E$12</f>
        <v>0</v>
      </c>
      <c r="E12" s="69">
        <f>'Dataset'!F$12</f>
        <v>1</v>
      </c>
      <c r="F12" s="69">
        <f>'Dataset'!G$12</f>
        <v>1</v>
      </c>
      <c r="G12" s="69">
        <f>'Dataset'!H$12</f>
        <v>0</v>
      </c>
      <c r="H12" s="69">
        <f>'Dataset'!I$12</f>
        <v>0</v>
      </c>
      <c r="I12" s="69">
        <f>'Dataset'!J$12</f>
        <v>1</v>
      </c>
      <c r="J12" s="69">
        <f>'Dataset'!K$12</f>
        <v>0</v>
      </c>
      <c r="K12" s="69">
        <f>'Dataset'!L$12</f>
        <v>1</v>
      </c>
      <c r="L12" s="69">
        <f>'Dataset'!M$12</f>
        <v>0</v>
      </c>
      <c r="M12" s="69">
        <f>'Dataset'!N$12</f>
        <v>1</v>
      </c>
      <c r="N12" s="69">
        <f>'Dataset'!O$12</f>
        <v>0</v>
      </c>
      <c r="O12" s="69" t="inlineStr">
        <is>
          <t xml:space="preserve">1 = I</t>
        </is>
      </c>
    </row>
    <row r="13">
      <c r="A13" s="72" t="inlineStr">
        <is>
          <t xml:space="preserve">min</t>
        </is>
      </c>
      <c r="B13" s="71">
        <f>IF(B$12=1,MIN('Dataset'!C$5:C$11),"—")</f>
        <v>41</v>
      </c>
      <c r="C13" s="71" t="str">
        <f>IF(C$12=1,MIN('Dataset'!D$5:D$11),"—")</f>
        <v>—</v>
      </c>
      <c r="D13" s="71" t="str">
        <f>IF(D$12=1,MIN('Dataset'!E$5:E$11),"—")</f>
        <v>—</v>
      </c>
      <c r="E13" s="71">
        <f>IF(E$12=1,MIN('Dataset'!F$5:F$11),"—")</f>
        <v>130</v>
      </c>
      <c r="F13" s="71">
        <f>IF(F$12=1,MIN('Dataset'!G$5:G$11),"—")</f>
        <v>203</v>
      </c>
      <c r="G13" s="71" t="str">
        <f>IF(G$12=1,MIN('Dataset'!H$5:H$11),"—")</f>
        <v>—</v>
      </c>
      <c r="H13" s="71" t="str">
        <f>IF(H$12=1,MIN('Dataset'!I$5:I$11),"—")</f>
        <v>—</v>
      </c>
      <c r="I13" s="71">
        <f>IF(I$12=1,MIN('Dataset'!J$5:J$11),"—")</f>
        <v>109</v>
      </c>
      <c r="J13" s="71" t="str">
        <f>IF(J$12=1,MIN('Dataset'!K$5:K$11),"—")</f>
        <v>—</v>
      </c>
      <c r="K13" s="71">
        <f>IF(K$12=1,MIN('Dataset'!L$5:L$11),"—")</f>
        <v>0</v>
      </c>
      <c r="L13" s="71" t="str">
        <f>IF(L$12=1,MIN('Dataset'!M$5:M$11),"—")</f>
        <v>—</v>
      </c>
      <c r="M13" s="71">
        <f>IF(M$12=1,MIN('Dataset'!N$5:N$11),"—")</f>
        <v>0</v>
      </c>
      <c r="N13" s="71" t="str">
        <f>IF(N$12=1,MIN('Dataset'!O$5:O$11),"—")</f>
        <v>—</v>
      </c>
      <c r="O13" s="71" t="inlineStr">
        <is>
          <t xml:space="preserve"/>
        </is>
      </c>
    </row>
    <row r="14">
      <c r="A14" s="72" t="inlineStr">
        <is>
          <t xml:space="preserve">max</t>
        </is>
      </c>
      <c r="B14" s="71">
        <f>IF(B$12=1,MAX('Dataset'!C$5:C$11),"—")</f>
        <v>70</v>
      </c>
      <c r="C14" s="71" t="str">
        <f>IF(C$12=1,MAX('Dataset'!D$5:D$11),"—")</f>
        <v>—</v>
      </c>
      <c r="D14" s="71" t="str">
        <f>IF(D$12=1,MAX('Dataset'!E$5:E$11),"—")</f>
        <v>—</v>
      </c>
      <c r="E14" s="71">
        <f>IF(E$12=1,MAX('Dataset'!F$5:F$11),"—")</f>
        <v>156</v>
      </c>
      <c r="F14" s="71">
        <f>IF(F$12=1,MAX('Dataset'!G$5:G$11),"—")</f>
        <v>407</v>
      </c>
      <c r="G14" s="71" t="str">
        <f>IF(G$12=1,MAX('Dataset'!H$5:H$11),"—")</f>
        <v>—</v>
      </c>
      <c r="H14" s="71" t="str">
        <f>IF(H$12=1,MAX('Dataset'!I$5:I$11),"—")</f>
        <v>—</v>
      </c>
      <c r="I14" s="71">
        <f>IF(I$12=1,MAX('Dataset'!J$5:J$11),"—")</f>
        <v>163</v>
      </c>
      <c r="J14" s="71" t="str">
        <f>IF(J$12=1,MAX('Dataset'!K$5:K$11),"—")</f>
        <v>—</v>
      </c>
      <c r="K14" s="71">
        <f>IF(K$12=1,MAX('Dataset'!L$5:L$11),"—")</f>
        <v>4</v>
      </c>
      <c r="L14" s="71" t="str">
        <f>IF(L$12=1,MAX('Dataset'!M$5:M$11),"—")</f>
        <v>—</v>
      </c>
      <c r="M14" s="71">
        <f>IF(M$12=1,MAX('Dataset'!N$5:N$11),"—")</f>
        <v>3</v>
      </c>
      <c r="N14" s="71" t="str">
        <f>IF(N$12=1,MAX('Dataset'!O$5:O$11),"—")</f>
        <v>—</v>
      </c>
      <c r="O14" s="71" t="inlineStr">
        <is>
          <t xml:space="preserve"/>
        </is>
      </c>
    </row>
    <row r="15"/>
    <row r="16">
      <c r="A16" s="100" t="inlineStr">
        <is>
          <t xml:space="preserve">Type 1 = quantitative (set I): rescaled with the fractional-linear (min–max) transform; min and max are taken over the selected objects S₁ … S₇.</t>
        </is>
      </c>
    </row>
    <row r="17">
      <c r="A17" s="100" t="inlineStr">
        <is>
          <t xml:space="preserve">Type 0 = nominal (set J): the code is kept, because the metric only asks whether two codes are equal.</t>
        </is>
      </c>
    </row>
  </sheetData>
  <mergeCells count="2">
    <mergeCell ref="A1:O1"/>
    <mergeCell ref="A3:O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H3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8" width="11.77734375" customWidth="1"/>
  </cols>
  <sheetData>
    <row r="1" ht="20" customHeight="1">
      <c r="A1" s="57" t="inlineStr">
        <is>
          <t xml:space="preserve">Step 0 · Pairwise Zhuravlev distances ρ = ρ_I + ρ_J for all objects (row = Sᵢ, column = Sⱼ)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ρ(Sᵢ, Sⱼ) · Zhuravlev distance = quantitative part + nominal part</t>
        </is>
      </c>
      <c r="B3" s="58"/>
      <c r="C3" s="58"/>
      <c r="D3" s="58"/>
      <c r="E3" s="58"/>
      <c r="F3" s="58"/>
      <c r="G3" s="58"/>
      <c r="H3" s="58"/>
    </row>
    <row r="4">
      <c r="A4" s="60" t="inlineStr">
        <is>
          <t xml:space="preserve">ρ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</row>
    <row r="5">
      <c r="A5" s="62" t="inlineStr">
        <is>
          <t xml:space="preserve">S₁</t>
        </is>
      </c>
      <c r="B5" s="74">
        <f>ROUND(B15+B25,10)</f>
        <v>0</v>
      </c>
      <c r="C5" s="73">
        <f>ROUND(C15+C25,10)</f>
        <v>4.6606100796</v>
      </c>
      <c r="D5" s="73">
        <f>ROUND(D15+D25,10)</f>
        <v>5.60708061</v>
      </c>
      <c r="E5" s="73">
        <f>ROUND(E15+E25,10)</f>
        <v>6.6272117335</v>
      </c>
      <c r="F5" s="73">
        <f>ROUND(F15+F25,10)</f>
        <v>4.8565209225</v>
      </c>
      <c r="G5" s="73">
        <f>ROUND(G15+G25,10)</f>
        <v>6.8015669516</v>
      </c>
      <c r="H5" s="73">
        <f>ROUND(H15+H25,10)</f>
        <v>5.8897935773</v>
      </c>
    </row>
    <row r="6">
      <c r="A6" s="62" t="inlineStr">
        <is>
          <t xml:space="preserve">S₂</t>
        </is>
      </c>
      <c r="B6" s="73">
        <f>ROUND(B16+B26,10)</f>
        <v>4.6606100796</v>
      </c>
      <c r="C6" s="74">
        <f>ROUND(C16+C26,10)</f>
        <v>0</v>
      </c>
      <c r="D6" s="73">
        <f>ROUND(D16+D26,10)</f>
        <v>7.4699698919</v>
      </c>
      <c r="E6" s="73">
        <f>ROUND(E16+E26,10)</f>
        <v>6.3691657565</v>
      </c>
      <c r="F6" s="73">
        <f>ROUND(F16+F26,10)</f>
        <v>6.104089157</v>
      </c>
      <c r="G6" s="73">
        <f>ROUND(G16+G26,10)</f>
        <v>8.742951174</v>
      </c>
      <c r="H6" s="73">
        <f>ROUND(H16+H26,10)</f>
        <v>7.7855937542</v>
      </c>
    </row>
    <row r="7">
      <c r="A7" s="62" t="inlineStr">
        <is>
          <t xml:space="preserve">S₃</t>
        </is>
      </c>
      <c r="B7" s="73">
        <f>ROUND(B17+B27,10)</f>
        <v>5.60708061</v>
      </c>
      <c r="C7" s="73">
        <f>ROUND(C17+C27,10)</f>
        <v>7.4699698919</v>
      </c>
      <c r="D7" s="74">
        <f>ROUND(D17+D27,10)</f>
        <v>0</v>
      </c>
      <c r="E7" s="73">
        <f>ROUND(E17+E27,10)</f>
        <v>6.2175670209</v>
      </c>
      <c r="F7" s="73">
        <f>ROUND(F17+F27,10)</f>
        <v>7.3117496807</v>
      </c>
      <c r="G7" s="73">
        <f>ROUND(G17+G27,10)</f>
        <v>5.2172783643</v>
      </c>
      <c r="H7" s="73">
        <f>ROUND(H17+H27,10)</f>
        <v>2.7849754107</v>
      </c>
    </row>
    <row r="8">
      <c r="A8" s="62" t="inlineStr">
        <is>
          <t xml:space="preserve">S₄</t>
        </is>
      </c>
      <c r="B8" s="73">
        <f>ROUND(B18+B28,10)</f>
        <v>6.6272117335</v>
      </c>
      <c r="C8" s="73">
        <f>ROUND(C18+C28,10)</f>
        <v>6.3691657565</v>
      </c>
      <c r="D8" s="73">
        <f>ROUND(D18+D28,10)</f>
        <v>6.2175670209</v>
      </c>
      <c r="E8" s="74">
        <f>ROUND(E18+E28,10)</f>
        <v>0</v>
      </c>
      <c r="F8" s="73">
        <f>ROUND(F18+F28,10)</f>
        <v>7.8491221835</v>
      </c>
      <c r="G8" s="73">
        <f>ROUND(G18+G28,10)</f>
        <v>3.7071187508</v>
      </c>
      <c r="H8" s="73">
        <f>ROUND(H18+H28,10)</f>
        <v>3.9109813746</v>
      </c>
    </row>
    <row r="9">
      <c r="A9" s="62" t="inlineStr">
        <is>
          <t xml:space="preserve">S₅</t>
        </is>
      </c>
      <c r="B9" s="73">
        <f>ROUND(B19+B29,10)</f>
        <v>4.8565209225</v>
      </c>
      <c r="C9" s="73">
        <f>ROUND(C19+C29,10)</f>
        <v>6.104089157</v>
      </c>
      <c r="D9" s="73">
        <f>ROUND(D19+D29,10)</f>
        <v>7.3117496807</v>
      </c>
      <c r="E9" s="73">
        <f>ROUND(E19+E29,10)</f>
        <v>7.8491221835</v>
      </c>
      <c r="F9" s="74">
        <f>ROUND(F19+F29,10)</f>
        <v>0</v>
      </c>
      <c r="G9" s="73">
        <f>ROUND(G19+G29,10)</f>
        <v>9.0234774016</v>
      </c>
      <c r="H9" s="73">
        <f>ROUND(H19+H29,10)</f>
        <v>7.1117040273</v>
      </c>
    </row>
    <row r="10">
      <c r="A10" s="62" t="inlineStr">
        <is>
          <t xml:space="preserve">S₆</t>
        </is>
      </c>
      <c r="B10" s="73">
        <f>ROUND(B20+B30,10)</f>
        <v>6.8015669516</v>
      </c>
      <c r="C10" s="73">
        <f>ROUND(C20+C30,10)</f>
        <v>8.742951174</v>
      </c>
      <c r="D10" s="73">
        <f>ROUND(D20+D30,10)</f>
        <v>5.2172783643</v>
      </c>
      <c r="E10" s="73">
        <f>ROUND(E20+E30,10)</f>
        <v>3.7071187508</v>
      </c>
      <c r="F10" s="73">
        <f>ROUND(F20+F30,10)</f>
        <v>9.0234774016</v>
      </c>
      <c r="G10" s="74">
        <f>ROUND(G20+G30,10)</f>
        <v>0</v>
      </c>
      <c r="H10" s="73">
        <f>ROUND(H20+H30,10)</f>
        <v>5.0314314939</v>
      </c>
    </row>
    <row r="11">
      <c r="A11" s="62" t="inlineStr">
        <is>
          <t xml:space="preserve">S₇</t>
        </is>
      </c>
      <c r="B11" s="73">
        <f>ROUND(B21+B31,10)</f>
        <v>5.8897935773</v>
      </c>
      <c r="C11" s="73">
        <f>ROUND(C21+C31,10)</f>
        <v>7.7855937542</v>
      </c>
      <c r="D11" s="73">
        <f>ROUND(D21+D31,10)</f>
        <v>2.7849754107</v>
      </c>
      <c r="E11" s="73">
        <f>ROUND(E21+E31,10)</f>
        <v>3.9109813746</v>
      </c>
      <c r="F11" s="73">
        <f>ROUND(F21+F31,10)</f>
        <v>7.1117040273</v>
      </c>
      <c r="G11" s="73">
        <f>ROUND(G21+G31,10)</f>
        <v>5.0314314939</v>
      </c>
      <c r="H11" s="74">
        <f>ROUND(H21+H31,10)</f>
        <v>0</v>
      </c>
    </row>
    <row r="12"/>
    <row r="13">
      <c r="A13" s="58" t="inlineStr">
        <is>
          <t xml:space="preserve">ρ_I · quantitative part  Σ(j∈I) |x′ⱼ − y′ⱼ|  (Step 0 values)</t>
        </is>
      </c>
      <c r="B13" s="58"/>
      <c r="C13" s="58"/>
      <c r="D13" s="58"/>
      <c r="E13" s="58"/>
      <c r="F13" s="58"/>
      <c r="G13" s="58"/>
      <c r="H13" s="58"/>
    </row>
    <row r="14">
      <c r="A14" s="60" t="inlineStr">
        <is>
          <t xml:space="preserve">ρ_I</t>
        </is>
      </c>
      <c r="B14" s="60" t="inlineStr">
        <is>
          <t xml:space="preserve">S₁</t>
        </is>
      </c>
      <c r="C14" s="60" t="inlineStr">
        <is>
          <t xml:space="preserve">S₂</t>
        </is>
      </c>
      <c r="D14" s="60" t="inlineStr">
        <is>
          <t xml:space="preserve">S₃</t>
        </is>
      </c>
      <c r="E14" s="60" t="inlineStr">
        <is>
          <t xml:space="preserve">S₄</t>
        </is>
      </c>
      <c r="F14" s="60" t="inlineStr">
        <is>
          <t xml:space="preserve">S₅</t>
        </is>
      </c>
      <c r="G14" s="60" t="inlineStr">
        <is>
          <t xml:space="preserve">S₆</t>
        </is>
      </c>
      <c r="H14" s="60" t="inlineStr">
        <is>
          <t xml:space="preserve">S₇</t>
        </is>
      </c>
    </row>
    <row r="15">
      <c r="A15" s="62" t="inlineStr">
        <is>
          <t xml:space="preserve">S₁</t>
        </is>
      </c>
      <c r="B15" s="74">
        <f>ROUND(SUMPRODUCT('Dataset'!$C$12:$O$12,ABS('Normalized Dataset'!$B$5:$N$5-'Normalized Dataset'!$B$5:$N$5)),10)</f>
        <v>0</v>
      </c>
      <c r="C15" s="73">
        <f>ROUND(SUMPRODUCT('Dataset'!$C$12:$O$12,ABS('Normalized Dataset'!$B$5:$N$5-'Normalized Dataset'!$B$6:$N$6)),10)</f>
        <v>2.6606100796</v>
      </c>
      <c r="D15" s="73">
        <f>ROUND(SUMPRODUCT('Dataset'!$C$12:$O$12,ABS('Normalized Dataset'!$B$5:$N$5-'Normalized Dataset'!$B$7:$N$7)),10)</f>
        <v>3.60708061</v>
      </c>
      <c r="E15" s="73">
        <f>ROUND(SUMPRODUCT('Dataset'!$C$12:$O$12,ABS('Normalized Dataset'!$B$5:$N$5-'Normalized Dataset'!$B$8:$N$8)),10)</f>
        <v>3.6272117335</v>
      </c>
      <c r="F15" s="73">
        <f>ROUND(SUMPRODUCT('Dataset'!$C$12:$O$12,ABS('Normalized Dataset'!$B$5:$N$5-'Normalized Dataset'!$B$9:$N$9)),10)</f>
        <v>0.8565209225</v>
      </c>
      <c r="G15" s="73">
        <f>ROUND(SUMPRODUCT('Dataset'!$C$12:$O$12,ABS('Normalized Dataset'!$B$5:$N$5-'Normalized Dataset'!$B$10:$N$10)),10)</f>
        <v>3.8015669516</v>
      </c>
      <c r="H15" s="73">
        <f>ROUND(SUMPRODUCT('Dataset'!$C$12:$O$12,ABS('Normalized Dataset'!$B$5:$N$5-'Normalized Dataset'!$B$11:$N$11)),10)</f>
        <v>3.8897935773</v>
      </c>
    </row>
    <row r="16">
      <c r="A16" s="62" t="inlineStr">
        <is>
          <t xml:space="preserve">S₂</t>
        </is>
      </c>
      <c r="B16" s="73">
        <f>ROUND(SUMPRODUCT('Dataset'!$C$12:$O$12,ABS('Normalized Dataset'!$B$6:$N$6-'Normalized Dataset'!$B$5:$N$5)),10)</f>
        <v>2.6606100796</v>
      </c>
      <c r="C16" s="74">
        <f>ROUND(SUMPRODUCT('Dataset'!$C$12:$O$12,ABS('Normalized Dataset'!$B$6:$N$6-'Normalized Dataset'!$B$6:$N$6)),10)</f>
        <v>0</v>
      </c>
      <c r="D16" s="73">
        <f>ROUND(SUMPRODUCT('Dataset'!$C$12:$O$12,ABS('Normalized Dataset'!$B$6:$N$6-'Normalized Dataset'!$B$7:$N$7)),10)</f>
        <v>3.4699698919</v>
      </c>
      <c r="E16" s="73">
        <f>ROUND(SUMPRODUCT('Dataset'!$C$12:$O$12,ABS('Normalized Dataset'!$B$6:$N$6-'Normalized Dataset'!$B$8:$N$8)),10)</f>
        <v>3.3691657565</v>
      </c>
      <c r="F16" s="73">
        <f>ROUND(SUMPRODUCT('Dataset'!$C$12:$O$12,ABS('Normalized Dataset'!$B$6:$N$6-'Normalized Dataset'!$B$9:$N$9)),10)</f>
        <v>2.104089157</v>
      </c>
      <c r="G16" s="73">
        <f>ROUND(SUMPRODUCT('Dataset'!$C$12:$O$12,ABS('Normalized Dataset'!$B$6:$N$6-'Normalized Dataset'!$B$10:$N$10)),10)</f>
        <v>4.742951174</v>
      </c>
      <c r="H16" s="73">
        <f>ROUND(SUMPRODUCT('Dataset'!$C$12:$O$12,ABS('Normalized Dataset'!$B$6:$N$6-'Normalized Dataset'!$B$11:$N$11)),10)</f>
        <v>3.7855937542</v>
      </c>
    </row>
    <row r="17">
      <c r="A17" s="62" t="inlineStr">
        <is>
          <t xml:space="preserve">S₃</t>
        </is>
      </c>
      <c r="B17" s="73">
        <f>ROUND(SUMPRODUCT('Dataset'!$C$12:$O$12,ABS('Normalized Dataset'!$B$7:$N$7-'Normalized Dataset'!$B$5:$N$5)),10)</f>
        <v>3.60708061</v>
      </c>
      <c r="C17" s="73">
        <f>ROUND(SUMPRODUCT('Dataset'!$C$12:$O$12,ABS('Normalized Dataset'!$B$7:$N$7-'Normalized Dataset'!$B$6:$N$6)),10)</f>
        <v>3.4699698919</v>
      </c>
      <c r="D17" s="74">
        <f>ROUND(SUMPRODUCT('Dataset'!$C$12:$O$12,ABS('Normalized Dataset'!$B$7:$N$7-'Normalized Dataset'!$B$7:$N$7)),10)</f>
        <v>0</v>
      </c>
      <c r="E17" s="73">
        <f>ROUND(SUMPRODUCT('Dataset'!$C$12:$O$12,ABS('Normalized Dataset'!$B$7:$N$7-'Normalized Dataset'!$B$8:$N$8)),10)</f>
        <v>2.2175670209</v>
      </c>
      <c r="F17" s="73">
        <f>ROUND(SUMPRODUCT('Dataset'!$C$12:$O$12,ABS('Normalized Dataset'!$B$7:$N$7-'Normalized Dataset'!$B$9:$N$9)),10)</f>
        <v>3.3117496807</v>
      </c>
      <c r="G17" s="73">
        <f>ROUND(SUMPRODUCT('Dataset'!$C$12:$O$12,ABS('Normalized Dataset'!$B$7:$N$7-'Normalized Dataset'!$B$10:$N$10)),10)</f>
        <v>2.2172783643</v>
      </c>
      <c r="H17" s="73">
        <f>ROUND(SUMPRODUCT('Dataset'!$C$12:$O$12,ABS('Normalized Dataset'!$B$7:$N$7-'Normalized Dataset'!$B$11:$N$11)),10)</f>
        <v>1.7849754107</v>
      </c>
    </row>
    <row r="18">
      <c r="A18" s="62" t="inlineStr">
        <is>
          <t xml:space="preserve">S₄</t>
        </is>
      </c>
      <c r="B18" s="73">
        <f>ROUND(SUMPRODUCT('Dataset'!$C$12:$O$12,ABS('Normalized Dataset'!$B$8:$N$8-'Normalized Dataset'!$B$5:$N$5)),10)</f>
        <v>3.6272117335</v>
      </c>
      <c r="C18" s="73">
        <f>ROUND(SUMPRODUCT('Dataset'!$C$12:$O$12,ABS('Normalized Dataset'!$B$8:$N$8-'Normalized Dataset'!$B$6:$N$6)),10)</f>
        <v>3.3691657565</v>
      </c>
      <c r="D18" s="73">
        <f>ROUND(SUMPRODUCT('Dataset'!$C$12:$O$12,ABS('Normalized Dataset'!$B$8:$N$8-'Normalized Dataset'!$B$7:$N$7)),10)</f>
        <v>2.2175670209</v>
      </c>
      <c r="E18" s="74">
        <f>ROUND(SUMPRODUCT('Dataset'!$C$12:$O$12,ABS('Normalized Dataset'!$B$8:$N$8-'Normalized Dataset'!$B$8:$N$8)),10)</f>
        <v>0</v>
      </c>
      <c r="F18" s="73">
        <f>ROUND(SUMPRODUCT('Dataset'!$C$12:$O$12,ABS('Normalized Dataset'!$B$8:$N$8-'Normalized Dataset'!$B$9:$N$9)),10)</f>
        <v>2.8491221835</v>
      </c>
      <c r="G18" s="73">
        <f>ROUND(SUMPRODUCT('Dataset'!$C$12:$O$12,ABS('Normalized Dataset'!$B$8:$N$8-'Normalized Dataset'!$B$10:$N$10)),10)</f>
        <v>1.7071187508</v>
      </c>
      <c r="H18" s="73">
        <f>ROUND(SUMPRODUCT('Dataset'!$C$12:$O$12,ABS('Normalized Dataset'!$B$8:$N$8-'Normalized Dataset'!$B$11:$N$11)),10)</f>
        <v>0.9109813746</v>
      </c>
    </row>
    <row r="19">
      <c r="A19" s="62" t="inlineStr">
        <is>
          <t xml:space="preserve">S₅</t>
        </is>
      </c>
      <c r="B19" s="73">
        <f>ROUND(SUMPRODUCT('Dataset'!$C$12:$O$12,ABS('Normalized Dataset'!$B$9:$N$9-'Normalized Dataset'!$B$5:$N$5)),10)</f>
        <v>0.8565209225</v>
      </c>
      <c r="C19" s="73">
        <f>ROUND(SUMPRODUCT('Dataset'!$C$12:$O$12,ABS('Normalized Dataset'!$B$9:$N$9-'Normalized Dataset'!$B$6:$N$6)),10)</f>
        <v>2.104089157</v>
      </c>
      <c r="D19" s="73">
        <f>ROUND(SUMPRODUCT('Dataset'!$C$12:$O$12,ABS('Normalized Dataset'!$B$9:$N$9-'Normalized Dataset'!$B$7:$N$7)),10)</f>
        <v>3.3117496807</v>
      </c>
      <c r="E19" s="73">
        <f>ROUND(SUMPRODUCT('Dataset'!$C$12:$O$12,ABS('Normalized Dataset'!$B$9:$N$9-'Normalized Dataset'!$B$8:$N$8)),10)</f>
        <v>2.8491221835</v>
      </c>
      <c r="F19" s="74">
        <f>ROUND(SUMPRODUCT('Dataset'!$C$12:$O$12,ABS('Normalized Dataset'!$B$9:$N$9-'Normalized Dataset'!$B$9:$N$9)),10)</f>
        <v>0</v>
      </c>
      <c r="G19" s="73">
        <f>ROUND(SUMPRODUCT('Dataset'!$C$12:$O$12,ABS('Normalized Dataset'!$B$9:$N$9-'Normalized Dataset'!$B$10:$N$10)),10)</f>
        <v>3.0234774016</v>
      </c>
      <c r="H19" s="73">
        <f>ROUND(SUMPRODUCT('Dataset'!$C$12:$O$12,ABS('Normalized Dataset'!$B$9:$N$9-'Normalized Dataset'!$B$11:$N$11)),10)</f>
        <v>3.1117040273</v>
      </c>
    </row>
    <row r="20">
      <c r="A20" s="62" t="inlineStr">
        <is>
          <t xml:space="preserve">S₆</t>
        </is>
      </c>
      <c r="B20" s="73">
        <f>ROUND(SUMPRODUCT('Dataset'!$C$12:$O$12,ABS('Normalized Dataset'!$B$10:$N$10-'Normalized Dataset'!$B$5:$N$5)),10)</f>
        <v>3.8015669516</v>
      </c>
      <c r="C20" s="73">
        <f>ROUND(SUMPRODUCT('Dataset'!$C$12:$O$12,ABS('Normalized Dataset'!$B$10:$N$10-'Normalized Dataset'!$B$6:$N$6)),10)</f>
        <v>4.742951174</v>
      </c>
      <c r="D20" s="73">
        <f>ROUND(SUMPRODUCT('Dataset'!$C$12:$O$12,ABS('Normalized Dataset'!$B$10:$N$10-'Normalized Dataset'!$B$7:$N$7)),10)</f>
        <v>2.2172783643</v>
      </c>
      <c r="E20" s="73">
        <f>ROUND(SUMPRODUCT('Dataset'!$C$12:$O$12,ABS('Normalized Dataset'!$B$10:$N$10-'Normalized Dataset'!$B$8:$N$8)),10)</f>
        <v>1.7071187508</v>
      </c>
      <c r="F20" s="73">
        <f>ROUND(SUMPRODUCT('Dataset'!$C$12:$O$12,ABS('Normalized Dataset'!$B$10:$N$10-'Normalized Dataset'!$B$9:$N$9)),10)</f>
        <v>3.0234774016</v>
      </c>
      <c r="G20" s="74">
        <f>ROUND(SUMPRODUCT('Dataset'!$C$12:$O$12,ABS('Normalized Dataset'!$B$10:$N$10-'Normalized Dataset'!$B$10:$N$10)),10)</f>
        <v>0</v>
      </c>
      <c r="H20" s="73">
        <f>ROUND(SUMPRODUCT('Dataset'!$C$12:$O$12,ABS('Normalized Dataset'!$B$10:$N$10-'Normalized Dataset'!$B$11:$N$11)),10)</f>
        <v>1.0314314939</v>
      </c>
    </row>
    <row r="21">
      <c r="A21" s="62" t="inlineStr">
        <is>
          <t xml:space="preserve">S₇</t>
        </is>
      </c>
      <c r="B21" s="73">
        <f>ROUND(SUMPRODUCT('Dataset'!$C$12:$O$12,ABS('Normalized Dataset'!$B$11:$N$11-'Normalized Dataset'!$B$5:$N$5)),10)</f>
        <v>3.8897935773</v>
      </c>
      <c r="C21" s="73">
        <f>ROUND(SUMPRODUCT('Dataset'!$C$12:$O$12,ABS('Normalized Dataset'!$B$11:$N$11-'Normalized Dataset'!$B$6:$N$6)),10)</f>
        <v>3.7855937542</v>
      </c>
      <c r="D21" s="73">
        <f>ROUND(SUMPRODUCT('Dataset'!$C$12:$O$12,ABS('Normalized Dataset'!$B$11:$N$11-'Normalized Dataset'!$B$7:$N$7)),10)</f>
        <v>1.7849754107</v>
      </c>
      <c r="E21" s="73">
        <f>ROUND(SUMPRODUCT('Dataset'!$C$12:$O$12,ABS('Normalized Dataset'!$B$11:$N$11-'Normalized Dataset'!$B$8:$N$8)),10)</f>
        <v>0.9109813746</v>
      </c>
      <c r="F21" s="73">
        <f>ROUND(SUMPRODUCT('Dataset'!$C$12:$O$12,ABS('Normalized Dataset'!$B$11:$N$11-'Normalized Dataset'!$B$9:$N$9)),10)</f>
        <v>3.1117040273</v>
      </c>
      <c r="G21" s="73">
        <f>ROUND(SUMPRODUCT('Dataset'!$C$12:$O$12,ABS('Normalized Dataset'!$B$11:$N$11-'Normalized Dataset'!$B$10:$N$10)),10)</f>
        <v>1.0314314939</v>
      </c>
      <c r="H21" s="74">
        <f>ROUND(SUMPRODUCT('Dataset'!$C$12:$O$12,ABS('Normalized Dataset'!$B$11:$N$11-'Normalized Dataset'!$B$11:$N$11)),10)</f>
        <v>0</v>
      </c>
    </row>
    <row r="22"/>
    <row r="23">
      <c r="A23" s="58" t="inlineStr">
        <is>
          <t xml:space="preserve">ρ_J · nominal part  Σ(j∈J) [xⱼ ≠ yⱼ]  (number of nominal features with different codes)</t>
        </is>
      </c>
      <c r="B23" s="58"/>
      <c r="C23" s="58"/>
      <c r="D23" s="58"/>
      <c r="E23" s="58"/>
      <c r="F23" s="58"/>
      <c r="G23" s="58"/>
      <c r="H23" s="58"/>
    </row>
    <row r="24">
      <c r="A24" s="60" t="inlineStr">
        <is>
          <t xml:space="preserve">ρ_J</t>
        </is>
      </c>
      <c r="B24" s="60" t="inlineStr">
        <is>
          <t xml:space="preserve">S₁</t>
        </is>
      </c>
      <c r="C24" s="60" t="inlineStr">
        <is>
          <t xml:space="preserve">S₂</t>
        </is>
      </c>
      <c r="D24" s="60" t="inlineStr">
        <is>
          <t xml:space="preserve">S₃</t>
        </is>
      </c>
      <c r="E24" s="60" t="inlineStr">
        <is>
          <t xml:space="preserve">S₄</t>
        </is>
      </c>
      <c r="F24" s="60" t="inlineStr">
        <is>
          <t xml:space="preserve">S₅</t>
        </is>
      </c>
      <c r="G24" s="60" t="inlineStr">
        <is>
          <t xml:space="preserve">S₆</t>
        </is>
      </c>
      <c r="H24" s="60" t="inlineStr">
        <is>
          <t xml:space="preserve">S₇</t>
        </is>
      </c>
    </row>
    <row r="25">
      <c r="A25" s="62" t="inlineStr">
        <is>
          <t xml:space="preserve">S₁</t>
        </is>
      </c>
      <c r="B25" s="75">
        <f>SUMPRODUCT((1-'Dataset'!$C$12:$O$12)*('Dataset'!$C$5:$O$5&lt;&gt;'Dataset'!$C$5:$O$5))</f>
        <v>0</v>
      </c>
      <c r="C25" s="76">
        <f>SUMPRODUCT((1-'Dataset'!$C$12:$O$12)*('Dataset'!$C$5:$O$5&lt;&gt;'Dataset'!$C$6:$O$6))</f>
        <v>2</v>
      </c>
      <c r="D25" s="76">
        <f>SUMPRODUCT((1-'Dataset'!$C$12:$O$12)*('Dataset'!$C$5:$O$5&lt;&gt;'Dataset'!$C$7:$O$7))</f>
        <v>2</v>
      </c>
      <c r="E25" s="76">
        <f>SUMPRODUCT((1-'Dataset'!$C$12:$O$12)*('Dataset'!$C$5:$O$5&lt;&gt;'Dataset'!$C$8:$O$8))</f>
        <v>3</v>
      </c>
      <c r="F25" s="76">
        <f>SUMPRODUCT((1-'Dataset'!$C$12:$O$12)*('Dataset'!$C$5:$O$5&lt;&gt;'Dataset'!$C$9:$O$9))</f>
        <v>4</v>
      </c>
      <c r="G25" s="76">
        <f>SUMPRODUCT((1-'Dataset'!$C$12:$O$12)*('Dataset'!$C$5:$O$5&lt;&gt;'Dataset'!$C$10:$O$10))</f>
        <v>3</v>
      </c>
      <c r="H25" s="76">
        <f>SUMPRODUCT((1-'Dataset'!$C$12:$O$12)*('Dataset'!$C$5:$O$5&lt;&gt;'Dataset'!$C$11:$O$11))</f>
        <v>2</v>
      </c>
    </row>
    <row r="26">
      <c r="A26" s="62" t="inlineStr">
        <is>
          <t xml:space="preserve">S₂</t>
        </is>
      </c>
      <c r="B26" s="76">
        <f>SUMPRODUCT((1-'Dataset'!$C$12:$O$12)*('Dataset'!$C$6:$O$6&lt;&gt;'Dataset'!$C$5:$O$5))</f>
        <v>2</v>
      </c>
      <c r="C26" s="75">
        <f>SUMPRODUCT((1-'Dataset'!$C$12:$O$12)*('Dataset'!$C$6:$O$6&lt;&gt;'Dataset'!$C$6:$O$6))</f>
        <v>0</v>
      </c>
      <c r="D26" s="76">
        <f>SUMPRODUCT((1-'Dataset'!$C$12:$O$12)*('Dataset'!$C$6:$O$6&lt;&gt;'Dataset'!$C$7:$O$7))</f>
        <v>4</v>
      </c>
      <c r="E26" s="76">
        <f>SUMPRODUCT((1-'Dataset'!$C$12:$O$12)*('Dataset'!$C$6:$O$6&lt;&gt;'Dataset'!$C$8:$O$8))</f>
        <v>3</v>
      </c>
      <c r="F26" s="76">
        <f>SUMPRODUCT((1-'Dataset'!$C$12:$O$12)*('Dataset'!$C$6:$O$6&lt;&gt;'Dataset'!$C$9:$O$9))</f>
        <v>4</v>
      </c>
      <c r="G26" s="76">
        <f>SUMPRODUCT((1-'Dataset'!$C$12:$O$12)*('Dataset'!$C$6:$O$6&lt;&gt;'Dataset'!$C$10:$O$10))</f>
        <v>4</v>
      </c>
      <c r="H26" s="76">
        <f>SUMPRODUCT((1-'Dataset'!$C$12:$O$12)*('Dataset'!$C$6:$O$6&lt;&gt;'Dataset'!$C$11:$O$11))</f>
        <v>4</v>
      </c>
    </row>
    <row r="27">
      <c r="A27" s="62" t="inlineStr">
        <is>
          <t xml:space="preserve">S₃</t>
        </is>
      </c>
      <c r="B27" s="76">
        <f>SUMPRODUCT((1-'Dataset'!$C$12:$O$12)*('Dataset'!$C$7:$O$7&lt;&gt;'Dataset'!$C$5:$O$5))</f>
        <v>2</v>
      </c>
      <c r="C27" s="76">
        <f>SUMPRODUCT((1-'Dataset'!$C$12:$O$12)*('Dataset'!$C$7:$O$7&lt;&gt;'Dataset'!$C$6:$O$6))</f>
        <v>4</v>
      </c>
      <c r="D27" s="75">
        <f>SUMPRODUCT((1-'Dataset'!$C$12:$O$12)*('Dataset'!$C$7:$O$7&lt;&gt;'Dataset'!$C$7:$O$7))</f>
        <v>0</v>
      </c>
      <c r="E27" s="76">
        <f>SUMPRODUCT((1-'Dataset'!$C$12:$O$12)*('Dataset'!$C$7:$O$7&lt;&gt;'Dataset'!$C$8:$O$8))</f>
        <v>4</v>
      </c>
      <c r="F27" s="76">
        <f>SUMPRODUCT((1-'Dataset'!$C$12:$O$12)*('Dataset'!$C$7:$O$7&lt;&gt;'Dataset'!$C$9:$O$9))</f>
        <v>4</v>
      </c>
      <c r="G27" s="76">
        <f>SUMPRODUCT((1-'Dataset'!$C$12:$O$12)*('Dataset'!$C$7:$O$7&lt;&gt;'Dataset'!$C$10:$O$10))</f>
        <v>3</v>
      </c>
      <c r="H27" s="76">
        <f>SUMPRODUCT((1-'Dataset'!$C$12:$O$12)*('Dataset'!$C$7:$O$7&lt;&gt;'Dataset'!$C$11:$O$11))</f>
        <v>1</v>
      </c>
    </row>
    <row r="28">
      <c r="A28" s="62" t="inlineStr">
        <is>
          <t xml:space="preserve">S₄</t>
        </is>
      </c>
      <c r="B28" s="76">
        <f>SUMPRODUCT((1-'Dataset'!$C$12:$O$12)*('Dataset'!$C$8:$O$8&lt;&gt;'Dataset'!$C$5:$O$5))</f>
        <v>3</v>
      </c>
      <c r="C28" s="76">
        <f>SUMPRODUCT((1-'Dataset'!$C$12:$O$12)*('Dataset'!$C$8:$O$8&lt;&gt;'Dataset'!$C$6:$O$6))</f>
        <v>3</v>
      </c>
      <c r="D28" s="76">
        <f>SUMPRODUCT((1-'Dataset'!$C$12:$O$12)*('Dataset'!$C$8:$O$8&lt;&gt;'Dataset'!$C$7:$O$7))</f>
        <v>4</v>
      </c>
      <c r="E28" s="75">
        <f>SUMPRODUCT((1-'Dataset'!$C$12:$O$12)*('Dataset'!$C$8:$O$8&lt;&gt;'Dataset'!$C$8:$O$8))</f>
        <v>0</v>
      </c>
      <c r="F28" s="76">
        <f>SUMPRODUCT((1-'Dataset'!$C$12:$O$12)*('Dataset'!$C$8:$O$8&lt;&gt;'Dataset'!$C$9:$O$9))</f>
        <v>5</v>
      </c>
      <c r="G28" s="76">
        <f>SUMPRODUCT((1-'Dataset'!$C$12:$O$12)*('Dataset'!$C$8:$O$8&lt;&gt;'Dataset'!$C$10:$O$10))</f>
        <v>2</v>
      </c>
      <c r="H28" s="76">
        <f>SUMPRODUCT((1-'Dataset'!$C$12:$O$12)*('Dataset'!$C$8:$O$8&lt;&gt;'Dataset'!$C$11:$O$11))</f>
        <v>3</v>
      </c>
    </row>
    <row r="29">
      <c r="A29" s="62" t="inlineStr">
        <is>
          <t xml:space="preserve">S₅</t>
        </is>
      </c>
      <c r="B29" s="76">
        <f>SUMPRODUCT((1-'Dataset'!$C$12:$O$12)*('Dataset'!$C$9:$O$9&lt;&gt;'Dataset'!$C$5:$O$5))</f>
        <v>4</v>
      </c>
      <c r="C29" s="76">
        <f>SUMPRODUCT((1-'Dataset'!$C$12:$O$12)*('Dataset'!$C$9:$O$9&lt;&gt;'Dataset'!$C$6:$O$6))</f>
        <v>4</v>
      </c>
      <c r="D29" s="76">
        <f>SUMPRODUCT((1-'Dataset'!$C$12:$O$12)*('Dataset'!$C$9:$O$9&lt;&gt;'Dataset'!$C$7:$O$7))</f>
        <v>4</v>
      </c>
      <c r="E29" s="76">
        <f>SUMPRODUCT((1-'Dataset'!$C$12:$O$12)*('Dataset'!$C$9:$O$9&lt;&gt;'Dataset'!$C$8:$O$8))</f>
        <v>5</v>
      </c>
      <c r="F29" s="75">
        <f>SUMPRODUCT((1-'Dataset'!$C$12:$O$12)*('Dataset'!$C$9:$O$9&lt;&gt;'Dataset'!$C$9:$O$9))</f>
        <v>0</v>
      </c>
      <c r="G29" s="76">
        <f>SUMPRODUCT((1-'Dataset'!$C$12:$O$12)*('Dataset'!$C$9:$O$9&lt;&gt;'Dataset'!$C$10:$O$10))</f>
        <v>6</v>
      </c>
      <c r="H29" s="76">
        <f>SUMPRODUCT((1-'Dataset'!$C$12:$O$12)*('Dataset'!$C$9:$O$9&lt;&gt;'Dataset'!$C$11:$O$11))</f>
        <v>4</v>
      </c>
    </row>
    <row r="30">
      <c r="A30" s="62" t="inlineStr">
        <is>
          <t xml:space="preserve">S₆</t>
        </is>
      </c>
      <c r="B30" s="76">
        <f>SUMPRODUCT((1-'Dataset'!$C$12:$O$12)*('Dataset'!$C$10:$O$10&lt;&gt;'Dataset'!$C$5:$O$5))</f>
        <v>3</v>
      </c>
      <c r="C30" s="76">
        <f>SUMPRODUCT((1-'Dataset'!$C$12:$O$12)*('Dataset'!$C$10:$O$10&lt;&gt;'Dataset'!$C$6:$O$6))</f>
        <v>4</v>
      </c>
      <c r="D30" s="76">
        <f>SUMPRODUCT((1-'Dataset'!$C$12:$O$12)*('Dataset'!$C$10:$O$10&lt;&gt;'Dataset'!$C$7:$O$7))</f>
        <v>3</v>
      </c>
      <c r="E30" s="76">
        <f>SUMPRODUCT((1-'Dataset'!$C$12:$O$12)*('Dataset'!$C$10:$O$10&lt;&gt;'Dataset'!$C$8:$O$8))</f>
        <v>2</v>
      </c>
      <c r="F30" s="76">
        <f>SUMPRODUCT((1-'Dataset'!$C$12:$O$12)*('Dataset'!$C$10:$O$10&lt;&gt;'Dataset'!$C$9:$O$9))</f>
        <v>6</v>
      </c>
      <c r="G30" s="75">
        <f>SUMPRODUCT((1-'Dataset'!$C$12:$O$12)*('Dataset'!$C$10:$O$10&lt;&gt;'Dataset'!$C$10:$O$10))</f>
        <v>0</v>
      </c>
      <c r="H30" s="76">
        <f>SUMPRODUCT((1-'Dataset'!$C$12:$O$12)*('Dataset'!$C$10:$O$10&lt;&gt;'Dataset'!$C$11:$O$11))</f>
        <v>4</v>
      </c>
    </row>
    <row r="31">
      <c r="A31" s="62" t="inlineStr">
        <is>
          <t xml:space="preserve">S₇</t>
        </is>
      </c>
      <c r="B31" s="76">
        <f>SUMPRODUCT((1-'Dataset'!$C$12:$O$12)*('Dataset'!$C$11:$O$11&lt;&gt;'Dataset'!$C$5:$O$5))</f>
        <v>2</v>
      </c>
      <c r="C31" s="76">
        <f>SUMPRODUCT((1-'Dataset'!$C$12:$O$12)*('Dataset'!$C$11:$O$11&lt;&gt;'Dataset'!$C$6:$O$6))</f>
        <v>4</v>
      </c>
      <c r="D31" s="76">
        <f>SUMPRODUCT((1-'Dataset'!$C$12:$O$12)*('Dataset'!$C$11:$O$11&lt;&gt;'Dataset'!$C$7:$O$7))</f>
        <v>1</v>
      </c>
      <c r="E31" s="76">
        <f>SUMPRODUCT((1-'Dataset'!$C$12:$O$12)*('Dataset'!$C$11:$O$11&lt;&gt;'Dataset'!$C$8:$O$8))</f>
        <v>3</v>
      </c>
      <c r="F31" s="76">
        <f>SUMPRODUCT((1-'Dataset'!$C$12:$O$12)*('Dataset'!$C$11:$O$11&lt;&gt;'Dataset'!$C$9:$O$9))</f>
        <v>4</v>
      </c>
      <c r="G31" s="76">
        <f>SUMPRODUCT((1-'Dataset'!$C$12:$O$12)*('Dataset'!$C$11:$O$11&lt;&gt;'Dataset'!$C$10:$O$10))</f>
        <v>4</v>
      </c>
      <c r="H31" s="75">
        <f>SUMPRODUCT((1-'Dataset'!$C$12:$O$12)*('Dataset'!$C$11:$O$11&lt;&gt;'Dataset'!$C$11:$O$11))</f>
        <v>0</v>
      </c>
    </row>
    <row r="32"/>
    <row r="33">
      <c r="A33" s="100" t="inlineStr">
        <is>
          <t xml:space="preserve">Every distance is rounded to 10 decimals, so that mathematically equal distances (e.g. r(S₁) = r(S₃) = ρ(S₁, S₃)) tie exactly.</t>
        </is>
      </c>
    </row>
    <row r="34">
      <c r="A34" s="100" t="inlineStr">
        <is>
          <t xml:space="preserve">The diagonal (grey) is the distance of an object to itself; it is never a neighbour, but it explains why Sᵢ lies inside its own enemy sphere (0 &lt; r(Sᵢ)).</t>
        </is>
      </c>
    </row>
  </sheetData>
  <mergeCells count="4">
    <mergeCell ref="A1:H1"/>
    <mergeCell ref="A3:H3"/>
    <mergeCell ref="A13:H13"/>
    <mergeCell ref="A23:H2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H9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4.77734375" customWidth="1"/>
    <col min="2" max="8" width="11.77734375" customWidth="1"/>
  </cols>
  <sheetData>
    <row r="1" ht="20" customHeight="1">
      <c r="A1" s="57" t="inlineStr">
        <is>
          <t xml:space="preserve">Step 0 · Sorted neighbours — nearest enemy r, k-th neighbour z, own-class objects inside the enemy sphere g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Rank of Sⱼ in the neighbour list of Sᵢ  (self excluded; equal ρ → smaller index first)</t>
        </is>
      </c>
      <c r="B3" s="58"/>
      <c r="C3" s="58"/>
      <c r="D3" s="58"/>
      <c r="E3" s="58"/>
      <c r="F3" s="58"/>
      <c r="G3" s="58"/>
      <c r="H3" s="58"/>
    </row>
    <row r="4">
      <c r="A4" s="60" t="inlineStr">
        <is>
          <t xml:space="preserve">Sᵢ \ Sⱼ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</row>
    <row r="5">
      <c r="A5" s="62" t="inlineStr">
        <is>
          <t xml:space="preserve">S₁</t>
        </is>
      </c>
      <c r="B5" s="75" t="inlineStr">
        <is>
          <t xml:space="preserve">—</t>
        </is>
      </c>
      <c r="C5" s="76">
        <f>1+SUMPRODUCT(('Zhuravlev Distances'!$B$5:$H$5&lt;'Zhuravlev Distances'!C$5)*(COLUMN('Zhuravlev Distances'!$B$5:$H$5)&lt;&gt;COLUMN('Zhuravlev Distances'!B$5)))+SUMPRODUCT(('Zhuravlev Distances'!$B$5:$H$5='Zhuravlev Distances'!C$5)*(COLUMN('Zhuravlev Distances'!$B$5:$H$5)&lt;COLUMN('Zhuravlev Distances'!C$5))*(COLUMN('Zhuravlev Distances'!$B$5:$H$5)&lt;&gt;COLUMN('Zhuravlev Distances'!B$5)))</f>
        <v>1</v>
      </c>
      <c r="D5" s="76">
        <f>1+SUMPRODUCT(('Zhuravlev Distances'!$B$5:$H$5&lt;'Zhuravlev Distances'!D$5)*(COLUMN('Zhuravlev Distances'!$B$5:$H$5)&lt;&gt;COLUMN('Zhuravlev Distances'!B$5)))+SUMPRODUCT(('Zhuravlev Distances'!$B$5:$H$5='Zhuravlev Distances'!D$5)*(COLUMN('Zhuravlev Distances'!$B$5:$H$5)&lt;COLUMN('Zhuravlev Distances'!D$5))*(COLUMN('Zhuravlev Distances'!$B$5:$H$5)&lt;&gt;COLUMN('Zhuravlev Distances'!B$5)))</f>
        <v>3</v>
      </c>
      <c r="E5" s="76">
        <f>1+SUMPRODUCT(('Zhuravlev Distances'!$B$5:$H$5&lt;'Zhuravlev Distances'!E$5)*(COLUMN('Zhuravlev Distances'!$B$5:$H$5)&lt;&gt;COLUMN('Zhuravlev Distances'!B$5)))+SUMPRODUCT(('Zhuravlev Distances'!$B$5:$H$5='Zhuravlev Distances'!E$5)*(COLUMN('Zhuravlev Distances'!$B$5:$H$5)&lt;COLUMN('Zhuravlev Distances'!E$5))*(COLUMN('Zhuravlev Distances'!$B$5:$H$5)&lt;&gt;COLUMN('Zhuravlev Distances'!B$5)))</f>
        <v>5</v>
      </c>
      <c r="F5" s="76">
        <f>1+SUMPRODUCT(('Zhuravlev Distances'!$B$5:$H$5&lt;'Zhuravlev Distances'!F$5)*(COLUMN('Zhuravlev Distances'!$B$5:$H$5)&lt;&gt;COLUMN('Zhuravlev Distances'!B$5)))+SUMPRODUCT(('Zhuravlev Distances'!$B$5:$H$5='Zhuravlev Distances'!F$5)*(COLUMN('Zhuravlev Distances'!$B$5:$H$5)&lt;COLUMN('Zhuravlev Distances'!F$5))*(COLUMN('Zhuravlev Distances'!$B$5:$H$5)&lt;&gt;COLUMN('Zhuravlev Distances'!B$5)))</f>
        <v>2</v>
      </c>
      <c r="G5" s="76">
        <f>1+SUMPRODUCT(('Zhuravlev Distances'!$B$5:$H$5&lt;'Zhuravlev Distances'!G$5)*(COLUMN('Zhuravlev Distances'!$B$5:$H$5)&lt;&gt;COLUMN('Zhuravlev Distances'!B$5)))+SUMPRODUCT(('Zhuravlev Distances'!$B$5:$H$5='Zhuravlev Distances'!G$5)*(COLUMN('Zhuravlev Distances'!$B$5:$H$5)&lt;COLUMN('Zhuravlev Distances'!G$5))*(COLUMN('Zhuravlev Distances'!$B$5:$H$5)&lt;&gt;COLUMN('Zhuravlev Distances'!B$5)))</f>
        <v>6</v>
      </c>
      <c r="H5" s="76">
        <f>1+SUMPRODUCT(('Zhuravlev Distances'!$B$5:$H$5&lt;'Zhuravlev Distances'!H$5)*(COLUMN('Zhuravlev Distances'!$B$5:$H$5)&lt;&gt;COLUMN('Zhuravlev Distances'!B$5)))+SUMPRODUCT(('Zhuravlev Distances'!$B$5:$H$5='Zhuravlev Distances'!H$5)*(COLUMN('Zhuravlev Distances'!$B$5:$H$5)&lt;COLUMN('Zhuravlev Distances'!H$5))*(COLUMN('Zhuravlev Distances'!$B$5:$H$5)&lt;&gt;COLUMN('Zhuravlev Distances'!B$5)))</f>
        <v>4</v>
      </c>
    </row>
    <row r="6">
      <c r="A6" s="62" t="inlineStr">
        <is>
          <t xml:space="preserve">S₂</t>
        </is>
      </c>
      <c r="B6" s="76">
        <f>1+SUMPRODUCT(('Zhuravlev Distances'!$B$6:$H$6&lt;'Zhuravlev Distances'!B$6)*(COLUMN('Zhuravlev Distances'!$B$6:$H$6)&lt;&gt;COLUMN('Zhuravlev Distances'!C$6)))+SUMPRODUCT(('Zhuravlev Distances'!$B$6:$H$6='Zhuravlev Distances'!B$6)*(COLUMN('Zhuravlev Distances'!$B$6:$H$6)&lt;COLUMN('Zhuravlev Distances'!B$6))*(COLUMN('Zhuravlev Distances'!$B$6:$H$6)&lt;&gt;COLUMN('Zhuravlev Distances'!C$6)))</f>
        <v>1</v>
      </c>
      <c r="C6" s="75" t="inlineStr">
        <is>
          <t xml:space="preserve">—</t>
        </is>
      </c>
      <c r="D6" s="76">
        <f>1+SUMPRODUCT(('Zhuravlev Distances'!$B$6:$H$6&lt;'Zhuravlev Distances'!D$6)*(COLUMN('Zhuravlev Distances'!$B$6:$H$6)&lt;&gt;COLUMN('Zhuravlev Distances'!C$6)))+SUMPRODUCT(('Zhuravlev Distances'!$B$6:$H$6='Zhuravlev Distances'!D$6)*(COLUMN('Zhuravlev Distances'!$B$6:$H$6)&lt;COLUMN('Zhuravlev Distances'!D$6))*(COLUMN('Zhuravlev Distances'!$B$6:$H$6)&lt;&gt;COLUMN('Zhuravlev Distances'!C$6)))</f>
        <v>4</v>
      </c>
      <c r="E6" s="76">
        <f>1+SUMPRODUCT(('Zhuravlev Distances'!$B$6:$H$6&lt;'Zhuravlev Distances'!E$6)*(COLUMN('Zhuravlev Distances'!$B$6:$H$6)&lt;&gt;COLUMN('Zhuravlev Distances'!C$6)))+SUMPRODUCT(('Zhuravlev Distances'!$B$6:$H$6='Zhuravlev Distances'!E$6)*(COLUMN('Zhuravlev Distances'!$B$6:$H$6)&lt;COLUMN('Zhuravlev Distances'!E$6))*(COLUMN('Zhuravlev Distances'!$B$6:$H$6)&lt;&gt;COLUMN('Zhuravlev Distances'!C$6)))</f>
        <v>3</v>
      </c>
      <c r="F6" s="76">
        <f>1+SUMPRODUCT(('Zhuravlev Distances'!$B$6:$H$6&lt;'Zhuravlev Distances'!F$6)*(COLUMN('Zhuravlev Distances'!$B$6:$H$6)&lt;&gt;COLUMN('Zhuravlev Distances'!C$6)))+SUMPRODUCT(('Zhuravlev Distances'!$B$6:$H$6='Zhuravlev Distances'!F$6)*(COLUMN('Zhuravlev Distances'!$B$6:$H$6)&lt;COLUMN('Zhuravlev Distances'!F$6))*(COLUMN('Zhuravlev Distances'!$B$6:$H$6)&lt;&gt;COLUMN('Zhuravlev Distances'!C$6)))</f>
        <v>2</v>
      </c>
      <c r="G6" s="76">
        <f>1+SUMPRODUCT(('Zhuravlev Distances'!$B$6:$H$6&lt;'Zhuravlev Distances'!G$6)*(COLUMN('Zhuravlev Distances'!$B$6:$H$6)&lt;&gt;COLUMN('Zhuravlev Distances'!C$6)))+SUMPRODUCT(('Zhuravlev Distances'!$B$6:$H$6='Zhuravlev Distances'!G$6)*(COLUMN('Zhuravlev Distances'!$B$6:$H$6)&lt;COLUMN('Zhuravlev Distances'!G$6))*(COLUMN('Zhuravlev Distances'!$B$6:$H$6)&lt;&gt;COLUMN('Zhuravlev Distances'!C$6)))</f>
        <v>6</v>
      </c>
      <c r="H6" s="76">
        <f>1+SUMPRODUCT(('Zhuravlev Distances'!$B$6:$H$6&lt;'Zhuravlev Distances'!H$6)*(COLUMN('Zhuravlev Distances'!$B$6:$H$6)&lt;&gt;COLUMN('Zhuravlev Distances'!C$6)))+SUMPRODUCT(('Zhuravlev Distances'!$B$6:$H$6='Zhuravlev Distances'!H$6)*(COLUMN('Zhuravlev Distances'!$B$6:$H$6)&lt;COLUMN('Zhuravlev Distances'!H$6))*(COLUMN('Zhuravlev Distances'!$B$6:$H$6)&lt;&gt;COLUMN('Zhuravlev Distances'!C$6)))</f>
        <v>5</v>
      </c>
    </row>
    <row r="7">
      <c r="A7" s="62" t="inlineStr">
        <is>
          <t xml:space="preserve">S₃</t>
        </is>
      </c>
      <c r="B7" s="76">
        <f>1+SUMPRODUCT(('Zhuravlev Distances'!$B$7:$H$7&lt;'Zhuravlev Distances'!B$7)*(COLUMN('Zhuravlev Distances'!$B$7:$H$7)&lt;&gt;COLUMN('Zhuravlev Distances'!D$7)))+SUMPRODUCT(('Zhuravlev Distances'!$B$7:$H$7='Zhuravlev Distances'!B$7)*(COLUMN('Zhuravlev Distances'!$B$7:$H$7)&lt;COLUMN('Zhuravlev Distances'!B$7))*(COLUMN('Zhuravlev Distances'!$B$7:$H$7)&lt;&gt;COLUMN('Zhuravlev Distances'!D$7)))</f>
        <v>3</v>
      </c>
      <c r="C7" s="76">
        <f>1+SUMPRODUCT(('Zhuravlev Distances'!$B$7:$H$7&lt;'Zhuravlev Distances'!C$7)*(COLUMN('Zhuravlev Distances'!$B$7:$H$7)&lt;&gt;COLUMN('Zhuravlev Distances'!D$7)))+SUMPRODUCT(('Zhuravlev Distances'!$B$7:$H$7='Zhuravlev Distances'!C$7)*(COLUMN('Zhuravlev Distances'!$B$7:$H$7)&lt;COLUMN('Zhuravlev Distances'!C$7))*(COLUMN('Zhuravlev Distances'!$B$7:$H$7)&lt;&gt;COLUMN('Zhuravlev Distances'!D$7)))</f>
        <v>6</v>
      </c>
      <c r="D7" s="75" t="inlineStr">
        <is>
          <t xml:space="preserve">—</t>
        </is>
      </c>
      <c r="E7" s="76">
        <f>1+SUMPRODUCT(('Zhuravlev Distances'!$B$7:$H$7&lt;'Zhuravlev Distances'!E$7)*(COLUMN('Zhuravlev Distances'!$B$7:$H$7)&lt;&gt;COLUMN('Zhuravlev Distances'!D$7)))+SUMPRODUCT(('Zhuravlev Distances'!$B$7:$H$7='Zhuravlev Distances'!E$7)*(COLUMN('Zhuravlev Distances'!$B$7:$H$7)&lt;COLUMN('Zhuravlev Distances'!E$7))*(COLUMN('Zhuravlev Distances'!$B$7:$H$7)&lt;&gt;COLUMN('Zhuravlev Distances'!D$7)))</f>
        <v>4</v>
      </c>
      <c r="F7" s="76">
        <f>1+SUMPRODUCT(('Zhuravlev Distances'!$B$7:$H$7&lt;'Zhuravlev Distances'!F$7)*(COLUMN('Zhuravlev Distances'!$B$7:$H$7)&lt;&gt;COLUMN('Zhuravlev Distances'!D$7)))+SUMPRODUCT(('Zhuravlev Distances'!$B$7:$H$7='Zhuravlev Distances'!F$7)*(COLUMN('Zhuravlev Distances'!$B$7:$H$7)&lt;COLUMN('Zhuravlev Distances'!F$7))*(COLUMN('Zhuravlev Distances'!$B$7:$H$7)&lt;&gt;COLUMN('Zhuravlev Distances'!D$7)))</f>
        <v>5</v>
      </c>
      <c r="G7" s="76">
        <f>1+SUMPRODUCT(('Zhuravlev Distances'!$B$7:$H$7&lt;'Zhuravlev Distances'!G$7)*(COLUMN('Zhuravlev Distances'!$B$7:$H$7)&lt;&gt;COLUMN('Zhuravlev Distances'!D$7)))+SUMPRODUCT(('Zhuravlev Distances'!$B$7:$H$7='Zhuravlev Distances'!G$7)*(COLUMN('Zhuravlev Distances'!$B$7:$H$7)&lt;COLUMN('Zhuravlev Distances'!G$7))*(COLUMN('Zhuravlev Distances'!$B$7:$H$7)&lt;&gt;COLUMN('Zhuravlev Distances'!D$7)))</f>
        <v>2</v>
      </c>
      <c r="H7" s="76">
        <f>1+SUMPRODUCT(('Zhuravlev Distances'!$B$7:$H$7&lt;'Zhuravlev Distances'!H$7)*(COLUMN('Zhuravlev Distances'!$B$7:$H$7)&lt;&gt;COLUMN('Zhuravlev Distances'!D$7)))+SUMPRODUCT(('Zhuravlev Distances'!$B$7:$H$7='Zhuravlev Distances'!H$7)*(COLUMN('Zhuravlev Distances'!$B$7:$H$7)&lt;COLUMN('Zhuravlev Distances'!H$7))*(COLUMN('Zhuravlev Distances'!$B$7:$H$7)&lt;&gt;COLUMN('Zhuravlev Distances'!D$7)))</f>
        <v>1</v>
      </c>
    </row>
    <row r="8">
      <c r="A8" s="62" t="inlineStr">
        <is>
          <t xml:space="preserve">S₄</t>
        </is>
      </c>
      <c r="B8" s="76">
        <f>1+SUMPRODUCT(('Zhuravlev Distances'!$B$8:$H$8&lt;'Zhuravlev Distances'!B$8)*(COLUMN('Zhuravlev Distances'!$B$8:$H$8)&lt;&gt;COLUMN('Zhuravlev Distances'!E$8)))+SUMPRODUCT(('Zhuravlev Distances'!$B$8:$H$8='Zhuravlev Distances'!B$8)*(COLUMN('Zhuravlev Distances'!$B$8:$H$8)&lt;COLUMN('Zhuravlev Distances'!B$8))*(COLUMN('Zhuravlev Distances'!$B$8:$H$8)&lt;&gt;COLUMN('Zhuravlev Distances'!E$8)))</f>
        <v>5</v>
      </c>
      <c r="C8" s="76">
        <f>1+SUMPRODUCT(('Zhuravlev Distances'!$B$8:$H$8&lt;'Zhuravlev Distances'!C$8)*(COLUMN('Zhuravlev Distances'!$B$8:$H$8)&lt;&gt;COLUMN('Zhuravlev Distances'!E$8)))+SUMPRODUCT(('Zhuravlev Distances'!$B$8:$H$8='Zhuravlev Distances'!C$8)*(COLUMN('Zhuravlev Distances'!$B$8:$H$8)&lt;COLUMN('Zhuravlev Distances'!C$8))*(COLUMN('Zhuravlev Distances'!$B$8:$H$8)&lt;&gt;COLUMN('Zhuravlev Distances'!E$8)))</f>
        <v>4</v>
      </c>
      <c r="D8" s="76">
        <f>1+SUMPRODUCT(('Zhuravlev Distances'!$B$8:$H$8&lt;'Zhuravlev Distances'!D$8)*(COLUMN('Zhuravlev Distances'!$B$8:$H$8)&lt;&gt;COLUMN('Zhuravlev Distances'!E$8)))+SUMPRODUCT(('Zhuravlev Distances'!$B$8:$H$8='Zhuravlev Distances'!D$8)*(COLUMN('Zhuravlev Distances'!$B$8:$H$8)&lt;COLUMN('Zhuravlev Distances'!D$8))*(COLUMN('Zhuravlev Distances'!$B$8:$H$8)&lt;&gt;COLUMN('Zhuravlev Distances'!E$8)))</f>
        <v>3</v>
      </c>
      <c r="E8" s="75" t="inlineStr">
        <is>
          <t xml:space="preserve">—</t>
        </is>
      </c>
      <c r="F8" s="76">
        <f>1+SUMPRODUCT(('Zhuravlev Distances'!$B$8:$H$8&lt;'Zhuravlev Distances'!F$8)*(COLUMN('Zhuravlev Distances'!$B$8:$H$8)&lt;&gt;COLUMN('Zhuravlev Distances'!E$8)))+SUMPRODUCT(('Zhuravlev Distances'!$B$8:$H$8='Zhuravlev Distances'!F$8)*(COLUMN('Zhuravlev Distances'!$B$8:$H$8)&lt;COLUMN('Zhuravlev Distances'!F$8))*(COLUMN('Zhuravlev Distances'!$B$8:$H$8)&lt;&gt;COLUMN('Zhuravlev Distances'!E$8)))</f>
        <v>6</v>
      </c>
      <c r="G8" s="76">
        <f>1+SUMPRODUCT(('Zhuravlev Distances'!$B$8:$H$8&lt;'Zhuravlev Distances'!G$8)*(COLUMN('Zhuravlev Distances'!$B$8:$H$8)&lt;&gt;COLUMN('Zhuravlev Distances'!E$8)))+SUMPRODUCT(('Zhuravlev Distances'!$B$8:$H$8='Zhuravlev Distances'!G$8)*(COLUMN('Zhuravlev Distances'!$B$8:$H$8)&lt;COLUMN('Zhuravlev Distances'!G$8))*(COLUMN('Zhuravlev Distances'!$B$8:$H$8)&lt;&gt;COLUMN('Zhuravlev Distances'!E$8)))</f>
        <v>1</v>
      </c>
      <c r="H8" s="76">
        <f>1+SUMPRODUCT(('Zhuravlev Distances'!$B$8:$H$8&lt;'Zhuravlev Distances'!H$8)*(COLUMN('Zhuravlev Distances'!$B$8:$H$8)&lt;&gt;COLUMN('Zhuravlev Distances'!E$8)))+SUMPRODUCT(('Zhuravlev Distances'!$B$8:$H$8='Zhuravlev Distances'!H$8)*(COLUMN('Zhuravlev Distances'!$B$8:$H$8)&lt;COLUMN('Zhuravlev Distances'!H$8))*(COLUMN('Zhuravlev Distances'!$B$8:$H$8)&lt;&gt;COLUMN('Zhuravlev Distances'!E$8)))</f>
        <v>2</v>
      </c>
    </row>
    <row r="9">
      <c r="A9" s="62" t="inlineStr">
        <is>
          <t xml:space="preserve">S₅</t>
        </is>
      </c>
      <c r="B9" s="76">
        <f>1+SUMPRODUCT(('Zhuravlev Distances'!$B$9:$H$9&lt;'Zhuravlev Distances'!B$9)*(COLUMN('Zhuravlev Distances'!$B$9:$H$9)&lt;&gt;COLUMN('Zhuravlev Distances'!F$9)))+SUMPRODUCT(('Zhuravlev Distances'!$B$9:$H$9='Zhuravlev Distances'!B$9)*(COLUMN('Zhuravlev Distances'!$B$9:$H$9)&lt;COLUMN('Zhuravlev Distances'!B$9))*(COLUMN('Zhuravlev Distances'!$B$9:$H$9)&lt;&gt;COLUMN('Zhuravlev Distances'!F$9)))</f>
        <v>1</v>
      </c>
      <c r="C9" s="76">
        <f>1+SUMPRODUCT(('Zhuravlev Distances'!$B$9:$H$9&lt;'Zhuravlev Distances'!C$9)*(COLUMN('Zhuravlev Distances'!$B$9:$H$9)&lt;&gt;COLUMN('Zhuravlev Distances'!F$9)))+SUMPRODUCT(('Zhuravlev Distances'!$B$9:$H$9='Zhuravlev Distances'!C$9)*(COLUMN('Zhuravlev Distances'!$B$9:$H$9)&lt;COLUMN('Zhuravlev Distances'!C$9))*(COLUMN('Zhuravlev Distances'!$B$9:$H$9)&lt;&gt;COLUMN('Zhuravlev Distances'!F$9)))</f>
        <v>2</v>
      </c>
      <c r="D9" s="76">
        <f>1+SUMPRODUCT(('Zhuravlev Distances'!$B$9:$H$9&lt;'Zhuravlev Distances'!D$9)*(COLUMN('Zhuravlev Distances'!$B$9:$H$9)&lt;&gt;COLUMN('Zhuravlev Distances'!F$9)))+SUMPRODUCT(('Zhuravlev Distances'!$B$9:$H$9='Zhuravlev Distances'!D$9)*(COLUMN('Zhuravlev Distances'!$B$9:$H$9)&lt;COLUMN('Zhuravlev Distances'!D$9))*(COLUMN('Zhuravlev Distances'!$B$9:$H$9)&lt;&gt;COLUMN('Zhuravlev Distances'!F$9)))</f>
        <v>4</v>
      </c>
      <c r="E9" s="76">
        <f>1+SUMPRODUCT(('Zhuravlev Distances'!$B$9:$H$9&lt;'Zhuravlev Distances'!E$9)*(COLUMN('Zhuravlev Distances'!$B$9:$H$9)&lt;&gt;COLUMN('Zhuravlev Distances'!F$9)))+SUMPRODUCT(('Zhuravlev Distances'!$B$9:$H$9='Zhuravlev Distances'!E$9)*(COLUMN('Zhuravlev Distances'!$B$9:$H$9)&lt;COLUMN('Zhuravlev Distances'!E$9))*(COLUMN('Zhuravlev Distances'!$B$9:$H$9)&lt;&gt;COLUMN('Zhuravlev Distances'!F$9)))</f>
        <v>5</v>
      </c>
      <c r="F9" s="75" t="inlineStr">
        <is>
          <t xml:space="preserve">—</t>
        </is>
      </c>
      <c r="G9" s="76">
        <f>1+SUMPRODUCT(('Zhuravlev Distances'!$B$9:$H$9&lt;'Zhuravlev Distances'!G$9)*(COLUMN('Zhuravlev Distances'!$B$9:$H$9)&lt;&gt;COLUMN('Zhuravlev Distances'!F$9)))+SUMPRODUCT(('Zhuravlev Distances'!$B$9:$H$9='Zhuravlev Distances'!G$9)*(COLUMN('Zhuravlev Distances'!$B$9:$H$9)&lt;COLUMN('Zhuravlev Distances'!G$9))*(COLUMN('Zhuravlev Distances'!$B$9:$H$9)&lt;&gt;COLUMN('Zhuravlev Distances'!F$9)))</f>
        <v>6</v>
      </c>
      <c r="H9" s="76">
        <f>1+SUMPRODUCT(('Zhuravlev Distances'!$B$9:$H$9&lt;'Zhuravlev Distances'!H$9)*(COLUMN('Zhuravlev Distances'!$B$9:$H$9)&lt;&gt;COLUMN('Zhuravlev Distances'!F$9)))+SUMPRODUCT(('Zhuravlev Distances'!$B$9:$H$9='Zhuravlev Distances'!H$9)*(COLUMN('Zhuravlev Distances'!$B$9:$H$9)&lt;COLUMN('Zhuravlev Distances'!H$9))*(COLUMN('Zhuravlev Distances'!$B$9:$H$9)&lt;&gt;COLUMN('Zhuravlev Distances'!F$9)))</f>
        <v>3</v>
      </c>
    </row>
    <row r="10">
      <c r="A10" s="62" t="inlineStr">
        <is>
          <t xml:space="preserve">S₆</t>
        </is>
      </c>
      <c r="B10" s="76">
        <f>1+SUMPRODUCT(('Zhuravlev Distances'!$B$10:$H$10&lt;'Zhuravlev Distances'!B$10)*(COLUMN('Zhuravlev Distances'!$B$10:$H$10)&lt;&gt;COLUMN('Zhuravlev Distances'!G$10)))+SUMPRODUCT(('Zhuravlev Distances'!$B$10:$H$10='Zhuravlev Distances'!B$10)*(COLUMN('Zhuravlev Distances'!$B$10:$H$10)&lt;COLUMN('Zhuravlev Distances'!B$10))*(COLUMN('Zhuravlev Distances'!$B$10:$H$10)&lt;&gt;COLUMN('Zhuravlev Distances'!G$10)))</f>
        <v>4</v>
      </c>
      <c r="C10" s="76">
        <f>1+SUMPRODUCT(('Zhuravlev Distances'!$B$10:$H$10&lt;'Zhuravlev Distances'!C$10)*(COLUMN('Zhuravlev Distances'!$B$10:$H$10)&lt;&gt;COLUMN('Zhuravlev Distances'!G$10)))+SUMPRODUCT(('Zhuravlev Distances'!$B$10:$H$10='Zhuravlev Distances'!C$10)*(COLUMN('Zhuravlev Distances'!$B$10:$H$10)&lt;COLUMN('Zhuravlev Distances'!C$10))*(COLUMN('Zhuravlev Distances'!$B$10:$H$10)&lt;&gt;COLUMN('Zhuravlev Distances'!G$10)))</f>
        <v>5</v>
      </c>
      <c r="D10" s="76">
        <f>1+SUMPRODUCT(('Zhuravlev Distances'!$B$10:$H$10&lt;'Zhuravlev Distances'!D$10)*(COLUMN('Zhuravlev Distances'!$B$10:$H$10)&lt;&gt;COLUMN('Zhuravlev Distances'!G$10)))+SUMPRODUCT(('Zhuravlev Distances'!$B$10:$H$10='Zhuravlev Distances'!D$10)*(COLUMN('Zhuravlev Distances'!$B$10:$H$10)&lt;COLUMN('Zhuravlev Distances'!D$10))*(COLUMN('Zhuravlev Distances'!$B$10:$H$10)&lt;&gt;COLUMN('Zhuravlev Distances'!G$10)))</f>
        <v>3</v>
      </c>
      <c r="E10" s="76">
        <f>1+SUMPRODUCT(('Zhuravlev Distances'!$B$10:$H$10&lt;'Zhuravlev Distances'!E$10)*(COLUMN('Zhuravlev Distances'!$B$10:$H$10)&lt;&gt;COLUMN('Zhuravlev Distances'!G$10)))+SUMPRODUCT(('Zhuravlev Distances'!$B$10:$H$10='Zhuravlev Distances'!E$10)*(COLUMN('Zhuravlev Distances'!$B$10:$H$10)&lt;COLUMN('Zhuravlev Distances'!E$10))*(COLUMN('Zhuravlev Distances'!$B$10:$H$10)&lt;&gt;COLUMN('Zhuravlev Distances'!G$10)))</f>
        <v>1</v>
      </c>
      <c r="F10" s="76">
        <f>1+SUMPRODUCT(('Zhuravlev Distances'!$B$10:$H$10&lt;'Zhuravlev Distances'!F$10)*(COLUMN('Zhuravlev Distances'!$B$10:$H$10)&lt;&gt;COLUMN('Zhuravlev Distances'!G$10)))+SUMPRODUCT(('Zhuravlev Distances'!$B$10:$H$10='Zhuravlev Distances'!F$10)*(COLUMN('Zhuravlev Distances'!$B$10:$H$10)&lt;COLUMN('Zhuravlev Distances'!F$10))*(COLUMN('Zhuravlev Distances'!$B$10:$H$10)&lt;&gt;COLUMN('Zhuravlev Distances'!G$10)))</f>
        <v>6</v>
      </c>
      <c r="G10" s="75" t="inlineStr">
        <is>
          <t xml:space="preserve">—</t>
        </is>
      </c>
      <c r="H10" s="76">
        <f>1+SUMPRODUCT(('Zhuravlev Distances'!$B$10:$H$10&lt;'Zhuravlev Distances'!H$10)*(COLUMN('Zhuravlev Distances'!$B$10:$H$10)&lt;&gt;COLUMN('Zhuravlev Distances'!G$10)))+SUMPRODUCT(('Zhuravlev Distances'!$B$10:$H$10='Zhuravlev Distances'!H$10)*(COLUMN('Zhuravlev Distances'!$B$10:$H$10)&lt;COLUMN('Zhuravlev Distances'!H$10))*(COLUMN('Zhuravlev Distances'!$B$10:$H$10)&lt;&gt;COLUMN('Zhuravlev Distances'!G$10)))</f>
        <v>2</v>
      </c>
    </row>
    <row r="11">
      <c r="A11" s="62" t="inlineStr">
        <is>
          <t xml:space="preserve">S₇</t>
        </is>
      </c>
      <c r="B11" s="76">
        <f>1+SUMPRODUCT(('Zhuravlev Distances'!$B$11:$H$11&lt;'Zhuravlev Distances'!B$11)*(COLUMN('Zhuravlev Distances'!$B$11:$H$11)&lt;&gt;COLUMN('Zhuravlev Distances'!H$11)))+SUMPRODUCT(('Zhuravlev Distances'!$B$11:$H$11='Zhuravlev Distances'!B$11)*(COLUMN('Zhuravlev Distances'!$B$11:$H$11)&lt;COLUMN('Zhuravlev Distances'!B$11))*(COLUMN('Zhuravlev Distances'!$B$11:$H$11)&lt;&gt;COLUMN('Zhuravlev Distances'!H$11)))</f>
        <v>4</v>
      </c>
      <c r="C11" s="76">
        <f>1+SUMPRODUCT(('Zhuravlev Distances'!$B$11:$H$11&lt;'Zhuravlev Distances'!C$11)*(COLUMN('Zhuravlev Distances'!$B$11:$H$11)&lt;&gt;COLUMN('Zhuravlev Distances'!H$11)))+SUMPRODUCT(('Zhuravlev Distances'!$B$11:$H$11='Zhuravlev Distances'!C$11)*(COLUMN('Zhuravlev Distances'!$B$11:$H$11)&lt;COLUMN('Zhuravlev Distances'!C$11))*(COLUMN('Zhuravlev Distances'!$B$11:$H$11)&lt;&gt;COLUMN('Zhuravlev Distances'!H$11)))</f>
        <v>6</v>
      </c>
      <c r="D11" s="76">
        <f>1+SUMPRODUCT(('Zhuravlev Distances'!$B$11:$H$11&lt;'Zhuravlev Distances'!D$11)*(COLUMN('Zhuravlev Distances'!$B$11:$H$11)&lt;&gt;COLUMN('Zhuravlev Distances'!H$11)))+SUMPRODUCT(('Zhuravlev Distances'!$B$11:$H$11='Zhuravlev Distances'!D$11)*(COLUMN('Zhuravlev Distances'!$B$11:$H$11)&lt;COLUMN('Zhuravlev Distances'!D$11))*(COLUMN('Zhuravlev Distances'!$B$11:$H$11)&lt;&gt;COLUMN('Zhuravlev Distances'!H$11)))</f>
        <v>1</v>
      </c>
      <c r="E11" s="76">
        <f>1+SUMPRODUCT(('Zhuravlev Distances'!$B$11:$H$11&lt;'Zhuravlev Distances'!E$11)*(COLUMN('Zhuravlev Distances'!$B$11:$H$11)&lt;&gt;COLUMN('Zhuravlev Distances'!H$11)))+SUMPRODUCT(('Zhuravlev Distances'!$B$11:$H$11='Zhuravlev Distances'!E$11)*(COLUMN('Zhuravlev Distances'!$B$11:$H$11)&lt;COLUMN('Zhuravlev Distances'!E$11))*(COLUMN('Zhuravlev Distances'!$B$11:$H$11)&lt;&gt;COLUMN('Zhuravlev Distances'!H$11)))</f>
        <v>2</v>
      </c>
      <c r="F11" s="76">
        <f>1+SUMPRODUCT(('Zhuravlev Distances'!$B$11:$H$11&lt;'Zhuravlev Distances'!F$11)*(COLUMN('Zhuravlev Distances'!$B$11:$H$11)&lt;&gt;COLUMN('Zhuravlev Distances'!H$11)))+SUMPRODUCT(('Zhuravlev Distances'!$B$11:$H$11='Zhuravlev Distances'!F$11)*(COLUMN('Zhuravlev Distances'!$B$11:$H$11)&lt;COLUMN('Zhuravlev Distances'!F$11))*(COLUMN('Zhuravlev Distances'!$B$11:$H$11)&lt;&gt;COLUMN('Zhuravlev Distances'!H$11)))</f>
        <v>5</v>
      </c>
      <c r="G11" s="76">
        <f>1+SUMPRODUCT(('Zhuravlev Distances'!$B$11:$H$11&lt;'Zhuravlev Distances'!G$11)*(COLUMN('Zhuravlev Distances'!$B$11:$H$11)&lt;&gt;COLUMN('Zhuravlev Distances'!H$11)))+SUMPRODUCT(('Zhuravlev Distances'!$B$11:$H$11='Zhuravlev Distances'!G$11)*(COLUMN('Zhuravlev Distances'!$B$11:$H$11)&lt;COLUMN('Zhuravlev Distances'!G$11))*(COLUMN('Zhuravlev Distances'!$B$11:$H$11)&lt;&gt;COLUMN('Zhuravlev Distances'!H$11)))</f>
        <v>3</v>
      </c>
      <c r="H11" s="75" t="inlineStr">
        <is>
          <t xml:space="preserve">—</t>
        </is>
      </c>
    </row>
    <row r="12"/>
    <row r="13">
      <c r="A13" s="59" t="str">
        <f>"S₁  ·  class "&amp;'Dataset'!$P$5&amp;"  ·  neighbours by ascending ρ  ·  r = "&amp;TEXT('ERDR Characteristics'!$D$5,"0.0000")&amp;",  z = "&amp;TEXT('ERDR Characteristics'!$H$5,"0.0000")&amp;",  g = "&amp;'ERDR Characteristics'!$E$5</f>
        <v>S₁  ·  class 2  ·  neighbours by ascending ρ  ·  r = 5.6071,  z = 5.6071,  g = 3</v>
      </c>
      <c r="B13" s="59"/>
      <c r="C13" s="59"/>
      <c r="D13" s="59"/>
      <c r="E13" s="59"/>
      <c r="F13" s="59"/>
      <c r="G13" s="59"/>
    </row>
    <row r="14">
      <c r="A14" s="60" t="inlineStr">
        <is>
          <t xml:space="preserve">Rank</t>
        </is>
      </c>
      <c r="B14" s="60">
        <v>1</v>
      </c>
      <c r="C14" s="60">
        <v>2</v>
      </c>
      <c r="D14" s="60">
        <v>3</v>
      </c>
      <c r="E14" s="60">
        <v>4</v>
      </c>
      <c r="F14" s="60">
        <v>5</v>
      </c>
      <c r="G14" s="60">
        <v>6</v>
      </c>
    </row>
    <row r="15">
      <c r="A15" s="63" t="inlineStr">
        <is>
          <t xml:space="preserve">Neighbour</t>
        </is>
      </c>
      <c r="B15" s="62" t="str">
        <f>INDEX('Zhuravlev Distances'!$B$4:$H$4,B16)</f>
        <v>S₂</v>
      </c>
      <c r="C15" s="62" t="str">
        <f>INDEX('Zhuravlev Distances'!$B$4:$H$4,C16)</f>
        <v>S₅</v>
      </c>
      <c r="D15" s="62" t="str">
        <f>INDEX('Zhuravlev Distances'!$B$4:$H$4,D16)</f>
        <v>S₃</v>
      </c>
      <c r="E15" s="62" t="str">
        <f>INDEX('Zhuravlev Distances'!$B$4:$H$4,E16)</f>
        <v>S₇</v>
      </c>
      <c r="F15" s="62" t="str">
        <f>INDEX('Zhuravlev Distances'!$B$4:$H$4,F16)</f>
        <v>S₄</v>
      </c>
      <c r="G15" s="62" t="str">
        <f>INDEX('Zhuravlev Distances'!$B$4:$H$4,G16)</f>
        <v>S₆</v>
      </c>
    </row>
    <row r="16">
      <c r="A16" s="63" t="inlineStr">
        <is>
          <t xml:space="preserve">Index in the dataset</t>
        </is>
      </c>
      <c r="B16" s="78">
        <f>MATCH(B$14,$B$5:$H$5,0)</f>
        <v>2</v>
      </c>
      <c r="C16" s="78">
        <f>MATCH(C$14,$B$5:$H$5,0)</f>
        <v>5</v>
      </c>
      <c r="D16" s="78">
        <f>MATCH(D$14,$B$5:$H$5,0)</f>
        <v>3</v>
      </c>
      <c r="E16" s="78">
        <f>MATCH(E$14,$B$5:$H$5,0)</f>
        <v>7</v>
      </c>
      <c r="F16" s="78">
        <f>MATCH(F$14,$B$5:$H$5,0)</f>
        <v>4</v>
      </c>
      <c r="G16" s="78">
        <f>MATCH(G$14,$B$5:$H$5,0)</f>
        <v>6</v>
      </c>
    </row>
    <row r="17">
      <c r="A17" s="63" t="inlineStr">
        <is>
          <t xml:space="preserve">ρ(S₁, neighbour)</t>
        </is>
      </c>
      <c r="B17" s="73">
        <f>INDEX('Zhuravlev Distances'!$B$5:$H$5,B16)</f>
        <v>4.6606100796</v>
      </c>
      <c r="C17" s="73">
        <f>INDEX('Zhuravlev Distances'!$B$5:$H$5,C16)</f>
        <v>4.8565209225</v>
      </c>
      <c r="D17" s="73">
        <f>INDEX('Zhuravlev Distances'!$B$5:$H$5,D16)</f>
        <v>5.60708061</v>
      </c>
      <c r="E17" s="73">
        <f>INDEX('Zhuravlev Distances'!$B$5:$H$5,E16)</f>
        <v>5.8897935773</v>
      </c>
      <c r="F17" s="73">
        <f>INDEX('Zhuravlev Distances'!$B$5:$H$5,F16)</f>
        <v>6.6272117335</v>
      </c>
      <c r="G17" s="73">
        <f>INDEX('Zhuravlev Distances'!$B$5:$H$5,G16)</f>
        <v>6.8015669516</v>
      </c>
    </row>
    <row r="18">
      <c r="A18" s="63" t="inlineStr">
        <is>
          <t xml:space="preserve">Class</t>
        </is>
      </c>
      <c r="B18" s="68">
        <f>INDEX('Dataset'!$P$5:$P$11,B16)</f>
        <v>2</v>
      </c>
      <c r="C18" s="68">
        <f>INDEX('Dataset'!$P$5:$P$11,C16)</f>
        <v>2</v>
      </c>
      <c r="D18" s="68">
        <f>INDEX('Dataset'!$P$5:$P$11,D16)</f>
        <v>1</v>
      </c>
      <c r="E18" s="68">
        <f>INDEX('Dataset'!$P$5:$P$11,E16)</f>
        <v>1</v>
      </c>
      <c r="F18" s="68">
        <f>INDEX('Dataset'!$P$5:$P$11,F16)</f>
        <v>2</v>
      </c>
      <c r="G18" s="68">
        <f>INDEX('Dataset'!$P$5:$P$11,G16)</f>
        <v>1</v>
      </c>
    </row>
    <row r="19">
      <c r="A19" s="63" t="inlineStr">
        <is>
          <t xml:space="preserve">Own class (1) — same class as S₁</t>
        </is>
      </c>
      <c r="B19" s="76">
        <f>IF(B18='Dataset'!$P$5,1,0)</f>
        <v>1</v>
      </c>
      <c r="C19" s="76">
        <f>IF(C18='Dataset'!$P$5,1,0)</f>
        <v>1</v>
      </c>
      <c r="D19" s="76">
        <f>IF(D18='Dataset'!$P$5,1,0)</f>
        <v>0</v>
      </c>
      <c r="E19" s="76">
        <f>IF(E18='Dataset'!$P$5,1,0)</f>
        <v>0</v>
      </c>
      <c r="F19" s="76">
        <f>IF(F18='Dataset'!$P$5,1,0)</f>
        <v>1</v>
      </c>
      <c r="G19" s="76">
        <f>IF(G18='Dataset'!$P$5,1,0)</f>
        <v>0</v>
      </c>
    </row>
    <row r="20">
      <c r="A20" s="63" t="inlineStr">
        <is>
          <t xml:space="preserve">Enemy (1) — the other class</t>
        </is>
      </c>
      <c r="B20" s="76">
        <f>1-B19</f>
        <v>0</v>
      </c>
      <c r="C20" s="76">
        <f>1-C19</f>
        <v>0</v>
      </c>
      <c r="D20" s="76">
        <f>1-D19</f>
        <v>1</v>
      </c>
      <c r="E20" s="76">
        <f>1-E19</f>
        <v>1</v>
      </c>
      <c r="F20" s="76">
        <f>1-F19</f>
        <v>0</v>
      </c>
      <c r="G20" s="76">
        <f>1-G19</f>
        <v>1</v>
      </c>
    </row>
    <row r="21">
      <c r="A21" s="63" t="inlineStr">
        <is>
          <t xml:space="preserve">Nearest enemy → r(Sᵢ)</t>
        </is>
      </c>
      <c r="B21" s="79" t="str">
        <f>IF(B$14=IFERROR(MATCH(1,$B$20:$G$20,0),0),"r","")</f>
        <v/>
      </c>
      <c r="C21" s="79" t="str">
        <f>IF(C$14=IFERROR(MATCH(1,$B$20:$G$20,0),0),"r","")</f>
        <v/>
      </c>
      <c r="D21" s="79" t="str">
        <f>IF(D$14=IFERROR(MATCH(1,$B$20:$G$20,0),0),"r","")</f>
        <v>r</v>
      </c>
      <c r="E21" s="79" t="str">
        <f>IF(E$14=IFERROR(MATCH(1,$B$20:$G$20,0),0),"r","")</f>
        <v/>
      </c>
      <c r="F21" s="79" t="str">
        <f>IF(F$14=IFERROR(MATCH(1,$B$20:$G$20,0),0),"r","")</f>
        <v/>
      </c>
      <c r="G21" s="79" t="str">
        <f>IF(G$14=IFERROR(MATCH(1,$B$20:$G$20,0),0),"r","")</f>
        <v/>
      </c>
    </row>
    <row r="22">
      <c r="A22" s="63" t="inlineStr">
        <is>
          <t xml:space="preserve">Own class inside the enemy sphere: ρ &lt; r(Sᵢ)</t>
        </is>
      </c>
      <c r="B22" s="76">
        <f>IF(AND(B19=1,B17&lt;'ERDR Characteristics'!$D$5),1,0)</f>
        <v>1</v>
      </c>
      <c r="C22" s="76">
        <f>IF(AND(C19=1,C17&lt;'ERDR Characteristics'!$D$5),1,0)</f>
        <v>1</v>
      </c>
      <c r="D22" s="76">
        <f>IF(AND(D19=1,D17&lt;'ERDR Characteristics'!$D$5),1,0)</f>
        <v>0</v>
      </c>
      <c r="E22" s="76">
        <f>IF(AND(E19=1,E17&lt;'ERDR Characteristics'!$D$5),1,0)</f>
        <v>0</v>
      </c>
      <c r="F22" s="76">
        <f>IF(AND(F19=1,F17&lt;'ERDR Characteristics'!$D$5),1,0)</f>
        <v>0</v>
      </c>
      <c r="G22" s="76">
        <f>IF(AND(G19=1,G17&lt;'ERDR Characteristics'!$D$5),1,0)</f>
        <v>0</v>
      </c>
    </row>
    <row r="23">
      <c r="A23" s="63" t="inlineStr">
        <is>
          <t xml:space="preserve">k-th neighbour → z(Sᵢ, k)</t>
        </is>
      </c>
      <c r="B23" s="79" t="str">
        <f>IF(B$14='Parameters'!$B$12,"z","")</f>
        <v/>
      </c>
      <c r="C23" s="79" t="str">
        <f>IF(C$14='Parameters'!$B$12,"z","")</f>
        <v/>
      </c>
      <c r="D23" s="79" t="str">
        <f>IF(D$14='Parameters'!$B$12,"z","")</f>
        <v>z</v>
      </c>
      <c r="E23" s="79" t="str">
        <f>IF(E$14='Parameters'!$B$12,"z","")</f>
        <v/>
      </c>
      <c r="F23" s="79" t="str">
        <f>IF(F$14='Parameters'!$B$12,"z","")</f>
        <v/>
      </c>
      <c r="G23" s="79" t="str">
        <f>IF(G$14='Parameters'!$B$12,"z","")</f>
        <v/>
      </c>
    </row>
    <row r="24"/>
    <row r="25">
      <c r="A25" s="59" t="str">
        <f>"S₂  ·  class "&amp;'Dataset'!$P$6&amp;"  ·  neighbours by ascending ρ  ·  r = "&amp;TEXT('ERDR Characteristics'!$D$6,"0.0000")&amp;",  z = "&amp;TEXT('ERDR Characteristics'!$H$6,"0.0000")&amp;",  g = "&amp;'ERDR Characteristics'!$E$6</f>
        <v>S₂  ·  class 2  ·  neighbours by ascending ρ  ·  r = 7.4700,  z = 6.3692,  g = 4</v>
      </c>
      <c r="B25" s="59"/>
      <c r="C25" s="59"/>
      <c r="D25" s="59"/>
      <c r="E25" s="59"/>
      <c r="F25" s="59"/>
      <c r="G25" s="59"/>
    </row>
    <row r="26">
      <c r="A26" s="60" t="inlineStr">
        <is>
          <t xml:space="preserve">Rank</t>
        </is>
      </c>
      <c r="B26" s="60">
        <v>1</v>
      </c>
      <c r="C26" s="60">
        <v>2</v>
      </c>
      <c r="D26" s="60">
        <v>3</v>
      </c>
      <c r="E26" s="60">
        <v>4</v>
      </c>
      <c r="F26" s="60">
        <v>5</v>
      </c>
      <c r="G26" s="60">
        <v>6</v>
      </c>
    </row>
    <row r="27">
      <c r="A27" s="63" t="inlineStr">
        <is>
          <t xml:space="preserve">Neighbour</t>
        </is>
      </c>
      <c r="B27" s="62" t="str">
        <f>INDEX('Zhuravlev Distances'!$B$4:$H$4,B28)</f>
        <v>S₁</v>
      </c>
      <c r="C27" s="62" t="str">
        <f>INDEX('Zhuravlev Distances'!$B$4:$H$4,C28)</f>
        <v>S₅</v>
      </c>
      <c r="D27" s="62" t="str">
        <f>INDEX('Zhuravlev Distances'!$B$4:$H$4,D28)</f>
        <v>S₄</v>
      </c>
      <c r="E27" s="62" t="str">
        <f>INDEX('Zhuravlev Distances'!$B$4:$H$4,E28)</f>
        <v>S₃</v>
      </c>
      <c r="F27" s="62" t="str">
        <f>INDEX('Zhuravlev Distances'!$B$4:$H$4,F28)</f>
        <v>S₇</v>
      </c>
      <c r="G27" s="62" t="str">
        <f>INDEX('Zhuravlev Distances'!$B$4:$H$4,G28)</f>
        <v>S₆</v>
      </c>
    </row>
    <row r="28">
      <c r="A28" s="63" t="inlineStr">
        <is>
          <t xml:space="preserve">Index in the dataset</t>
        </is>
      </c>
      <c r="B28" s="78">
        <f>MATCH(B$26,$B$6:$H$6,0)</f>
        <v>1</v>
      </c>
      <c r="C28" s="78">
        <f>MATCH(C$26,$B$6:$H$6,0)</f>
        <v>5</v>
      </c>
      <c r="D28" s="78">
        <f>MATCH(D$26,$B$6:$H$6,0)</f>
        <v>4</v>
      </c>
      <c r="E28" s="78">
        <f>MATCH(E$26,$B$6:$H$6,0)</f>
        <v>3</v>
      </c>
      <c r="F28" s="78">
        <f>MATCH(F$26,$B$6:$H$6,0)</f>
        <v>7</v>
      </c>
      <c r="G28" s="78">
        <f>MATCH(G$26,$B$6:$H$6,0)</f>
        <v>6</v>
      </c>
    </row>
    <row r="29">
      <c r="A29" s="63" t="inlineStr">
        <is>
          <t xml:space="preserve">ρ(S₂, neighbour)</t>
        </is>
      </c>
      <c r="B29" s="73">
        <f>INDEX('Zhuravlev Distances'!$B$6:$H$6,B28)</f>
        <v>4.6606100796</v>
      </c>
      <c r="C29" s="73">
        <f>INDEX('Zhuravlev Distances'!$B$6:$H$6,C28)</f>
        <v>6.104089157</v>
      </c>
      <c r="D29" s="73">
        <f>INDEX('Zhuravlev Distances'!$B$6:$H$6,D28)</f>
        <v>6.3691657565</v>
      </c>
      <c r="E29" s="73">
        <f>INDEX('Zhuravlev Distances'!$B$6:$H$6,E28)</f>
        <v>7.4699698919</v>
      </c>
      <c r="F29" s="73">
        <f>INDEX('Zhuravlev Distances'!$B$6:$H$6,F28)</f>
        <v>7.7855937542</v>
      </c>
      <c r="G29" s="73">
        <f>INDEX('Zhuravlev Distances'!$B$6:$H$6,G28)</f>
        <v>8.742951174</v>
      </c>
    </row>
    <row r="30">
      <c r="A30" s="63" t="inlineStr">
        <is>
          <t xml:space="preserve">Class</t>
        </is>
      </c>
      <c r="B30" s="68">
        <f>INDEX('Dataset'!$P$5:$P$11,B28)</f>
        <v>2</v>
      </c>
      <c r="C30" s="68">
        <f>INDEX('Dataset'!$P$5:$P$11,C28)</f>
        <v>2</v>
      </c>
      <c r="D30" s="68">
        <f>INDEX('Dataset'!$P$5:$P$11,D28)</f>
        <v>2</v>
      </c>
      <c r="E30" s="68">
        <f>INDEX('Dataset'!$P$5:$P$11,E28)</f>
        <v>1</v>
      </c>
      <c r="F30" s="68">
        <f>INDEX('Dataset'!$P$5:$P$11,F28)</f>
        <v>1</v>
      </c>
      <c r="G30" s="68">
        <f>INDEX('Dataset'!$P$5:$P$11,G28)</f>
        <v>1</v>
      </c>
    </row>
    <row r="31">
      <c r="A31" s="63" t="inlineStr">
        <is>
          <t xml:space="preserve">Own class (1) — same class as S₂</t>
        </is>
      </c>
      <c r="B31" s="76">
        <f>IF(B30='Dataset'!$P$6,1,0)</f>
        <v>1</v>
      </c>
      <c r="C31" s="76">
        <f>IF(C30='Dataset'!$P$6,1,0)</f>
        <v>1</v>
      </c>
      <c r="D31" s="76">
        <f>IF(D30='Dataset'!$P$6,1,0)</f>
        <v>1</v>
      </c>
      <c r="E31" s="76">
        <f>IF(E30='Dataset'!$P$6,1,0)</f>
        <v>0</v>
      </c>
      <c r="F31" s="76">
        <f>IF(F30='Dataset'!$P$6,1,0)</f>
        <v>0</v>
      </c>
      <c r="G31" s="76">
        <f>IF(G30='Dataset'!$P$6,1,0)</f>
        <v>0</v>
      </c>
    </row>
    <row r="32">
      <c r="A32" s="63" t="inlineStr">
        <is>
          <t xml:space="preserve">Enemy (1) — the other class</t>
        </is>
      </c>
      <c r="B32" s="76">
        <f>1-B31</f>
        <v>0</v>
      </c>
      <c r="C32" s="76">
        <f>1-C31</f>
        <v>0</v>
      </c>
      <c r="D32" s="76">
        <f>1-D31</f>
        <v>0</v>
      </c>
      <c r="E32" s="76">
        <f>1-E31</f>
        <v>1</v>
      </c>
      <c r="F32" s="76">
        <f>1-F31</f>
        <v>1</v>
      </c>
      <c r="G32" s="76">
        <f>1-G31</f>
        <v>1</v>
      </c>
    </row>
    <row r="33">
      <c r="A33" s="63" t="inlineStr">
        <is>
          <t xml:space="preserve">Nearest enemy → r(Sᵢ)</t>
        </is>
      </c>
      <c r="B33" s="79" t="str">
        <f>IF(B$26=IFERROR(MATCH(1,$B$32:$G$32,0),0),"r","")</f>
        <v/>
      </c>
      <c r="C33" s="79" t="str">
        <f>IF(C$26=IFERROR(MATCH(1,$B$32:$G$32,0),0),"r","")</f>
        <v/>
      </c>
      <c r="D33" s="79" t="str">
        <f>IF(D$26=IFERROR(MATCH(1,$B$32:$G$32,0),0),"r","")</f>
        <v/>
      </c>
      <c r="E33" s="79" t="str">
        <f>IF(E$26=IFERROR(MATCH(1,$B$32:$G$32,0),0),"r","")</f>
        <v>r</v>
      </c>
      <c r="F33" s="79" t="str">
        <f>IF(F$26=IFERROR(MATCH(1,$B$32:$G$32,0),0),"r","")</f>
        <v/>
      </c>
      <c r="G33" s="79" t="str">
        <f>IF(G$26=IFERROR(MATCH(1,$B$32:$G$32,0),0),"r","")</f>
        <v/>
      </c>
    </row>
    <row r="34">
      <c r="A34" s="63" t="inlineStr">
        <is>
          <t xml:space="preserve">Own class inside the enemy sphere: ρ &lt; r(Sᵢ)</t>
        </is>
      </c>
      <c r="B34" s="76">
        <f>IF(AND(B31=1,B29&lt;'ERDR Characteristics'!$D$6),1,0)</f>
        <v>1</v>
      </c>
      <c r="C34" s="76">
        <f>IF(AND(C31=1,C29&lt;'ERDR Characteristics'!$D$6),1,0)</f>
        <v>1</v>
      </c>
      <c r="D34" s="76">
        <f>IF(AND(D31=1,D29&lt;'ERDR Characteristics'!$D$6),1,0)</f>
        <v>1</v>
      </c>
      <c r="E34" s="76">
        <f>IF(AND(E31=1,E29&lt;'ERDR Characteristics'!$D$6),1,0)</f>
        <v>0</v>
      </c>
      <c r="F34" s="76">
        <f>IF(AND(F31=1,F29&lt;'ERDR Characteristics'!$D$6),1,0)</f>
        <v>0</v>
      </c>
      <c r="G34" s="76">
        <f>IF(AND(G31=1,G29&lt;'ERDR Characteristics'!$D$6),1,0)</f>
        <v>0</v>
      </c>
    </row>
    <row r="35">
      <c r="A35" s="63" t="inlineStr">
        <is>
          <t xml:space="preserve">k-th neighbour → z(Sᵢ, k)</t>
        </is>
      </c>
      <c r="B35" s="79" t="str">
        <f>IF(B$26='Parameters'!$B$12,"z","")</f>
        <v/>
      </c>
      <c r="C35" s="79" t="str">
        <f>IF(C$26='Parameters'!$B$12,"z","")</f>
        <v/>
      </c>
      <c r="D35" s="79" t="str">
        <f>IF(D$26='Parameters'!$B$12,"z","")</f>
        <v>z</v>
      </c>
      <c r="E35" s="79" t="str">
        <f>IF(E$26='Parameters'!$B$12,"z","")</f>
        <v/>
      </c>
      <c r="F35" s="79" t="str">
        <f>IF(F$26='Parameters'!$B$12,"z","")</f>
        <v/>
      </c>
      <c r="G35" s="79" t="str">
        <f>IF(G$26='Parameters'!$B$12,"z","")</f>
        <v/>
      </c>
    </row>
    <row r="36"/>
    <row r="37">
      <c r="A37" s="59" t="str">
        <f>"S₃  ·  class "&amp;'Dataset'!$P$7&amp;"  ·  neighbours by ascending ρ  ·  r = "&amp;TEXT('ERDR Characteristics'!$D$7,"0.0000")&amp;",  z = "&amp;TEXT('ERDR Characteristics'!$H$7,"0.0000")&amp;",  g = "&amp;'ERDR Characteristics'!$E$7</f>
        <v>S₃  ·  class 1  ·  neighbours by ascending ρ  ·  r = 5.6071,  z = 5.6071,  g = 3</v>
      </c>
      <c r="B37" s="59"/>
      <c r="C37" s="59"/>
      <c r="D37" s="59"/>
      <c r="E37" s="59"/>
      <c r="F37" s="59"/>
      <c r="G37" s="59"/>
    </row>
    <row r="38">
      <c r="A38" s="60" t="inlineStr">
        <is>
          <t xml:space="preserve">Rank</t>
        </is>
      </c>
      <c r="B38" s="60">
        <v>1</v>
      </c>
      <c r="C38" s="60">
        <v>2</v>
      </c>
      <c r="D38" s="60">
        <v>3</v>
      </c>
      <c r="E38" s="60">
        <v>4</v>
      </c>
      <c r="F38" s="60">
        <v>5</v>
      </c>
      <c r="G38" s="60">
        <v>6</v>
      </c>
    </row>
    <row r="39">
      <c r="A39" s="63" t="inlineStr">
        <is>
          <t xml:space="preserve">Neighbour</t>
        </is>
      </c>
      <c r="B39" s="62" t="str">
        <f>INDEX('Zhuravlev Distances'!$B$4:$H$4,B40)</f>
        <v>S₇</v>
      </c>
      <c r="C39" s="62" t="str">
        <f>INDEX('Zhuravlev Distances'!$B$4:$H$4,C40)</f>
        <v>S₆</v>
      </c>
      <c r="D39" s="62" t="str">
        <f>INDEX('Zhuravlev Distances'!$B$4:$H$4,D40)</f>
        <v>S₁</v>
      </c>
      <c r="E39" s="62" t="str">
        <f>INDEX('Zhuravlev Distances'!$B$4:$H$4,E40)</f>
        <v>S₄</v>
      </c>
      <c r="F39" s="62" t="str">
        <f>INDEX('Zhuravlev Distances'!$B$4:$H$4,F40)</f>
        <v>S₅</v>
      </c>
      <c r="G39" s="62" t="str">
        <f>INDEX('Zhuravlev Distances'!$B$4:$H$4,G40)</f>
        <v>S₂</v>
      </c>
    </row>
    <row r="40">
      <c r="A40" s="63" t="inlineStr">
        <is>
          <t xml:space="preserve">Index in the dataset</t>
        </is>
      </c>
      <c r="B40" s="78">
        <f>MATCH(B$38,$B$7:$H$7,0)</f>
        <v>7</v>
      </c>
      <c r="C40" s="78">
        <f>MATCH(C$38,$B$7:$H$7,0)</f>
        <v>6</v>
      </c>
      <c r="D40" s="78">
        <f>MATCH(D$38,$B$7:$H$7,0)</f>
        <v>1</v>
      </c>
      <c r="E40" s="78">
        <f>MATCH(E$38,$B$7:$H$7,0)</f>
        <v>4</v>
      </c>
      <c r="F40" s="78">
        <f>MATCH(F$38,$B$7:$H$7,0)</f>
        <v>5</v>
      </c>
      <c r="G40" s="78">
        <f>MATCH(G$38,$B$7:$H$7,0)</f>
        <v>2</v>
      </c>
    </row>
    <row r="41">
      <c r="A41" s="63" t="inlineStr">
        <is>
          <t xml:space="preserve">ρ(S₃, neighbour)</t>
        </is>
      </c>
      <c r="B41" s="73">
        <f>INDEX('Zhuravlev Distances'!$B$7:$H$7,B40)</f>
        <v>2.7849754107</v>
      </c>
      <c r="C41" s="73">
        <f>INDEX('Zhuravlev Distances'!$B$7:$H$7,C40)</f>
        <v>5.2172783643</v>
      </c>
      <c r="D41" s="73">
        <f>INDEX('Zhuravlev Distances'!$B$7:$H$7,D40)</f>
        <v>5.60708061</v>
      </c>
      <c r="E41" s="73">
        <f>INDEX('Zhuravlev Distances'!$B$7:$H$7,E40)</f>
        <v>6.2175670209</v>
      </c>
      <c r="F41" s="73">
        <f>INDEX('Zhuravlev Distances'!$B$7:$H$7,F40)</f>
        <v>7.3117496807</v>
      </c>
      <c r="G41" s="73">
        <f>INDEX('Zhuravlev Distances'!$B$7:$H$7,G40)</f>
        <v>7.4699698919</v>
      </c>
    </row>
    <row r="42">
      <c r="A42" s="63" t="inlineStr">
        <is>
          <t xml:space="preserve">Class</t>
        </is>
      </c>
      <c r="B42" s="68">
        <f>INDEX('Dataset'!$P$5:$P$11,B40)</f>
        <v>1</v>
      </c>
      <c r="C42" s="68">
        <f>INDEX('Dataset'!$P$5:$P$11,C40)</f>
        <v>1</v>
      </c>
      <c r="D42" s="68">
        <f>INDEX('Dataset'!$P$5:$P$11,D40)</f>
        <v>2</v>
      </c>
      <c r="E42" s="68">
        <f>INDEX('Dataset'!$P$5:$P$11,E40)</f>
        <v>2</v>
      </c>
      <c r="F42" s="68">
        <f>INDEX('Dataset'!$P$5:$P$11,F40)</f>
        <v>2</v>
      </c>
      <c r="G42" s="68">
        <f>INDEX('Dataset'!$P$5:$P$11,G40)</f>
        <v>2</v>
      </c>
    </row>
    <row r="43">
      <c r="A43" s="63" t="inlineStr">
        <is>
          <t xml:space="preserve">Own class (1) — same class as S₃</t>
        </is>
      </c>
      <c r="B43" s="76">
        <f>IF(B42='Dataset'!$P$7,1,0)</f>
        <v>1</v>
      </c>
      <c r="C43" s="76">
        <f>IF(C42='Dataset'!$P$7,1,0)</f>
        <v>1</v>
      </c>
      <c r="D43" s="76">
        <f>IF(D42='Dataset'!$P$7,1,0)</f>
        <v>0</v>
      </c>
      <c r="E43" s="76">
        <f>IF(E42='Dataset'!$P$7,1,0)</f>
        <v>0</v>
      </c>
      <c r="F43" s="76">
        <f>IF(F42='Dataset'!$P$7,1,0)</f>
        <v>0</v>
      </c>
      <c r="G43" s="76">
        <f>IF(G42='Dataset'!$P$7,1,0)</f>
        <v>0</v>
      </c>
    </row>
    <row r="44">
      <c r="A44" s="63" t="inlineStr">
        <is>
          <t xml:space="preserve">Enemy (1) — the other class</t>
        </is>
      </c>
      <c r="B44" s="76">
        <f>1-B43</f>
        <v>0</v>
      </c>
      <c r="C44" s="76">
        <f>1-C43</f>
        <v>0</v>
      </c>
      <c r="D44" s="76">
        <f>1-D43</f>
        <v>1</v>
      </c>
      <c r="E44" s="76">
        <f>1-E43</f>
        <v>1</v>
      </c>
      <c r="F44" s="76">
        <f>1-F43</f>
        <v>1</v>
      </c>
      <c r="G44" s="76">
        <f>1-G43</f>
        <v>1</v>
      </c>
    </row>
    <row r="45">
      <c r="A45" s="63" t="inlineStr">
        <is>
          <t xml:space="preserve">Nearest enemy → r(Sᵢ)</t>
        </is>
      </c>
      <c r="B45" s="79" t="str">
        <f>IF(B$38=IFERROR(MATCH(1,$B$44:$G$44,0),0),"r","")</f>
        <v/>
      </c>
      <c r="C45" s="79" t="str">
        <f>IF(C$38=IFERROR(MATCH(1,$B$44:$G$44,0),0),"r","")</f>
        <v/>
      </c>
      <c r="D45" s="79" t="str">
        <f>IF(D$38=IFERROR(MATCH(1,$B$44:$G$44,0),0),"r","")</f>
        <v>r</v>
      </c>
      <c r="E45" s="79" t="str">
        <f>IF(E$38=IFERROR(MATCH(1,$B$44:$G$44,0),0),"r","")</f>
        <v/>
      </c>
      <c r="F45" s="79" t="str">
        <f>IF(F$38=IFERROR(MATCH(1,$B$44:$G$44,0),0),"r","")</f>
        <v/>
      </c>
      <c r="G45" s="79" t="str">
        <f>IF(G$38=IFERROR(MATCH(1,$B$44:$G$44,0),0),"r","")</f>
        <v/>
      </c>
    </row>
    <row r="46">
      <c r="A46" s="63" t="inlineStr">
        <is>
          <t xml:space="preserve">Own class inside the enemy sphere: ρ &lt; r(Sᵢ)</t>
        </is>
      </c>
      <c r="B46" s="76">
        <f>IF(AND(B43=1,B41&lt;'ERDR Characteristics'!$D$7),1,0)</f>
        <v>1</v>
      </c>
      <c r="C46" s="76">
        <f>IF(AND(C43=1,C41&lt;'ERDR Characteristics'!$D$7),1,0)</f>
        <v>1</v>
      </c>
      <c r="D46" s="76">
        <f>IF(AND(D43=1,D41&lt;'ERDR Characteristics'!$D$7),1,0)</f>
        <v>0</v>
      </c>
      <c r="E46" s="76">
        <f>IF(AND(E43=1,E41&lt;'ERDR Characteristics'!$D$7),1,0)</f>
        <v>0</v>
      </c>
      <c r="F46" s="76">
        <f>IF(AND(F43=1,F41&lt;'ERDR Characteristics'!$D$7),1,0)</f>
        <v>0</v>
      </c>
      <c r="G46" s="76">
        <f>IF(AND(G43=1,G41&lt;'ERDR Characteristics'!$D$7),1,0)</f>
        <v>0</v>
      </c>
    </row>
    <row r="47">
      <c r="A47" s="63" t="inlineStr">
        <is>
          <t xml:space="preserve">k-th neighbour → z(Sᵢ, k)</t>
        </is>
      </c>
      <c r="B47" s="79" t="str">
        <f>IF(B$38='Parameters'!$B$12,"z","")</f>
        <v/>
      </c>
      <c r="C47" s="79" t="str">
        <f>IF(C$38='Parameters'!$B$12,"z","")</f>
        <v/>
      </c>
      <c r="D47" s="79" t="str">
        <f>IF(D$38='Parameters'!$B$12,"z","")</f>
        <v>z</v>
      </c>
      <c r="E47" s="79" t="str">
        <f>IF(E$38='Parameters'!$B$12,"z","")</f>
        <v/>
      </c>
      <c r="F47" s="79" t="str">
        <f>IF(F$38='Parameters'!$B$12,"z","")</f>
        <v/>
      </c>
      <c r="G47" s="79" t="str">
        <f>IF(G$38='Parameters'!$B$12,"z","")</f>
        <v/>
      </c>
    </row>
    <row r="48"/>
    <row r="49">
      <c r="A49" s="59" t="str">
        <f>"S₄  ·  class "&amp;'Dataset'!$P$8&amp;"  ·  neighbours by ascending ρ  ·  r = "&amp;TEXT('ERDR Characteristics'!$D$8,"0.0000")&amp;",  z = "&amp;TEXT('ERDR Characteristics'!$H$8,"0.0000")&amp;",  g = "&amp;'ERDR Characteristics'!$E$8</f>
        <v>S₄  ·  class 2  ·  neighbours by ascending ρ  ·  r = 3.7071,  z = 6.2176,  g = 1</v>
      </c>
      <c r="B49" s="59"/>
      <c r="C49" s="59"/>
      <c r="D49" s="59"/>
      <c r="E49" s="59"/>
      <c r="F49" s="59"/>
      <c r="G49" s="59"/>
    </row>
    <row r="50">
      <c r="A50" s="60" t="inlineStr">
        <is>
          <t xml:space="preserve">Rank</t>
        </is>
      </c>
      <c r="B50" s="60">
        <v>1</v>
      </c>
      <c r="C50" s="60">
        <v>2</v>
      </c>
      <c r="D50" s="60">
        <v>3</v>
      </c>
      <c r="E50" s="60">
        <v>4</v>
      </c>
      <c r="F50" s="60">
        <v>5</v>
      </c>
      <c r="G50" s="60">
        <v>6</v>
      </c>
    </row>
    <row r="51">
      <c r="A51" s="63" t="inlineStr">
        <is>
          <t xml:space="preserve">Neighbour</t>
        </is>
      </c>
      <c r="B51" s="62" t="str">
        <f>INDEX('Zhuravlev Distances'!$B$4:$H$4,B52)</f>
        <v>S₆</v>
      </c>
      <c r="C51" s="62" t="str">
        <f>INDEX('Zhuravlev Distances'!$B$4:$H$4,C52)</f>
        <v>S₇</v>
      </c>
      <c r="D51" s="62" t="str">
        <f>INDEX('Zhuravlev Distances'!$B$4:$H$4,D52)</f>
        <v>S₃</v>
      </c>
      <c r="E51" s="62" t="str">
        <f>INDEX('Zhuravlev Distances'!$B$4:$H$4,E52)</f>
        <v>S₂</v>
      </c>
      <c r="F51" s="62" t="str">
        <f>INDEX('Zhuravlev Distances'!$B$4:$H$4,F52)</f>
        <v>S₁</v>
      </c>
      <c r="G51" s="62" t="str">
        <f>INDEX('Zhuravlev Distances'!$B$4:$H$4,G52)</f>
        <v>S₅</v>
      </c>
    </row>
    <row r="52">
      <c r="A52" s="63" t="inlineStr">
        <is>
          <t xml:space="preserve">Index in the dataset</t>
        </is>
      </c>
      <c r="B52" s="78">
        <f>MATCH(B$50,$B$8:$H$8,0)</f>
        <v>6</v>
      </c>
      <c r="C52" s="78">
        <f>MATCH(C$50,$B$8:$H$8,0)</f>
        <v>7</v>
      </c>
      <c r="D52" s="78">
        <f>MATCH(D$50,$B$8:$H$8,0)</f>
        <v>3</v>
      </c>
      <c r="E52" s="78">
        <f>MATCH(E$50,$B$8:$H$8,0)</f>
        <v>2</v>
      </c>
      <c r="F52" s="78">
        <f>MATCH(F$50,$B$8:$H$8,0)</f>
        <v>1</v>
      </c>
      <c r="G52" s="78">
        <f>MATCH(G$50,$B$8:$H$8,0)</f>
        <v>5</v>
      </c>
    </row>
    <row r="53">
      <c r="A53" s="63" t="inlineStr">
        <is>
          <t xml:space="preserve">ρ(S₄, neighbour)</t>
        </is>
      </c>
      <c r="B53" s="73">
        <f>INDEX('Zhuravlev Distances'!$B$8:$H$8,B52)</f>
        <v>3.7071187508</v>
      </c>
      <c r="C53" s="73">
        <f>INDEX('Zhuravlev Distances'!$B$8:$H$8,C52)</f>
        <v>3.9109813746</v>
      </c>
      <c r="D53" s="73">
        <f>INDEX('Zhuravlev Distances'!$B$8:$H$8,D52)</f>
        <v>6.2175670209</v>
      </c>
      <c r="E53" s="73">
        <f>INDEX('Zhuravlev Distances'!$B$8:$H$8,E52)</f>
        <v>6.3691657565</v>
      </c>
      <c r="F53" s="73">
        <f>INDEX('Zhuravlev Distances'!$B$8:$H$8,F52)</f>
        <v>6.6272117335</v>
      </c>
      <c r="G53" s="73">
        <f>INDEX('Zhuravlev Distances'!$B$8:$H$8,G52)</f>
        <v>7.8491221835</v>
      </c>
    </row>
    <row r="54">
      <c r="A54" s="63" t="inlineStr">
        <is>
          <t xml:space="preserve">Class</t>
        </is>
      </c>
      <c r="B54" s="68">
        <f>INDEX('Dataset'!$P$5:$P$11,B52)</f>
        <v>1</v>
      </c>
      <c r="C54" s="68">
        <f>INDEX('Dataset'!$P$5:$P$11,C52)</f>
        <v>1</v>
      </c>
      <c r="D54" s="68">
        <f>INDEX('Dataset'!$P$5:$P$11,D52)</f>
        <v>1</v>
      </c>
      <c r="E54" s="68">
        <f>INDEX('Dataset'!$P$5:$P$11,E52)</f>
        <v>2</v>
      </c>
      <c r="F54" s="68">
        <f>INDEX('Dataset'!$P$5:$P$11,F52)</f>
        <v>2</v>
      </c>
      <c r="G54" s="68">
        <f>INDEX('Dataset'!$P$5:$P$11,G52)</f>
        <v>2</v>
      </c>
    </row>
    <row r="55">
      <c r="A55" s="63" t="inlineStr">
        <is>
          <t xml:space="preserve">Own class (1) — same class as S₄</t>
        </is>
      </c>
      <c r="B55" s="76">
        <f>IF(B54='Dataset'!$P$8,1,0)</f>
        <v>0</v>
      </c>
      <c r="C55" s="76">
        <f>IF(C54='Dataset'!$P$8,1,0)</f>
        <v>0</v>
      </c>
      <c r="D55" s="76">
        <f>IF(D54='Dataset'!$P$8,1,0)</f>
        <v>0</v>
      </c>
      <c r="E55" s="76">
        <f>IF(E54='Dataset'!$P$8,1,0)</f>
        <v>1</v>
      </c>
      <c r="F55" s="76">
        <f>IF(F54='Dataset'!$P$8,1,0)</f>
        <v>1</v>
      </c>
      <c r="G55" s="76">
        <f>IF(G54='Dataset'!$P$8,1,0)</f>
        <v>1</v>
      </c>
    </row>
    <row r="56">
      <c r="A56" s="63" t="inlineStr">
        <is>
          <t xml:space="preserve">Enemy (1) — the other class</t>
        </is>
      </c>
      <c r="B56" s="76">
        <f>1-B55</f>
        <v>1</v>
      </c>
      <c r="C56" s="76">
        <f>1-C55</f>
        <v>1</v>
      </c>
      <c r="D56" s="76">
        <f>1-D55</f>
        <v>1</v>
      </c>
      <c r="E56" s="76">
        <f>1-E55</f>
        <v>0</v>
      </c>
      <c r="F56" s="76">
        <f>1-F55</f>
        <v>0</v>
      </c>
      <c r="G56" s="76">
        <f>1-G55</f>
        <v>0</v>
      </c>
    </row>
    <row r="57">
      <c r="A57" s="63" t="inlineStr">
        <is>
          <t xml:space="preserve">Nearest enemy → r(Sᵢ)</t>
        </is>
      </c>
      <c r="B57" s="79" t="str">
        <f>IF(B$50=IFERROR(MATCH(1,$B$56:$G$56,0),0),"r","")</f>
        <v>r</v>
      </c>
      <c r="C57" s="79" t="str">
        <f>IF(C$50=IFERROR(MATCH(1,$B$56:$G$56,0),0),"r","")</f>
        <v/>
      </c>
      <c r="D57" s="79" t="str">
        <f>IF(D$50=IFERROR(MATCH(1,$B$56:$G$56,0),0),"r","")</f>
        <v/>
      </c>
      <c r="E57" s="79" t="str">
        <f>IF(E$50=IFERROR(MATCH(1,$B$56:$G$56,0),0),"r","")</f>
        <v/>
      </c>
      <c r="F57" s="79" t="str">
        <f>IF(F$50=IFERROR(MATCH(1,$B$56:$G$56,0),0),"r","")</f>
        <v/>
      </c>
      <c r="G57" s="79" t="str">
        <f>IF(G$50=IFERROR(MATCH(1,$B$56:$G$56,0),0),"r","")</f>
        <v/>
      </c>
    </row>
    <row r="58">
      <c r="A58" s="63" t="inlineStr">
        <is>
          <t xml:space="preserve">Own class inside the enemy sphere: ρ &lt; r(Sᵢ)</t>
        </is>
      </c>
      <c r="B58" s="76">
        <f>IF(AND(B55=1,B53&lt;'ERDR Characteristics'!$D$8),1,0)</f>
        <v>0</v>
      </c>
      <c r="C58" s="76">
        <f>IF(AND(C55=1,C53&lt;'ERDR Characteristics'!$D$8),1,0)</f>
        <v>0</v>
      </c>
      <c r="D58" s="76">
        <f>IF(AND(D55=1,D53&lt;'ERDR Characteristics'!$D$8),1,0)</f>
        <v>0</v>
      </c>
      <c r="E58" s="76">
        <f>IF(AND(E55=1,E53&lt;'ERDR Characteristics'!$D$8),1,0)</f>
        <v>0</v>
      </c>
      <c r="F58" s="76">
        <f>IF(AND(F55=1,F53&lt;'ERDR Characteristics'!$D$8),1,0)</f>
        <v>0</v>
      </c>
      <c r="G58" s="76">
        <f>IF(AND(G55=1,G53&lt;'ERDR Characteristics'!$D$8),1,0)</f>
        <v>0</v>
      </c>
    </row>
    <row r="59">
      <c r="A59" s="63" t="inlineStr">
        <is>
          <t xml:space="preserve">k-th neighbour → z(Sᵢ, k)</t>
        </is>
      </c>
      <c r="B59" s="79" t="str">
        <f>IF(B$50='Parameters'!$B$12,"z","")</f>
        <v/>
      </c>
      <c r="C59" s="79" t="str">
        <f>IF(C$50='Parameters'!$B$12,"z","")</f>
        <v/>
      </c>
      <c r="D59" s="79" t="str">
        <f>IF(D$50='Parameters'!$B$12,"z","")</f>
        <v>z</v>
      </c>
      <c r="E59" s="79" t="str">
        <f>IF(E$50='Parameters'!$B$12,"z","")</f>
        <v/>
      </c>
      <c r="F59" s="79" t="str">
        <f>IF(F$50='Parameters'!$B$12,"z","")</f>
        <v/>
      </c>
      <c r="G59" s="79" t="str">
        <f>IF(G$50='Parameters'!$B$12,"z","")</f>
        <v/>
      </c>
    </row>
    <row r="60"/>
    <row r="61">
      <c r="A61" s="59" t="str">
        <f>"S₅  ·  class "&amp;'Dataset'!$P$9&amp;"  ·  neighbours by ascending ρ  ·  r = "&amp;TEXT('ERDR Characteristics'!$D$9,"0.0000")&amp;",  z = "&amp;TEXT('ERDR Characteristics'!$H$9,"0.0000")&amp;",  g = "&amp;'ERDR Characteristics'!$E$9</f>
        <v>S₅  ·  class 2  ·  neighbours by ascending ρ  ·  r = 7.1117,  z = 7.1117,  g = 3</v>
      </c>
      <c r="B61" s="59"/>
      <c r="C61" s="59"/>
      <c r="D61" s="59"/>
      <c r="E61" s="59"/>
      <c r="F61" s="59"/>
      <c r="G61" s="59"/>
    </row>
    <row r="62">
      <c r="A62" s="60" t="inlineStr">
        <is>
          <t xml:space="preserve">Rank</t>
        </is>
      </c>
      <c r="B62" s="60">
        <v>1</v>
      </c>
      <c r="C62" s="60">
        <v>2</v>
      </c>
      <c r="D62" s="60">
        <v>3</v>
      </c>
      <c r="E62" s="60">
        <v>4</v>
      </c>
      <c r="F62" s="60">
        <v>5</v>
      </c>
      <c r="G62" s="60">
        <v>6</v>
      </c>
    </row>
    <row r="63">
      <c r="A63" s="63" t="inlineStr">
        <is>
          <t xml:space="preserve">Neighbour</t>
        </is>
      </c>
      <c r="B63" s="62" t="str">
        <f>INDEX('Zhuravlev Distances'!$B$4:$H$4,B64)</f>
        <v>S₁</v>
      </c>
      <c r="C63" s="62" t="str">
        <f>INDEX('Zhuravlev Distances'!$B$4:$H$4,C64)</f>
        <v>S₂</v>
      </c>
      <c r="D63" s="62" t="str">
        <f>INDEX('Zhuravlev Distances'!$B$4:$H$4,D64)</f>
        <v>S₇</v>
      </c>
      <c r="E63" s="62" t="str">
        <f>INDEX('Zhuravlev Distances'!$B$4:$H$4,E64)</f>
        <v>S₃</v>
      </c>
      <c r="F63" s="62" t="str">
        <f>INDEX('Zhuravlev Distances'!$B$4:$H$4,F64)</f>
        <v>S₄</v>
      </c>
      <c r="G63" s="62" t="str">
        <f>INDEX('Zhuravlev Distances'!$B$4:$H$4,G64)</f>
        <v>S₆</v>
      </c>
    </row>
    <row r="64">
      <c r="A64" s="63" t="inlineStr">
        <is>
          <t xml:space="preserve">Index in the dataset</t>
        </is>
      </c>
      <c r="B64" s="78">
        <f>MATCH(B$62,$B$9:$H$9,0)</f>
        <v>1</v>
      </c>
      <c r="C64" s="78">
        <f>MATCH(C$62,$B$9:$H$9,0)</f>
        <v>2</v>
      </c>
      <c r="D64" s="78">
        <f>MATCH(D$62,$B$9:$H$9,0)</f>
        <v>7</v>
      </c>
      <c r="E64" s="78">
        <f>MATCH(E$62,$B$9:$H$9,0)</f>
        <v>3</v>
      </c>
      <c r="F64" s="78">
        <f>MATCH(F$62,$B$9:$H$9,0)</f>
        <v>4</v>
      </c>
      <c r="G64" s="78">
        <f>MATCH(G$62,$B$9:$H$9,0)</f>
        <v>6</v>
      </c>
    </row>
    <row r="65">
      <c r="A65" s="63" t="inlineStr">
        <is>
          <t xml:space="preserve">ρ(S₅, neighbour)</t>
        </is>
      </c>
      <c r="B65" s="73">
        <f>INDEX('Zhuravlev Distances'!$B$9:$H$9,B64)</f>
        <v>4.8565209225</v>
      </c>
      <c r="C65" s="73">
        <f>INDEX('Zhuravlev Distances'!$B$9:$H$9,C64)</f>
        <v>6.104089157</v>
      </c>
      <c r="D65" s="73">
        <f>INDEX('Zhuravlev Distances'!$B$9:$H$9,D64)</f>
        <v>7.1117040273</v>
      </c>
      <c r="E65" s="73">
        <f>INDEX('Zhuravlev Distances'!$B$9:$H$9,E64)</f>
        <v>7.3117496807</v>
      </c>
      <c r="F65" s="73">
        <f>INDEX('Zhuravlev Distances'!$B$9:$H$9,F64)</f>
        <v>7.8491221835</v>
      </c>
      <c r="G65" s="73">
        <f>INDEX('Zhuravlev Distances'!$B$9:$H$9,G64)</f>
        <v>9.0234774016</v>
      </c>
    </row>
    <row r="66">
      <c r="A66" s="63" t="inlineStr">
        <is>
          <t xml:space="preserve">Class</t>
        </is>
      </c>
      <c r="B66" s="68">
        <f>INDEX('Dataset'!$P$5:$P$11,B64)</f>
        <v>2</v>
      </c>
      <c r="C66" s="68">
        <f>INDEX('Dataset'!$P$5:$P$11,C64)</f>
        <v>2</v>
      </c>
      <c r="D66" s="68">
        <f>INDEX('Dataset'!$P$5:$P$11,D64)</f>
        <v>1</v>
      </c>
      <c r="E66" s="68">
        <f>INDEX('Dataset'!$P$5:$P$11,E64)</f>
        <v>1</v>
      </c>
      <c r="F66" s="68">
        <f>INDEX('Dataset'!$P$5:$P$11,F64)</f>
        <v>2</v>
      </c>
      <c r="G66" s="68">
        <f>INDEX('Dataset'!$P$5:$P$11,G64)</f>
        <v>1</v>
      </c>
    </row>
    <row r="67">
      <c r="A67" s="63" t="inlineStr">
        <is>
          <t xml:space="preserve">Own class (1) — same class as S₅</t>
        </is>
      </c>
      <c r="B67" s="76">
        <f>IF(B66='Dataset'!$P$9,1,0)</f>
        <v>1</v>
      </c>
      <c r="C67" s="76">
        <f>IF(C66='Dataset'!$P$9,1,0)</f>
        <v>1</v>
      </c>
      <c r="D67" s="76">
        <f>IF(D66='Dataset'!$P$9,1,0)</f>
        <v>0</v>
      </c>
      <c r="E67" s="76">
        <f>IF(E66='Dataset'!$P$9,1,0)</f>
        <v>0</v>
      </c>
      <c r="F67" s="76">
        <f>IF(F66='Dataset'!$P$9,1,0)</f>
        <v>1</v>
      </c>
      <c r="G67" s="76">
        <f>IF(G66='Dataset'!$P$9,1,0)</f>
        <v>0</v>
      </c>
    </row>
    <row r="68">
      <c r="A68" s="63" t="inlineStr">
        <is>
          <t xml:space="preserve">Enemy (1) — the other class</t>
        </is>
      </c>
      <c r="B68" s="76">
        <f>1-B67</f>
        <v>0</v>
      </c>
      <c r="C68" s="76">
        <f>1-C67</f>
        <v>0</v>
      </c>
      <c r="D68" s="76">
        <f>1-D67</f>
        <v>1</v>
      </c>
      <c r="E68" s="76">
        <f>1-E67</f>
        <v>1</v>
      </c>
      <c r="F68" s="76">
        <f>1-F67</f>
        <v>0</v>
      </c>
      <c r="G68" s="76">
        <f>1-G67</f>
        <v>1</v>
      </c>
    </row>
    <row r="69">
      <c r="A69" s="63" t="inlineStr">
        <is>
          <t xml:space="preserve">Nearest enemy → r(Sᵢ)</t>
        </is>
      </c>
      <c r="B69" s="79" t="str">
        <f>IF(B$62=IFERROR(MATCH(1,$B$68:$G$68,0),0),"r","")</f>
        <v/>
      </c>
      <c r="C69" s="79" t="str">
        <f>IF(C$62=IFERROR(MATCH(1,$B$68:$G$68,0),0),"r","")</f>
        <v/>
      </c>
      <c r="D69" s="79" t="str">
        <f>IF(D$62=IFERROR(MATCH(1,$B$68:$G$68,0),0),"r","")</f>
        <v>r</v>
      </c>
      <c r="E69" s="79" t="str">
        <f>IF(E$62=IFERROR(MATCH(1,$B$68:$G$68,0),0),"r","")</f>
        <v/>
      </c>
      <c r="F69" s="79" t="str">
        <f>IF(F$62=IFERROR(MATCH(1,$B$68:$G$68,0),0),"r","")</f>
        <v/>
      </c>
      <c r="G69" s="79" t="str">
        <f>IF(G$62=IFERROR(MATCH(1,$B$68:$G$68,0),0),"r","")</f>
        <v/>
      </c>
    </row>
    <row r="70">
      <c r="A70" s="63" t="inlineStr">
        <is>
          <t xml:space="preserve">Own class inside the enemy sphere: ρ &lt; r(Sᵢ)</t>
        </is>
      </c>
      <c r="B70" s="76">
        <f>IF(AND(B67=1,B65&lt;'ERDR Characteristics'!$D$9),1,0)</f>
        <v>1</v>
      </c>
      <c r="C70" s="76">
        <f>IF(AND(C67=1,C65&lt;'ERDR Characteristics'!$D$9),1,0)</f>
        <v>1</v>
      </c>
      <c r="D70" s="76">
        <f>IF(AND(D67=1,D65&lt;'ERDR Characteristics'!$D$9),1,0)</f>
        <v>0</v>
      </c>
      <c r="E70" s="76">
        <f>IF(AND(E67=1,E65&lt;'ERDR Characteristics'!$D$9),1,0)</f>
        <v>0</v>
      </c>
      <c r="F70" s="76">
        <f>IF(AND(F67=1,F65&lt;'ERDR Characteristics'!$D$9),1,0)</f>
        <v>0</v>
      </c>
      <c r="G70" s="76">
        <f>IF(AND(G67=1,G65&lt;'ERDR Characteristics'!$D$9),1,0)</f>
        <v>0</v>
      </c>
    </row>
    <row r="71">
      <c r="A71" s="63" t="inlineStr">
        <is>
          <t xml:space="preserve">k-th neighbour → z(Sᵢ, k)</t>
        </is>
      </c>
      <c r="B71" s="79" t="str">
        <f>IF(B$62='Parameters'!$B$12,"z","")</f>
        <v/>
      </c>
      <c r="C71" s="79" t="str">
        <f>IF(C$62='Parameters'!$B$12,"z","")</f>
        <v/>
      </c>
      <c r="D71" s="79" t="str">
        <f>IF(D$62='Parameters'!$B$12,"z","")</f>
        <v>z</v>
      </c>
      <c r="E71" s="79" t="str">
        <f>IF(E$62='Parameters'!$B$12,"z","")</f>
        <v/>
      </c>
      <c r="F71" s="79" t="str">
        <f>IF(F$62='Parameters'!$B$12,"z","")</f>
        <v/>
      </c>
      <c r="G71" s="79" t="str">
        <f>IF(G$62='Parameters'!$B$12,"z","")</f>
        <v/>
      </c>
    </row>
    <row r="72"/>
    <row r="73">
      <c r="A73" s="59" t="str">
        <f>"S₆  ·  class "&amp;'Dataset'!$P$10&amp;"  ·  neighbours by ascending ρ  ·  r = "&amp;TEXT('ERDR Characteristics'!$D$10,"0.0000")&amp;",  z = "&amp;TEXT('ERDR Characteristics'!$H$10,"0.0000")&amp;",  g = "&amp;'ERDR Characteristics'!$E$10</f>
        <v>S₆  ·  class 1  ·  neighbours by ascending ρ  ·  r = 3.7071,  z = 5.2173,  g = 1</v>
      </c>
      <c r="B73" s="59"/>
      <c r="C73" s="59"/>
      <c r="D73" s="59"/>
      <c r="E73" s="59"/>
      <c r="F73" s="59"/>
      <c r="G73" s="59"/>
    </row>
    <row r="74">
      <c r="A74" s="60" t="inlineStr">
        <is>
          <t xml:space="preserve">Rank</t>
        </is>
      </c>
      <c r="B74" s="60">
        <v>1</v>
      </c>
      <c r="C74" s="60">
        <v>2</v>
      </c>
      <c r="D74" s="60">
        <v>3</v>
      </c>
      <c r="E74" s="60">
        <v>4</v>
      </c>
      <c r="F74" s="60">
        <v>5</v>
      </c>
      <c r="G74" s="60">
        <v>6</v>
      </c>
    </row>
    <row r="75">
      <c r="A75" s="63" t="inlineStr">
        <is>
          <t xml:space="preserve">Neighbour</t>
        </is>
      </c>
      <c r="B75" s="62" t="str">
        <f>INDEX('Zhuravlev Distances'!$B$4:$H$4,B76)</f>
        <v>S₄</v>
      </c>
      <c r="C75" s="62" t="str">
        <f>INDEX('Zhuravlev Distances'!$B$4:$H$4,C76)</f>
        <v>S₇</v>
      </c>
      <c r="D75" s="62" t="str">
        <f>INDEX('Zhuravlev Distances'!$B$4:$H$4,D76)</f>
        <v>S₃</v>
      </c>
      <c r="E75" s="62" t="str">
        <f>INDEX('Zhuravlev Distances'!$B$4:$H$4,E76)</f>
        <v>S₁</v>
      </c>
      <c r="F75" s="62" t="str">
        <f>INDEX('Zhuravlev Distances'!$B$4:$H$4,F76)</f>
        <v>S₂</v>
      </c>
      <c r="G75" s="62" t="str">
        <f>INDEX('Zhuravlev Distances'!$B$4:$H$4,G76)</f>
        <v>S₅</v>
      </c>
    </row>
    <row r="76">
      <c r="A76" s="63" t="inlineStr">
        <is>
          <t xml:space="preserve">Index in the dataset</t>
        </is>
      </c>
      <c r="B76" s="78">
        <f>MATCH(B$74,$B$10:$H$10,0)</f>
        <v>4</v>
      </c>
      <c r="C76" s="78">
        <f>MATCH(C$74,$B$10:$H$10,0)</f>
        <v>7</v>
      </c>
      <c r="D76" s="78">
        <f>MATCH(D$74,$B$10:$H$10,0)</f>
        <v>3</v>
      </c>
      <c r="E76" s="78">
        <f>MATCH(E$74,$B$10:$H$10,0)</f>
        <v>1</v>
      </c>
      <c r="F76" s="78">
        <f>MATCH(F$74,$B$10:$H$10,0)</f>
        <v>2</v>
      </c>
      <c r="G76" s="78">
        <f>MATCH(G$74,$B$10:$H$10,0)</f>
        <v>5</v>
      </c>
    </row>
    <row r="77">
      <c r="A77" s="63" t="inlineStr">
        <is>
          <t xml:space="preserve">ρ(S₆, neighbour)</t>
        </is>
      </c>
      <c r="B77" s="73">
        <f>INDEX('Zhuravlev Distances'!$B$10:$H$10,B76)</f>
        <v>3.7071187508</v>
      </c>
      <c r="C77" s="73">
        <f>INDEX('Zhuravlev Distances'!$B$10:$H$10,C76)</f>
        <v>5.0314314939</v>
      </c>
      <c r="D77" s="73">
        <f>INDEX('Zhuravlev Distances'!$B$10:$H$10,D76)</f>
        <v>5.2172783643</v>
      </c>
      <c r="E77" s="73">
        <f>INDEX('Zhuravlev Distances'!$B$10:$H$10,E76)</f>
        <v>6.8015669516</v>
      </c>
      <c r="F77" s="73">
        <f>INDEX('Zhuravlev Distances'!$B$10:$H$10,F76)</f>
        <v>8.742951174</v>
      </c>
      <c r="G77" s="73">
        <f>INDEX('Zhuravlev Distances'!$B$10:$H$10,G76)</f>
        <v>9.0234774016</v>
      </c>
    </row>
    <row r="78">
      <c r="A78" s="63" t="inlineStr">
        <is>
          <t xml:space="preserve">Class</t>
        </is>
      </c>
      <c r="B78" s="68">
        <f>INDEX('Dataset'!$P$5:$P$11,B76)</f>
        <v>2</v>
      </c>
      <c r="C78" s="68">
        <f>INDEX('Dataset'!$P$5:$P$11,C76)</f>
        <v>1</v>
      </c>
      <c r="D78" s="68">
        <f>INDEX('Dataset'!$P$5:$P$11,D76)</f>
        <v>1</v>
      </c>
      <c r="E78" s="68">
        <f>INDEX('Dataset'!$P$5:$P$11,E76)</f>
        <v>2</v>
      </c>
      <c r="F78" s="68">
        <f>INDEX('Dataset'!$P$5:$P$11,F76)</f>
        <v>2</v>
      </c>
      <c r="G78" s="68">
        <f>INDEX('Dataset'!$P$5:$P$11,G76)</f>
        <v>2</v>
      </c>
    </row>
    <row r="79">
      <c r="A79" s="63" t="inlineStr">
        <is>
          <t xml:space="preserve">Own class (1) — same class as S₆</t>
        </is>
      </c>
      <c r="B79" s="76">
        <f>IF(B78='Dataset'!$P$10,1,0)</f>
        <v>0</v>
      </c>
      <c r="C79" s="76">
        <f>IF(C78='Dataset'!$P$10,1,0)</f>
        <v>1</v>
      </c>
      <c r="D79" s="76">
        <f>IF(D78='Dataset'!$P$10,1,0)</f>
        <v>1</v>
      </c>
      <c r="E79" s="76">
        <f>IF(E78='Dataset'!$P$10,1,0)</f>
        <v>0</v>
      </c>
      <c r="F79" s="76">
        <f>IF(F78='Dataset'!$P$10,1,0)</f>
        <v>0</v>
      </c>
      <c r="G79" s="76">
        <f>IF(G78='Dataset'!$P$10,1,0)</f>
        <v>0</v>
      </c>
    </row>
    <row r="80">
      <c r="A80" s="63" t="inlineStr">
        <is>
          <t xml:space="preserve">Enemy (1) — the other class</t>
        </is>
      </c>
      <c r="B80" s="76">
        <f>1-B79</f>
        <v>1</v>
      </c>
      <c r="C80" s="76">
        <f>1-C79</f>
        <v>0</v>
      </c>
      <c r="D80" s="76">
        <f>1-D79</f>
        <v>0</v>
      </c>
      <c r="E80" s="76">
        <f>1-E79</f>
        <v>1</v>
      </c>
      <c r="F80" s="76">
        <f>1-F79</f>
        <v>1</v>
      </c>
      <c r="G80" s="76">
        <f>1-G79</f>
        <v>1</v>
      </c>
    </row>
    <row r="81">
      <c r="A81" s="63" t="inlineStr">
        <is>
          <t xml:space="preserve">Nearest enemy → r(Sᵢ)</t>
        </is>
      </c>
      <c r="B81" s="79" t="str">
        <f>IF(B$74=IFERROR(MATCH(1,$B$80:$G$80,0),0),"r","")</f>
        <v>r</v>
      </c>
      <c r="C81" s="79" t="str">
        <f>IF(C$74=IFERROR(MATCH(1,$B$80:$G$80,0),0),"r","")</f>
        <v/>
      </c>
      <c r="D81" s="79" t="str">
        <f>IF(D$74=IFERROR(MATCH(1,$B$80:$G$80,0),0),"r","")</f>
        <v/>
      </c>
      <c r="E81" s="79" t="str">
        <f>IF(E$74=IFERROR(MATCH(1,$B$80:$G$80,0),0),"r","")</f>
        <v/>
      </c>
      <c r="F81" s="79" t="str">
        <f>IF(F$74=IFERROR(MATCH(1,$B$80:$G$80,0),0),"r","")</f>
        <v/>
      </c>
      <c r="G81" s="79" t="str">
        <f>IF(G$74=IFERROR(MATCH(1,$B$80:$G$80,0),0),"r","")</f>
        <v/>
      </c>
    </row>
    <row r="82">
      <c r="A82" s="63" t="inlineStr">
        <is>
          <t xml:space="preserve">Own class inside the enemy sphere: ρ &lt; r(Sᵢ)</t>
        </is>
      </c>
      <c r="B82" s="76">
        <f>IF(AND(B79=1,B77&lt;'ERDR Characteristics'!$D$10),1,0)</f>
        <v>0</v>
      </c>
      <c r="C82" s="76">
        <f>IF(AND(C79=1,C77&lt;'ERDR Characteristics'!$D$10),1,0)</f>
        <v>0</v>
      </c>
      <c r="D82" s="76">
        <f>IF(AND(D79=1,D77&lt;'ERDR Characteristics'!$D$10),1,0)</f>
        <v>0</v>
      </c>
      <c r="E82" s="76">
        <f>IF(AND(E79=1,E77&lt;'ERDR Characteristics'!$D$10),1,0)</f>
        <v>0</v>
      </c>
      <c r="F82" s="76">
        <f>IF(AND(F79=1,F77&lt;'ERDR Characteristics'!$D$10),1,0)</f>
        <v>0</v>
      </c>
      <c r="G82" s="76">
        <f>IF(AND(G79=1,G77&lt;'ERDR Characteristics'!$D$10),1,0)</f>
        <v>0</v>
      </c>
    </row>
    <row r="83">
      <c r="A83" s="63" t="inlineStr">
        <is>
          <t xml:space="preserve">k-th neighbour → z(Sᵢ, k)</t>
        </is>
      </c>
      <c r="B83" s="79" t="str">
        <f>IF(B$74='Parameters'!$B$12,"z","")</f>
        <v/>
      </c>
      <c r="C83" s="79" t="str">
        <f>IF(C$74='Parameters'!$B$12,"z","")</f>
        <v/>
      </c>
      <c r="D83" s="79" t="str">
        <f>IF(D$74='Parameters'!$B$12,"z","")</f>
        <v>z</v>
      </c>
      <c r="E83" s="79" t="str">
        <f>IF(E$74='Parameters'!$B$12,"z","")</f>
        <v/>
      </c>
      <c r="F83" s="79" t="str">
        <f>IF(F$74='Parameters'!$B$12,"z","")</f>
        <v/>
      </c>
      <c r="G83" s="79" t="str">
        <f>IF(G$74='Parameters'!$B$12,"z","")</f>
        <v/>
      </c>
    </row>
    <row r="84"/>
    <row r="85">
      <c r="A85" s="59" t="str">
        <f>"S₇  ·  class "&amp;'Dataset'!$P$11&amp;"  ·  neighbours by ascending ρ  ·  r = "&amp;TEXT('ERDR Characteristics'!$D$11,"0.0000")&amp;",  z = "&amp;TEXT('ERDR Characteristics'!$H$11,"0.0000")&amp;",  g = "&amp;'ERDR Characteristics'!$E$11</f>
        <v>S₇  ·  class 1  ·  neighbours by ascending ρ  ·  r = 3.9110,  z = 5.0314,  g = 2</v>
      </c>
      <c r="B85" s="59"/>
      <c r="C85" s="59"/>
      <c r="D85" s="59"/>
      <c r="E85" s="59"/>
      <c r="F85" s="59"/>
      <c r="G85" s="59"/>
    </row>
    <row r="86">
      <c r="A86" s="60" t="inlineStr">
        <is>
          <t xml:space="preserve">Rank</t>
        </is>
      </c>
      <c r="B86" s="60">
        <v>1</v>
      </c>
      <c r="C86" s="60">
        <v>2</v>
      </c>
      <c r="D86" s="60">
        <v>3</v>
      </c>
      <c r="E86" s="60">
        <v>4</v>
      </c>
      <c r="F86" s="60">
        <v>5</v>
      </c>
      <c r="G86" s="60">
        <v>6</v>
      </c>
    </row>
    <row r="87">
      <c r="A87" s="63" t="inlineStr">
        <is>
          <t xml:space="preserve">Neighbour</t>
        </is>
      </c>
      <c r="B87" s="62" t="str">
        <f>INDEX('Zhuravlev Distances'!$B$4:$H$4,B88)</f>
        <v>S₃</v>
      </c>
      <c r="C87" s="62" t="str">
        <f>INDEX('Zhuravlev Distances'!$B$4:$H$4,C88)</f>
        <v>S₄</v>
      </c>
      <c r="D87" s="62" t="str">
        <f>INDEX('Zhuravlev Distances'!$B$4:$H$4,D88)</f>
        <v>S₆</v>
      </c>
      <c r="E87" s="62" t="str">
        <f>INDEX('Zhuravlev Distances'!$B$4:$H$4,E88)</f>
        <v>S₁</v>
      </c>
      <c r="F87" s="62" t="str">
        <f>INDEX('Zhuravlev Distances'!$B$4:$H$4,F88)</f>
        <v>S₅</v>
      </c>
      <c r="G87" s="62" t="str">
        <f>INDEX('Zhuravlev Distances'!$B$4:$H$4,G88)</f>
        <v>S₂</v>
      </c>
    </row>
    <row r="88">
      <c r="A88" s="63" t="inlineStr">
        <is>
          <t xml:space="preserve">Index in the dataset</t>
        </is>
      </c>
      <c r="B88" s="78">
        <f>MATCH(B$86,$B$11:$H$11,0)</f>
        <v>3</v>
      </c>
      <c r="C88" s="78">
        <f>MATCH(C$86,$B$11:$H$11,0)</f>
        <v>4</v>
      </c>
      <c r="D88" s="78">
        <f>MATCH(D$86,$B$11:$H$11,0)</f>
        <v>6</v>
      </c>
      <c r="E88" s="78">
        <f>MATCH(E$86,$B$11:$H$11,0)</f>
        <v>1</v>
      </c>
      <c r="F88" s="78">
        <f>MATCH(F$86,$B$11:$H$11,0)</f>
        <v>5</v>
      </c>
      <c r="G88" s="78">
        <f>MATCH(G$86,$B$11:$H$11,0)</f>
        <v>2</v>
      </c>
    </row>
    <row r="89">
      <c r="A89" s="63" t="inlineStr">
        <is>
          <t xml:space="preserve">ρ(S₇, neighbour)</t>
        </is>
      </c>
      <c r="B89" s="73">
        <f>INDEX('Zhuravlev Distances'!$B$11:$H$11,B88)</f>
        <v>2.7849754107</v>
      </c>
      <c r="C89" s="73">
        <f>INDEX('Zhuravlev Distances'!$B$11:$H$11,C88)</f>
        <v>3.9109813746</v>
      </c>
      <c r="D89" s="73">
        <f>INDEX('Zhuravlev Distances'!$B$11:$H$11,D88)</f>
        <v>5.0314314939</v>
      </c>
      <c r="E89" s="73">
        <f>INDEX('Zhuravlev Distances'!$B$11:$H$11,E88)</f>
        <v>5.8897935773</v>
      </c>
      <c r="F89" s="73">
        <f>INDEX('Zhuravlev Distances'!$B$11:$H$11,F88)</f>
        <v>7.1117040273</v>
      </c>
      <c r="G89" s="73">
        <f>INDEX('Zhuravlev Distances'!$B$11:$H$11,G88)</f>
        <v>7.7855937542</v>
      </c>
    </row>
    <row r="90">
      <c r="A90" s="63" t="inlineStr">
        <is>
          <t xml:space="preserve">Class</t>
        </is>
      </c>
      <c r="B90" s="68">
        <f>INDEX('Dataset'!$P$5:$P$11,B88)</f>
        <v>1</v>
      </c>
      <c r="C90" s="68">
        <f>INDEX('Dataset'!$P$5:$P$11,C88)</f>
        <v>2</v>
      </c>
      <c r="D90" s="68">
        <f>INDEX('Dataset'!$P$5:$P$11,D88)</f>
        <v>1</v>
      </c>
      <c r="E90" s="68">
        <f>INDEX('Dataset'!$P$5:$P$11,E88)</f>
        <v>2</v>
      </c>
      <c r="F90" s="68">
        <f>INDEX('Dataset'!$P$5:$P$11,F88)</f>
        <v>2</v>
      </c>
      <c r="G90" s="68">
        <f>INDEX('Dataset'!$P$5:$P$11,G88)</f>
        <v>2</v>
      </c>
    </row>
    <row r="91">
      <c r="A91" s="63" t="inlineStr">
        <is>
          <t xml:space="preserve">Own class (1) — same class as S₇</t>
        </is>
      </c>
      <c r="B91" s="76">
        <f>IF(B90='Dataset'!$P$11,1,0)</f>
        <v>1</v>
      </c>
      <c r="C91" s="76">
        <f>IF(C90='Dataset'!$P$11,1,0)</f>
        <v>0</v>
      </c>
      <c r="D91" s="76">
        <f>IF(D90='Dataset'!$P$11,1,0)</f>
        <v>1</v>
      </c>
      <c r="E91" s="76">
        <f>IF(E90='Dataset'!$P$11,1,0)</f>
        <v>0</v>
      </c>
      <c r="F91" s="76">
        <f>IF(F90='Dataset'!$P$11,1,0)</f>
        <v>0</v>
      </c>
      <c r="G91" s="76">
        <f>IF(G90='Dataset'!$P$11,1,0)</f>
        <v>0</v>
      </c>
    </row>
    <row r="92">
      <c r="A92" s="63" t="inlineStr">
        <is>
          <t xml:space="preserve">Enemy (1) — the other class</t>
        </is>
      </c>
      <c r="B92" s="76">
        <f>1-B91</f>
        <v>0</v>
      </c>
      <c r="C92" s="76">
        <f>1-C91</f>
        <v>1</v>
      </c>
      <c r="D92" s="76">
        <f>1-D91</f>
        <v>0</v>
      </c>
      <c r="E92" s="76">
        <f>1-E91</f>
        <v>1</v>
      </c>
      <c r="F92" s="76">
        <f>1-F91</f>
        <v>1</v>
      </c>
      <c r="G92" s="76">
        <f>1-G91</f>
        <v>1</v>
      </c>
    </row>
    <row r="93">
      <c r="A93" s="63" t="inlineStr">
        <is>
          <t xml:space="preserve">Nearest enemy → r(Sᵢ)</t>
        </is>
      </c>
      <c r="B93" s="79" t="str">
        <f>IF(B$86=IFERROR(MATCH(1,$B$92:$G$92,0),0),"r","")</f>
        <v/>
      </c>
      <c r="C93" s="79" t="str">
        <f>IF(C$86=IFERROR(MATCH(1,$B$92:$G$92,0),0),"r","")</f>
        <v>r</v>
      </c>
      <c r="D93" s="79" t="str">
        <f>IF(D$86=IFERROR(MATCH(1,$B$92:$G$92,0),0),"r","")</f>
        <v/>
      </c>
      <c r="E93" s="79" t="str">
        <f>IF(E$86=IFERROR(MATCH(1,$B$92:$G$92,0),0),"r","")</f>
        <v/>
      </c>
      <c r="F93" s="79" t="str">
        <f>IF(F$86=IFERROR(MATCH(1,$B$92:$G$92,0),0),"r","")</f>
        <v/>
      </c>
      <c r="G93" s="79" t="str">
        <f>IF(G$86=IFERROR(MATCH(1,$B$92:$G$92,0),0),"r","")</f>
        <v/>
      </c>
    </row>
    <row r="94">
      <c r="A94" s="63" t="inlineStr">
        <is>
          <t xml:space="preserve">Own class inside the enemy sphere: ρ &lt; r(Sᵢ)</t>
        </is>
      </c>
      <c r="B94" s="76">
        <f>IF(AND(B91=1,B89&lt;'ERDR Characteristics'!$D$11),1,0)</f>
        <v>1</v>
      </c>
      <c r="C94" s="76">
        <f>IF(AND(C91=1,C89&lt;'ERDR Characteristics'!$D$11),1,0)</f>
        <v>0</v>
      </c>
      <c r="D94" s="76">
        <f>IF(AND(D91=1,D89&lt;'ERDR Characteristics'!$D$11),1,0)</f>
        <v>0</v>
      </c>
      <c r="E94" s="76">
        <f>IF(AND(E91=1,E89&lt;'ERDR Characteristics'!$D$11),1,0)</f>
        <v>0</v>
      </c>
      <c r="F94" s="76">
        <f>IF(AND(F91=1,F89&lt;'ERDR Characteristics'!$D$11),1,0)</f>
        <v>0</v>
      </c>
      <c r="G94" s="76">
        <f>IF(AND(G91=1,G89&lt;'ERDR Characteristics'!$D$11),1,0)</f>
        <v>0</v>
      </c>
    </row>
    <row r="95">
      <c r="A95" s="63" t="inlineStr">
        <is>
          <t xml:space="preserve">k-th neighbour → z(Sᵢ, k)</t>
        </is>
      </c>
      <c r="B95" s="79" t="str">
        <f>IF(B$86='Parameters'!$B$12,"z","")</f>
        <v/>
      </c>
      <c r="C95" s="79" t="str">
        <f>IF(C$86='Parameters'!$B$12,"z","")</f>
        <v/>
      </c>
      <c r="D95" s="79" t="str">
        <f>IF(D$86='Parameters'!$B$12,"z","")</f>
        <v>z</v>
      </c>
      <c r="E95" s="79" t="str">
        <f>IF(E$86='Parameters'!$B$12,"z","")</f>
        <v/>
      </c>
      <c r="F95" s="79" t="str">
        <f>IF(F$86='Parameters'!$B$12,"z","")</f>
        <v/>
      </c>
      <c r="G95" s="79" t="str">
        <f>IF(G$86='Parameters'!$B$12,"z","")</f>
        <v/>
      </c>
    </row>
    <row r="96"/>
    <row r="97">
      <c r="A97" s="100" t="inlineStr">
        <is>
          <t xml:space="preserve">Ranks use the Step 0 distances: rank = 1 + #{objects closer than Sⱼ} + #{objects at the same distance with a smaller index}; the target itself is excluded.</t>
        </is>
      </c>
    </row>
    <row r="98">
      <c r="A98" s="100" t="inlineStr">
        <is>
          <t xml:space="preserve">r(Sᵢ) is the distance at the first enemy (“r”); z(Sᵢ, k) is the distance at rank k (“z”, k from the Parameters sheet); g(Sᵢ) = 1 (Sᵢ itself) + the 1s of the green row.</t>
        </is>
      </c>
    </row>
    <row r="99">
      <c r="A99" s="100" t="inlineStr">
        <is>
          <t xml:space="preserve">When the nearest enemy sits exactly at rank k, z = r and d = 0 — the source of the ties that Step 2 resolves by r and then by index.</t>
        </is>
      </c>
    </row>
  </sheetData>
  <mergeCells count="9">
    <mergeCell ref="A1:H1"/>
    <mergeCell ref="A3:H3"/>
    <mergeCell ref="A13:G13"/>
    <mergeCell ref="A25:G25"/>
    <mergeCell ref="A37:G37"/>
    <mergeCell ref="A49:G49"/>
    <mergeCell ref="A61:G61"/>
    <mergeCell ref="A73:G73"/>
    <mergeCell ref="A85:G85"/>
  </mergeCells>
  <conditionalFormatting sqref="B19:G19">
    <cfRule type="cellIs" dxfId="0" priority="1" operator="equal">
      <formula>1</formula>
    </cfRule>
  </conditionalFormatting>
  <conditionalFormatting sqref="B20:G20">
    <cfRule type="cellIs" dxfId="6" priority="2" operator="equal">
      <formula>1</formula>
    </cfRule>
  </conditionalFormatting>
  <conditionalFormatting sqref="B22:G22">
    <cfRule type="cellIs" dxfId="0" priority="3" operator="equal">
      <formula>1</formula>
    </cfRule>
  </conditionalFormatting>
  <conditionalFormatting sqref="B21:G21">
    <cfRule type="expression" dxfId="1" priority="4">
      <formula>B21&lt;&gt;""</formula>
    </cfRule>
  </conditionalFormatting>
  <conditionalFormatting sqref="B23:G23">
    <cfRule type="expression" dxfId="1" priority="5">
      <formula>B23&lt;&gt;""</formula>
    </cfRule>
  </conditionalFormatting>
  <conditionalFormatting sqref="B31:G31">
    <cfRule type="cellIs" dxfId="0" priority="6" operator="equal">
      <formula>1</formula>
    </cfRule>
  </conditionalFormatting>
  <conditionalFormatting sqref="B32:G32">
    <cfRule type="cellIs" dxfId="6" priority="7" operator="equal">
      <formula>1</formula>
    </cfRule>
  </conditionalFormatting>
  <conditionalFormatting sqref="B34:G34">
    <cfRule type="cellIs" dxfId="0" priority="8" operator="equal">
      <formula>1</formula>
    </cfRule>
  </conditionalFormatting>
  <conditionalFormatting sqref="B33:G33">
    <cfRule type="expression" dxfId="1" priority="9">
      <formula>B33&lt;&gt;""</formula>
    </cfRule>
  </conditionalFormatting>
  <conditionalFormatting sqref="B35:G35">
    <cfRule type="expression" dxfId="1" priority="10">
      <formula>B35&lt;&gt;""</formula>
    </cfRule>
  </conditionalFormatting>
  <conditionalFormatting sqref="B43:G43">
    <cfRule type="cellIs" dxfId="0" priority="11" operator="equal">
      <formula>1</formula>
    </cfRule>
  </conditionalFormatting>
  <conditionalFormatting sqref="B44:G44">
    <cfRule type="cellIs" dxfId="6" priority="12" operator="equal">
      <formula>1</formula>
    </cfRule>
  </conditionalFormatting>
  <conditionalFormatting sqref="B46:G46">
    <cfRule type="cellIs" dxfId="0" priority="13" operator="equal">
      <formula>1</formula>
    </cfRule>
  </conditionalFormatting>
  <conditionalFormatting sqref="B45:G45">
    <cfRule type="expression" dxfId="1" priority="14">
      <formula>B45&lt;&gt;""</formula>
    </cfRule>
  </conditionalFormatting>
  <conditionalFormatting sqref="B47:G47">
    <cfRule type="expression" dxfId="1" priority="15">
      <formula>B47&lt;&gt;""</formula>
    </cfRule>
  </conditionalFormatting>
  <conditionalFormatting sqref="B55:G55">
    <cfRule type="cellIs" dxfId="0" priority="16" operator="equal">
      <formula>1</formula>
    </cfRule>
  </conditionalFormatting>
  <conditionalFormatting sqref="B56:G56">
    <cfRule type="cellIs" dxfId="6" priority="17" operator="equal">
      <formula>1</formula>
    </cfRule>
  </conditionalFormatting>
  <conditionalFormatting sqref="B58:G58">
    <cfRule type="cellIs" dxfId="0" priority="18" operator="equal">
      <formula>1</formula>
    </cfRule>
  </conditionalFormatting>
  <conditionalFormatting sqref="B57:G57">
    <cfRule type="expression" dxfId="1" priority="19">
      <formula>B57&lt;&gt;""</formula>
    </cfRule>
  </conditionalFormatting>
  <conditionalFormatting sqref="B59:G59">
    <cfRule type="expression" dxfId="1" priority="20">
      <formula>B59&lt;&gt;""</formula>
    </cfRule>
  </conditionalFormatting>
  <conditionalFormatting sqref="B67:G67">
    <cfRule type="cellIs" dxfId="0" priority="21" operator="equal">
      <formula>1</formula>
    </cfRule>
  </conditionalFormatting>
  <conditionalFormatting sqref="B68:G68">
    <cfRule type="cellIs" dxfId="6" priority="22" operator="equal">
      <formula>1</formula>
    </cfRule>
  </conditionalFormatting>
  <conditionalFormatting sqref="B70:G70">
    <cfRule type="cellIs" dxfId="0" priority="23" operator="equal">
      <formula>1</formula>
    </cfRule>
  </conditionalFormatting>
  <conditionalFormatting sqref="B69:G69">
    <cfRule type="expression" dxfId="1" priority="24">
      <formula>B69&lt;&gt;""</formula>
    </cfRule>
  </conditionalFormatting>
  <conditionalFormatting sqref="B71:G71">
    <cfRule type="expression" dxfId="1" priority="25">
      <formula>B71&lt;&gt;""</formula>
    </cfRule>
  </conditionalFormatting>
  <conditionalFormatting sqref="B79:G79">
    <cfRule type="cellIs" dxfId="0" priority="26" operator="equal">
      <formula>1</formula>
    </cfRule>
  </conditionalFormatting>
  <conditionalFormatting sqref="B80:G80">
    <cfRule type="cellIs" dxfId="6" priority="27" operator="equal">
      <formula>1</formula>
    </cfRule>
  </conditionalFormatting>
  <conditionalFormatting sqref="B82:G82">
    <cfRule type="cellIs" dxfId="0" priority="28" operator="equal">
      <formula>1</formula>
    </cfRule>
  </conditionalFormatting>
  <conditionalFormatting sqref="B81:G81">
    <cfRule type="expression" dxfId="1" priority="29">
      <formula>B81&lt;&gt;""</formula>
    </cfRule>
  </conditionalFormatting>
  <conditionalFormatting sqref="B83:G83">
    <cfRule type="expression" dxfId="1" priority="30">
      <formula>B83&lt;&gt;""</formula>
    </cfRule>
  </conditionalFormatting>
  <conditionalFormatting sqref="B91:G91">
    <cfRule type="cellIs" dxfId="0" priority="31" operator="equal">
      <formula>1</formula>
    </cfRule>
  </conditionalFormatting>
  <conditionalFormatting sqref="B92:G92">
    <cfRule type="cellIs" dxfId="6" priority="32" operator="equal">
      <formula>1</formula>
    </cfRule>
  </conditionalFormatting>
  <conditionalFormatting sqref="B94:G94">
    <cfRule type="cellIs" dxfId="0" priority="33" operator="equal">
      <formula>1</formula>
    </cfRule>
  </conditionalFormatting>
  <conditionalFormatting sqref="B93:G93">
    <cfRule type="expression" dxfId="1" priority="34">
      <formula>B93&lt;&gt;""</formula>
    </cfRule>
  </conditionalFormatting>
  <conditionalFormatting sqref="B95:G95">
    <cfRule type="expression" dxfId="1" priority="35">
      <formula>B95&lt;&gt;""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M28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9.77734375" customWidth="1"/>
    <col min="3" max="3" width="15.77734375" customWidth="1"/>
    <col min="4" max="5" width="11.77734375" customWidth="1"/>
    <col min="6" max="6" width="12.77734375" customWidth="1"/>
    <col min="7" max="7" width="13.77734375" customWidth="1"/>
    <col min="8" max="10" width="11.77734375" customWidth="1"/>
    <col min="11" max="11" width="16.77734375" customWidth="1"/>
    <col min="12" max="12" width="40.77734375" customWidth="1"/>
    <col min="13" max="13" width="58.77734375" customWidth="1"/>
  </cols>
  <sheetData>
    <row r="1" ht="22" customHeight="1">
      <c r="A1" s="57" t="inlineStr">
        <is>
          <t xml:space="preserve">ERDR Step 1 · Auxiliary functions of every object — r(Sᵢ), g(Sᵢ), z(Sᵢ, k), d(Sᵢ) and the Step 2 priority position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/>
    <row r="3">
      <c r="A3" s="58" t="inlineStr">
        <is>
          <t xml:space="preserve">r = nearest-enemy distance  ·  g = own-class objects strictly inside the enemy sphere (Sᵢ counts)  ·  z = distance to the k-th neighbour  ·  d = |z − r| / (z + r)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ht="48" customHeight="1">
      <c r="A4" s="60" t="inlineStr">
        <is>
          <t xml:space="preserve">№</t>
        </is>
      </c>
      <c r="B4" s="60" t="inlineStr">
        <is>
          <t xml:space="preserve">Class</t>
        </is>
      </c>
      <c r="C4" s="60" t="inlineStr">
        <is>
          <t xml:space="preserve">Nearest enemy</t>
        </is>
      </c>
      <c r="D4" s="60" t="inlineStr">
        <is>
          <t xml:space="preserve">r(Sᵢ)</t>
        </is>
      </c>
      <c r="E4" s="60" t="inlineStr">
        <is>
          <t xml:space="preserve">g(Sᵢ)</t>
        </is>
      </c>
      <c r="F4" s="60" t="inlineStr">
        <is>
          <t xml:space="preserve">Rank of the nearest enemy</t>
        </is>
      </c>
      <c r="G4" s="60" t="inlineStr">
        <is>
          <t xml:space="preserve">k-th neighbour</t>
        </is>
      </c>
      <c r="H4" s="60" t="inlineStr">
        <is>
          <t xml:space="preserve">z(Sᵢ, k)</t>
        </is>
      </c>
      <c r="I4" s="60" t="inlineStr">
        <is>
          <t xml:space="preserve">z − r</t>
        </is>
      </c>
      <c r="J4" s="60" t="inlineStr">
        <is>
          <t xml:space="preserve">d(Sᵢ)</t>
        </is>
      </c>
      <c r="K4" s="60" t="inlineStr">
        <is>
          <t xml:space="preserve">Priority position (Step 2)</t>
        </is>
      </c>
      <c r="L4" s="60" t="inlineStr">
        <is>
          <t xml:space="preserve">Own-class objects inside the sphere (Sᵢ, r(Sᵢ))</t>
        </is>
      </c>
      <c r="M4" s="60" t="inlineStr">
        <is>
          <t xml:space="preserve">Note</t>
        </is>
      </c>
    </row>
    <row r="5">
      <c r="A5" s="62" t="inlineStr">
        <is>
          <t xml:space="preserve">S₁</t>
        </is>
      </c>
      <c r="B5" s="68">
        <f>'Dataset'!P5</f>
        <v>2</v>
      </c>
      <c r="C5" s="62" t="str">
        <f>IFERROR(INDEX('Sorted Neighbors'!$B$15:$G$15,MATCH(1,'Sorted Neighbors'!$B$20:$G$20,0)),"— (one class only)")</f>
        <v>S₃</v>
      </c>
      <c r="D5" s="81">
        <f>IFERROR(INDEX('Sorted Neighbors'!$B$17:$G$17,MATCH(1,'Sorted Neighbors'!$B$20:$G$20,0)),0)</f>
        <v>5.60708061</v>
      </c>
      <c r="E5" s="80">
        <f>1+SUM('Sorted Neighbors'!$B$22:$G$22)</f>
        <v>3</v>
      </c>
      <c r="F5" s="77">
        <f>IFERROR(MATCH(1,'Sorted Neighbors'!$B$20:$G$20,0),"—")</f>
        <v>3</v>
      </c>
      <c r="G5" s="62" t="str">
        <f>IF('Parameters'!$B$12&lt;='Parameters'!$B$5-1,INDEX('Sorted Neighbors'!$B$15:$G$15,'Parameters'!$B$12),"—")</f>
        <v>S₃</v>
      </c>
      <c r="H5" s="81">
        <f>IF('Parameters'!$B$12&lt;='Parameters'!$B$5-1,INDEX('Sorted Neighbors'!$B$17:$G$17,'Parameters'!$B$12),0)</f>
        <v>5.60708061</v>
      </c>
      <c r="I5" s="73">
        <f>H5-D5</f>
        <v>0</v>
      </c>
      <c r="J5" s="91">
        <f>IF(H5+D5=0,0,ROUND(ABS(H5-D5)/(H5+D5),10))</f>
        <v>0</v>
      </c>
      <c r="K5" s="77">
        <f>1+SUMPRODUCT(($J$5:$J$11&lt;J5)+($J$5:$J$11=J5)*($D$5:$D$11&lt;D5)+($J$5:$J$11=J5)*($D$5:$D$11=D5)*(ROW($J$5:$J$11)&lt;ROW(J5)))</f>
        <v>1</v>
      </c>
      <c r="L5" s="101" t="str">
        <f>A5&amp;" (itself)"&amp;IF('Sorted Neighbors'!B22=1,", "&amp;'Sorted Neighbors'!B15,"")&amp;IF('Sorted Neighbors'!C22=1,", "&amp;'Sorted Neighbors'!C15,"")&amp;IF('Sorted Neighbors'!D22=1,", "&amp;'Sorted Neighbors'!D15,"")&amp;IF('Sorted Neighbors'!E22=1,", "&amp;'Sorted Neighbors'!E15,"")&amp;IF('Sorted Neighbors'!F22=1,", "&amp;'Sorted Neighbors'!F15,"")&amp;IF('Sorted Neighbors'!G22=1,", "&amp;'Sorted Neighbors'!G15,"")</f>
        <v>S₁ (itself), S₂, S₅</v>
      </c>
      <c r="M5" s="101" t="str">
        <f>IF(J5=0,"z = r: the nearest enemy is the k-th neighbour → d = 0",IF(E5=1,"g = 1: no own-class object inside the enemy sphere",""))</f>
        <v>z = r: the nearest enemy is the k-th neighbour → d = 0</v>
      </c>
    </row>
    <row r="6">
      <c r="A6" s="62" t="inlineStr">
        <is>
          <t xml:space="preserve">S₂</t>
        </is>
      </c>
      <c r="B6" s="68">
        <f>'Dataset'!P6</f>
        <v>2</v>
      </c>
      <c r="C6" s="62" t="str">
        <f>IFERROR(INDEX('Sorted Neighbors'!$B$27:$G$27,MATCH(1,'Sorted Neighbors'!$B$32:$G$32,0)),"— (one class only)")</f>
        <v>S₃</v>
      </c>
      <c r="D6" s="81">
        <f>IFERROR(INDEX('Sorted Neighbors'!$B$29:$G$29,MATCH(1,'Sorted Neighbors'!$B$32:$G$32,0)),0)</f>
        <v>7.4699698919</v>
      </c>
      <c r="E6" s="80">
        <f>1+SUM('Sorted Neighbors'!$B$34:$G$34)</f>
        <v>4</v>
      </c>
      <c r="F6" s="77">
        <f>IFERROR(MATCH(1,'Sorted Neighbors'!$B$32:$G$32,0),"—")</f>
        <v>4</v>
      </c>
      <c r="G6" s="62" t="str">
        <f>IF('Parameters'!$B$12&lt;='Parameters'!$B$5-1,INDEX('Sorted Neighbors'!$B$27:$G$27,'Parameters'!$B$12),"—")</f>
        <v>S₄</v>
      </c>
      <c r="H6" s="81">
        <f>IF('Parameters'!$B$12&lt;='Parameters'!$B$5-1,INDEX('Sorted Neighbors'!$B$29:$G$29,'Parameters'!$B$12),0)</f>
        <v>6.3691657565</v>
      </c>
      <c r="I6" s="73">
        <f>H6-D6</f>
        <v>-1.1008041354</v>
      </c>
      <c r="J6" s="91">
        <f>IF(H6+D6=0,0,ROUND(ABS(H6-D6)/(H6+D6),10))</f>
        <v>0.0795428388</v>
      </c>
      <c r="K6" s="77">
        <f>1+SUMPRODUCT(($J$5:$J$11&lt;J6)+($J$5:$J$11=J6)*($D$5:$D$11&lt;D6)+($J$5:$J$11=J6)*($D$5:$D$11=D6)*(ROW($J$5:$J$11)&lt;ROW(J6)))</f>
        <v>4</v>
      </c>
      <c r="L6" s="101" t="str">
        <f>A6&amp;" (itself)"&amp;IF('Sorted Neighbors'!B34=1,", "&amp;'Sorted Neighbors'!B27,"")&amp;IF('Sorted Neighbors'!C34=1,", "&amp;'Sorted Neighbors'!C27,"")&amp;IF('Sorted Neighbors'!D34=1,", "&amp;'Sorted Neighbors'!D27,"")&amp;IF('Sorted Neighbors'!E34=1,", "&amp;'Sorted Neighbors'!E27,"")&amp;IF('Sorted Neighbors'!F34=1,", "&amp;'Sorted Neighbors'!F27,"")&amp;IF('Sorted Neighbors'!G34=1,", "&amp;'Sorted Neighbors'!G27,"")</f>
        <v>S₂ (itself), S₁, S₅, S₄</v>
      </c>
      <c r="M6" s="101" t="str">
        <f>IF(J6=0,"z = r: the nearest enemy is the k-th neighbour → d = 0",IF(E6=1,"g = 1: no own-class object inside the enemy sphere",""))</f>
        <v/>
      </c>
    </row>
    <row r="7">
      <c r="A7" s="62" t="inlineStr">
        <is>
          <t xml:space="preserve">S₃</t>
        </is>
      </c>
      <c r="B7" s="68">
        <f>'Dataset'!P7</f>
        <v>1</v>
      </c>
      <c r="C7" s="62" t="str">
        <f>IFERROR(INDEX('Sorted Neighbors'!$B$39:$G$39,MATCH(1,'Sorted Neighbors'!$B$44:$G$44,0)),"— (one class only)")</f>
        <v>S₁</v>
      </c>
      <c r="D7" s="81">
        <f>IFERROR(INDEX('Sorted Neighbors'!$B$41:$G$41,MATCH(1,'Sorted Neighbors'!$B$44:$G$44,0)),0)</f>
        <v>5.60708061</v>
      </c>
      <c r="E7" s="80">
        <f>1+SUM('Sorted Neighbors'!$B$46:$G$46)</f>
        <v>3</v>
      </c>
      <c r="F7" s="77">
        <f>IFERROR(MATCH(1,'Sorted Neighbors'!$B$44:$G$44,0),"—")</f>
        <v>3</v>
      </c>
      <c r="G7" s="62" t="str">
        <f>IF('Parameters'!$B$12&lt;='Parameters'!$B$5-1,INDEX('Sorted Neighbors'!$B$39:$G$39,'Parameters'!$B$12),"—")</f>
        <v>S₁</v>
      </c>
      <c r="H7" s="81">
        <f>IF('Parameters'!$B$12&lt;='Parameters'!$B$5-1,INDEX('Sorted Neighbors'!$B$41:$G$41,'Parameters'!$B$12),0)</f>
        <v>5.60708061</v>
      </c>
      <c r="I7" s="73">
        <f>H7-D7</f>
        <v>0</v>
      </c>
      <c r="J7" s="91">
        <f>IF(H7+D7=0,0,ROUND(ABS(H7-D7)/(H7+D7),10))</f>
        <v>0</v>
      </c>
      <c r="K7" s="77">
        <f>1+SUMPRODUCT(($J$5:$J$11&lt;J7)+($J$5:$J$11=J7)*($D$5:$D$11&lt;D7)+($J$5:$J$11=J7)*($D$5:$D$11=D7)*(ROW($J$5:$J$11)&lt;ROW(J7)))</f>
        <v>2</v>
      </c>
      <c r="L7" s="101" t="str">
        <f>A7&amp;" (itself)"&amp;IF('Sorted Neighbors'!B46=1,", "&amp;'Sorted Neighbors'!B39,"")&amp;IF('Sorted Neighbors'!C46=1,", "&amp;'Sorted Neighbors'!C39,"")&amp;IF('Sorted Neighbors'!D46=1,", "&amp;'Sorted Neighbors'!D39,"")&amp;IF('Sorted Neighbors'!E46=1,", "&amp;'Sorted Neighbors'!E39,"")&amp;IF('Sorted Neighbors'!F46=1,", "&amp;'Sorted Neighbors'!F39,"")&amp;IF('Sorted Neighbors'!G46=1,", "&amp;'Sorted Neighbors'!G39,"")</f>
        <v>S₃ (itself), S₇, S₆</v>
      </c>
      <c r="M7" s="101" t="str">
        <f>IF(J7=0,"z = r: the nearest enemy is the k-th neighbour → d = 0",IF(E7=1,"g = 1: no own-class object inside the enemy sphere",""))</f>
        <v>z = r: the nearest enemy is the k-th neighbour → d = 0</v>
      </c>
    </row>
    <row r="8">
      <c r="A8" s="62" t="inlineStr">
        <is>
          <t xml:space="preserve">S₄</t>
        </is>
      </c>
      <c r="B8" s="68">
        <f>'Dataset'!P8</f>
        <v>2</v>
      </c>
      <c r="C8" s="62" t="str">
        <f>IFERROR(INDEX('Sorted Neighbors'!$B$51:$G$51,MATCH(1,'Sorted Neighbors'!$B$56:$G$56,0)),"— (one class only)")</f>
        <v>S₆</v>
      </c>
      <c r="D8" s="81">
        <f>IFERROR(INDEX('Sorted Neighbors'!$B$53:$G$53,MATCH(1,'Sorted Neighbors'!$B$56:$G$56,0)),0)</f>
        <v>3.7071187508</v>
      </c>
      <c r="E8" s="80">
        <f>1+SUM('Sorted Neighbors'!$B$58:$G$58)</f>
        <v>1</v>
      </c>
      <c r="F8" s="77">
        <f>IFERROR(MATCH(1,'Sorted Neighbors'!$B$56:$G$56,0),"—")</f>
        <v>1</v>
      </c>
      <c r="G8" s="62" t="str">
        <f>IF('Parameters'!$B$12&lt;='Parameters'!$B$5-1,INDEX('Sorted Neighbors'!$B$51:$G$51,'Parameters'!$B$12),"—")</f>
        <v>S₃</v>
      </c>
      <c r="H8" s="81">
        <f>IF('Parameters'!$B$12&lt;='Parameters'!$B$5-1,INDEX('Sorted Neighbors'!$B$53:$G$53,'Parameters'!$B$12),0)</f>
        <v>6.2175670209</v>
      </c>
      <c r="I8" s="73">
        <f>H8-D8</f>
        <v>2.5104482701</v>
      </c>
      <c r="J8" s="91">
        <f>IF(H8+D8=0,0,ROUND(ABS(H8-D8)/(H8+D8),10))</f>
        <v>0.2529498997</v>
      </c>
      <c r="K8" s="77">
        <f>1+SUMPRODUCT(($J$5:$J$11&lt;J8)+($J$5:$J$11=J8)*($D$5:$D$11&lt;D8)+($J$5:$J$11=J8)*($D$5:$D$11=D8)*(ROW($J$5:$J$11)&lt;ROW(J8)))</f>
        <v>7</v>
      </c>
      <c r="L8" s="101" t="str">
        <f>A8&amp;" (itself)"&amp;IF('Sorted Neighbors'!B58=1,", "&amp;'Sorted Neighbors'!B51,"")&amp;IF('Sorted Neighbors'!C58=1,", "&amp;'Sorted Neighbors'!C51,"")&amp;IF('Sorted Neighbors'!D58=1,", "&amp;'Sorted Neighbors'!D51,"")&amp;IF('Sorted Neighbors'!E58=1,", "&amp;'Sorted Neighbors'!E51,"")&amp;IF('Sorted Neighbors'!F58=1,", "&amp;'Sorted Neighbors'!F51,"")&amp;IF('Sorted Neighbors'!G58=1,", "&amp;'Sorted Neighbors'!G51,"")</f>
        <v>S₄ (itself)</v>
      </c>
      <c r="M8" s="101" t="str">
        <f>IF(J8=0,"z = r: the nearest enemy is the k-th neighbour → d = 0",IF(E8=1,"g = 1: no own-class object inside the enemy sphere",""))</f>
        <v>g = 1: no own-class object inside the enemy sphere</v>
      </c>
    </row>
    <row r="9">
      <c r="A9" s="62" t="inlineStr">
        <is>
          <t xml:space="preserve">S₅</t>
        </is>
      </c>
      <c r="B9" s="68">
        <f>'Dataset'!P9</f>
        <v>2</v>
      </c>
      <c r="C9" s="62" t="str">
        <f>IFERROR(INDEX('Sorted Neighbors'!$B$63:$G$63,MATCH(1,'Sorted Neighbors'!$B$68:$G$68,0)),"— (one class only)")</f>
        <v>S₇</v>
      </c>
      <c r="D9" s="81">
        <f>IFERROR(INDEX('Sorted Neighbors'!$B$65:$G$65,MATCH(1,'Sorted Neighbors'!$B$68:$G$68,0)),0)</f>
        <v>7.1117040273</v>
      </c>
      <c r="E9" s="80">
        <f>1+SUM('Sorted Neighbors'!$B$70:$G$70)</f>
        <v>3</v>
      </c>
      <c r="F9" s="77">
        <f>IFERROR(MATCH(1,'Sorted Neighbors'!$B$68:$G$68,0),"—")</f>
        <v>3</v>
      </c>
      <c r="G9" s="62" t="str">
        <f>IF('Parameters'!$B$12&lt;='Parameters'!$B$5-1,INDEX('Sorted Neighbors'!$B$63:$G$63,'Parameters'!$B$12),"—")</f>
        <v>S₇</v>
      </c>
      <c r="H9" s="81">
        <f>IF('Parameters'!$B$12&lt;='Parameters'!$B$5-1,INDEX('Sorted Neighbors'!$B$65:$G$65,'Parameters'!$B$12),0)</f>
        <v>7.1117040273</v>
      </c>
      <c r="I9" s="73">
        <f>H9-D9</f>
        <v>0</v>
      </c>
      <c r="J9" s="91">
        <f>IF(H9+D9=0,0,ROUND(ABS(H9-D9)/(H9+D9),10))</f>
        <v>0</v>
      </c>
      <c r="K9" s="77">
        <f>1+SUMPRODUCT(($J$5:$J$11&lt;J9)+($J$5:$J$11=J9)*($D$5:$D$11&lt;D9)+($J$5:$J$11=J9)*($D$5:$D$11=D9)*(ROW($J$5:$J$11)&lt;ROW(J9)))</f>
        <v>3</v>
      </c>
      <c r="L9" s="101" t="str">
        <f>A9&amp;" (itself)"&amp;IF('Sorted Neighbors'!B70=1,", "&amp;'Sorted Neighbors'!B63,"")&amp;IF('Sorted Neighbors'!C70=1,", "&amp;'Sorted Neighbors'!C63,"")&amp;IF('Sorted Neighbors'!D70=1,", "&amp;'Sorted Neighbors'!D63,"")&amp;IF('Sorted Neighbors'!E70=1,", "&amp;'Sorted Neighbors'!E63,"")&amp;IF('Sorted Neighbors'!F70=1,", "&amp;'Sorted Neighbors'!F63,"")&amp;IF('Sorted Neighbors'!G70=1,", "&amp;'Sorted Neighbors'!G63,"")</f>
        <v>S₅ (itself), S₁, S₂</v>
      </c>
      <c r="M9" s="101" t="str">
        <f>IF(J9=0,"z = r: the nearest enemy is the k-th neighbour → d = 0",IF(E9=1,"g = 1: no own-class object inside the enemy sphere",""))</f>
        <v>z = r: the nearest enemy is the k-th neighbour → d = 0</v>
      </c>
    </row>
    <row r="10">
      <c r="A10" s="62" t="inlineStr">
        <is>
          <t xml:space="preserve">S₆</t>
        </is>
      </c>
      <c r="B10" s="68">
        <f>'Dataset'!P10</f>
        <v>1</v>
      </c>
      <c r="C10" s="62" t="str">
        <f>IFERROR(INDEX('Sorted Neighbors'!$B$75:$G$75,MATCH(1,'Sorted Neighbors'!$B$80:$G$80,0)),"— (one class only)")</f>
        <v>S₄</v>
      </c>
      <c r="D10" s="81">
        <f>IFERROR(INDEX('Sorted Neighbors'!$B$77:$G$77,MATCH(1,'Sorted Neighbors'!$B$80:$G$80,0)),0)</f>
        <v>3.7071187508</v>
      </c>
      <c r="E10" s="80">
        <f>1+SUM('Sorted Neighbors'!$B$82:$G$82)</f>
        <v>1</v>
      </c>
      <c r="F10" s="77">
        <f>IFERROR(MATCH(1,'Sorted Neighbors'!$B$80:$G$80,0),"—")</f>
        <v>1</v>
      </c>
      <c r="G10" s="62" t="str">
        <f>IF('Parameters'!$B$12&lt;='Parameters'!$B$5-1,INDEX('Sorted Neighbors'!$B$75:$G$75,'Parameters'!$B$12),"—")</f>
        <v>S₃</v>
      </c>
      <c r="H10" s="81">
        <f>IF('Parameters'!$B$12&lt;='Parameters'!$B$5-1,INDEX('Sorted Neighbors'!$B$77:$G$77,'Parameters'!$B$12),0)</f>
        <v>5.2172783643</v>
      </c>
      <c r="I10" s="73">
        <f>H10-D10</f>
        <v>1.5101596135</v>
      </c>
      <c r="J10" s="91">
        <f>IF(H10+D10=0,0,ROUND(ABS(H10-D10)/(H10+D10),10))</f>
        <v>0.1692169896</v>
      </c>
      <c r="K10" s="77">
        <f>1+SUMPRODUCT(($J$5:$J$11&lt;J10)+($J$5:$J$11=J10)*($D$5:$D$11&lt;D10)+($J$5:$J$11=J10)*($D$5:$D$11=D10)*(ROW($J$5:$J$11)&lt;ROW(J10)))</f>
        <v>6</v>
      </c>
      <c r="L10" s="101" t="str">
        <f>A10&amp;" (itself)"&amp;IF('Sorted Neighbors'!B82=1,", "&amp;'Sorted Neighbors'!B75,"")&amp;IF('Sorted Neighbors'!C82=1,", "&amp;'Sorted Neighbors'!C75,"")&amp;IF('Sorted Neighbors'!D82=1,", "&amp;'Sorted Neighbors'!D75,"")&amp;IF('Sorted Neighbors'!E82=1,", "&amp;'Sorted Neighbors'!E75,"")&amp;IF('Sorted Neighbors'!F82=1,", "&amp;'Sorted Neighbors'!F75,"")&amp;IF('Sorted Neighbors'!G82=1,", "&amp;'Sorted Neighbors'!G75,"")</f>
        <v>S₆ (itself)</v>
      </c>
      <c r="M10" s="101" t="str">
        <f>IF(J10=0,"z = r: the nearest enemy is the k-th neighbour → d = 0",IF(E10=1,"g = 1: no own-class object inside the enemy sphere",""))</f>
        <v>g = 1: no own-class object inside the enemy sphere</v>
      </c>
    </row>
    <row r="11">
      <c r="A11" s="62" t="inlineStr">
        <is>
          <t xml:space="preserve">S₇</t>
        </is>
      </c>
      <c r="B11" s="68">
        <f>'Dataset'!P11</f>
        <v>1</v>
      </c>
      <c r="C11" s="62" t="str">
        <f>IFERROR(INDEX('Sorted Neighbors'!$B$87:$G$87,MATCH(1,'Sorted Neighbors'!$B$92:$G$92,0)),"— (one class only)")</f>
        <v>S₄</v>
      </c>
      <c r="D11" s="81">
        <f>IFERROR(INDEX('Sorted Neighbors'!$B$89:$G$89,MATCH(1,'Sorted Neighbors'!$B$92:$G$92,0)),0)</f>
        <v>3.9109813746</v>
      </c>
      <c r="E11" s="80">
        <f>1+SUM('Sorted Neighbors'!$B$94:$G$94)</f>
        <v>2</v>
      </c>
      <c r="F11" s="77">
        <f>IFERROR(MATCH(1,'Sorted Neighbors'!$B$92:$G$92,0),"—")</f>
        <v>2</v>
      </c>
      <c r="G11" s="62" t="str">
        <f>IF('Parameters'!$B$12&lt;='Parameters'!$B$5-1,INDEX('Sorted Neighbors'!$B$87:$G$87,'Parameters'!$B$12),"—")</f>
        <v>S₆</v>
      </c>
      <c r="H11" s="81">
        <f>IF('Parameters'!$B$12&lt;='Parameters'!$B$5-1,INDEX('Sorted Neighbors'!$B$89:$G$89,'Parameters'!$B$12),0)</f>
        <v>5.0314314939</v>
      </c>
      <c r="I11" s="73">
        <f>H11-D11</f>
        <v>1.1204501193</v>
      </c>
      <c r="J11" s="91">
        <f>IF(H11+D11=0,0,ROUND(ABS(H11-D11)/(H11+D11),10))</f>
        <v>0.1252961741</v>
      </c>
      <c r="K11" s="77">
        <f>1+SUMPRODUCT(($J$5:$J$11&lt;J11)+($J$5:$J$11=J11)*($D$5:$D$11&lt;D11)+($J$5:$J$11=J11)*($D$5:$D$11=D11)*(ROW($J$5:$J$11)&lt;ROW(J11)))</f>
        <v>5</v>
      </c>
      <c r="L11" s="101" t="str">
        <f>A11&amp;" (itself)"&amp;IF('Sorted Neighbors'!B94=1,", "&amp;'Sorted Neighbors'!B87,"")&amp;IF('Sorted Neighbors'!C94=1,", "&amp;'Sorted Neighbors'!C87,"")&amp;IF('Sorted Neighbors'!D94=1,", "&amp;'Sorted Neighbors'!D87,"")&amp;IF('Sorted Neighbors'!E94=1,", "&amp;'Sorted Neighbors'!E87,"")&amp;IF('Sorted Neighbors'!F94=1,", "&amp;'Sorted Neighbors'!F87,"")&amp;IF('Sorted Neighbors'!G94=1,", "&amp;'Sorted Neighbors'!G87,"")</f>
        <v>S₇ (itself), S₃</v>
      </c>
      <c r="M11" s="101" t="str">
        <f>IF(J11=0,"z = r: the nearest enemy is the k-th neighbour → d = 0",IF(E11=1,"g = 1: no own-class object inside the enemy sphere",""))</f>
        <v/>
      </c>
    </row>
    <row r="12"/>
    <row r="13"/>
    <row r="14">
      <c r="A14" s="58" t="inlineStr">
        <is>
          <t xml:space="preserve">Enemy spheres · M(i, j) = 1 when Sⱼ has the class of Sᵢ and ρ(Sᵢ, Sⱼ) &lt; r(Sᵢ) · row sum = g(Sᵢ)</t>
        </is>
      </c>
      <c r="B14" s="58"/>
      <c r="C14" s="58"/>
      <c r="D14" s="58"/>
      <c r="E14" s="58"/>
      <c r="F14" s="58"/>
      <c r="G14" s="58"/>
      <c r="H14" s="58"/>
      <c r="I14" s="58"/>
    </row>
    <row r="15">
      <c r="A15" s="60" t="inlineStr">
        <is>
          <t xml:space="preserve">Sphere of Sᵢ \ Sⱼ</t>
        </is>
      </c>
      <c r="B15" s="60" t="inlineStr">
        <is>
          <t xml:space="preserve">S₁</t>
        </is>
      </c>
      <c r="C15" s="60" t="inlineStr">
        <is>
          <t xml:space="preserve">S₂</t>
        </is>
      </c>
      <c r="D15" s="60" t="inlineStr">
        <is>
          <t xml:space="preserve">S₃</t>
        </is>
      </c>
      <c r="E15" s="60" t="inlineStr">
        <is>
          <t xml:space="preserve">S₄</t>
        </is>
      </c>
      <c r="F15" s="60" t="inlineStr">
        <is>
          <t xml:space="preserve">S₅</t>
        </is>
      </c>
      <c r="G15" s="60" t="inlineStr">
        <is>
          <t xml:space="preserve">S₆</t>
        </is>
      </c>
      <c r="H15" s="60" t="inlineStr">
        <is>
          <t xml:space="preserve">S₇</t>
        </is>
      </c>
      <c r="I15" s="60" t="inlineStr">
        <is>
          <t xml:space="preserve">Row sum = g(Sᵢ)</t>
        </is>
      </c>
    </row>
    <row r="16">
      <c r="A16" s="62" t="inlineStr">
        <is>
          <t xml:space="preserve">S₁</t>
        </is>
      </c>
      <c r="B16" s="76">
        <f>IF(AND('Dataset'!$P$5='Dataset'!$P$5,'Zhuravlev Distances'!B$5&lt;$D$5),1,0)</f>
        <v>1</v>
      </c>
      <c r="C16" s="76">
        <f>IF(AND('Dataset'!$P$6='Dataset'!$P$5,'Zhuravlev Distances'!C$5&lt;$D$5),1,0)</f>
        <v>1</v>
      </c>
      <c r="D16" s="76">
        <f>IF(AND('Dataset'!$P$7='Dataset'!$P$5,'Zhuravlev Distances'!D$5&lt;$D$5),1,0)</f>
        <v>0</v>
      </c>
      <c r="E16" s="76">
        <f>IF(AND('Dataset'!$P$8='Dataset'!$P$5,'Zhuravlev Distances'!E$5&lt;$D$5),1,0)</f>
        <v>0</v>
      </c>
      <c r="F16" s="76">
        <f>IF(AND('Dataset'!$P$9='Dataset'!$P$5,'Zhuravlev Distances'!F$5&lt;$D$5),1,0)</f>
        <v>1</v>
      </c>
      <c r="G16" s="76">
        <f>IF(AND('Dataset'!$P$10='Dataset'!$P$5,'Zhuravlev Distances'!G$5&lt;$D$5),1,0)</f>
        <v>0</v>
      </c>
      <c r="H16" s="76">
        <f>IF(AND('Dataset'!$P$11='Dataset'!$P$5,'Zhuravlev Distances'!H$5&lt;$D$5),1,0)</f>
        <v>0</v>
      </c>
      <c r="I16" s="80">
        <f>SUM(B16:H16)</f>
        <v>3</v>
      </c>
    </row>
    <row r="17">
      <c r="A17" s="62" t="inlineStr">
        <is>
          <t xml:space="preserve">S₂</t>
        </is>
      </c>
      <c r="B17" s="76">
        <f>IF(AND('Dataset'!$P$5='Dataset'!$P$6,'Zhuravlev Distances'!B$6&lt;$D$6),1,0)</f>
        <v>1</v>
      </c>
      <c r="C17" s="76">
        <f>IF(AND('Dataset'!$P$6='Dataset'!$P$6,'Zhuravlev Distances'!C$6&lt;$D$6),1,0)</f>
        <v>1</v>
      </c>
      <c r="D17" s="76">
        <f>IF(AND('Dataset'!$P$7='Dataset'!$P$6,'Zhuravlev Distances'!D$6&lt;$D$6),1,0)</f>
        <v>0</v>
      </c>
      <c r="E17" s="76">
        <f>IF(AND('Dataset'!$P$8='Dataset'!$P$6,'Zhuravlev Distances'!E$6&lt;$D$6),1,0)</f>
        <v>1</v>
      </c>
      <c r="F17" s="76">
        <f>IF(AND('Dataset'!$P$9='Dataset'!$P$6,'Zhuravlev Distances'!F$6&lt;$D$6),1,0)</f>
        <v>1</v>
      </c>
      <c r="G17" s="76">
        <f>IF(AND('Dataset'!$P$10='Dataset'!$P$6,'Zhuravlev Distances'!G$6&lt;$D$6),1,0)</f>
        <v>0</v>
      </c>
      <c r="H17" s="76">
        <f>IF(AND('Dataset'!$P$11='Dataset'!$P$6,'Zhuravlev Distances'!H$6&lt;$D$6),1,0)</f>
        <v>0</v>
      </c>
      <c r="I17" s="80">
        <f>SUM(B17:H17)</f>
        <v>4</v>
      </c>
    </row>
    <row r="18">
      <c r="A18" s="62" t="inlineStr">
        <is>
          <t xml:space="preserve">S₃</t>
        </is>
      </c>
      <c r="B18" s="76">
        <f>IF(AND('Dataset'!$P$5='Dataset'!$P$7,'Zhuravlev Distances'!B$7&lt;$D$7),1,0)</f>
        <v>0</v>
      </c>
      <c r="C18" s="76">
        <f>IF(AND('Dataset'!$P$6='Dataset'!$P$7,'Zhuravlev Distances'!C$7&lt;$D$7),1,0)</f>
        <v>0</v>
      </c>
      <c r="D18" s="76">
        <f>IF(AND('Dataset'!$P$7='Dataset'!$P$7,'Zhuravlev Distances'!D$7&lt;$D$7),1,0)</f>
        <v>1</v>
      </c>
      <c r="E18" s="76">
        <f>IF(AND('Dataset'!$P$8='Dataset'!$P$7,'Zhuravlev Distances'!E$7&lt;$D$7),1,0)</f>
        <v>0</v>
      </c>
      <c r="F18" s="76">
        <f>IF(AND('Dataset'!$P$9='Dataset'!$P$7,'Zhuravlev Distances'!F$7&lt;$D$7),1,0)</f>
        <v>0</v>
      </c>
      <c r="G18" s="76">
        <f>IF(AND('Dataset'!$P$10='Dataset'!$P$7,'Zhuravlev Distances'!G$7&lt;$D$7),1,0)</f>
        <v>1</v>
      </c>
      <c r="H18" s="76">
        <f>IF(AND('Dataset'!$P$11='Dataset'!$P$7,'Zhuravlev Distances'!H$7&lt;$D$7),1,0)</f>
        <v>1</v>
      </c>
      <c r="I18" s="80">
        <f>SUM(B18:H18)</f>
        <v>3</v>
      </c>
    </row>
    <row r="19">
      <c r="A19" s="62" t="inlineStr">
        <is>
          <t xml:space="preserve">S₄</t>
        </is>
      </c>
      <c r="B19" s="76">
        <f>IF(AND('Dataset'!$P$5='Dataset'!$P$8,'Zhuravlev Distances'!B$8&lt;$D$8),1,0)</f>
        <v>0</v>
      </c>
      <c r="C19" s="76">
        <f>IF(AND('Dataset'!$P$6='Dataset'!$P$8,'Zhuravlev Distances'!C$8&lt;$D$8),1,0)</f>
        <v>0</v>
      </c>
      <c r="D19" s="76">
        <f>IF(AND('Dataset'!$P$7='Dataset'!$P$8,'Zhuravlev Distances'!D$8&lt;$D$8),1,0)</f>
        <v>0</v>
      </c>
      <c r="E19" s="76">
        <f>IF(AND('Dataset'!$P$8='Dataset'!$P$8,'Zhuravlev Distances'!E$8&lt;$D$8),1,0)</f>
        <v>1</v>
      </c>
      <c r="F19" s="76">
        <f>IF(AND('Dataset'!$P$9='Dataset'!$P$8,'Zhuravlev Distances'!F$8&lt;$D$8),1,0)</f>
        <v>0</v>
      </c>
      <c r="G19" s="76">
        <f>IF(AND('Dataset'!$P$10='Dataset'!$P$8,'Zhuravlev Distances'!G$8&lt;$D$8),1,0)</f>
        <v>0</v>
      </c>
      <c r="H19" s="76">
        <f>IF(AND('Dataset'!$P$11='Dataset'!$P$8,'Zhuravlev Distances'!H$8&lt;$D$8),1,0)</f>
        <v>0</v>
      </c>
      <c r="I19" s="80">
        <f>SUM(B19:H19)</f>
        <v>1</v>
      </c>
    </row>
    <row r="20">
      <c r="A20" s="62" t="inlineStr">
        <is>
          <t xml:space="preserve">S₅</t>
        </is>
      </c>
      <c r="B20" s="76">
        <f>IF(AND('Dataset'!$P$5='Dataset'!$P$9,'Zhuravlev Distances'!B$9&lt;$D$9),1,0)</f>
        <v>1</v>
      </c>
      <c r="C20" s="76">
        <f>IF(AND('Dataset'!$P$6='Dataset'!$P$9,'Zhuravlev Distances'!C$9&lt;$D$9),1,0)</f>
        <v>1</v>
      </c>
      <c r="D20" s="76">
        <f>IF(AND('Dataset'!$P$7='Dataset'!$P$9,'Zhuravlev Distances'!D$9&lt;$D$9),1,0)</f>
        <v>0</v>
      </c>
      <c r="E20" s="76">
        <f>IF(AND('Dataset'!$P$8='Dataset'!$P$9,'Zhuravlev Distances'!E$9&lt;$D$9),1,0)</f>
        <v>0</v>
      </c>
      <c r="F20" s="76">
        <f>IF(AND('Dataset'!$P$9='Dataset'!$P$9,'Zhuravlev Distances'!F$9&lt;$D$9),1,0)</f>
        <v>1</v>
      </c>
      <c r="G20" s="76">
        <f>IF(AND('Dataset'!$P$10='Dataset'!$P$9,'Zhuravlev Distances'!G$9&lt;$D$9),1,0)</f>
        <v>0</v>
      </c>
      <c r="H20" s="76">
        <f>IF(AND('Dataset'!$P$11='Dataset'!$P$9,'Zhuravlev Distances'!H$9&lt;$D$9),1,0)</f>
        <v>0</v>
      </c>
      <c r="I20" s="80">
        <f>SUM(B20:H20)</f>
        <v>3</v>
      </c>
    </row>
    <row r="21">
      <c r="A21" s="62" t="inlineStr">
        <is>
          <t xml:space="preserve">S₆</t>
        </is>
      </c>
      <c r="B21" s="76">
        <f>IF(AND('Dataset'!$P$5='Dataset'!$P$10,'Zhuravlev Distances'!B$10&lt;$D$10),1,0)</f>
        <v>0</v>
      </c>
      <c r="C21" s="76">
        <f>IF(AND('Dataset'!$P$6='Dataset'!$P$10,'Zhuravlev Distances'!C$10&lt;$D$10),1,0)</f>
        <v>0</v>
      </c>
      <c r="D21" s="76">
        <f>IF(AND('Dataset'!$P$7='Dataset'!$P$10,'Zhuravlev Distances'!D$10&lt;$D$10),1,0)</f>
        <v>0</v>
      </c>
      <c r="E21" s="76">
        <f>IF(AND('Dataset'!$P$8='Dataset'!$P$10,'Zhuravlev Distances'!E$10&lt;$D$10),1,0)</f>
        <v>0</v>
      </c>
      <c r="F21" s="76">
        <f>IF(AND('Dataset'!$P$9='Dataset'!$P$10,'Zhuravlev Distances'!F$10&lt;$D$10),1,0)</f>
        <v>0</v>
      </c>
      <c r="G21" s="76">
        <f>IF(AND('Dataset'!$P$10='Dataset'!$P$10,'Zhuravlev Distances'!G$10&lt;$D$10),1,0)</f>
        <v>1</v>
      </c>
      <c r="H21" s="76">
        <f>IF(AND('Dataset'!$P$11='Dataset'!$P$10,'Zhuravlev Distances'!H$10&lt;$D$10),1,0)</f>
        <v>0</v>
      </c>
      <c r="I21" s="80">
        <f>SUM(B21:H21)</f>
        <v>1</v>
      </c>
    </row>
    <row r="22">
      <c r="A22" s="62" t="inlineStr">
        <is>
          <t xml:space="preserve">S₇</t>
        </is>
      </c>
      <c r="B22" s="76">
        <f>IF(AND('Dataset'!$P$5='Dataset'!$P$11,'Zhuravlev Distances'!B$11&lt;$D$11),1,0)</f>
        <v>0</v>
      </c>
      <c r="C22" s="76">
        <f>IF(AND('Dataset'!$P$6='Dataset'!$P$11,'Zhuravlev Distances'!C$11&lt;$D$11),1,0)</f>
        <v>0</v>
      </c>
      <c r="D22" s="76">
        <f>IF(AND('Dataset'!$P$7='Dataset'!$P$11,'Zhuravlev Distances'!D$11&lt;$D$11),1,0)</f>
        <v>1</v>
      </c>
      <c r="E22" s="76">
        <f>IF(AND('Dataset'!$P$8='Dataset'!$P$11,'Zhuravlev Distances'!E$11&lt;$D$11),1,0)</f>
        <v>0</v>
      </c>
      <c r="F22" s="76">
        <f>IF(AND('Dataset'!$P$9='Dataset'!$P$11,'Zhuravlev Distances'!F$11&lt;$D$11),1,0)</f>
        <v>0</v>
      </c>
      <c r="G22" s="76">
        <f>IF(AND('Dataset'!$P$10='Dataset'!$P$11,'Zhuravlev Distances'!G$11&lt;$D$11),1,0)</f>
        <v>0</v>
      </c>
      <c r="H22" s="76">
        <f>IF(AND('Dataset'!$P$11='Dataset'!$P$11,'Zhuravlev Distances'!H$11&lt;$D$11),1,0)</f>
        <v>1</v>
      </c>
      <c r="I22" s="80">
        <f>SUM(B22:H22)</f>
        <v>2</v>
      </c>
    </row>
    <row r="23">
      <c r="A23" s="63" t="inlineStr">
        <is>
          <t xml:space="preserve">Spheres with Sⱼ</t>
        </is>
      </c>
      <c r="B23" s="77">
        <f>SUM(B16:B22)</f>
        <v>3</v>
      </c>
      <c r="C23" s="77">
        <f>SUM(C16:C22)</f>
        <v>3</v>
      </c>
      <c r="D23" s="77">
        <f>SUM(D16:D22)</f>
        <v>2</v>
      </c>
      <c r="E23" s="77">
        <f>SUM(E16:E22)</f>
        <v>2</v>
      </c>
      <c r="F23" s="77">
        <f>SUM(F16:F22)</f>
        <v>3</v>
      </c>
      <c r="G23" s="77">
        <f>SUM(G16:G22)</f>
        <v>2</v>
      </c>
      <c r="H23" s="77">
        <f>SUM(H16:H22)</f>
        <v>2</v>
      </c>
    </row>
    <row r="24"/>
    <row r="25">
      <c r="A25" s="100" t="inlineStr">
        <is>
          <t xml:space="preserve">g(Sᵢ) counts Sᵢ itself (ρ(Sᵢ, Sᵢ) = 0 &lt; r(Sᵢ)); the article confirms it: “g(Sⱼ) = 1 (т.е. Sⱼ остался единственным объектом в своей r(Sⱼ)-окрестности)”.</t>
        </is>
      </c>
    </row>
    <row r="26">
      <c r="A26" s="100" t="inlineStr">
        <is>
          <t xml:space="preserve">d(Sᵢ) is small when the k-th neighbour lies as far as the nearest enemy; d = 0 when the enemy itself is the k-th neighbour.</t>
        </is>
      </c>
    </row>
    <row r="27">
      <c r="A27" s="100" t="inlineStr">
        <is>
          <t xml:space="preserve">Priority position = 1 + #{objects before Sᵢ by (d, r, index)} — the static Step 2 order; the queue of every iteration is this order restricted to unprocessed objects of F.</t>
        </is>
      </c>
    </row>
    <row r="28">
      <c r="A28" s="100" t="inlineStr">
        <is>
          <t xml:space="preserve">Rows of M show who is inside the sphere of Sᵢ; when Sⱼ is selected, the column of Sⱼ shows whose spheres contain it — Step 4 keeps those that are still in F, have g &gt; 1 and are allowed by readings A and B.</t>
        </is>
      </c>
    </row>
  </sheetData>
  <mergeCells count="3">
    <mergeCell ref="A1:M1"/>
    <mergeCell ref="A3:M3"/>
    <mergeCell ref="A14:I14"/>
  </mergeCells>
  <conditionalFormatting sqref="E5:E11">
    <cfRule type="cellIs" dxfId="6" priority="1" operator="equal">
      <formula>1</formula>
    </cfRule>
  </conditionalFormatting>
  <conditionalFormatting sqref="J5:J11">
    <cfRule type="cellIs" dxfId="1" priority="2" operator="equal">
      <formula>0</formula>
    </cfRule>
  </conditionalFormatting>
  <conditionalFormatting sqref="B16:H22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H15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2" width="10.77734375" customWidth="1"/>
    <col min="3" max="4" width="9.77734375" customWidth="1"/>
    <col min="5" max="6" width="11.77734375" customWidth="1"/>
    <col min="7" max="7" width="40.77734375" customWidth="1"/>
    <col min="8" max="8" width="60.77734375" customWidth="1"/>
  </cols>
  <sheetData>
    <row r="1" ht="22" customHeight="1">
      <c r="A1" s="57" t="inlineStr">
        <is>
          <t xml:space="preserve">ERDR Step 2 · Priority queue — objects ordered by d ascending, then r ascending, then index ascending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Static order of all objects (d and r never change while an object waits); every iteration takes the first object of this list that is still in F and not yet processed</t>
        </is>
      </c>
      <c r="B3" s="58"/>
      <c r="C3" s="58"/>
      <c r="D3" s="58"/>
      <c r="E3" s="58"/>
      <c r="F3" s="58"/>
      <c r="G3" s="58"/>
      <c r="H3" s="58"/>
    </row>
    <row r="4" ht="34" customHeight="1">
      <c r="A4" s="60" t="inlineStr">
        <is>
          <t xml:space="preserve">Position</t>
        </is>
      </c>
      <c r="B4" s="60" t="inlineStr">
        <is>
          <t xml:space="preserve">Object</t>
        </is>
      </c>
      <c r="C4" s="60" t="inlineStr">
        <is>
          <t xml:space="preserve">Index i</t>
        </is>
      </c>
      <c r="D4" s="60" t="inlineStr">
        <is>
          <t xml:space="preserve">Class</t>
        </is>
      </c>
      <c r="E4" s="60" t="inlineStr">
        <is>
          <t xml:space="preserve">d(Sᵢ)</t>
        </is>
      </c>
      <c r="F4" s="60" t="inlineStr">
        <is>
          <t xml:space="preserve">r(Sᵢ)</t>
        </is>
      </c>
      <c r="G4" s="60" t="inlineStr">
        <is>
          <t xml:space="preserve">Order against the next object decided by</t>
        </is>
      </c>
      <c r="H4" s="60" t="inlineStr">
        <is>
          <t xml:space="preserve">Tie note</t>
        </is>
      </c>
    </row>
    <row r="5">
      <c r="A5" s="77">
        <v>1</v>
      </c>
      <c r="B5" s="62" t="str">
        <f>INDEX('ERDR Characteristics'!$A$5:$A$11,C5)</f>
        <v>S₁</v>
      </c>
      <c r="C5" s="78">
        <f>MATCH(A5,'ERDR Characteristics'!$K$5:$K$11,0)</f>
        <v>1</v>
      </c>
      <c r="D5" s="68">
        <f>INDEX('ERDR Characteristics'!$B$5:$B$11,C5)</f>
        <v>2</v>
      </c>
      <c r="E5" s="91">
        <f>INDEX('ERDR Characteristics'!$J$5:$J$11,C5)</f>
        <v>0</v>
      </c>
      <c r="F5" s="81">
        <f>INDEX('ERDR Characteristics'!$D$5:$D$11,C5)</f>
        <v>5.60708061</v>
      </c>
      <c r="G5" s="85" t="str">
        <f>IF(E5&lt;E6,"d",IF(F5&lt;F6,"r (equal d)","index (equal d and r)"))</f>
        <v>index (equal d and r)</v>
      </c>
      <c r="H5" s="101" t="str">
        <f>IF(G5="d","",B5&amp;" before "&amp;B6&amp;": d = "&amp;TEXT(E5,"0.0000")&amp;IF(LEFT(G5,1)="r",", r "&amp;TEXT(F5,"0.0000")&amp;" &lt; "&amp;TEXT(F6,"0.0000"),", r = "&amp;TEXT(F5,"0.0000")&amp;", index "&amp;C5&amp;" &lt; "&amp;C6))</f>
        <v>S₁ before S₃: d = 0.0000, r = 5.6071, index 1 &lt; 3</v>
      </c>
    </row>
    <row r="6">
      <c r="A6" s="77">
        <v>2</v>
      </c>
      <c r="B6" s="62" t="str">
        <f>INDEX('ERDR Characteristics'!$A$5:$A$11,C6)</f>
        <v>S₃</v>
      </c>
      <c r="C6" s="78">
        <f>MATCH(A6,'ERDR Characteristics'!$K$5:$K$11,0)</f>
        <v>3</v>
      </c>
      <c r="D6" s="68">
        <f>INDEX('ERDR Characteristics'!$B$5:$B$11,C6)</f>
        <v>1</v>
      </c>
      <c r="E6" s="91">
        <f>INDEX('ERDR Characteristics'!$J$5:$J$11,C6)</f>
        <v>0</v>
      </c>
      <c r="F6" s="81">
        <f>INDEX('ERDR Characteristics'!$D$5:$D$11,C6)</f>
        <v>5.60708061</v>
      </c>
      <c r="G6" s="85" t="str">
        <f>IF(E6&lt;E7,"d",IF(F6&lt;F7,"r (equal d)","index (equal d and r)"))</f>
        <v>r (equal d)</v>
      </c>
      <c r="H6" s="101" t="str">
        <f>IF(G6="d","",B6&amp;" before "&amp;B7&amp;": d = "&amp;TEXT(E6,"0.0000")&amp;IF(LEFT(G6,1)="r",", r "&amp;TEXT(F6,"0.0000")&amp;" &lt; "&amp;TEXT(F7,"0.0000"),", r = "&amp;TEXT(F6,"0.0000")&amp;", index "&amp;C6&amp;" &lt; "&amp;C7))</f>
        <v>S₃ before S₅: d = 0.0000, r 5.6071 &lt; 7.1117</v>
      </c>
    </row>
    <row r="7">
      <c r="A7" s="77">
        <v>3</v>
      </c>
      <c r="B7" s="62" t="str">
        <f>INDEX('ERDR Characteristics'!$A$5:$A$11,C7)</f>
        <v>S₅</v>
      </c>
      <c r="C7" s="78">
        <f>MATCH(A7,'ERDR Characteristics'!$K$5:$K$11,0)</f>
        <v>5</v>
      </c>
      <c r="D7" s="68">
        <f>INDEX('ERDR Characteristics'!$B$5:$B$11,C7)</f>
        <v>2</v>
      </c>
      <c r="E7" s="91">
        <f>INDEX('ERDR Characteristics'!$J$5:$J$11,C7)</f>
        <v>0</v>
      </c>
      <c r="F7" s="81">
        <f>INDEX('ERDR Characteristics'!$D$5:$D$11,C7)</f>
        <v>7.1117040273</v>
      </c>
      <c r="G7" s="85" t="str">
        <f>IF(E7&lt;E8,"d",IF(F7&lt;F8,"r (equal d)","index (equal d and r)"))</f>
        <v>d</v>
      </c>
      <c r="H7" s="101" t="str">
        <f>IF(G7="d","",B7&amp;" before "&amp;B8&amp;": d = "&amp;TEXT(E7,"0.0000")&amp;IF(LEFT(G7,1)="r",", r "&amp;TEXT(F7,"0.0000")&amp;" &lt; "&amp;TEXT(F8,"0.0000"),", r = "&amp;TEXT(F7,"0.0000")&amp;", index "&amp;C7&amp;" &lt; "&amp;C8))</f>
        <v/>
      </c>
    </row>
    <row r="8">
      <c r="A8" s="77">
        <v>4</v>
      </c>
      <c r="B8" s="62" t="str">
        <f>INDEX('ERDR Characteristics'!$A$5:$A$11,C8)</f>
        <v>S₂</v>
      </c>
      <c r="C8" s="78">
        <f>MATCH(A8,'ERDR Characteristics'!$K$5:$K$11,0)</f>
        <v>2</v>
      </c>
      <c r="D8" s="68">
        <f>INDEX('ERDR Characteristics'!$B$5:$B$11,C8)</f>
        <v>2</v>
      </c>
      <c r="E8" s="91">
        <f>INDEX('ERDR Characteristics'!$J$5:$J$11,C8)</f>
        <v>0.0795428388</v>
      </c>
      <c r="F8" s="81">
        <f>INDEX('ERDR Characteristics'!$D$5:$D$11,C8)</f>
        <v>7.4699698919</v>
      </c>
      <c r="G8" s="85" t="str">
        <f>IF(E8&lt;E9,"d",IF(F8&lt;F9,"r (equal d)","index (equal d and r)"))</f>
        <v>d</v>
      </c>
      <c r="H8" s="101" t="str">
        <f>IF(G8="d","",B8&amp;" before "&amp;B9&amp;": d = "&amp;TEXT(E8,"0.0000")&amp;IF(LEFT(G8,1)="r",", r "&amp;TEXT(F8,"0.0000")&amp;" &lt; "&amp;TEXT(F9,"0.0000"),", r = "&amp;TEXT(F8,"0.0000")&amp;", index "&amp;C8&amp;" &lt; "&amp;C9))</f>
        <v/>
      </c>
    </row>
    <row r="9">
      <c r="A9" s="77">
        <v>5</v>
      </c>
      <c r="B9" s="62" t="str">
        <f>INDEX('ERDR Characteristics'!$A$5:$A$11,C9)</f>
        <v>S₇</v>
      </c>
      <c r="C9" s="78">
        <f>MATCH(A9,'ERDR Characteristics'!$K$5:$K$11,0)</f>
        <v>7</v>
      </c>
      <c r="D9" s="68">
        <f>INDEX('ERDR Characteristics'!$B$5:$B$11,C9)</f>
        <v>1</v>
      </c>
      <c r="E9" s="91">
        <f>INDEX('ERDR Characteristics'!$J$5:$J$11,C9)</f>
        <v>0.1252961741</v>
      </c>
      <c r="F9" s="81">
        <f>INDEX('ERDR Characteristics'!$D$5:$D$11,C9)</f>
        <v>3.9109813746</v>
      </c>
      <c r="G9" s="85" t="str">
        <f>IF(E9&lt;E10,"d",IF(F9&lt;F10,"r (equal d)","index (equal d and r)"))</f>
        <v>d</v>
      </c>
      <c r="H9" s="101" t="str">
        <f>IF(G9="d","",B9&amp;" before "&amp;B10&amp;": d = "&amp;TEXT(E9,"0.0000")&amp;IF(LEFT(G9,1)="r",", r "&amp;TEXT(F9,"0.0000")&amp;" &lt; "&amp;TEXT(F10,"0.0000"),", r = "&amp;TEXT(F9,"0.0000")&amp;", index "&amp;C9&amp;" &lt; "&amp;C10))</f>
        <v/>
      </c>
    </row>
    <row r="10">
      <c r="A10" s="77">
        <v>6</v>
      </c>
      <c r="B10" s="62" t="str">
        <f>INDEX('ERDR Characteristics'!$A$5:$A$11,C10)</f>
        <v>S₆</v>
      </c>
      <c r="C10" s="78">
        <f>MATCH(A10,'ERDR Characteristics'!$K$5:$K$11,0)</f>
        <v>6</v>
      </c>
      <c r="D10" s="68">
        <f>INDEX('ERDR Characteristics'!$B$5:$B$11,C10)</f>
        <v>1</v>
      </c>
      <c r="E10" s="91">
        <f>INDEX('ERDR Characteristics'!$J$5:$J$11,C10)</f>
        <v>0.1692169896</v>
      </c>
      <c r="F10" s="81">
        <f>INDEX('ERDR Characteristics'!$D$5:$D$11,C10)</f>
        <v>3.7071187508</v>
      </c>
      <c r="G10" s="85" t="str">
        <f>IF(E10&lt;E11,"d",IF(F10&lt;F11,"r (equal d)","index (equal d and r)"))</f>
        <v>d</v>
      </c>
      <c r="H10" s="101" t="str">
        <f>IF(G10="d","",B10&amp;" before "&amp;B11&amp;": d = "&amp;TEXT(E10,"0.0000")&amp;IF(LEFT(G10,1)="r",", r "&amp;TEXT(F10,"0.0000")&amp;" &lt; "&amp;TEXT(F11,"0.0000"),", r = "&amp;TEXT(F10,"0.0000")&amp;", index "&amp;C10&amp;" &lt; "&amp;C11))</f>
        <v/>
      </c>
    </row>
    <row r="11">
      <c r="A11" s="77">
        <v>7</v>
      </c>
      <c r="B11" s="62" t="str">
        <f>INDEX('ERDR Characteristics'!$A$5:$A$11,C11)</f>
        <v>S₄</v>
      </c>
      <c r="C11" s="78">
        <f>MATCH(A11,'ERDR Characteristics'!$K$5:$K$11,0)</f>
        <v>4</v>
      </c>
      <c r="D11" s="68">
        <f>INDEX('ERDR Characteristics'!$B$5:$B$11,C11)</f>
        <v>2</v>
      </c>
      <c r="E11" s="91">
        <f>INDEX('ERDR Characteristics'!$J$5:$J$11,C11)</f>
        <v>0.2529498997</v>
      </c>
      <c r="F11" s="81">
        <f>INDEX('ERDR Characteristics'!$D$5:$D$11,C11)</f>
        <v>3.7071187508</v>
      </c>
      <c r="G11" s="85" t="inlineStr">
        <is>
          <t xml:space="preserve">— (last)</t>
        </is>
      </c>
      <c r="H11" s="101" t="inlineStr">
        <is>
          <t xml:space="preserve"/>
        </is>
      </c>
    </row>
    <row r="12"/>
    <row r="13">
      <c r="A13" s="100" t="inlineStr">
        <is>
          <t xml:space="preserve">The article: «Упорядочить объекты из множества {Sᵢ ∈ F | d(Sᵢ) ≥ 0} по возрастанию d(Sᵢ) … При равенстве d(Sᵢ) … сначала по возрастанию r(Sᵢ), затем по возрастанию индексов».</t>
        </is>
      </c>
    </row>
    <row r="14">
      <c r="A14" s="100" t="inlineStr">
        <is>
          <t xml:space="preserve">Blocking (d ← −(d + ε)) removes an object from the queue, and objects that move to D leave F, so the queue of an iteration is this list without them (see ERDR Iterations, row “queue key”).</t>
        </is>
      </c>
    </row>
    <row r="15">
      <c r="A15" s="100" t="inlineStr">
        <is>
          <t xml:space="preserve">Yellow: the order is decided by r (equal d); blue: decided by the index (equal d and r). Both tie rules of Step 2 occur in this sample.</t>
        </is>
      </c>
    </row>
  </sheetData>
  <mergeCells count="2">
    <mergeCell ref="A1:H1"/>
    <mergeCell ref="A3:H3"/>
  </mergeCells>
  <conditionalFormatting sqref="G5:H10">
    <cfRule type="expression" dxfId="1" priority="1">
      <formula>LEFT($G5,1)="r"</formula>
    </cfRule>
  </conditionalFormatting>
  <conditionalFormatting sqref="G5:H10">
    <cfRule type="expression" dxfId="4" priority="2">
      <formula>LEFT($G5,5)="index"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K19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54.77734375" customWidth="1"/>
    <col min="2" max="8" width="11.77734375" customWidth="1"/>
    <col min="9" max="9" width="2.77734375" customWidth="1"/>
    <col min="10" max="10" width="40.77734375" customWidth="1"/>
    <col min="11" max="11" width="50.77734375" customWidth="1"/>
  </cols>
  <sheetData>
    <row r="1" ht="22" customHeight="1">
      <c r="A1" s="57" t="inlineStr">
        <is>
          <t xml:space="preserve">ERDR Steps 2–5 · one block per iteration — queue, selection of Sᵢ, the set L, blocking, Step 4 / Step 5 decisions and counter corrections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97" t="str">
        <f>"Settings: k = "&amp;'Parameters'!$B$12&amp;"  ·  ε = "&amp;'Parameters'!$B$17&amp;"  ·  readings A = "&amp;'Parameters'!$B$24&amp;", B = "&amp;'Parameters'!$B$25&amp;", C = "&amp;'Parameters'!$B$26&amp;IF(AND('Parameters'!$B$24=1,'Parameters'!$B$25=1,'Parameters'!$B$26=1),"  (literal article text)","  (alternative reading — see Readings (Switches))")</f>
        <v>Settings: k = 3  ·  ε = 0.001  ·  readings A = 1, B = 1, C = 1  (literal article text)</v>
      </c>
      <c r="B3" s="97"/>
      <c r="C3" s="97"/>
      <c r="D3" s="97"/>
      <c r="E3" s="97"/>
      <c r="F3" s="97"/>
      <c r="G3" s="97"/>
      <c r="H3" s="97"/>
      <c r="I3" s="97"/>
      <c r="J3" s="97"/>
      <c r="K3" s="97"/>
    </row>
    <row r="4"/>
    <row r="5">
      <c r="A5" s="59" t="str">
        <f>"Iteration 1  ·  "&amp;IF($K$9=0,"queue empty → Step 6 (stop)","Step 3 selects "&amp;$K$10&amp;"  ·  L = "&amp;$K$13&amp;"  ·  "&amp;$K$15)</f>
        <v>Iteration 1  ·  Step 3 selects S₁  ·  L = {S₁, S₂, S₅}  ·  |L| &gt; 1 → Step 5 corrects g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>
      <c r="A6" s="61" t="inlineStr">
        <is>
          <t xml:space="preserve">Row</t>
        </is>
      </c>
      <c r="B6" s="60" t="inlineStr">
        <is>
          <t xml:space="preserve">S₁</t>
        </is>
      </c>
      <c r="C6" s="60" t="inlineStr">
        <is>
          <t xml:space="preserve">S₂</t>
        </is>
      </c>
      <c r="D6" s="60" t="inlineStr">
        <is>
          <t xml:space="preserve">S₃</t>
        </is>
      </c>
      <c r="E6" s="60" t="inlineStr">
        <is>
          <t xml:space="preserve">S₄</t>
        </is>
      </c>
      <c r="F6" s="60" t="inlineStr">
        <is>
          <t xml:space="preserve">S₅</t>
        </is>
      </c>
      <c r="G6" s="60" t="inlineStr">
        <is>
          <t xml:space="preserve">S₆</t>
        </is>
      </c>
      <c r="H6" s="60" t="inlineStr">
        <is>
          <t xml:space="preserve">S₇</t>
        </is>
      </c>
      <c r="J6" s="61" t="inlineStr">
        <is>
          <t xml:space="preserve">Iteration summary</t>
        </is>
      </c>
      <c r="K6" s="61" t="inlineStr">
        <is>
          <t xml:space="preserve">Value</t>
        </is>
      </c>
    </row>
    <row r="7">
      <c r="A7" s="63" t="inlineStr">
        <is>
          <t xml:space="preserve">Class</t>
        </is>
      </c>
      <c r="B7" s="68">
        <f>'Dataset'!$P$5</f>
        <v>2</v>
      </c>
      <c r="C7" s="68">
        <f>'Dataset'!$P$6</f>
        <v>2</v>
      </c>
      <c r="D7" s="68">
        <f>'Dataset'!$P$7</f>
        <v>1</v>
      </c>
      <c r="E7" s="68">
        <f>'Dataset'!$P$8</f>
        <v>2</v>
      </c>
      <c r="F7" s="68">
        <f>'Dataset'!$P$9</f>
        <v>2</v>
      </c>
      <c r="G7" s="68">
        <f>'Dataset'!$P$10</f>
        <v>1</v>
      </c>
      <c r="H7" s="68">
        <f>'Dataset'!$P$11</f>
        <v>1</v>
      </c>
      <c r="J7" s="82" t="inlineStr">
        <is>
          <t xml:space="preserve">Queue length (Step 2)</t>
        </is>
      </c>
      <c r="K7" s="85">
        <f>SUM(B11:H11)</f>
        <v>7</v>
      </c>
    </row>
    <row r="8">
      <c r="A8" s="63" t="inlineStr">
        <is>
          <t xml:space="preserve">In F before the iteration (1 = in the working set)</t>
        </is>
      </c>
      <c r="B8" s="76">
        <v>1</v>
      </c>
      <c r="C8" s="76">
        <v>1</v>
      </c>
      <c r="D8" s="76">
        <v>1</v>
      </c>
      <c r="E8" s="76">
        <v>1</v>
      </c>
      <c r="F8" s="76">
        <v>1</v>
      </c>
      <c r="G8" s="76">
        <v>1</v>
      </c>
      <c r="H8" s="76">
        <v>1</v>
      </c>
      <c r="J8" s="82" t="inlineStr">
        <is>
          <t xml:space="preserve">Smallest queue key</t>
        </is>
      </c>
      <c r="K8" s="85">
        <f>MIN(B12:H12)</f>
        <v>1</v>
      </c>
    </row>
    <row r="9">
      <c r="A9" s="63" t="inlineStr">
        <is>
          <t xml:space="preserve">Processed before (blocked: d &lt; 0)</t>
        </is>
      </c>
      <c r="B9" s="76">
        <v>0</v>
      </c>
      <c r="C9" s="76">
        <v>0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J9" s="82" t="inlineStr">
        <is>
          <t xml:space="preserve">Selected index i (0 = queue empty)</t>
        </is>
      </c>
      <c r="K9" s="85">
        <f>IF(K8=99,0,MATCH(K8,B12:H12,0))</f>
        <v>1</v>
      </c>
    </row>
    <row r="10">
      <c r="A10" s="63" t="inlineStr">
        <is>
          <t xml:space="preserve">g before the iteration</t>
        </is>
      </c>
      <c r="B10" s="80">
        <f>'ERDR Characteristics'!$E$5</f>
        <v>3</v>
      </c>
      <c r="C10" s="80">
        <f>'ERDR Characteristics'!$E$6</f>
        <v>4</v>
      </c>
      <c r="D10" s="80">
        <f>'ERDR Characteristics'!$E$7</f>
        <v>3</v>
      </c>
      <c r="E10" s="80">
        <f>'ERDR Characteristics'!$E$8</f>
        <v>1</v>
      </c>
      <c r="F10" s="80">
        <f>'ERDR Characteristics'!$E$9</f>
        <v>3</v>
      </c>
      <c r="G10" s="80">
        <f>'ERDR Characteristics'!$E$10</f>
        <v>1</v>
      </c>
      <c r="H10" s="80">
        <f>'ERDR Characteristics'!$E$11</f>
        <v>2</v>
      </c>
      <c r="J10" s="82" t="inlineStr">
        <is>
          <t xml:space="preserve">Step 3 · selected Sᵢ</t>
        </is>
      </c>
      <c r="K10" s="85" t="str">
        <f>IF(K9=0,"— (queue empty → Step 6)",INDEX(B6:H6,K9))</f>
        <v>S₁</v>
      </c>
    </row>
    <row r="11">
      <c r="A11" s="63" t="inlineStr">
        <is>
          <t xml:space="preserve">Step 2 · in the queue: in F and not processed</t>
        </is>
      </c>
      <c r="B11" s="76">
        <f>IF(AND(B8=1,B9=0),1,0)</f>
        <v>1</v>
      </c>
      <c r="C11" s="76">
        <f>IF(AND(C8=1,C9=0),1,0)</f>
        <v>1</v>
      </c>
      <c r="D11" s="76">
        <f>IF(AND(D8=1,D9=0),1,0)</f>
        <v>1</v>
      </c>
      <c r="E11" s="76">
        <f>IF(AND(E8=1,E9=0),1,0)</f>
        <v>1</v>
      </c>
      <c r="F11" s="76">
        <f>IF(AND(F8=1,F9=0),1,0)</f>
        <v>1</v>
      </c>
      <c r="G11" s="76">
        <f>IF(AND(G8=1,G9=0),1,0)</f>
        <v>1</v>
      </c>
      <c r="H11" s="76">
        <f>IF(AND(H8=1,H9=0),1,0)</f>
        <v>1</v>
      </c>
      <c r="J11" s="82" t="inlineStr">
        <is>
          <t xml:space="preserve">d(Sᵢ)</t>
        </is>
      </c>
      <c r="K11" s="96">
        <f>IF(K9=0,"—",INDEX('ERDR Characteristics'!$J$5:$J$11,K9))</f>
        <v>0</v>
      </c>
    </row>
    <row r="12">
      <c r="A12" s="63" t="inlineStr">
        <is>
          <t xml:space="preserve">Step 2 · queue key = priority position (99 = not in the queue)</t>
        </is>
      </c>
      <c r="B12" s="76">
        <f>IF(B11=1,'ERDR Characteristics'!$K$5,99)</f>
        <v>1</v>
      </c>
      <c r="C12" s="76">
        <f>IF(C11=1,'ERDR Characteristics'!$K$6,99)</f>
        <v>4</v>
      </c>
      <c r="D12" s="76">
        <f>IF(D11=1,'ERDR Characteristics'!$K$7,99)</f>
        <v>2</v>
      </c>
      <c r="E12" s="76">
        <f>IF(E11=1,'ERDR Characteristics'!$K$8,99)</f>
        <v>7</v>
      </c>
      <c r="F12" s="76">
        <f>IF(F11=1,'ERDR Characteristics'!$K$9,99)</f>
        <v>3</v>
      </c>
      <c r="G12" s="76">
        <f>IF(G11=1,'ERDR Characteristics'!$K$10,99)</f>
        <v>6</v>
      </c>
      <c r="H12" s="76">
        <f>IF(H11=1,'ERDR Characteristics'!$K$11,99)</f>
        <v>5</v>
      </c>
      <c r="J12" s="82" t="inlineStr">
        <is>
          <t xml:space="preserve">r(Sᵢ)</t>
        </is>
      </c>
      <c r="K12" s="96">
        <f>IF(K9=0,"—",INDEX('ERDR Characteristics'!$D$5:$D$11,K9))</f>
        <v>5.60708061</v>
      </c>
    </row>
    <row r="13">
      <c r="A13" s="63" t="inlineStr">
        <is>
          <t xml:space="preserve">Step 3 · selected Sᵢ (smallest key)</t>
        </is>
      </c>
      <c r="B13" s="77">
        <f>IF($K$9=1,1,0)</f>
        <v>1</v>
      </c>
      <c r="C13" s="77">
        <f>IF($K$9=2,1,0)</f>
        <v>0</v>
      </c>
      <c r="D13" s="77">
        <f>IF($K$9=3,1,0)</f>
        <v>0</v>
      </c>
      <c r="E13" s="77">
        <f>IF($K$9=4,1,0)</f>
        <v>0</v>
      </c>
      <c r="F13" s="77">
        <f>IF($K$9=5,1,0)</f>
        <v>0</v>
      </c>
      <c r="G13" s="77">
        <f>IF($K$9=6,1,0)</f>
        <v>0</v>
      </c>
      <c r="H13" s="77">
        <f>IF($K$9=7,1,0)</f>
        <v>0</v>
      </c>
      <c r="J13" s="82" t="inlineStr">
        <is>
          <t xml:space="preserve">Step 4 · L</t>
        </is>
      </c>
      <c r="K13" s="85" t="str">
        <f>IF(K14=0,"∅","{"&amp;MID(IF(B20=1,", "&amp;B$6,"")&amp;IF(C20=1,", "&amp;C$6,"")&amp;IF(D20=1,", "&amp;D$6,"")&amp;IF(E20=1,", "&amp;E$6,"")&amp;IF(F20=1,", "&amp;F$6,"")&amp;IF(G20=1,", "&amp;G$6,"")&amp;IF(H20=1,", "&amp;H$6,""),3,200)&amp;"}")</f>
        <v>{S₁, S₂, S₅}</v>
      </c>
    </row>
    <row r="14">
      <c r="A14" s="63" t="inlineStr">
        <is>
          <t xml:space="preserve">Same class as Sᵢ</t>
        </is>
      </c>
      <c r="B14" s="76">
        <f>IF($K$9=0,0,IF(B7=INDEX($B$7:$H$7,$K$9),1,0))</f>
        <v>1</v>
      </c>
      <c r="C14" s="76">
        <f>IF($K$9=0,0,IF(C7=INDEX($B$7:$H$7,$K$9),1,0))</f>
        <v>1</v>
      </c>
      <c r="D14" s="76">
        <f>IF($K$9=0,0,IF(D7=INDEX($B$7:$H$7,$K$9),1,0))</f>
        <v>0</v>
      </c>
      <c r="E14" s="76">
        <f>IF($K$9=0,0,IF(E7=INDEX($B$7:$H$7,$K$9),1,0))</f>
        <v>1</v>
      </c>
      <c r="F14" s="76">
        <f>IF($K$9=0,0,IF(F7=INDEX($B$7:$H$7,$K$9),1,0))</f>
        <v>1</v>
      </c>
      <c r="G14" s="76">
        <f>IF($K$9=0,0,IF(G7=INDEX($B$7:$H$7,$K$9),1,0))</f>
        <v>0</v>
      </c>
      <c r="H14" s="76">
        <f>IF($K$9=0,0,IF(H7=INDEX($B$7:$H$7,$K$9),1,0))</f>
        <v>0</v>
      </c>
      <c r="J14" s="82" t="inlineStr">
        <is>
          <t xml:space="preserve">|L|</t>
        </is>
      </c>
      <c r="K14" s="85">
        <f>SUM(B20:H20)</f>
        <v>3</v>
      </c>
    </row>
    <row r="15">
      <c r="A15" s="63" t="inlineStr">
        <is>
          <t xml:space="preserve">ρ(Sⱼ, Sᵢ)</t>
        </is>
      </c>
      <c r="B15" s="73">
        <f>IF($K$9=0,"—",INDEX('Zhuravlev Distances'!$B$5:$H$5,$K$9))</f>
        <v>0</v>
      </c>
      <c r="C15" s="73">
        <f>IF($K$9=0,"—",INDEX('Zhuravlev Distances'!$B$6:$H$6,$K$9))</f>
        <v>4.6606100796</v>
      </c>
      <c r="D15" s="73">
        <f>IF($K$9=0,"—",INDEX('Zhuravlev Distances'!$B$7:$H$7,$K$9))</f>
        <v>5.60708061</v>
      </c>
      <c r="E15" s="73">
        <f>IF($K$9=0,"—",INDEX('Zhuravlev Distances'!$B$8:$H$8,$K$9))</f>
        <v>6.6272117335</v>
      </c>
      <c r="F15" s="73">
        <f>IF($K$9=0,"—",INDEX('Zhuravlev Distances'!$B$9:$H$9,$K$9))</f>
        <v>4.8565209225</v>
      </c>
      <c r="G15" s="73">
        <f>IF($K$9=0,"—",INDEX('Zhuravlev Distances'!$B$10:$H$10,$K$9))</f>
        <v>6.8015669516</v>
      </c>
      <c r="H15" s="73">
        <f>IF($K$9=0,"—",INDEX('Zhuravlev Distances'!$B$11:$H$11,$K$9))</f>
        <v>5.8897935773</v>
      </c>
      <c r="J15" s="82" t="inlineStr">
        <is>
          <t xml:space="preserve">Decision</t>
        </is>
      </c>
      <c r="K15" s="85" t="str">
        <f>IF(K9=0,"Step 6 · stop",IF(K14=0,"|L| = 0 → Sᵢ is only blocked and stays in F",IF(K14=1,"|L| = 1 → Sᵢ moves to D","|L| &gt; 1 → Step 5 corrects g")))</f>
        <v>|L| &gt; 1 → Step 5 corrects g</v>
      </c>
    </row>
    <row r="16">
      <c r="A16" s="63" t="inlineStr">
        <is>
          <t xml:space="preserve">r(Sⱼ)</t>
        </is>
      </c>
      <c r="B16" s="73">
        <f>'ERDR Characteristics'!$D$5</f>
        <v>5.60708061</v>
      </c>
      <c r="C16" s="73">
        <f>'ERDR Characteristics'!$D$6</f>
        <v>7.4699698919</v>
      </c>
      <c r="D16" s="73">
        <f>'ERDR Characteristics'!$D$7</f>
        <v>5.60708061</v>
      </c>
      <c r="E16" s="73">
        <f>'ERDR Characteristics'!$D$8</f>
        <v>3.7071187508</v>
      </c>
      <c r="F16" s="73">
        <f>'ERDR Characteristics'!$D$9</f>
        <v>7.1117040273</v>
      </c>
      <c r="G16" s="73">
        <f>'ERDR Characteristics'!$D$10</f>
        <v>3.7071187508</v>
      </c>
      <c r="H16" s="73">
        <f>'ERDR Characteristics'!$D$11</f>
        <v>3.9109813746</v>
      </c>
      <c r="J16" s="82" t="inlineStr">
        <is>
          <t xml:space="preserve">Step 5 · counters g: before → after</t>
        </is>
      </c>
      <c r="K16" s="85" t="str">
        <f>IF(SUM(B22:H22)=0,"—",MID(IF(B22=1,", "&amp;B$6&amp;": "&amp;B10&amp;" → "&amp;B23,"")&amp;IF(C22=1,", "&amp;C$6&amp;": "&amp;C10&amp;" → "&amp;C23,"")&amp;IF(D22=1,", "&amp;D$6&amp;": "&amp;D10&amp;" → "&amp;D23,"")&amp;IF(E22=1,", "&amp;E$6&amp;": "&amp;E10&amp;" → "&amp;E23,"")&amp;IF(F22=1,", "&amp;F$6&amp;": "&amp;F10&amp;" → "&amp;F23,"")&amp;IF(G22=1,", "&amp;G$6&amp;": "&amp;G10&amp;" → "&amp;G23,"")&amp;IF(H22=1,", "&amp;H$6&amp;": "&amp;H10&amp;" → "&amp;H23,""),3,300))</f>
        <v>S₁: 3 → 2, S₂: 4 → 3, S₅: 3 → 2</v>
      </c>
    </row>
    <row r="17">
      <c r="A17" s="63" t="inlineStr">
        <is>
          <t xml:space="preserve">Sᵢ inside the sphere of Sⱼ:  ρ(Sⱼ, Sᵢ) &lt; r(Sⱼ)</t>
        </is>
      </c>
      <c r="B17" s="76">
        <f>IF($K$9=0,0,IF(B15&lt;B16,1,0))</f>
        <v>1</v>
      </c>
      <c r="C17" s="76">
        <f>IF($K$9=0,0,IF(C15&lt;C16,1,0))</f>
        <v>1</v>
      </c>
      <c r="D17" s="76">
        <f>IF($K$9=0,0,IF(D15&lt;D16,1,0))</f>
        <v>0</v>
      </c>
      <c r="E17" s="76">
        <f>IF($K$9=0,0,IF(E15&lt;E16,1,0))</f>
        <v>0</v>
      </c>
      <c r="F17" s="76">
        <f>IF($K$9=0,0,IF(F15&lt;F16,1,0))</f>
        <v>1</v>
      </c>
      <c r="G17" s="76">
        <f>IF($K$9=0,0,IF(G15&lt;G16,1,0))</f>
        <v>0</v>
      </c>
      <c r="H17" s="76">
        <f>IF($K$9=0,0,IF(H15&lt;H16,1,0))</f>
        <v>0</v>
      </c>
      <c r="J17" s="82" t="inlineStr">
        <is>
          <t xml:space="preserve">Moved to D</t>
        </is>
      </c>
      <c r="K17" s="85" t="str">
        <f>IF(SUM(B25:H25)=0,"—",MID(IF(B25=1,", "&amp;B$6&amp;IF(B21=1," (Step 4)"," (Step 5)"),"")&amp;IF(C25=1,", "&amp;C$6&amp;IF(C21=1," (Step 4)"," (Step 5)"),"")&amp;IF(D25=1,", "&amp;D$6&amp;IF(D21=1," (Step 4)"," (Step 5)"),"")&amp;IF(E25=1,", "&amp;E$6&amp;IF(E21=1," (Step 4)"," (Step 5)"),"")&amp;IF(F25=1,", "&amp;F$6&amp;IF(F21=1," (Step 4)"," (Step 5)"),"")&amp;IF(G25=1,", "&amp;G$6&amp;IF(G21=1," (Step 4)"," (Step 5)"),"")&amp;IF(H25=1,", "&amp;H$6&amp;IF(H21=1," (Step 4)"," (Step 5)"),""),3,300))</f>
        <v>—</v>
      </c>
    </row>
    <row r="18">
      <c r="A18" s="63" t="inlineStr">
        <is>
          <t xml:space="preserve">g(Sⱼ) &gt; 1</t>
        </is>
      </c>
      <c r="B18" s="76">
        <f>IF(B10&gt;1,1,0)</f>
        <v>1</v>
      </c>
      <c r="C18" s="76">
        <f>IF(C10&gt;1,1,0)</f>
        <v>1</v>
      </c>
      <c r="D18" s="76">
        <f>IF(D10&gt;1,1,0)</f>
        <v>1</v>
      </c>
      <c r="E18" s="76">
        <f>IF(E10&gt;1,1,0)</f>
        <v>0</v>
      </c>
      <c r="F18" s="76">
        <f>IF(F10&gt;1,1,0)</f>
        <v>1</v>
      </c>
      <c r="G18" s="76">
        <f>IF(G10&gt;1,1,0)</f>
        <v>0</v>
      </c>
      <c r="H18" s="76">
        <f>IF(H10&gt;1,1,0)</f>
        <v>1</v>
      </c>
      <c r="J18" s="82" t="inlineStr">
        <is>
          <t xml:space="preserve">|F| after</t>
        </is>
      </c>
      <c r="K18" s="85">
        <f>SUM(B26:H26)</f>
        <v>7</v>
      </c>
    </row>
    <row r="19">
      <c r="A19" s="63" t="inlineStr">
        <is>
          <t xml:space="preserve">Allowed by readings A (Sᵢ itself) and B (processed Sⱼ)</t>
        </is>
      </c>
      <c r="B19" s="76">
        <f>IF($K$9=0,0,IF($K$9=1,IF('Parameters'!$B$24=1,1,0),IF(OR('Parameters'!$B$25=1,B9=0),1,0)))</f>
        <v>1</v>
      </c>
      <c r="C19" s="76">
        <f>IF($K$9=0,0,IF($K$9=2,IF('Parameters'!$B$24=1,1,0),IF(OR('Parameters'!$B$25=1,C9=0),1,0)))</f>
        <v>1</v>
      </c>
      <c r="D19" s="76">
        <f>IF($K$9=0,0,IF($K$9=3,IF('Parameters'!$B$24=1,1,0),IF(OR('Parameters'!$B$25=1,D9=0),1,0)))</f>
        <v>1</v>
      </c>
      <c r="E19" s="76">
        <f>IF($K$9=0,0,IF($K$9=4,IF('Parameters'!$B$24=1,1,0),IF(OR('Parameters'!$B$25=1,E9=0),1,0)))</f>
        <v>1</v>
      </c>
      <c r="F19" s="76">
        <f>IF($K$9=0,0,IF($K$9=5,IF('Parameters'!$B$24=1,1,0),IF(OR('Parameters'!$B$25=1,F9=0),1,0)))</f>
        <v>1</v>
      </c>
      <c r="G19" s="76">
        <f>IF($K$9=0,0,IF($K$9=6,IF('Parameters'!$B$24=1,1,0),IF(OR('Parameters'!$B$25=1,G9=0),1,0)))</f>
        <v>1</v>
      </c>
      <c r="H19" s="76">
        <f>IF($K$9=0,0,IF($K$9=7,IF('Parameters'!$B$24=1,1,0),IF(OR('Parameters'!$B$25=1,H9=0),1,0)))</f>
        <v>1</v>
      </c>
      <c r="J19" s="82" t="inlineStr">
        <is>
          <t xml:space="preserve">|D| after</t>
        </is>
      </c>
      <c r="K19" s="85">
        <f>SUM(B29:H29)</f>
        <v>0</v>
      </c>
    </row>
    <row r="20">
      <c r="A20" s="63" t="inlineStr">
        <is>
          <t xml:space="preserve">Step 4 · Sⱼ ∈ L</t>
        </is>
      </c>
      <c r="B20" s="77">
        <f>B8*B14*B17*B18*B19</f>
        <v>1</v>
      </c>
      <c r="C20" s="77">
        <f>C8*C14*C17*C18*C19</f>
        <v>1</v>
      </c>
      <c r="D20" s="77">
        <f>D8*D14*D17*D18*D19</f>
        <v>0</v>
      </c>
      <c r="E20" s="77">
        <f>E8*E14*E17*E18*E19</f>
        <v>0</v>
      </c>
      <c r="F20" s="77">
        <f>F8*F14*F17*F18*F19</f>
        <v>1</v>
      </c>
      <c r="G20" s="77">
        <f>G8*G14*G17*G18*G19</f>
        <v>0</v>
      </c>
      <c r="H20" s="77">
        <f>H8*H14*H17*H18*H19</f>
        <v>0</v>
      </c>
      <c r="J20" s="82" t="inlineStr">
        <is>
          <t xml:space="preserve">Objects left in the queue</t>
        </is>
      </c>
      <c r="K20" s="85">
        <f>SUMPRODUCT(B26:H26*(1-B27:H27))</f>
        <v>6</v>
      </c>
    </row>
    <row r="21">
      <c r="A21" s="63" t="inlineStr">
        <is>
          <t xml:space="preserve">Step 4 · |L| = 1 → Sᵢ moves to D</t>
        </is>
      </c>
      <c r="B21" s="76">
        <f>IF(AND(B13=1,$K$14=1),1,0)</f>
        <v>0</v>
      </c>
      <c r="C21" s="76">
        <f>IF(AND(C13=1,$K$14=1),1,0)</f>
        <v>0</v>
      </c>
      <c r="D21" s="76">
        <f>IF(AND(D13=1,$K$14=1),1,0)</f>
        <v>0</v>
      </c>
      <c r="E21" s="76">
        <f>IF(AND(E13=1,$K$14=1),1,0)</f>
        <v>0</v>
      </c>
      <c r="F21" s="76">
        <f>IF(AND(F13=1,$K$14=1),1,0)</f>
        <v>0</v>
      </c>
      <c r="G21" s="76">
        <f>IF(AND(G13=1,$K$14=1),1,0)</f>
        <v>0</v>
      </c>
      <c r="H21" s="76">
        <f>IF(AND(H13=1,$K$14=1),1,0)</f>
        <v>0</v>
      </c>
      <c r="J21" s="82" t="inlineStr">
        <is>
          <t xml:space="preserve">Step 4 · Sᵢ blocked: d(Sᵢ) ← −(d + ε)</t>
        </is>
      </c>
      <c r="K21" s="96">
        <f>IF(K9=0,"—",-(INDEX('ERDR Characteristics'!$J$5:$J$11,K9)+'Parameters'!$B$17))</f>
        <v>-0.001</v>
      </c>
    </row>
    <row r="22">
      <c r="A22" s="63" t="inlineStr">
        <is>
          <t xml:space="preserve">Step 5 · counter decreased (|L| &gt; 1)</t>
        </is>
      </c>
      <c r="B22" s="76">
        <f>IF($K$14&gt;1,B20,0)</f>
        <v>1</v>
      </c>
      <c r="C22" s="76">
        <f>IF($K$14&gt;1,C20*IF('Parameters'!$B$26=1,1,IF(SUMPRODUCT($B$20:B$20*($B$10:B$10=2))=0,1,0)),0)</f>
        <v>1</v>
      </c>
      <c r="D22" s="76">
        <f>IF($K$14&gt;1,D20*IF('Parameters'!$B$26=1,1,IF(SUMPRODUCT($B$20:C$20*($B$10:C$10=2))=0,1,0)),0)</f>
        <v>0</v>
      </c>
      <c r="E22" s="76">
        <f>IF($K$14&gt;1,E20*IF('Parameters'!$B$26=1,1,IF(SUMPRODUCT($B$20:D$20*($B$10:D$10=2))=0,1,0)),0)</f>
        <v>0</v>
      </c>
      <c r="F22" s="76">
        <f>IF($K$14&gt;1,F20*IF('Parameters'!$B$26=1,1,IF(SUMPRODUCT($B$20:E$20*($B$10:E$10=2))=0,1,0)),0)</f>
        <v>1</v>
      </c>
      <c r="G22" s="76">
        <f>IF($K$14&gt;1,G20*IF('Parameters'!$B$26=1,1,IF(SUMPRODUCT($B$20:F$20*($B$10:F$10=2))=0,1,0)),0)</f>
        <v>0</v>
      </c>
      <c r="H22" s="76">
        <f>IF($K$14&gt;1,H20*IF('Parameters'!$B$26=1,1,IF(SUMPRODUCT($B$20:G$20*($B$10:G$10=2))=0,1,0)),0)</f>
        <v>0</v>
      </c>
      <c r="J22" s="101" t="inlineStr">
        <is>
          <t xml:space="preserve"/>
        </is>
      </c>
      <c r="K22" s="101" t="inlineStr">
        <is>
          <t xml:space="preserve"/>
        </is>
      </c>
    </row>
    <row r="23">
      <c r="A23" s="63" t="inlineStr">
        <is>
          <t xml:space="preserve">g after the iteration</t>
        </is>
      </c>
      <c r="B23" s="80">
        <f>B10-B22</f>
        <v>2</v>
      </c>
      <c r="C23" s="80">
        <f>C10-C22</f>
        <v>3</v>
      </c>
      <c r="D23" s="80">
        <f>D10-D22</f>
        <v>3</v>
      </c>
      <c r="E23" s="80">
        <f>E10-E22</f>
        <v>1</v>
      </c>
      <c r="F23" s="80">
        <f>F10-F22</f>
        <v>2</v>
      </c>
      <c r="G23" s="80">
        <f>G10-G22</f>
        <v>1</v>
      </c>
      <c r="H23" s="80">
        <f>H10-H22</f>
        <v>2</v>
      </c>
      <c r="J23" s="101" t="inlineStr">
        <is>
          <t xml:space="preserve"/>
        </is>
      </c>
      <c r="K23" s="101" t="inlineStr">
        <is>
          <t xml:space="preserve"/>
        </is>
      </c>
    </row>
    <row r="24">
      <c r="A24" s="63" t="inlineStr">
        <is>
          <t xml:space="preserve">Step 5 · g fell to 1 → Sⱼ moves to D</t>
        </is>
      </c>
      <c r="B24" s="76">
        <f>IF(AND(B22=1,B23=1),1,0)</f>
        <v>0</v>
      </c>
      <c r="C24" s="76">
        <f>IF(AND(C22=1,C23=1),1,0)</f>
        <v>0</v>
      </c>
      <c r="D24" s="76">
        <f>IF(AND(D22=1,D23=1),1,0)</f>
        <v>0</v>
      </c>
      <c r="E24" s="76">
        <f>IF(AND(E22=1,E23=1),1,0)</f>
        <v>0</v>
      </c>
      <c r="F24" s="76">
        <f>IF(AND(F22=1,F23=1),1,0)</f>
        <v>0</v>
      </c>
      <c r="G24" s="76">
        <f>IF(AND(G22=1,G23=1),1,0)</f>
        <v>0</v>
      </c>
      <c r="H24" s="76">
        <f>IF(AND(H22=1,H23=1),1,0)</f>
        <v>0</v>
      </c>
      <c r="J24" s="101" t="inlineStr">
        <is>
          <t xml:space="preserve"/>
        </is>
      </c>
      <c r="K24" s="101" t="inlineStr">
        <is>
          <t xml:space="preserve"/>
        </is>
      </c>
    </row>
    <row r="25">
      <c r="A25" s="63" t="inlineStr">
        <is>
          <t xml:space="preserve">Moves to D in this iteration</t>
        </is>
      </c>
      <c r="B25" s="77">
        <f>B21+B24</f>
        <v>0</v>
      </c>
      <c r="C25" s="77">
        <f>C21+C24</f>
        <v>0</v>
      </c>
      <c r="D25" s="77">
        <f>D21+D24</f>
        <v>0</v>
      </c>
      <c r="E25" s="77">
        <f>E21+E24</f>
        <v>0</v>
      </c>
      <c r="F25" s="77">
        <f>F21+F24</f>
        <v>0</v>
      </c>
      <c r="G25" s="77">
        <f>G21+G24</f>
        <v>0</v>
      </c>
      <c r="H25" s="77">
        <f>H21+H24</f>
        <v>0</v>
      </c>
      <c r="J25" s="101" t="inlineStr">
        <is>
          <t xml:space="preserve"/>
        </is>
      </c>
      <c r="K25" s="101" t="inlineStr">
        <is>
          <t xml:space="preserve"/>
        </is>
      </c>
    </row>
    <row r="26">
      <c r="A26" s="63" t="inlineStr">
        <is>
          <t xml:space="preserve">In F after the iteration</t>
        </is>
      </c>
      <c r="B26" s="76">
        <f>B8-B25</f>
        <v>1</v>
      </c>
      <c r="C26" s="76">
        <f>C8-C25</f>
        <v>1</v>
      </c>
      <c r="D26" s="76">
        <f>D8-D25</f>
        <v>1</v>
      </c>
      <c r="E26" s="76">
        <f>E8-E25</f>
        <v>1</v>
      </c>
      <c r="F26" s="76">
        <f>F8-F25</f>
        <v>1</v>
      </c>
      <c r="G26" s="76">
        <f>G8-G25</f>
        <v>1</v>
      </c>
      <c r="H26" s="76">
        <f>H8-H25</f>
        <v>1</v>
      </c>
      <c r="J26" s="101" t="inlineStr">
        <is>
          <t xml:space="preserve"/>
        </is>
      </c>
      <c r="K26" s="101" t="inlineStr">
        <is>
          <t xml:space="preserve"/>
        </is>
      </c>
    </row>
    <row r="27">
      <c r="A27" s="63" t="inlineStr">
        <is>
          <t xml:space="preserve">Processed after the iteration</t>
        </is>
      </c>
      <c r="B27" s="76">
        <f>MIN(1,B9+B13)</f>
        <v>1</v>
      </c>
      <c r="C27" s="76">
        <f>MIN(1,C9+C13)</f>
        <v>0</v>
      </c>
      <c r="D27" s="76">
        <f>MIN(1,D9+D13)</f>
        <v>0</v>
      </c>
      <c r="E27" s="76">
        <f>MIN(1,E9+E13)</f>
        <v>0</v>
      </c>
      <c r="F27" s="76">
        <f>MIN(1,F9+F13)</f>
        <v>0</v>
      </c>
      <c r="G27" s="76">
        <f>MIN(1,G9+G13)</f>
        <v>0</v>
      </c>
      <c r="H27" s="76">
        <f>MIN(1,H9+H13)</f>
        <v>0</v>
      </c>
      <c r="J27" s="101" t="inlineStr">
        <is>
          <t xml:space="preserve"/>
        </is>
      </c>
      <c r="K27" s="101" t="inlineStr">
        <is>
          <t xml:space="preserve"/>
        </is>
      </c>
    </row>
    <row r="28">
      <c r="A28" s="63" t="inlineStr">
        <is>
          <t xml:space="preserve">d after (article: −(d + ε) once processed)</t>
        </is>
      </c>
      <c r="B28" s="73">
        <f>IF(B27=1,-('ERDR Characteristics'!$J$5+'Parameters'!$B$17),'ERDR Characteristics'!$J$5)</f>
        <v>-0.001</v>
      </c>
      <c r="C28" s="73">
        <f>IF(C27=1,-('ERDR Characteristics'!$J$6+'Parameters'!$B$17),'ERDR Characteristics'!$J$6)</f>
        <v>0.0795428388</v>
      </c>
      <c r="D28" s="73">
        <f>IF(D27=1,-('ERDR Characteristics'!$J$7+'Parameters'!$B$17),'ERDR Characteristics'!$J$7)</f>
        <v>0</v>
      </c>
      <c r="E28" s="73">
        <f>IF(E27=1,-('ERDR Characteristics'!$J$8+'Parameters'!$B$17),'ERDR Characteristics'!$J$8)</f>
        <v>0.2529498997</v>
      </c>
      <c r="F28" s="73">
        <f>IF(F27=1,-('ERDR Characteristics'!$J$9+'Parameters'!$B$17),'ERDR Characteristics'!$J$9)</f>
        <v>0</v>
      </c>
      <c r="G28" s="73">
        <f>IF(G27=1,-('ERDR Characteristics'!$J$10+'Parameters'!$B$17),'ERDR Characteristics'!$J$10)</f>
        <v>0.1692169896</v>
      </c>
      <c r="H28" s="73">
        <f>IF(H27=1,-('ERDR Characteristics'!$J$11+'Parameters'!$B$17),'ERDR Characteristics'!$J$11)</f>
        <v>0.1252961741</v>
      </c>
      <c r="J28" s="101" t="inlineStr">
        <is>
          <t xml:space="preserve"/>
        </is>
      </c>
      <c r="K28" s="101" t="inlineStr">
        <is>
          <t xml:space="preserve"/>
        </is>
      </c>
    </row>
    <row r="29">
      <c r="A29" s="63" t="inlineStr">
        <is>
          <t xml:space="preserve">In D after the iteration</t>
        </is>
      </c>
      <c r="B29" s="76">
        <f>1-B26</f>
        <v>0</v>
      </c>
      <c r="C29" s="76">
        <f>1-C26</f>
        <v>0</v>
      </c>
      <c r="D29" s="76">
        <f>1-D26</f>
        <v>0</v>
      </c>
      <c r="E29" s="76">
        <f>1-E26</f>
        <v>0</v>
      </c>
      <c r="F29" s="76">
        <f>1-F26</f>
        <v>0</v>
      </c>
      <c r="G29" s="76">
        <f>1-G26</f>
        <v>0</v>
      </c>
      <c r="H29" s="76">
        <f>1-H26</f>
        <v>0</v>
      </c>
      <c r="J29" s="101" t="inlineStr">
        <is>
          <t xml:space="preserve"/>
        </is>
      </c>
      <c r="K29" s="101" t="inlineStr">
        <is>
          <t xml:space="preserve"/>
        </is>
      </c>
    </row>
    <row r="30"/>
    <row r="31">
      <c r="A31" s="59" t="str">
        <f>"Iteration 2  ·  "&amp;IF($K$35=0,"queue empty → Step 6 (stop)","Step 3 selects "&amp;$K$36&amp;"  ·  L = "&amp;$K$39&amp;"  ·  "&amp;$K$41)</f>
        <v>Iteration 2  ·  Step 3 selects S₃  ·  L = {S₃, S₇}  ·  |L| &gt; 1 → Step 5 corrects g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</row>
    <row r="32">
      <c r="A32" s="61" t="inlineStr">
        <is>
          <t xml:space="preserve">Row</t>
        </is>
      </c>
      <c r="B32" s="60" t="inlineStr">
        <is>
          <t xml:space="preserve">S₁</t>
        </is>
      </c>
      <c r="C32" s="60" t="inlineStr">
        <is>
          <t xml:space="preserve">S₂</t>
        </is>
      </c>
      <c r="D32" s="60" t="inlineStr">
        <is>
          <t xml:space="preserve">S₃</t>
        </is>
      </c>
      <c r="E32" s="60" t="inlineStr">
        <is>
          <t xml:space="preserve">S₄</t>
        </is>
      </c>
      <c r="F32" s="60" t="inlineStr">
        <is>
          <t xml:space="preserve">S₅</t>
        </is>
      </c>
      <c r="G32" s="60" t="inlineStr">
        <is>
          <t xml:space="preserve">S₆</t>
        </is>
      </c>
      <c r="H32" s="60" t="inlineStr">
        <is>
          <t xml:space="preserve">S₇</t>
        </is>
      </c>
      <c r="J32" s="61" t="inlineStr">
        <is>
          <t xml:space="preserve">Iteration summary</t>
        </is>
      </c>
      <c r="K32" s="61" t="inlineStr">
        <is>
          <t xml:space="preserve">Value</t>
        </is>
      </c>
    </row>
    <row r="33">
      <c r="A33" s="63" t="inlineStr">
        <is>
          <t xml:space="preserve">Class</t>
        </is>
      </c>
      <c r="B33" s="68">
        <f>'Dataset'!$P$5</f>
        <v>2</v>
      </c>
      <c r="C33" s="68">
        <f>'Dataset'!$P$6</f>
        <v>2</v>
      </c>
      <c r="D33" s="68">
        <f>'Dataset'!$P$7</f>
        <v>1</v>
      </c>
      <c r="E33" s="68">
        <f>'Dataset'!$P$8</f>
        <v>2</v>
      </c>
      <c r="F33" s="68">
        <f>'Dataset'!$P$9</f>
        <v>2</v>
      </c>
      <c r="G33" s="68">
        <f>'Dataset'!$P$10</f>
        <v>1</v>
      </c>
      <c r="H33" s="68">
        <f>'Dataset'!$P$11</f>
        <v>1</v>
      </c>
      <c r="J33" s="82" t="inlineStr">
        <is>
          <t xml:space="preserve">Queue length (Step 2)</t>
        </is>
      </c>
      <c r="K33" s="85">
        <f>SUM(B37:H37)</f>
        <v>6</v>
      </c>
    </row>
    <row r="34">
      <c r="A34" s="63" t="inlineStr">
        <is>
          <t xml:space="preserve">In F before the iteration (1 = in the working set)</t>
        </is>
      </c>
      <c r="B34" s="76">
        <f>B26</f>
        <v>1</v>
      </c>
      <c r="C34" s="76">
        <f>C26</f>
        <v>1</v>
      </c>
      <c r="D34" s="76">
        <f>D26</f>
        <v>1</v>
      </c>
      <c r="E34" s="76">
        <f>E26</f>
        <v>1</v>
      </c>
      <c r="F34" s="76">
        <f>F26</f>
        <v>1</v>
      </c>
      <c r="G34" s="76">
        <f>G26</f>
        <v>1</v>
      </c>
      <c r="H34" s="76">
        <f>H26</f>
        <v>1</v>
      </c>
      <c r="J34" s="82" t="inlineStr">
        <is>
          <t xml:space="preserve">Smallest queue key</t>
        </is>
      </c>
      <c r="K34" s="85">
        <f>MIN(B38:H38)</f>
        <v>2</v>
      </c>
    </row>
    <row r="35">
      <c r="A35" s="63" t="inlineStr">
        <is>
          <t xml:space="preserve">Processed before (blocked: d &lt; 0)</t>
        </is>
      </c>
      <c r="B35" s="76">
        <f>B27</f>
        <v>1</v>
      </c>
      <c r="C35" s="76">
        <f>C27</f>
        <v>0</v>
      </c>
      <c r="D35" s="76">
        <f>D27</f>
        <v>0</v>
      </c>
      <c r="E35" s="76">
        <f>E27</f>
        <v>0</v>
      </c>
      <c r="F35" s="76">
        <f>F27</f>
        <v>0</v>
      </c>
      <c r="G35" s="76">
        <f>G27</f>
        <v>0</v>
      </c>
      <c r="H35" s="76">
        <f>H27</f>
        <v>0</v>
      </c>
      <c r="J35" s="82" t="inlineStr">
        <is>
          <t xml:space="preserve">Selected index i (0 = queue empty)</t>
        </is>
      </c>
      <c r="K35" s="85">
        <f>IF(K34=99,0,MATCH(K34,B38:H38,0))</f>
        <v>3</v>
      </c>
    </row>
    <row r="36">
      <c r="A36" s="63" t="inlineStr">
        <is>
          <t xml:space="preserve">g before the iteration</t>
        </is>
      </c>
      <c r="B36" s="80">
        <f>B23</f>
        <v>2</v>
      </c>
      <c r="C36" s="80">
        <f>C23</f>
        <v>3</v>
      </c>
      <c r="D36" s="80">
        <f>D23</f>
        <v>3</v>
      </c>
      <c r="E36" s="80">
        <f>E23</f>
        <v>1</v>
      </c>
      <c r="F36" s="80">
        <f>F23</f>
        <v>2</v>
      </c>
      <c r="G36" s="80">
        <f>G23</f>
        <v>1</v>
      </c>
      <c r="H36" s="80">
        <f>H23</f>
        <v>2</v>
      </c>
      <c r="J36" s="82" t="inlineStr">
        <is>
          <t xml:space="preserve">Step 3 · selected Sᵢ</t>
        </is>
      </c>
      <c r="K36" s="85" t="str">
        <f>IF(K35=0,"— (queue empty → Step 6)",INDEX(B32:H32,K35))</f>
        <v>S₃</v>
      </c>
    </row>
    <row r="37">
      <c r="A37" s="63" t="inlineStr">
        <is>
          <t xml:space="preserve">Step 2 · in the queue: in F and not processed</t>
        </is>
      </c>
      <c r="B37" s="76">
        <f>IF(AND(B34=1,B35=0),1,0)</f>
        <v>0</v>
      </c>
      <c r="C37" s="76">
        <f>IF(AND(C34=1,C35=0),1,0)</f>
        <v>1</v>
      </c>
      <c r="D37" s="76">
        <f>IF(AND(D34=1,D35=0),1,0)</f>
        <v>1</v>
      </c>
      <c r="E37" s="76">
        <f>IF(AND(E34=1,E35=0),1,0)</f>
        <v>1</v>
      </c>
      <c r="F37" s="76">
        <f>IF(AND(F34=1,F35=0),1,0)</f>
        <v>1</v>
      </c>
      <c r="G37" s="76">
        <f>IF(AND(G34=1,G35=0),1,0)</f>
        <v>1</v>
      </c>
      <c r="H37" s="76">
        <f>IF(AND(H34=1,H35=0),1,0)</f>
        <v>1</v>
      </c>
      <c r="J37" s="82" t="inlineStr">
        <is>
          <t xml:space="preserve">d(Sᵢ)</t>
        </is>
      </c>
      <c r="K37" s="96">
        <f>IF(K35=0,"—",INDEX('ERDR Characteristics'!$J$5:$J$11,K35))</f>
        <v>0</v>
      </c>
    </row>
    <row r="38">
      <c r="A38" s="63" t="inlineStr">
        <is>
          <t xml:space="preserve">Step 2 · queue key = priority position (99 = not in the queue)</t>
        </is>
      </c>
      <c r="B38" s="76">
        <f>IF(B37=1,'ERDR Characteristics'!$K$5,99)</f>
        <v>99</v>
      </c>
      <c r="C38" s="76">
        <f>IF(C37=1,'ERDR Characteristics'!$K$6,99)</f>
        <v>4</v>
      </c>
      <c r="D38" s="76">
        <f>IF(D37=1,'ERDR Characteristics'!$K$7,99)</f>
        <v>2</v>
      </c>
      <c r="E38" s="76">
        <f>IF(E37=1,'ERDR Characteristics'!$K$8,99)</f>
        <v>7</v>
      </c>
      <c r="F38" s="76">
        <f>IF(F37=1,'ERDR Characteristics'!$K$9,99)</f>
        <v>3</v>
      </c>
      <c r="G38" s="76">
        <f>IF(G37=1,'ERDR Characteristics'!$K$10,99)</f>
        <v>6</v>
      </c>
      <c r="H38" s="76">
        <f>IF(H37=1,'ERDR Characteristics'!$K$11,99)</f>
        <v>5</v>
      </c>
      <c r="J38" s="82" t="inlineStr">
        <is>
          <t xml:space="preserve">r(Sᵢ)</t>
        </is>
      </c>
      <c r="K38" s="96">
        <f>IF(K35=0,"—",INDEX('ERDR Characteristics'!$D$5:$D$11,K35))</f>
        <v>5.60708061</v>
      </c>
    </row>
    <row r="39">
      <c r="A39" s="63" t="inlineStr">
        <is>
          <t xml:space="preserve">Step 3 · selected Sᵢ (smallest key)</t>
        </is>
      </c>
      <c r="B39" s="77">
        <f>IF($K$35=1,1,0)</f>
        <v>0</v>
      </c>
      <c r="C39" s="77">
        <f>IF($K$35=2,1,0)</f>
        <v>0</v>
      </c>
      <c r="D39" s="77">
        <f>IF($K$35=3,1,0)</f>
        <v>1</v>
      </c>
      <c r="E39" s="77">
        <f>IF($K$35=4,1,0)</f>
        <v>0</v>
      </c>
      <c r="F39" s="77">
        <f>IF($K$35=5,1,0)</f>
        <v>0</v>
      </c>
      <c r="G39" s="77">
        <f>IF($K$35=6,1,0)</f>
        <v>0</v>
      </c>
      <c r="H39" s="77">
        <f>IF($K$35=7,1,0)</f>
        <v>0</v>
      </c>
      <c r="J39" s="82" t="inlineStr">
        <is>
          <t xml:space="preserve">Step 4 · L</t>
        </is>
      </c>
      <c r="K39" s="85" t="str">
        <f>IF(K40=0,"∅","{"&amp;MID(IF(B46=1,", "&amp;B$32,"")&amp;IF(C46=1,", "&amp;C$32,"")&amp;IF(D46=1,", "&amp;D$32,"")&amp;IF(E46=1,", "&amp;E$32,"")&amp;IF(F46=1,", "&amp;F$32,"")&amp;IF(G46=1,", "&amp;G$32,"")&amp;IF(H46=1,", "&amp;H$32,""),3,200)&amp;"}")</f>
        <v>{S₃, S₇}</v>
      </c>
    </row>
    <row r="40">
      <c r="A40" s="63" t="inlineStr">
        <is>
          <t xml:space="preserve">Same class as Sᵢ</t>
        </is>
      </c>
      <c r="B40" s="76">
        <f>IF($K$35=0,0,IF(B33=INDEX($B$33:$H$33,$K$35),1,0))</f>
        <v>0</v>
      </c>
      <c r="C40" s="76">
        <f>IF($K$35=0,0,IF(C33=INDEX($B$33:$H$33,$K$35),1,0))</f>
        <v>0</v>
      </c>
      <c r="D40" s="76">
        <f>IF($K$35=0,0,IF(D33=INDEX($B$33:$H$33,$K$35),1,0))</f>
        <v>1</v>
      </c>
      <c r="E40" s="76">
        <f>IF($K$35=0,0,IF(E33=INDEX($B$33:$H$33,$K$35),1,0))</f>
        <v>0</v>
      </c>
      <c r="F40" s="76">
        <f>IF($K$35=0,0,IF(F33=INDEX($B$33:$H$33,$K$35),1,0))</f>
        <v>0</v>
      </c>
      <c r="G40" s="76">
        <f>IF($K$35=0,0,IF(G33=INDEX($B$33:$H$33,$K$35),1,0))</f>
        <v>1</v>
      </c>
      <c r="H40" s="76">
        <f>IF($K$35=0,0,IF(H33=INDEX($B$33:$H$33,$K$35),1,0))</f>
        <v>1</v>
      </c>
      <c r="J40" s="82" t="inlineStr">
        <is>
          <t xml:space="preserve">|L|</t>
        </is>
      </c>
      <c r="K40" s="85">
        <f>SUM(B46:H46)</f>
        <v>2</v>
      </c>
    </row>
    <row r="41">
      <c r="A41" s="63" t="inlineStr">
        <is>
          <t xml:space="preserve">ρ(Sⱼ, Sᵢ)</t>
        </is>
      </c>
      <c r="B41" s="73">
        <f>IF($K$35=0,"—",INDEX('Zhuravlev Distances'!$B$5:$H$5,$K$35))</f>
        <v>5.60708061</v>
      </c>
      <c r="C41" s="73">
        <f>IF($K$35=0,"—",INDEX('Zhuravlev Distances'!$B$6:$H$6,$K$35))</f>
        <v>7.4699698919</v>
      </c>
      <c r="D41" s="73">
        <f>IF($K$35=0,"—",INDEX('Zhuravlev Distances'!$B$7:$H$7,$K$35))</f>
        <v>0</v>
      </c>
      <c r="E41" s="73">
        <f>IF($K$35=0,"—",INDEX('Zhuravlev Distances'!$B$8:$H$8,$K$35))</f>
        <v>6.2175670209</v>
      </c>
      <c r="F41" s="73">
        <f>IF($K$35=0,"—",INDEX('Zhuravlev Distances'!$B$9:$H$9,$K$35))</f>
        <v>7.3117496807</v>
      </c>
      <c r="G41" s="73">
        <f>IF($K$35=0,"—",INDEX('Zhuravlev Distances'!$B$10:$H$10,$K$35))</f>
        <v>5.2172783643</v>
      </c>
      <c r="H41" s="73">
        <f>IF($K$35=0,"—",INDEX('Zhuravlev Distances'!$B$11:$H$11,$K$35))</f>
        <v>2.7849754107</v>
      </c>
      <c r="J41" s="82" t="inlineStr">
        <is>
          <t xml:space="preserve">Decision</t>
        </is>
      </c>
      <c r="K41" s="85" t="str">
        <f>IF(K35=0,"Step 6 · stop",IF(K40=0,"|L| = 0 → Sᵢ is only blocked and stays in F",IF(K40=1,"|L| = 1 → Sᵢ moves to D","|L| &gt; 1 → Step 5 corrects g")))</f>
        <v>|L| &gt; 1 → Step 5 corrects g</v>
      </c>
    </row>
    <row r="42">
      <c r="A42" s="63" t="inlineStr">
        <is>
          <t xml:space="preserve">r(Sⱼ)</t>
        </is>
      </c>
      <c r="B42" s="73">
        <f>'ERDR Characteristics'!$D$5</f>
        <v>5.60708061</v>
      </c>
      <c r="C42" s="73">
        <f>'ERDR Characteristics'!$D$6</f>
        <v>7.4699698919</v>
      </c>
      <c r="D42" s="73">
        <f>'ERDR Characteristics'!$D$7</f>
        <v>5.60708061</v>
      </c>
      <c r="E42" s="73">
        <f>'ERDR Characteristics'!$D$8</f>
        <v>3.7071187508</v>
      </c>
      <c r="F42" s="73">
        <f>'ERDR Characteristics'!$D$9</f>
        <v>7.1117040273</v>
      </c>
      <c r="G42" s="73">
        <f>'ERDR Characteristics'!$D$10</f>
        <v>3.7071187508</v>
      </c>
      <c r="H42" s="73">
        <f>'ERDR Characteristics'!$D$11</f>
        <v>3.9109813746</v>
      </c>
      <c r="J42" s="82" t="inlineStr">
        <is>
          <t xml:space="preserve">Step 5 · counters g: before → after</t>
        </is>
      </c>
      <c r="K42" s="85" t="str">
        <f>IF(SUM(B48:H48)=0,"—",MID(IF(B48=1,", "&amp;B$32&amp;": "&amp;B36&amp;" → "&amp;B49,"")&amp;IF(C48=1,", "&amp;C$32&amp;": "&amp;C36&amp;" → "&amp;C49,"")&amp;IF(D48=1,", "&amp;D$32&amp;": "&amp;D36&amp;" → "&amp;D49,"")&amp;IF(E48=1,", "&amp;E$32&amp;": "&amp;E36&amp;" → "&amp;E49,"")&amp;IF(F48=1,", "&amp;F$32&amp;": "&amp;F36&amp;" → "&amp;F49,"")&amp;IF(G48=1,", "&amp;G$32&amp;": "&amp;G36&amp;" → "&amp;G49,"")&amp;IF(H48=1,", "&amp;H$32&amp;": "&amp;H36&amp;" → "&amp;H49,""),3,300))</f>
        <v>S₃: 3 → 2, S₇: 2 → 1</v>
      </c>
    </row>
    <row r="43">
      <c r="A43" s="63" t="inlineStr">
        <is>
          <t xml:space="preserve">Sᵢ inside the sphere of Sⱼ:  ρ(Sⱼ, Sᵢ) &lt; r(Sⱼ)</t>
        </is>
      </c>
      <c r="B43" s="76">
        <f>IF($K$35=0,0,IF(B41&lt;B42,1,0))</f>
        <v>0</v>
      </c>
      <c r="C43" s="76">
        <f>IF($K$35=0,0,IF(C41&lt;C42,1,0))</f>
        <v>0</v>
      </c>
      <c r="D43" s="76">
        <f>IF($K$35=0,0,IF(D41&lt;D42,1,0))</f>
        <v>1</v>
      </c>
      <c r="E43" s="76">
        <f>IF($K$35=0,0,IF(E41&lt;E42,1,0))</f>
        <v>0</v>
      </c>
      <c r="F43" s="76">
        <f>IF($K$35=0,0,IF(F41&lt;F42,1,0))</f>
        <v>0</v>
      </c>
      <c r="G43" s="76">
        <f>IF($K$35=0,0,IF(G41&lt;G42,1,0))</f>
        <v>0</v>
      </c>
      <c r="H43" s="76">
        <f>IF($K$35=0,0,IF(H41&lt;H42,1,0))</f>
        <v>1</v>
      </c>
      <c r="J43" s="82" t="inlineStr">
        <is>
          <t xml:space="preserve">Moved to D</t>
        </is>
      </c>
      <c r="K43" s="85" t="str">
        <f>IF(SUM(B51:H51)=0,"—",MID(IF(B51=1,", "&amp;B$32&amp;IF(B47=1," (Step 4)"," (Step 5)"),"")&amp;IF(C51=1,", "&amp;C$32&amp;IF(C47=1," (Step 4)"," (Step 5)"),"")&amp;IF(D51=1,", "&amp;D$32&amp;IF(D47=1," (Step 4)"," (Step 5)"),"")&amp;IF(E51=1,", "&amp;E$32&amp;IF(E47=1," (Step 4)"," (Step 5)"),"")&amp;IF(F51=1,", "&amp;F$32&amp;IF(F47=1," (Step 4)"," (Step 5)"),"")&amp;IF(G51=1,", "&amp;G$32&amp;IF(G47=1," (Step 4)"," (Step 5)"),"")&amp;IF(H51=1,", "&amp;H$32&amp;IF(H47=1," (Step 4)"," (Step 5)"),""),3,300))</f>
        <v>S₇ (Step 5)</v>
      </c>
    </row>
    <row r="44">
      <c r="A44" s="63" t="inlineStr">
        <is>
          <t xml:space="preserve">g(Sⱼ) &gt; 1</t>
        </is>
      </c>
      <c r="B44" s="76">
        <f>IF(B36&gt;1,1,0)</f>
        <v>1</v>
      </c>
      <c r="C44" s="76">
        <f>IF(C36&gt;1,1,0)</f>
        <v>1</v>
      </c>
      <c r="D44" s="76">
        <f>IF(D36&gt;1,1,0)</f>
        <v>1</v>
      </c>
      <c r="E44" s="76">
        <f>IF(E36&gt;1,1,0)</f>
        <v>0</v>
      </c>
      <c r="F44" s="76">
        <f>IF(F36&gt;1,1,0)</f>
        <v>1</v>
      </c>
      <c r="G44" s="76">
        <f>IF(G36&gt;1,1,0)</f>
        <v>0</v>
      </c>
      <c r="H44" s="76">
        <f>IF(H36&gt;1,1,0)</f>
        <v>1</v>
      </c>
      <c r="J44" s="82" t="inlineStr">
        <is>
          <t xml:space="preserve">|F| after</t>
        </is>
      </c>
      <c r="K44" s="85">
        <f>SUM(B52:H52)</f>
        <v>6</v>
      </c>
    </row>
    <row r="45">
      <c r="A45" s="63" t="inlineStr">
        <is>
          <t xml:space="preserve">Allowed by readings A (Sᵢ itself) and B (processed Sⱼ)</t>
        </is>
      </c>
      <c r="B45" s="76">
        <f>IF($K$35=0,0,IF($K$35=1,IF('Parameters'!$B$24=1,1,0),IF(OR('Parameters'!$B$25=1,B35=0),1,0)))</f>
        <v>1</v>
      </c>
      <c r="C45" s="76">
        <f>IF($K$35=0,0,IF($K$35=2,IF('Parameters'!$B$24=1,1,0),IF(OR('Parameters'!$B$25=1,C35=0),1,0)))</f>
        <v>1</v>
      </c>
      <c r="D45" s="76">
        <f>IF($K$35=0,0,IF($K$35=3,IF('Parameters'!$B$24=1,1,0),IF(OR('Parameters'!$B$25=1,D35=0),1,0)))</f>
        <v>1</v>
      </c>
      <c r="E45" s="76">
        <f>IF($K$35=0,0,IF($K$35=4,IF('Parameters'!$B$24=1,1,0),IF(OR('Parameters'!$B$25=1,E35=0),1,0)))</f>
        <v>1</v>
      </c>
      <c r="F45" s="76">
        <f>IF($K$35=0,0,IF($K$35=5,IF('Parameters'!$B$24=1,1,0),IF(OR('Parameters'!$B$25=1,F35=0),1,0)))</f>
        <v>1</v>
      </c>
      <c r="G45" s="76">
        <f>IF($K$35=0,0,IF($K$35=6,IF('Parameters'!$B$24=1,1,0),IF(OR('Parameters'!$B$25=1,G35=0),1,0)))</f>
        <v>1</v>
      </c>
      <c r="H45" s="76">
        <f>IF($K$35=0,0,IF($K$35=7,IF('Parameters'!$B$24=1,1,0),IF(OR('Parameters'!$B$25=1,H35=0),1,0)))</f>
        <v>1</v>
      </c>
      <c r="J45" s="82" t="inlineStr">
        <is>
          <t xml:space="preserve">|D| after</t>
        </is>
      </c>
      <c r="K45" s="85">
        <f>SUM(B55:H55)</f>
        <v>1</v>
      </c>
    </row>
    <row r="46">
      <c r="A46" s="63" t="inlineStr">
        <is>
          <t xml:space="preserve">Step 4 · Sⱼ ∈ L</t>
        </is>
      </c>
      <c r="B46" s="77">
        <f>B34*B40*B43*B44*B45</f>
        <v>0</v>
      </c>
      <c r="C46" s="77">
        <f>C34*C40*C43*C44*C45</f>
        <v>0</v>
      </c>
      <c r="D46" s="77">
        <f>D34*D40*D43*D44*D45</f>
        <v>1</v>
      </c>
      <c r="E46" s="77">
        <f>E34*E40*E43*E44*E45</f>
        <v>0</v>
      </c>
      <c r="F46" s="77">
        <f>F34*F40*F43*F44*F45</f>
        <v>0</v>
      </c>
      <c r="G46" s="77">
        <f>G34*G40*G43*G44*G45</f>
        <v>0</v>
      </c>
      <c r="H46" s="77">
        <f>H34*H40*H43*H44*H45</f>
        <v>1</v>
      </c>
      <c r="J46" s="82" t="inlineStr">
        <is>
          <t xml:space="preserve">Objects left in the queue</t>
        </is>
      </c>
      <c r="K46" s="85">
        <f>SUMPRODUCT(B52:H52*(1-B53:H53))</f>
        <v>4</v>
      </c>
    </row>
    <row r="47">
      <c r="A47" s="63" t="inlineStr">
        <is>
          <t xml:space="preserve">Step 4 · |L| = 1 → Sᵢ moves to D</t>
        </is>
      </c>
      <c r="B47" s="76">
        <f>IF(AND(B39=1,$K$40=1),1,0)</f>
        <v>0</v>
      </c>
      <c r="C47" s="76">
        <f>IF(AND(C39=1,$K$40=1),1,0)</f>
        <v>0</v>
      </c>
      <c r="D47" s="76">
        <f>IF(AND(D39=1,$K$40=1),1,0)</f>
        <v>0</v>
      </c>
      <c r="E47" s="76">
        <f>IF(AND(E39=1,$K$40=1),1,0)</f>
        <v>0</v>
      </c>
      <c r="F47" s="76">
        <f>IF(AND(F39=1,$K$40=1),1,0)</f>
        <v>0</v>
      </c>
      <c r="G47" s="76">
        <f>IF(AND(G39=1,$K$40=1),1,0)</f>
        <v>0</v>
      </c>
      <c r="H47" s="76">
        <f>IF(AND(H39=1,$K$40=1),1,0)</f>
        <v>0</v>
      </c>
      <c r="J47" s="82" t="inlineStr">
        <is>
          <t xml:space="preserve">Step 4 · Sᵢ blocked: d(Sᵢ) ← −(d + ε)</t>
        </is>
      </c>
      <c r="K47" s="96">
        <f>IF(K35=0,"—",-(INDEX('ERDR Characteristics'!$J$5:$J$11,K35)+'Parameters'!$B$17))</f>
        <v>-0.001</v>
      </c>
    </row>
    <row r="48">
      <c r="A48" s="63" t="inlineStr">
        <is>
          <t xml:space="preserve">Step 5 · counter decreased (|L| &gt; 1)</t>
        </is>
      </c>
      <c r="B48" s="76">
        <f>IF($K$40&gt;1,B46,0)</f>
        <v>0</v>
      </c>
      <c r="C48" s="76">
        <f>IF($K$40&gt;1,C46*IF('Parameters'!$B$26=1,1,IF(SUMPRODUCT($B$46:B$46*($B$36:B$36=2))=0,1,0)),0)</f>
        <v>0</v>
      </c>
      <c r="D48" s="76">
        <f>IF($K$40&gt;1,D46*IF('Parameters'!$B$26=1,1,IF(SUMPRODUCT($B$46:C$46*($B$36:C$36=2))=0,1,0)),0)</f>
        <v>1</v>
      </c>
      <c r="E48" s="76">
        <f>IF($K$40&gt;1,E46*IF('Parameters'!$B$26=1,1,IF(SUMPRODUCT($B$46:D$46*($B$36:D$36=2))=0,1,0)),0)</f>
        <v>0</v>
      </c>
      <c r="F48" s="76">
        <f>IF($K$40&gt;1,F46*IF('Parameters'!$B$26=1,1,IF(SUMPRODUCT($B$46:E$46*($B$36:E$36=2))=0,1,0)),0)</f>
        <v>0</v>
      </c>
      <c r="G48" s="76">
        <f>IF($K$40&gt;1,G46*IF('Parameters'!$B$26=1,1,IF(SUMPRODUCT($B$46:F$46*($B$36:F$36=2))=0,1,0)),0)</f>
        <v>0</v>
      </c>
      <c r="H48" s="76">
        <f>IF($K$40&gt;1,H46*IF('Parameters'!$B$26=1,1,IF(SUMPRODUCT($B$46:G$46*($B$36:G$36=2))=0,1,0)),0)</f>
        <v>1</v>
      </c>
      <c r="J48" s="101" t="inlineStr">
        <is>
          <t xml:space="preserve"/>
        </is>
      </c>
      <c r="K48" s="101" t="inlineStr">
        <is>
          <t xml:space="preserve"/>
        </is>
      </c>
    </row>
    <row r="49">
      <c r="A49" s="63" t="inlineStr">
        <is>
          <t xml:space="preserve">g after the iteration</t>
        </is>
      </c>
      <c r="B49" s="80">
        <f>B36-B48</f>
        <v>2</v>
      </c>
      <c r="C49" s="80">
        <f>C36-C48</f>
        <v>3</v>
      </c>
      <c r="D49" s="80">
        <f>D36-D48</f>
        <v>2</v>
      </c>
      <c r="E49" s="80">
        <f>E36-E48</f>
        <v>1</v>
      </c>
      <c r="F49" s="80">
        <f>F36-F48</f>
        <v>2</v>
      </c>
      <c r="G49" s="80">
        <f>G36-G48</f>
        <v>1</v>
      </c>
      <c r="H49" s="80">
        <f>H36-H48</f>
        <v>1</v>
      </c>
      <c r="J49" s="101" t="inlineStr">
        <is>
          <t xml:space="preserve"/>
        </is>
      </c>
      <c r="K49" s="101" t="inlineStr">
        <is>
          <t xml:space="preserve"/>
        </is>
      </c>
    </row>
    <row r="50">
      <c r="A50" s="63" t="inlineStr">
        <is>
          <t xml:space="preserve">Step 5 · g fell to 1 → Sⱼ moves to D</t>
        </is>
      </c>
      <c r="B50" s="76">
        <f>IF(AND(B48=1,B49=1),1,0)</f>
        <v>0</v>
      </c>
      <c r="C50" s="76">
        <f>IF(AND(C48=1,C49=1),1,0)</f>
        <v>0</v>
      </c>
      <c r="D50" s="76">
        <f>IF(AND(D48=1,D49=1),1,0)</f>
        <v>0</v>
      </c>
      <c r="E50" s="76">
        <f>IF(AND(E48=1,E49=1),1,0)</f>
        <v>0</v>
      </c>
      <c r="F50" s="76">
        <f>IF(AND(F48=1,F49=1),1,0)</f>
        <v>0</v>
      </c>
      <c r="G50" s="76">
        <f>IF(AND(G48=1,G49=1),1,0)</f>
        <v>0</v>
      </c>
      <c r="H50" s="76">
        <f>IF(AND(H48=1,H49=1),1,0)</f>
        <v>1</v>
      </c>
      <c r="J50" s="101" t="inlineStr">
        <is>
          <t xml:space="preserve"/>
        </is>
      </c>
      <c r="K50" s="101" t="inlineStr">
        <is>
          <t xml:space="preserve"/>
        </is>
      </c>
    </row>
    <row r="51">
      <c r="A51" s="63" t="inlineStr">
        <is>
          <t xml:space="preserve">Moves to D in this iteration</t>
        </is>
      </c>
      <c r="B51" s="77">
        <f>B47+B50</f>
        <v>0</v>
      </c>
      <c r="C51" s="77">
        <f>C47+C50</f>
        <v>0</v>
      </c>
      <c r="D51" s="77">
        <f>D47+D50</f>
        <v>0</v>
      </c>
      <c r="E51" s="77">
        <f>E47+E50</f>
        <v>0</v>
      </c>
      <c r="F51" s="77">
        <f>F47+F50</f>
        <v>0</v>
      </c>
      <c r="G51" s="77">
        <f>G47+G50</f>
        <v>0</v>
      </c>
      <c r="H51" s="77">
        <f>H47+H50</f>
        <v>1</v>
      </c>
      <c r="J51" s="101" t="inlineStr">
        <is>
          <t xml:space="preserve"/>
        </is>
      </c>
      <c r="K51" s="101" t="inlineStr">
        <is>
          <t xml:space="preserve"/>
        </is>
      </c>
    </row>
    <row r="52">
      <c r="A52" s="63" t="inlineStr">
        <is>
          <t xml:space="preserve">In F after the iteration</t>
        </is>
      </c>
      <c r="B52" s="76">
        <f>B34-B51</f>
        <v>1</v>
      </c>
      <c r="C52" s="76">
        <f>C34-C51</f>
        <v>1</v>
      </c>
      <c r="D52" s="76">
        <f>D34-D51</f>
        <v>1</v>
      </c>
      <c r="E52" s="76">
        <f>E34-E51</f>
        <v>1</v>
      </c>
      <c r="F52" s="76">
        <f>F34-F51</f>
        <v>1</v>
      </c>
      <c r="G52" s="76">
        <f>G34-G51</f>
        <v>1</v>
      </c>
      <c r="H52" s="76">
        <f>H34-H51</f>
        <v>0</v>
      </c>
      <c r="J52" s="101" t="inlineStr">
        <is>
          <t xml:space="preserve"/>
        </is>
      </c>
      <c r="K52" s="101" t="inlineStr">
        <is>
          <t xml:space="preserve"/>
        </is>
      </c>
    </row>
    <row r="53">
      <c r="A53" s="63" t="inlineStr">
        <is>
          <t xml:space="preserve">Processed after the iteration</t>
        </is>
      </c>
      <c r="B53" s="76">
        <f>MIN(1,B35+B39)</f>
        <v>1</v>
      </c>
      <c r="C53" s="76">
        <f>MIN(1,C35+C39)</f>
        <v>0</v>
      </c>
      <c r="D53" s="76">
        <f>MIN(1,D35+D39)</f>
        <v>1</v>
      </c>
      <c r="E53" s="76">
        <f>MIN(1,E35+E39)</f>
        <v>0</v>
      </c>
      <c r="F53" s="76">
        <f>MIN(1,F35+F39)</f>
        <v>0</v>
      </c>
      <c r="G53" s="76">
        <f>MIN(1,G35+G39)</f>
        <v>0</v>
      </c>
      <c r="H53" s="76">
        <f>MIN(1,H35+H39)</f>
        <v>0</v>
      </c>
      <c r="J53" s="101" t="inlineStr">
        <is>
          <t xml:space="preserve"/>
        </is>
      </c>
      <c r="K53" s="101" t="inlineStr">
        <is>
          <t xml:space="preserve"/>
        </is>
      </c>
    </row>
    <row r="54">
      <c r="A54" s="63" t="inlineStr">
        <is>
          <t xml:space="preserve">d after (article: −(d + ε) once processed)</t>
        </is>
      </c>
      <c r="B54" s="73">
        <f>IF(B53=1,-('ERDR Characteristics'!$J$5+'Parameters'!$B$17),'ERDR Characteristics'!$J$5)</f>
        <v>-0.001</v>
      </c>
      <c r="C54" s="73">
        <f>IF(C53=1,-('ERDR Characteristics'!$J$6+'Parameters'!$B$17),'ERDR Characteristics'!$J$6)</f>
        <v>0.0795428388</v>
      </c>
      <c r="D54" s="73">
        <f>IF(D53=1,-('ERDR Characteristics'!$J$7+'Parameters'!$B$17),'ERDR Characteristics'!$J$7)</f>
        <v>-0.001</v>
      </c>
      <c r="E54" s="73">
        <f>IF(E53=1,-('ERDR Characteristics'!$J$8+'Parameters'!$B$17),'ERDR Characteristics'!$J$8)</f>
        <v>0.2529498997</v>
      </c>
      <c r="F54" s="73">
        <f>IF(F53=1,-('ERDR Characteristics'!$J$9+'Parameters'!$B$17),'ERDR Characteristics'!$J$9)</f>
        <v>0</v>
      </c>
      <c r="G54" s="73">
        <f>IF(G53=1,-('ERDR Characteristics'!$J$10+'Parameters'!$B$17),'ERDR Characteristics'!$J$10)</f>
        <v>0.1692169896</v>
      </c>
      <c r="H54" s="73">
        <f>IF(H53=1,-('ERDR Characteristics'!$J$11+'Parameters'!$B$17),'ERDR Characteristics'!$J$11)</f>
        <v>0.1252961741</v>
      </c>
      <c r="J54" s="101" t="inlineStr">
        <is>
          <t xml:space="preserve"/>
        </is>
      </c>
      <c r="K54" s="101" t="inlineStr">
        <is>
          <t xml:space="preserve"/>
        </is>
      </c>
    </row>
    <row r="55">
      <c r="A55" s="63" t="inlineStr">
        <is>
          <t xml:space="preserve">In D after the iteration</t>
        </is>
      </c>
      <c r="B55" s="76">
        <f>1-B52</f>
        <v>0</v>
      </c>
      <c r="C55" s="76">
        <f>1-C52</f>
        <v>0</v>
      </c>
      <c r="D55" s="76">
        <f>1-D52</f>
        <v>0</v>
      </c>
      <c r="E55" s="76">
        <f>1-E52</f>
        <v>0</v>
      </c>
      <c r="F55" s="76">
        <f>1-F52</f>
        <v>0</v>
      </c>
      <c r="G55" s="76">
        <f>1-G52</f>
        <v>0</v>
      </c>
      <c r="H55" s="76">
        <f>1-H52</f>
        <v>1</v>
      </c>
      <c r="J55" s="101" t="inlineStr">
        <is>
          <t xml:space="preserve"/>
        </is>
      </c>
      <c r="K55" s="101" t="inlineStr">
        <is>
          <t xml:space="preserve"/>
        </is>
      </c>
    </row>
    <row r="56"/>
    <row r="57">
      <c r="A57" s="59" t="str">
        <f>"Iteration 3  ·  "&amp;IF($K$61=0,"queue empty → Step 6 (stop)","Step 3 selects "&amp;$K$62&amp;"  ·  L = "&amp;$K$65&amp;"  ·  "&amp;$K$67)</f>
        <v>Iteration 3  ·  Step 3 selects S₅  ·  L = {S₁, S₂, S₅}  ·  |L| &gt; 1 → Step 5 corrects g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</row>
    <row r="58">
      <c r="A58" s="61" t="inlineStr">
        <is>
          <t xml:space="preserve">Row</t>
        </is>
      </c>
      <c r="B58" s="60" t="inlineStr">
        <is>
          <t xml:space="preserve">S₁</t>
        </is>
      </c>
      <c r="C58" s="60" t="inlineStr">
        <is>
          <t xml:space="preserve">S₂</t>
        </is>
      </c>
      <c r="D58" s="60" t="inlineStr">
        <is>
          <t xml:space="preserve">S₃</t>
        </is>
      </c>
      <c r="E58" s="60" t="inlineStr">
        <is>
          <t xml:space="preserve">S₄</t>
        </is>
      </c>
      <c r="F58" s="60" t="inlineStr">
        <is>
          <t xml:space="preserve">S₅</t>
        </is>
      </c>
      <c r="G58" s="60" t="inlineStr">
        <is>
          <t xml:space="preserve">S₆</t>
        </is>
      </c>
      <c r="H58" s="60" t="inlineStr">
        <is>
          <t xml:space="preserve">S₇</t>
        </is>
      </c>
      <c r="J58" s="61" t="inlineStr">
        <is>
          <t xml:space="preserve">Iteration summary</t>
        </is>
      </c>
      <c r="K58" s="61" t="inlineStr">
        <is>
          <t xml:space="preserve">Value</t>
        </is>
      </c>
    </row>
    <row r="59">
      <c r="A59" s="63" t="inlineStr">
        <is>
          <t xml:space="preserve">Class</t>
        </is>
      </c>
      <c r="B59" s="68">
        <f>'Dataset'!$P$5</f>
        <v>2</v>
      </c>
      <c r="C59" s="68">
        <f>'Dataset'!$P$6</f>
        <v>2</v>
      </c>
      <c r="D59" s="68">
        <f>'Dataset'!$P$7</f>
        <v>1</v>
      </c>
      <c r="E59" s="68">
        <f>'Dataset'!$P$8</f>
        <v>2</v>
      </c>
      <c r="F59" s="68">
        <f>'Dataset'!$P$9</f>
        <v>2</v>
      </c>
      <c r="G59" s="68">
        <f>'Dataset'!$P$10</f>
        <v>1</v>
      </c>
      <c r="H59" s="68">
        <f>'Dataset'!$P$11</f>
        <v>1</v>
      </c>
      <c r="J59" s="82" t="inlineStr">
        <is>
          <t xml:space="preserve">Queue length (Step 2)</t>
        </is>
      </c>
      <c r="K59" s="85">
        <f>SUM(B63:H63)</f>
        <v>4</v>
      </c>
    </row>
    <row r="60">
      <c r="A60" s="63" t="inlineStr">
        <is>
          <t xml:space="preserve">In F before the iteration (1 = in the working set)</t>
        </is>
      </c>
      <c r="B60" s="76">
        <f>B52</f>
        <v>1</v>
      </c>
      <c r="C60" s="76">
        <f>C52</f>
        <v>1</v>
      </c>
      <c r="D60" s="76">
        <f>D52</f>
        <v>1</v>
      </c>
      <c r="E60" s="76">
        <f>E52</f>
        <v>1</v>
      </c>
      <c r="F60" s="76">
        <f>F52</f>
        <v>1</v>
      </c>
      <c r="G60" s="76">
        <f>G52</f>
        <v>1</v>
      </c>
      <c r="H60" s="76">
        <f>H52</f>
        <v>0</v>
      </c>
      <c r="J60" s="82" t="inlineStr">
        <is>
          <t xml:space="preserve">Smallest queue key</t>
        </is>
      </c>
      <c r="K60" s="85">
        <f>MIN(B64:H64)</f>
        <v>3</v>
      </c>
    </row>
    <row r="61">
      <c r="A61" s="63" t="inlineStr">
        <is>
          <t xml:space="preserve">Processed before (blocked: d &lt; 0)</t>
        </is>
      </c>
      <c r="B61" s="76">
        <f>B53</f>
        <v>1</v>
      </c>
      <c r="C61" s="76">
        <f>C53</f>
        <v>0</v>
      </c>
      <c r="D61" s="76">
        <f>D53</f>
        <v>1</v>
      </c>
      <c r="E61" s="76">
        <f>E53</f>
        <v>0</v>
      </c>
      <c r="F61" s="76">
        <f>F53</f>
        <v>0</v>
      </c>
      <c r="G61" s="76">
        <f>G53</f>
        <v>0</v>
      </c>
      <c r="H61" s="76">
        <f>H53</f>
        <v>0</v>
      </c>
      <c r="J61" s="82" t="inlineStr">
        <is>
          <t xml:space="preserve">Selected index i (0 = queue empty)</t>
        </is>
      </c>
      <c r="K61" s="85">
        <f>IF(K60=99,0,MATCH(K60,B64:H64,0))</f>
        <v>5</v>
      </c>
    </row>
    <row r="62">
      <c r="A62" s="63" t="inlineStr">
        <is>
          <t xml:space="preserve">g before the iteration</t>
        </is>
      </c>
      <c r="B62" s="80">
        <f>B49</f>
        <v>2</v>
      </c>
      <c r="C62" s="80">
        <f>C49</f>
        <v>3</v>
      </c>
      <c r="D62" s="80">
        <f>D49</f>
        <v>2</v>
      </c>
      <c r="E62" s="80">
        <f>E49</f>
        <v>1</v>
      </c>
      <c r="F62" s="80">
        <f>F49</f>
        <v>2</v>
      </c>
      <c r="G62" s="80">
        <f>G49</f>
        <v>1</v>
      </c>
      <c r="H62" s="80">
        <f>H49</f>
        <v>1</v>
      </c>
      <c r="J62" s="82" t="inlineStr">
        <is>
          <t xml:space="preserve">Step 3 · selected Sᵢ</t>
        </is>
      </c>
      <c r="K62" s="85" t="str">
        <f>IF(K61=0,"— (queue empty → Step 6)",INDEX(B58:H58,K61))</f>
        <v>S₅</v>
      </c>
    </row>
    <row r="63">
      <c r="A63" s="63" t="inlineStr">
        <is>
          <t xml:space="preserve">Step 2 · in the queue: in F and not processed</t>
        </is>
      </c>
      <c r="B63" s="76">
        <f>IF(AND(B60=1,B61=0),1,0)</f>
        <v>0</v>
      </c>
      <c r="C63" s="76">
        <f>IF(AND(C60=1,C61=0),1,0)</f>
        <v>1</v>
      </c>
      <c r="D63" s="76">
        <f>IF(AND(D60=1,D61=0),1,0)</f>
        <v>0</v>
      </c>
      <c r="E63" s="76">
        <f>IF(AND(E60=1,E61=0),1,0)</f>
        <v>1</v>
      </c>
      <c r="F63" s="76">
        <f>IF(AND(F60=1,F61=0),1,0)</f>
        <v>1</v>
      </c>
      <c r="G63" s="76">
        <f>IF(AND(G60=1,G61=0),1,0)</f>
        <v>1</v>
      </c>
      <c r="H63" s="76">
        <f>IF(AND(H60=1,H61=0),1,0)</f>
        <v>0</v>
      </c>
      <c r="J63" s="82" t="inlineStr">
        <is>
          <t xml:space="preserve">d(Sᵢ)</t>
        </is>
      </c>
      <c r="K63" s="96">
        <f>IF(K61=0,"—",INDEX('ERDR Characteristics'!$J$5:$J$11,K61))</f>
        <v>0</v>
      </c>
    </row>
    <row r="64">
      <c r="A64" s="63" t="inlineStr">
        <is>
          <t xml:space="preserve">Step 2 · queue key = priority position (99 = not in the queue)</t>
        </is>
      </c>
      <c r="B64" s="76">
        <f>IF(B63=1,'ERDR Characteristics'!$K$5,99)</f>
        <v>99</v>
      </c>
      <c r="C64" s="76">
        <f>IF(C63=1,'ERDR Characteristics'!$K$6,99)</f>
        <v>4</v>
      </c>
      <c r="D64" s="76">
        <f>IF(D63=1,'ERDR Characteristics'!$K$7,99)</f>
        <v>99</v>
      </c>
      <c r="E64" s="76">
        <f>IF(E63=1,'ERDR Characteristics'!$K$8,99)</f>
        <v>7</v>
      </c>
      <c r="F64" s="76">
        <f>IF(F63=1,'ERDR Characteristics'!$K$9,99)</f>
        <v>3</v>
      </c>
      <c r="G64" s="76">
        <f>IF(G63=1,'ERDR Characteristics'!$K$10,99)</f>
        <v>6</v>
      </c>
      <c r="H64" s="76">
        <f>IF(H63=1,'ERDR Characteristics'!$K$11,99)</f>
        <v>99</v>
      </c>
      <c r="J64" s="82" t="inlineStr">
        <is>
          <t xml:space="preserve">r(Sᵢ)</t>
        </is>
      </c>
      <c r="K64" s="96">
        <f>IF(K61=0,"—",INDEX('ERDR Characteristics'!$D$5:$D$11,K61))</f>
        <v>7.1117040273</v>
      </c>
    </row>
    <row r="65">
      <c r="A65" s="63" t="inlineStr">
        <is>
          <t xml:space="preserve">Step 3 · selected Sᵢ (smallest key)</t>
        </is>
      </c>
      <c r="B65" s="77">
        <f>IF($K$61=1,1,0)</f>
        <v>0</v>
      </c>
      <c r="C65" s="77">
        <f>IF($K$61=2,1,0)</f>
        <v>0</v>
      </c>
      <c r="D65" s="77">
        <f>IF($K$61=3,1,0)</f>
        <v>0</v>
      </c>
      <c r="E65" s="77">
        <f>IF($K$61=4,1,0)</f>
        <v>0</v>
      </c>
      <c r="F65" s="77">
        <f>IF($K$61=5,1,0)</f>
        <v>1</v>
      </c>
      <c r="G65" s="77">
        <f>IF($K$61=6,1,0)</f>
        <v>0</v>
      </c>
      <c r="H65" s="77">
        <f>IF($K$61=7,1,0)</f>
        <v>0</v>
      </c>
      <c r="J65" s="82" t="inlineStr">
        <is>
          <t xml:space="preserve">Step 4 · L</t>
        </is>
      </c>
      <c r="K65" s="85" t="str">
        <f>IF(K66=0,"∅","{"&amp;MID(IF(B72=1,", "&amp;B$58,"")&amp;IF(C72=1,", "&amp;C$58,"")&amp;IF(D72=1,", "&amp;D$58,"")&amp;IF(E72=1,", "&amp;E$58,"")&amp;IF(F72=1,", "&amp;F$58,"")&amp;IF(G72=1,", "&amp;G$58,"")&amp;IF(H72=1,", "&amp;H$58,""),3,200)&amp;"}")</f>
        <v>{S₁, S₂, S₅}</v>
      </c>
    </row>
    <row r="66">
      <c r="A66" s="63" t="inlineStr">
        <is>
          <t xml:space="preserve">Same class as Sᵢ</t>
        </is>
      </c>
      <c r="B66" s="76">
        <f>IF($K$61=0,0,IF(B59=INDEX($B$59:$H$59,$K$61),1,0))</f>
        <v>1</v>
      </c>
      <c r="C66" s="76">
        <f>IF($K$61=0,0,IF(C59=INDEX($B$59:$H$59,$K$61),1,0))</f>
        <v>1</v>
      </c>
      <c r="D66" s="76">
        <f>IF($K$61=0,0,IF(D59=INDEX($B$59:$H$59,$K$61),1,0))</f>
        <v>0</v>
      </c>
      <c r="E66" s="76">
        <f>IF($K$61=0,0,IF(E59=INDEX($B$59:$H$59,$K$61),1,0))</f>
        <v>1</v>
      </c>
      <c r="F66" s="76">
        <f>IF($K$61=0,0,IF(F59=INDEX($B$59:$H$59,$K$61),1,0))</f>
        <v>1</v>
      </c>
      <c r="G66" s="76">
        <f>IF($K$61=0,0,IF(G59=INDEX($B$59:$H$59,$K$61),1,0))</f>
        <v>0</v>
      </c>
      <c r="H66" s="76">
        <f>IF($K$61=0,0,IF(H59=INDEX($B$59:$H$59,$K$61),1,0))</f>
        <v>0</v>
      </c>
      <c r="J66" s="82" t="inlineStr">
        <is>
          <t xml:space="preserve">|L|</t>
        </is>
      </c>
      <c r="K66" s="85">
        <f>SUM(B72:H72)</f>
        <v>3</v>
      </c>
    </row>
    <row r="67">
      <c r="A67" s="63" t="inlineStr">
        <is>
          <t xml:space="preserve">ρ(Sⱼ, Sᵢ)</t>
        </is>
      </c>
      <c r="B67" s="73">
        <f>IF($K$61=0,"—",INDEX('Zhuravlev Distances'!$B$5:$H$5,$K$61))</f>
        <v>4.8565209225</v>
      </c>
      <c r="C67" s="73">
        <f>IF($K$61=0,"—",INDEX('Zhuravlev Distances'!$B$6:$H$6,$K$61))</f>
        <v>6.104089157</v>
      </c>
      <c r="D67" s="73">
        <f>IF($K$61=0,"—",INDEX('Zhuravlev Distances'!$B$7:$H$7,$K$61))</f>
        <v>7.3117496807</v>
      </c>
      <c r="E67" s="73">
        <f>IF($K$61=0,"—",INDEX('Zhuravlev Distances'!$B$8:$H$8,$K$61))</f>
        <v>7.8491221835</v>
      </c>
      <c r="F67" s="73">
        <f>IF($K$61=0,"—",INDEX('Zhuravlev Distances'!$B$9:$H$9,$K$61))</f>
        <v>0</v>
      </c>
      <c r="G67" s="73">
        <f>IF($K$61=0,"—",INDEX('Zhuravlev Distances'!$B$10:$H$10,$K$61))</f>
        <v>9.0234774016</v>
      </c>
      <c r="H67" s="73">
        <f>IF($K$61=0,"—",INDEX('Zhuravlev Distances'!$B$11:$H$11,$K$61))</f>
        <v>7.1117040273</v>
      </c>
      <c r="J67" s="82" t="inlineStr">
        <is>
          <t xml:space="preserve">Decision</t>
        </is>
      </c>
      <c r="K67" s="85" t="str">
        <f>IF(K61=0,"Step 6 · stop",IF(K66=0,"|L| = 0 → Sᵢ is only blocked and stays in F",IF(K66=1,"|L| = 1 → Sᵢ moves to D","|L| &gt; 1 → Step 5 corrects g")))</f>
        <v>|L| &gt; 1 → Step 5 corrects g</v>
      </c>
    </row>
    <row r="68">
      <c r="A68" s="63" t="inlineStr">
        <is>
          <t xml:space="preserve">r(Sⱼ)</t>
        </is>
      </c>
      <c r="B68" s="73">
        <f>'ERDR Characteristics'!$D$5</f>
        <v>5.60708061</v>
      </c>
      <c r="C68" s="73">
        <f>'ERDR Characteristics'!$D$6</f>
        <v>7.4699698919</v>
      </c>
      <c r="D68" s="73">
        <f>'ERDR Characteristics'!$D$7</f>
        <v>5.60708061</v>
      </c>
      <c r="E68" s="73">
        <f>'ERDR Characteristics'!$D$8</f>
        <v>3.7071187508</v>
      </c>
      <c r="F68" s="73">
        <f>'ERDR Characteristics'!$D$9</f>
        <v>7.1117040273</v>
      </c>
      <c r="G68" s="73">
        <f>'ERDR Characteristics'!$D$10</f>
        <v>3.7071187508</v>
      </c>
      <c r="H68" s="73">
        <f>'ERDR Characteristics'!$D$11</f>
        <v>3.9109813746</v>
      </c>
      <c r="J68" s="82" t="inlineStr">
        <is>
          <t xml:space="preserve">Step 5 · counters g: before → after</t>
        </is>
      </c>
      <c r="K68" s="85" t="str">
        <f>IF(SUM(B74:H74)=0,"—",MID(IF(B74=1,", "&amp;B$58&amp;": "&amp;B62&amp;" → "&amp;B75,"")&amp;IF(C74=1,", "&amp;C$58&amp;": "&amp;C62&amp;" → "&amp;C75,"")&amp;IF(D74=1,", "&amp;D$58&amp;": "&amp;D62&amp;" → "&amp;D75,"")&amp;IF(E74=1,", "&amp;E$58&amp;": "&amp;E62&amp;" → "&amp;E75,"")&amp;IF(F74=1,", "&amp;F$58&amp;": "&amp;F62&amp;" → "&amp;F75,"")&amp;IF(G74=1,", "&amp;G$58&amp;": "&amp;G62&amp;" → "&amp;G75,"")&amp;IF(H74=1,", "&amp;H$58&amp;": "&amp;H62&amp;" → "&amp;H75,""),3,300))</f>
        <v>S₁: 2 → 1, S₂: 3 → 2, S₅: 2 → 1</v>
      </c>
    </row>
    <row r="69">
      <c r="A69" s="63" t="inlineStr">
        <is>
          <t xml:space="preserve">Sᵢ inside the sphere of Sⱼ:  ρ(Sⱼ, Sᵢ) &lt; r(Sⱼ)</t>
        </is>
      </c>
      <c r="B69" s="76">
        <f>IF($K$61=0,0,IF(B67&lt;B68,1,0))</f>
        <v>1</v>
      </c>
      <c r="C69" s="76">
        <f>IF($K$61=0,0,IF(C67&lt;C68,1,0))</f>
        <v>1</v>
      </c>
      <c r="D69" s="76">
        <f>IF($K$61=0,0,IF(D67&lt;D68,1,0))</f>
        <v>0</v>
      </c>
      <c r="E69" s="76">
        <f>IF($K$61=0,0,IF(E67&lt;E68,1,0))</f>
        <v>0</v>
      </c>
      <c r="F69" s="76">
        <f>IF($K$61=0,0,IF(F67&lt;F68,1,0))</f>
        <v>1</v>
      </c>
      <c r="G69" s="76">
        <f>IF($K$61=0,0,IF(G67&lt;G68,1,0))</f>
        <v>0</v>
      </c>
      <c r="H69" s="76">
        <f>IF($K$61=0,0,IF(H67&lt;H68,1,0))</f>
        <v>0</v>
      </c>
      <c r="J69" s="82" t="inlineStr">
        <is>
          <t xml:space="preserve">Moved to D</t>
        </is>
      </c>
      <c r="K69" s="85" t="str">
        <f>IF(SUM(B77:H77)=0,"—",MID(IF(B77=1,", "&amp;B$58&amp;IF(B73=1," (Step 4)"," (Step 5)"),"")&amp;IF(C77=1,", "&amp;C$58&amp;IF(C73=1," (Step 4)"," (Step 5)"),"")&amp;IF(D77=1,", "&amp;D$58&amp;IF(D73=1," (Step 4)"," (Step 5)"),"")&amp;IF(E77=1,", "&amp;E$58&amp;IF(E73=1," (Step 4)"," (Step 5)"),"")&amp;IF(F77=1,", "&amp;F$58&amp;IF(F73=1," (Step 4)"," (Step 5)"),"")&amp;IF(G77=1,", "&amp;G$58&amp;IF(G73=1," (Step 4)"," (Step 5)"),"")&amp;IF(H77=1,", "&amp;H$58&amp;IF(H73=1," (Step 4)"," (Step 5)"),""),3,300))</f>
        <v>S₁ (Step 5), S₅ (Step 5)</v>
      </c>
    </row>
    <row r="70">
      <c r="A70" s="63" t="inlineStr">
        <is>
          <t xml:space="preserve">g(Sⱼ) &gt; 1</t>
        </is>
      </c>
      <c r="B70" s="76">
        <f>IF(B62&gt;1,1,0)</f>
        <v>1</v>
      </c>
      <c r="C70" s="76">
        <f>IF(C62&gt;1,1,0)</f>
        <v>1</v>
      </c>
      <c r="D70" s="76">
        <f>IF(D62&gt;1,1,0)</f>
        <v>1</v>
      </c>
      <c r="E70" s="76">
        <f>IF(E62&gt;1,1,0)</f>
        <v>0</v>
      </c>
      <c r="F70" s="76">
        <f>IF(F62&gt;1,1,0)</f>
        <v>1</v>
      </c>
      <c r="G70" s="76">
        <f>IF(G62&gt;1,1,0)</f>
        <v>0</v>
      </c>
      <c r="H70" s="76">
        <f>IF(H62&gt;1,1,0)</f>
        <v>0</v>
      </c>
      <c r="J70" s="82" t="inlineStr">
        <is>
          <t xml:space="preserve">|F| after</t>
        </is>
      </c>
      <c r="K70" s="85">
        <f>SUM(B78:H78)</f>
        <v>4</v>
      </c>
    </row>
    <row r="71">
      <c r="A71" s="63" t="inlineStr">
        <is>
          <t xml:space="preserve">Allowed by readings A (Sᵢ itself) and B (processed Sⱼ)</t>
        </is>
      </c>
      <c r="B71" s="76">
        <f>IF($K$61=0,0,IF($K$61=1,IF('Parameters'!$B$24=1,1,0),IF(OR('Parameters'!$B$25=1,B61=0),1,0)))</f>
        <v>1</v>
      </c>
      <c r="C71" s="76">
        <f>IF($K$61=0,0,IF($K$61=2,IF('Parameters'!$B$24=1,1,0),IF(OR('Parameters'!$B$25=1,C61=0),1,0)))</f>
        <v>1</v>
      </c>
      <c r="D71" s="76">
        <f>IF($K$61=0,0,IF($K$61=3,IF('Parameters'!$B$24=1,1,0),IF(OR('Parameters'!$B$25=1,D61=0),1,0)))</f>
        <v>1</v>
      </c>
      <c r="E71" s="76">
        <f>IF($K$61=0,0,IF($K$61=4,IF('Parameters'!$B$24=1,1,0),IF(OR('Parameters'!$B$25=1,E61=0),1,0)))</f>
        <v>1</v>
      </c>
      <c r="F71" s="76">
        <f>IF($K$61=0,0,IF($K$61=5,IF('Parameters'!$B$24=1,1,0),IF(OR('Parameters'!$B$25=1,F61=0),1,0)))</f>
        <v>1</v>
      </c>
      <c r="G71" s="76">
        <f>IF($K$61=0,0,IF($K$61=6,IF('Parameters'!$B$24=1,1,0),IF(OR('Parameters'!$B$25=1,G61=0),1,0)))</f>
        <v>1</v>
      </c>
      <c r="H71" s="76">
        <f>IF($K$61=0,0,IF($K$61=7,IF('Parameters'!$B$24=1,1,0),IF(OR('Parameters'!$B$25=1,H61=0),1,0)))</f>
        <v>1</v>
      </c>
      <c r="J71" s="82" t="inlineStr">
        <is>
          <t xml:space="preserve">|D| after</t>
        </is>
      </c>
      <c r="K71" s="85">
        <f>SUM(B81:H81)</f>
        <v>3</v>
      </c>
    </row>
    <row r="72">
      <c r="A72" s="63" t="inlineStr">
        <is>
          <t xml:space="preserve">Step 4 · Sⱼ ∈ L</t>
        </is>
      </c>
      <c r="B72" s="77">
        <f>B60*B66*B69*B70*B71</f>
        <v>1</v>
      </c>
      <c r="C72" s="77">
        <f>C60*C66*C69*C70*C71</f>
        <v>1</v>
      </c>
      <c r="D72" s="77">
        <f>D60*D66*D69*D70*D71</f>
        <v>0</v>
      </c>
      <c r="E72" s="77">
        <f>E60*E66*E69*E70*E71</f>
        <v>0</v>
      </c>
      <c r="F72" s="77">
        <f>F60*F66*F69*F70*F71</f>
        <v>1</v>
      </c>
      <c r="G72" s="77">
        <f>G60*G66*G69*G70*G71</f>
        <v>0</v>
      </c>
      <c r="H72" s="77">
        <f>H60*H66*H69*H70*H71</f>
        <v>0</v>
      </c>
      <c r="J72" s="82" t="inlineStr">
        <is>
          <t xml:space="preserve">Objects left in the queue</t>
        </is>
      </c>
      <c r="K72" s="85">
        <f>SUMPRODUCT(B78:H78*(1-B79:H79))</f>
        <v>3</v>
      </c>
    </row>
    <row r="73">
      <c r="A73" s="63" t="inlineStr">
        <is>
          <t xml:space="preserve">Step 4 · |L| = 1 → Sᵢ moves to D</t>
        </is>
      </c>
      <c r="B73" s="76">
        <f>IF(AND(B65=1,$K$66=1),1,0)</f>
        <v>0</v>
      </c>
      <c r="C73" s="76">
        <f>IF(AND(C65=1,$K$66=1),1,0)</f>
        <v>0</v>
      </c>
      <c r="D73" s="76">
        <f>IF(AND(D65=1,$K$66=1),1,0)</f>
        <v>0</v>
      </c>
      <c r="E73" s="76">
        <f>IF(AND(E65=1,$K$66=1),1,0)</f>
        <v>0</v>
      </c>
      <c r="F73" s="76">
        <f>IF(AND(F65=1,$K$66=1),1,0)</f>
        <v>0</v>
      </c>
      <c r="G73" s="76">
        <f>IF(AND(G65=1,$K$66=1),1,0)</f>
        <v>0</v>
      </c>
      <c r="H73" s="76">
        <f>IF(AND(H65=1,$K$66=1),1,0)</f>
        <v>0</v>
      </c>
      <c r="J73" s="82" t="inlineStr">
        <is>
          <t xml:space="preserve">Step 4 · Sᵢ blocked: d(Sᵢ) ← −(d + ε)</t>
        </is>
      </c>
      <c r="K73" s="96">
        <f>IF(K61=0,"—",-(INDEX('ERDR Characteristics'!$J$5:$J$11,K61)+'Parameters'!$B$17))</f>
        <v>-0.001</v>
      </c>
    </row>
    <row r="74">
      <c r="A74" s="63" t="inlineStr">
        <is>
          <t xml:space="preserve">Step 5 · counter decreased (|L| &gt; 1)</t>
        </is>
      </c>
      <c r="B74" s="76">
        <f>IF($K$66&gt;1,B72,0)</f>
        <v>1</v>
      </c>
      <c r="C74" s="76">
        <f>IF($K$66&gt;1,C72*IF('Parameters'!$B$26=1,1,IF(SUMPRODUCT($B$72:B$72*($B$62:B$62=2))=0,1,0)),0)</f>
        <v>1</v>
      </c>
      <c r="D74" s="76">
        <f>IF($K$66&gt;1,D72*IF('Parameters'!$B$26=1,1,IF(SUMPRODUCT($B$72:C$72*($B$62:C$62=2))=0,1,0)),0)</f>
        <v>0</v>
      </c>
      <c r="E74" s="76">
        <f>IF($K$66&gt;1,E72*IF('Parameters'!$B$26=1,1,IF(SUMPRODUCT($B$72:D$72*($B$62:D$62=2))=0,1,0)),0)</f>
        <v>0</v>
      </c>
      <c r="F74" s="76">
        <f>IF($K$66&gt;1,F72*IF('Parameters'!$B$26=1,1,IF(SUMPRODUCT($B$72:E$72*($B$62:E$62=2))=0,1,0)),0)</f>
        <v>1</v>
      </c>
      <c r="G74" s="76">
        <f>IF($K$66&gt;1,G72*IF('Parameters'!$B$26=1,1,IF(SUMPRODUCT($B$72:F$72*($B$62:F$62=2))=0,1,0)),0)</f>
        <v>0</v>
      </c>
      <c r="H74" s="76">
        <f>IF($K$66&gt;1,H72*IF('Parameters'!$B$26=1,1,IF(SUMPRODUCT($B$72:G$72*($B$62:G$62=2))=0,1,0)),0)</f>
        <v>0</v>
      </c>
      <c r="J74" s="101" t="inlineStr">
        <is>
          <t xml:space="preserve"/>
        </is>
      </c>
      <c r="K74" s="101" t="inlineStr">
        <is>
          <t xml:space="preserve"/>
        </is>
      </c>
    </row>
    <row r="75">
      <c r="A75" s="63" t="inlineStr">
        <is>
          <t xml:space="preserve">g after the iteration</t>
        </is>
      </c>
      <c r="B75" s="80">
        <f>B62-B74</f>
        <v>1</v>
      </c>
      <c r="C75" s="80">
        <f>C62-C74</f>
        <v>2</v>
      </c>
      <c r="D75" s="80">
        <f>D62-D74</f>
        <v>2</v>
      </c>
      <c r="E75" s="80">
        <f>E62-E74</f>
        <v>1</v>
      </c>
      <c r="F75" s="80">
        <f>F62-F74</f>
        <v>1</v>
      </c>
      <c r="G75" s="80">
        <f>G62-G74</f>
        <v>1</v>
      </c>
      <c r="H75" s="80">
        <f>H62-H74</f>
        <v>1</v>
      </c>
      <c r="J75" s="101" t="inlineStr">
        <is>
          <t xml:space="preserve"/>
        </is>
      </c>
      <c r="K75" s="101" t="inlineStr">
        <is>
          <t xml:space="preserve"/>
        </is>
      </c>
    </row>
    <row r="76">
      <c r="A76" s="63" t="inlineStr">
        <is>
          <t xml:space="preserve">Step 5 · g fell to 1 → Sⱼ moves to D</t>
        </is>
      </c>
      <c r="B76" s="76">
        <f>IF(AND(B74=1,B75=1),1,0)</f>
        <v>1</v>
      </c>
      <c r="C76" s="76">
        <f>IF(AND(C74=1,C75=1),1,0)</f>
        <v>0</v>
      </c>
      <c r="D76" s="76">
        <f>IF(AND(D74=1,D75=1),1,0)</f>
        <v>0</v>
      </c>
      <c r="E76" s="76">
        <f>IF(AND(E74=1,E75=1),1,0)</f>
        <v>0</v>
      </c>
      <c r="F76" s="76">
        <f>IF(AND(F74=1,F75=1),1,0)</f>
        <v>1</v>
      </c>
      <c r="G76" s="76">
        <f>IF(AND(G74=1,G75=1),1,0)</f>
        <v>0</v>
      </c>
      <c r="H76" s="76">
        <f>IF(AND(H74=1,H75=1),1,0)</f>
        <v>0</v>
      </c>
      <c r="J76" s="101" t="inlineStr">
        <is>
          <t xml:space="preserve"/>
        </is>
      </c>
      <c r="K76" s="101" t="inlineStr">
        <is>
          <t xml:space="preserve"/>
        </is>
      </c>
    </row>
    <row r="77">
      <c r="A77" s="63" t="inlineStr">
        <is>
          <t xml:space="preserve">Moves to D in this iteration</t>
        </is>
      </c>
      <c r="B77" s="77">
        <f>B73+B76</f>
        <v>1</v>
      </c>
      <c r="C77" s="77">
        <f>C73+C76</f>
        <v>0</v>
      </c>
      <c r="D77" s="77">
        <f>D73+D76</f>
        <v>0</v>
      </c>
      <c r="E77" s="77">
        <f>E73+E76</f>
        <v>0</v>
      </c>
      <c r="F77" s="77">
        <f>F73+F76</f>
        <v>1</v>
      </c>
      <c r="G77" s="77">
        <f>G73+G76</f>
        <v>0</v>
      </c>
      <c r="H77" s="77">
        <f>H73+H76</f>
        <v>0</v>
      </c>
      <c r="J77" s="101" t="inlineStr">
        <is>
          <t xml:space="preserve"/>
        </is>
      </c>
      <c r="K77" s="101" t="inlineStr">
        <is>
          <t xml:space="preserve"/>
        </is>
      </c>
    </row>
    <row r="78">
      <c r="A78" s="63" t="inlineStr">
        <is>
          <t xml:space="preserve">In F after the iteration</t>
        </is>
      </c>
      <c r="B78" s="76">
        <f>B60-B77</f>
        <v>0</v>
      </c>
      <c r="C78" s="76">
        <f>C60-C77</f>
        <v>1</v>
      </c>
      <c r="D78" s="76">
        <f>D60-D77</f>
        <v>1</v>
      </c>
      <c r="E78" s="76">
        <f>E60-E77</f>
        <v>1</v>
      </c>
      <c r="F78" s="76">
        <f>F60-F77</f>
        <v>0</v>
      </c>
      <c r="G78" s="76">
        <f>G60-G77</f>
        <v>1</v>
      </c>
      <c r="H78" s="76">
        <f>H60-H77</f>
        <v>0</v>
      </c>
      <c r="J78" s="101" t="inlineStr">
        <is>
          <t xml:space="preserve"/>
        </is>
      </c>
      <c r="K78" s="101" t="inlineStr">
        <is>
          <t xml:space="preserve"/>
        </is>
      </c>
    </row>
    <row r="79">
      <c r="A79" s="63" t="inlineStr">
        <is>
          <t xml:space="preserve">Processed after the iteration</t>
        </is>
      </c>
      <c r="B79" s="76">
        <f>MIN(1,B61+B65)</f>
        <v>1</v>
      </c>
      <c r="C79" s="76">
        <f>MIN(1,C61+C65)</f>
        <v>0</v>
      </c>
      <c r="D79" s="76">
        <f>MIN(1,D61+D65)</f>
        <v>1</v>
      </c>
      <c r="E79" s="76">
        <f>MIN(1,E61+E65)</f>
        <v>0</v>
      </c>
      <c r="F79" s="76">
        <f>MIN(1,F61+F65)</f>
        <v>1</v>
      </c>
      <c r="G79" s="76">
        <f>MIN(1,G61+G65)</f>
        <v>0</v>
      </c>
      <c r="H79" s="76">
        <f>MIN(1,H61+H65)</f>
        <v>0</v>
      </c>
      <c r="J79" s="101" t="inlineStr">
        <is>
          <t xml:space="preserve"/>
        </is>
      </c>
      <c r="K79" s="101" t="inlineStr">
        <is>
          <t xml:space="preserve"/>
        </is>
      </c>
    </row>
    <row r="80">
      <c r="A80" s="63" t="inlineStr">
        <is>
          <t xml:space="preserve">d after (article: −(d + ε) once processed)</t>
        </is>
      </c>
      <c r="B80" s="73">
        <f>IF(B79=1,-('ERDR Characteristics'!$J$5+'Parameters'!$B$17),'ERDR Characteristics'!$J$5)</f>
        <v>-0.001</v>
      </c>
      <c r="C80" s="73">
        <f>IF(C79=1,-('ERDR Characteristics'!$J$6+'Parameters'!$B$17),'ERDR Characteristics'!$J$6)</f>
        <v>0.0795428388</v>
      </c>
      <c r="D80" s="73">
        <f>IF(D79=1,-('ERDR Characteristics'!$J$7+'Parameters'!$B$17),'ERDR Characteristics'!$J$7)</f>
        <v>-0.001</v>
      </c>
      <c r="E80" s="73">
        <f>IF(E79=1,-('ERDR Characteristics'!$J$8+'Parameters'!$B$17),'ERDR Characteristics'!$J$8)</f>
        <v>0.2529498997</v>
      </c>
      <c r="F80" s="73">
        <f>IF(F79=1,-('ERDR Characteristics'!$J$9+'Parameters'!$B$17),'ERDR Characteristics'!$J$9)</f>
        <v>-0.001</v>
      </c>
      <c r="G80" s="73">
        <f>IF(G79=1,-('ERDR Characteristics'!$J$10+'Parameters'!$B$17),'ERDR Characteristics'!$J$10)</f>
        <v>0.1692169896</v>
      </c>
      <c r="H80" s="73">
        <f>IF(H79=1,-('ERDR Characteristics'!$J$11+'Parameters'!$B$17),'ERDR Characteristics'!$J$11)</f>
        <v>0.1252961741</v>
      </c>
      <c r="J80" s="101" t="inlineStr">
        <is>
          <t xml:space="preserve"/>
        </is>
      </c>
      <c r="K80" s="101" t="inlineStr">
        <is>
          <t xml:space="preserve"/>
        </is>
      </c>
    </row>
    <row r="81">
      <c r="A81" s="63" t="inlineStr">
        <is>
          <t xml:space="preserve">In D after the iteration</t>
        </is>
      </c>
      <c r="B81" s="76">
        <f>1-B78</f>
        <v>1</v>
      </c>
      <c r="C81" s="76">
        <f>1-C78</f>
        <v>0</v>
      </c>
      <c r="D81" s="76">
        <f>1-D78</f>
        <v>0</v>
      </c>
      <c r="E81" s="76">
        <f>1-E78</f>
        <v>0</v>
      </c>
      <c r="F81" s="76">
        <f>1-F78</f>
        <v>1</v>
      </c>
      <c r="G81" s="76">
        <f>1-G78</f>
        <v>0</v>
      </c>
      <c r="H81" s="76">
        <f>1-H78</f>
        <v>1</v>
      </c>
      <c r="J81" s="101" t="inlineStr">
        <is>
          <t xml:space="preserve"/>
        </is>
      </c>
      <c r="K81" s="101" t="inlineStr">
        <is>
          <t xml:space="preserve"/>
        </is>
      </c>
    </row>
    <row r="82"/>
    <row r="83">
      <c r="A83" s="59" t="str">
        <f>"Iteration 4  ·  "&amp;IF($K$87=0,"queue empty → Step 6 (stop)","Step 3 selects "&amp;$K$88&amp;"  ·  L = "&amp;$K$91&amp;"  ·  "&amp;$K$93)</f>
        <v>Iteration 4  ·  Step 3 selects S₂  ·  L = {S₂}  ·  |L| = 1 → Sᵢ moves to D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</row>
    <row r="84">
      <c r="A84" s="61" t="inlineStr">
        <is>
          <t xml:space="preserve">Row</t>
        </is>
      </c>
      <c r="B84" s="60" t="inlineStr">
        <is>
          <t xml:space="preserve">S₁</t>
        </is>
      </c>
      <c r="C84" s="60" t="inlineStr">
        <is>
          <t xml:space="preserve">S₂</t>
        </is>
      </c>
      <c r="D84" s="60" t="inlineStr">
        <is>
          <t xml:space="preserve">S₃</t>
        </is>
      </c>
      <c r="E84" s="60" t="inlineStr">
        <is>
          <t xml:space="preserve">S₄</t>
        </is>
      </c>
      <c r="F84" s="60" t="inlineStr">
        <is>
          <t xml:space="preserve">S₅</t>
        </is>
      </c>
      <c r="G84" s="60" t="inlineStr">
        <is>
          <t xml:space="preserve">S₆</t>
        </is>
      </c>
      <c r="H84" s="60" t="inlineStr">
        <is>
          <t xml:space="preserve">S₇</t>
        </is>
      </c>
      <c r="J84" s="61" t="inlineStr">
        <is>
          <t xml:space="preserve">Iteration summary</t>
        </is>
      </c>
      <c r="K84" s="61" t="inlineStr">
        <is>
          <t xml:space="preserve">Value</t>
        </is>
      </c>
    </row>
    <row r="85">
      <c r="A85" s="63" t="inlineStr">
        <is>
          <t xml:space="preserve">Class</t>
        </is>
      </c>
      <c r="B85" s="68">
        <f>'Dataset'!$P$5</f>
        <v>2</v>
      </c>
      <c r="C85" s="68">
        <f>'Dataset'!$P$6</f>
        <v>2</v>
      </c>
      <c r="D85" s="68">
        <f>'Dataset'!$P$7</f>
        <v>1</v>
      </c>
      <c r="E85" s="68">
        <f>'Dataset'!$P$8</f>
        <v>2</v>
      </c>
      <c r="F85" s="68">
        <f>'Dataset'!$P$9</f>
        <v>2</v>
      </c>
      <c r="G85" s="68">
        <f>'Dataset'!$P$10</f>
        <v>1</v>
      </c>
      <c r="H85" s="68">
        <f>'Dataset'!$P$11</f>
        <v>1</v>
      </c>
      <c r="J85" s="82" t="inlineStr">
        <is>
          <t xml:space="preserve">Queue length (Step 2)</t>
        </is>
      </c>
      <c r="K85" s="85">
        <f>SUM(B89:H89)</f>
        <v>3</v>
      </c>
    </row>
    <row r="86">
      <c r="A86" s="63" t="inlineStr">
        <is>
          <t xml:space="preserve">In F before the iteration (1 = in the working set)</t>
        </is>
      </c>
      <c r="B86" s="76">
        <f>B78</f>
        <v>0</v>
      </c>
      <c r="C86" s="76">
        <f>C78</f>
        <v>1</v>
      </c>
      <c r="D86" s="76">
        <f>D78</f>
        <v>1</v>
      </c>
      <c r="E86" s="76">
        <f>E78</f>
        <v>1</v>
      </c>
      <c r="F86" s="76">
        <f>F78</f>
        <v>0</v>
      </c>
      <c r="G86" s="76">
        <f>G78</f>
        <v>1</v>
      </c>
      <c r="H86" s="76">
        <f>H78</f>
        <v>0</v>
      </c>
      <c r="J86" s="82" t="inlineStr">
        <is>
          <t xml:space="preserve">Smallest queue key</t>
        </is>
      </c>
      <c r="K86" s="85">
        <f>MIN(B90:H90)</f>
        <v>4</v>
      </c>
    </row>
    <row r="87">
      <c r="A87" s="63" t="inlineStr">
        <is>
          <t xml:space="preserve">Processed before (blocked: d &lt; 0)</t>
        </is>
      </c>
      <c r="B87" s="76">
        <f>B79</f>
        <v>1</v>
      </c>
      <c r="C87" s="76">
        <f>C79</f>
        <v>0</v>
      </c>
      <c r="D87" s="76">
        <f>D79</f>
        <v>1</v>
      </c>
      <c r="E87" s="76">
        <f>E79</f>
        <v>0</v>
      </c>
      <c r="F87" s="76">
        <f>F79</f>
        <v>1</v>
      </c>
      <c r="G87" s="76">
        <f>G79</f>
        <v>0</v>
      </c>
      <c r="H87" s="76">
        <f>H79</f>
        <v>0</v>
      </c>
      <c r="J87" s="82" t="inlineStr">
        <is>
          <t xml:space="preserve">Selected index i (0 = queue empty)</t>
        </is>
      </c>
      <c r="K87" s="85">
        <f>IF(K86=99,0,MATCH(K86,B90:H90,0))</f>
        <v>2</v>
      </c>
    </row>
    <row r="88">
      <c r="A88" s="63" t="inlineStr">
        <is>
          <t xml:space="preserve">g before the iteration</t>
        </is>
      </c>
      <c r="B88" s="80">
        <f>B75</f>
        <v>1</v>
      </c>
      <c r="C88" s="80">
        <f>C75</f>
        <v>2</v>
      </c>
      <c r="D88" s="80">
        <f>D75</f>
        <v>2</v>
      </c>
      <c r="E88" s="80">
        <f>E75</f>
        <v>1</v>
      </c>
      <c r="F88" s="80">
        <f>F75</f>
        <v>1</v>
      </c>
      <c r="G88" s="80">
        <f>G75</f>
        <v>1</v>
      </c>
      <c r="H88" s="80">
        <f>H75</f>
        <v>1</v>
      </c>
      <c r="J88" s="82" t="inlineStr">
        <is>
          <t xml:space="preserve">Step 3 · selected Sᵢ</t>
        </is>
      </c>
      <c r="K88" s="85" t="str">
        <f>IF(K87=0,"— (queue empty → Step 6)",INDEX(B84:H84,K87))</f>
        <v>S₂</v>
      </c>
    </row>
    <row r="89">
      <c r="A89" s="63" t="inlineStr">
        <is>
          <t xml:space="preserve">Step 2 · in the queue: in F and not processed</t>
        </is>
      </c>
      <c r="B89" s="76">
        <f>IF(AND(B86=1,B87=0),1,0)</f>
        <v>0</v>
      </c>
      <c r="C89" s="76">
        <f>IF(AND(C86=1,C87=0),1,0)</f>
        <v>1</v>
      </c>
      <c r="D89" s="76">
        <f>IF(AND(D86=1,D87=0),1,0)</f>
        <v>0</v>
      </c>
      <c r="E89" s="76">
        <f>IF(AND(E86=1,E87=0),1,0)</f>
        <v>1</v>
      </c>
      <c r="F89" s="76">
        <f>IF(AND(F86=1,F87=0),1,0)</f>
        <v>0</v>
      </c>
      <c r="G89" s="76">
        <f>IF(AND(G86=1,G87=0),1,0)</f>
        <v>1</v>
      </c>
      <c r="H89" s="76">
        <f>IF(AND(H86=1,H87=0),1,0)</f>
        <v>0</v>
      </c>
      <c r="J89" s="82" t="inlineStr">
        <is>
          <t xml:space="preserve">d(Sᵢ)</t>
        </is>
      </c>
      <c r="K89" s="96">
        <f>IF(K87=0,"—",INDEX('ERDR Characteristics'!$J$5:$J$11,K87))</f>
        <v>0.0795428388</v>
      </c>
    </row>
    <row r="90">
      <c r="A90" s="63" t="inlineStr">
        <is>
          <t xml:space="preserve">Step 2 · queue key = priority position (99 = not in the queue)</t>
        </is>
      </c>
      <c r="B90" s="76">
        <f>IF(B89=1,'ERDR Characteristics'!$K$5,99)</f>
        <v>99</v>
      </c>
      <c r="C90" s="76">
        <f>IF(C89=1,'ERDR Characteristics'!$K$6,99)</f>
        <v>4</v>
      </c>
      <c r="D90" s="76">
        <f>IF(D89=1,'ERDR Characteristics'!$K$7,99)</f>
        <v>99</v>
      </c>
      <c r="E90" s="76">
        <f>IF(E89=1,'ERDR Characteristics'!$K$8,99)</f>
        <v>7</v>
      </c>
      <c r="F90" s="76">
        <f>IF(F89=1,'ERDR Characteristics'!$K$9,99)</f>
        <v>99</v>
      </c>
      <c r="G90" s="76">
        <f>IF(G89=1,'ERDR Characteristics'!$K$10,99)</f>
        <v>6</v>
      </c>
      <c r="H90" s="76">
        <f>IF(H89=1,'ERDR Characteristics'!$K$11,99)</f>
        <v>99</v>
      </c>
      <c r="J90" s="82" t="inlineStr">
        <is>
          <t xml:space="preserve">r(Sᵢ)</t>
        </is>
      </c>
      <c r="K90" s="96">
        <f>IF(K87=0,"—",INDEX('ERDR Characteristics'!$D$5:$D$11,K87))</f>
        <v>7.4699698919</v>
      </c>
    </row>
    <row r="91">
      <c r="A91" s="63" t="inlineStr">
        <is>
          <t xml:space="preserve">Step 3 · selected Sᵢ (smallest key)</t>
        </is>
      </c>
      <c r="B91" s="77">
        <f>IF($K$87=1,1,0)</f>
        <v>0</v>
      </c>
      <c r="C91" s="77">
        <f>IF($K$87=2,1,0)</f>
        <v>1</v>
      </c>
      <c r="D91" s="77">
        <f>IF($K$87=3,1,0)</f>
        <v>0</v>
      </c>
      <c r="E91" s="77">
        <f>IF($K$87=4,1,0)</f>
        <v>0</v>
      </c>
      <c r="F91" s="77">
        <f>IF($K$87=5,1,0)</f>
        <v>0</v>
      </c>
      <c r="G91" s="77">
        <f>IF($K$87=6,1,0)</f>
        <v>0</v>
      </c>
      <c r="H91" s="77">
        <f>IF($K$87=7,1,0)</f>
        <v>0</v>
      </c>
      <c r="J91" s="82" t="inlineStr">
        <is>
          <t xml:space="preserve">Step 4 · L</t>
        </is>
      </c>
      <c r="K91" s="85" t="str">
        <f>IF(K92=0,"∅","{"&amp;MID(IF(B98=1,", "&amp;B$84,"")&amp;IF(C98=1,", "&amp;C$84,"")&amp;IF(D98=1,", "&amp;D$84,"")&amp;IF(E98=1,", "&amp;E$84,"")&amp;IF(F98=1,", "&amp;F$84,"")&amp;IF(G98=1,", "&amp;G$84,"")&amp;IF(H98=1,", "&amp;H$84,""),3,200)&amp;"}")</f>
        <v>{S₂}</v>
      </c>
    </row>
    <row r="92">
      <c r="A92" s="63" t="inlineStr">
        <is>
          <t xml:space="preserve">Same class as Sᵢ</t>
        </is>
      </c>
      <c r="B92" s="76">
        <f>IF($K$87=0,0,IF(B85=INDEX($B$85:$H$85,$K$87),1,0))</f>
        <v>1</v>
      </c>
      <c r="C92" s="76">
        <f>IF($K$87=0,0,IF(C85=INDEX($B$85:$H$85,$K$87),1,0))</f>
        <v>1</v>
      </c>
      <c r="D92" s="76">
        <f>IF($K$87=0,0,IF(D85=INDEX($B$85:$H$85,$K$87),1,0))</f>
        <v>0</v>
      </c>
      <c r="E92" s="76">
        <f>IF($K$87=0,0,IF(E85=INDEX($B$85:$H$85,$K$87),1,0))</f>
        <v>1</v>
      </c>
      <c r="F92" s="76">
        <f>IF($K$87=0,0,IF(F85=INDEX($B$85:$H$85,$K$87),1,0))</f>
        <v>1</v>
      </c>
      <c r="G92" s="76">
        <f>IF($K$87=0,0,IF(G85=INDEX($B$85:$H$85,$K$87),1,0))</f>
        <v>0</v>
      </c>
      <c r="H92" s="76">
        <f>IF($K$87=0,0,IF(H85=INDEX($B$85:$H$85,$K$87),1,0))</f>
        <v>0</v>
      </c>
      <c r="J92" s="82" t="inlineStr">
        <is>
          <t xml:space="preserve">|L|</t>
        </is>
      </c>
      <c r="K92" s="85">
        <f>SUM(B98:H98)</f>
        <v>1</v>
      </c>
    </row>
    <row r="93">
      <c r="A93" s="63" t="inlineStr">
        <is>
          <t xml:space="preserve">ρ(Sⱼ, Sᵢ)</t>
        </is>
      </c>
      <c r="B93" s="73">
        <f>IF($K$87=0,"—",INDEX('Zhuravlev Distances'!$B$5:$H$5,$K$87))</f>
        <v>4.6606100796</v>
      </c>
      <c r="C93" s="73">
        <f>IF($K$87=0,"—",INDEX('Zhuravlev Distances'!$B$6:$H$6,$K$87))</f>
        <v>0</v>
      </c>
      <c r="D93" s="73">
        <f>IF($K$87=0,"—",INDEX('Zhuravlev Distances'!$B$7:$H$7,$K$87))</f>
        <v>7.4699698919</v>
      </c>
      <c r="E93" s="73">
        <f>IF($K$87=0,"—",INDEX('Zhuravlev Distances'!$B$8:$H$8,$K$87))</f>
        <v>6.3691657565</v>
      </c>
      <c r="F93" s="73">
        <f>IF($K$87=0,"—",INDEX('Zhuravlev Distances'!$B$9:$H$9,$K$87))</f>
        <v>6.104089157</v>
      </c>
      <c r="G93" s="73">
        <f>IF($K$87=0,"—",INDEX('Zhuravlev Distances'!$B$10:$H$10,$K$87))</f>
        <v>8.742951174</v>
      </c>
      <c r="H93" s="73">
        <f>IF($K$87=0,"—",INDEX('Zhuravlev Distances'!$B$11:$H$11,$K$87))</f>
        <v>7.7855937542</v>
      </c>
      <c r="J93" s="82" t="inlineStr">
        <is>
          <t xml:space="preserve">Decision</t>
        </is>
      </c>
      <c r="K93" s="85" t="str">
        <f>IF(K87=0,"Step 6 · stop",IF(K92=0,"|L| = 0 → Sᵢ is only blocked and stays in F",IF(K92=1,"|L| = 1 → Sᵢ moves to D","|L| &gt; 1 → Step 5 corrects g")))</f>
        <v>|L| = 1 → Sᵢ moves to D</v>
      </c>
    </row>
    <row r="94">
      <c r="A94" s="63" t="inlineStr">
        <is>
          <t xml:space="preserve">r(Sⱼ)</t>
        </is>
      </c>
      <c r="B94" s="73">
        <f>'ERDR Characteristics'!$D$5</f>
        <v>5.60708061</v>
      </c>
      <c r="C94" s="73">
        <f>'ERDR Characteristics'!$D$6</f>
        <v>7.4699698919</v>
      </c>
      <c r="D94" s="73">
        <f>'ERDR Characteristics'!$D$7</f>
        <v>5.60708061</v>
      </c>
      <c r="E94" s="73">
        <f>'ERDR Characteristics'!$D$8</f>
        <v>3.7071187508</v>
      </c>
      <c r="F94" s="73">
        <f>'ERDR Characteristics'!$D$9</f>
        <v>7.1117040273</v>
      </c>
      <c r="G94" s="73">
        <f>'ERDR Characteristics'!$D$10</f>
        <v>3.7071187508</v>
      </c>
      <c r="H94" s="73">
        <f>'ERDR Characteristics'!$D$11</f>
        <v>3.9109813746</v>
      </c>
      <c r="J94" s="82" t="inlineStr">
        <is>
          <t xml:space="preserve">Step 5 · counters g: before → after</t>
        </is>
      </c>
      <c r="K94" s="85" t="str">
        <f>IF(SUM(B100:H100)=0,"—",MID(IF(B100=1,", "&amp;B$84&amp;": "&amp;B88&amp;" → "&amp;B101,"")&amp;IF(C100=1,", "&amp;C$84&amp;": "&amp;C88&amp;" → "&amp;C101,"")&amp;IF(D100=1,", "&amp;D$84&amp;": "&amp;D88&amp;" → "&amp;D101,"")&amp;IF(E100=1,", "&amp;E$84&amp;": "&amp;E88&amp;" → "&amp;E101,"")&amp;IF(F100=1,", "&amp;F$84&amp;": "&amp;F88&amp;" → "&amp;F101,"")&amp;IF(G100=1,", "&amp;G$84&amp;": "&amp;G88&amp;" → "&amp;G101,"")&amp;IF(H100=1,", "&amp;H$84&amp;": "&amp;H88&amp;" → "&amp;H101,""),3,300))</f>
        <v>—</v>
      </c>
    </row>
    <row r="95">
      <c r="A95" s="63" t="inlineStr">
        <is>
          <t xml:space="preserve">Sᵢ inside the sphere of Sⱼ:  ρ(Sⱼ, Sᵢ) &lt; r(Sⱼ)</t>
        </is>
      </c>
      <c r="B95" s="76">
        <f>IF($K$87=0,0,IF(B93&lt;B94,1,0))</f>
        <v>1</v>
      </c>
      <c r="C95" s="76">
        <f>IF($K$87=0,0,IF(C93&lt;C94,1,0))</f>
        <v>1</v>
      </c>
      <c r="D95" s="76">
        <f>IF($K$87=0,0,IF(D93&lt;D94,1,0))</f>
        <v>0</v>
      </c>
      <c r="E95" s="76">
        <f>IF($K$87=0,0,IF(E93&lt;E94,1,0))</f>
        <v>0</v>
      </c>
      <c r="F95" s="76">
        <f>IF($K$87=0,0,IF(F93&lt;F94,1,0))</f>
        <v>1</v>
      </c>
      <c r="G95" s="76">
        <f>IF($K$87=0,0,IF(G93&lt;G94,1,0))</f>
        <v>0</v>
      </c>
      <c r="H95" s="76">
        <f>IF($K$87=0,0,IF(H93&lt;H94,1,0))</f>
        <v>0</v>
      </c>
      <c r="J95" s="82" t="inlineStr">
        <is>
          <t xml:space="preserve">Moved to D</t>
        </is>
      </c>
      <c r="K95" s="85" t="str">
        <f>IF(SUM(B103:H103)=0,"—",MID(IF(B103=1,", "&amp;B$84&amp;IF(B99=1," (Step 4)"," (Step 5)"),"")&amp;IF(C103=1,", "&amp;C$84&amp;IF(C99=1," (Step 4)"," (Step 5)"),"")&amp;IF(D103=1,", "&amp;D$84&amp;IF(D99=1," (Step 4)"," (Step 5)"),"")&amp;IF(E103=1,", "&amp;E$84&amp;IF(E99=1," (Step 4)"," (Step 5)"),"")&amp;IF(F103=1,", "&amp;F$84&amp;IF(F99=1," (Step 4)"," (Step 5)"),"")&amp;IF(G103=1,", "&amp;G$84&amp;IF(G99=1," (Step 4)"," (Step 5)"),"")&amp;IF(H103=1,", "&amp;H$84&amp;IF(H99=1," (Step 4)"," (Step 5)"),""),3,300))</f>
        <v>S₂ (Step 4)</v>
      </c>
    </row>
    <row r="96">
      <c r="A96" s="63" t="inlineStr">
        <is>
          <t xml:space="preserve">g(Sⱼ) &gt; 1</t>
        </is>
      </c>
      <c r="B96" s="76">
        <f>IF(B88&gt;1,1,0)</f>
        <v>0</v>
      </c>
      <c r="C96" s="76">
        <f>IF(C88&gt;1,1,0)</f>
        <v>1</v>
      </c>
      <c r="D96" s="76">
        <f>IF(D88&gt;1,1,0)</f>
        <v>1</v>
      </c>
      <c r="E96" s="76">
        <f>IF(E88&gt;1,1,0)</f>
        <v>0</v>
      </c>
      <c r="F96" s="76">
        <f>IF(F88&gt;1,1,0)</f>
        <v>0</v>
      </c>
      <c r="G96" s="76">
        <f>IF(G88&gt;1,1,0)</f>
        <v>0</v>
      </c>
      <c r="H96" s="76">
        <f>IF(H88&gt;1,1,0)</f>
        <v>0</v>
      </c>
      <c r="J96" s="82" t="inlineStr">
        <is>
          <t xml:space="preserve">|F| after</t>
        </is>
      </c>
      <c r="K96" s="85">
        <f>SUM(B104:H104)</f>
        <v>3</v>
      </c>
    </row>
    <row r="97">
      <c r="A97" s="63" t="inlineStr">
        <is>
          <t xml:space="preserve">Allowed by readings A (Sᵢ itself) and B (processed Sⱼ)</t>
        </is>
      </c>
      <c r="B97" s="76">
        <f>IF($K$87=0,0,IF($K$87=1,IF('Parameters'!$B$24=1,1,0),IF(OR('Parameters'!$B$25=1,B87=0),1,0)))</f>
        <v>1</v>
      </c>
      <c r="C97" s="76">
        <f>IF($K$87=0,0,IF($K$87=2,IF('Parameters'!$B$24=1,1,0),IF(OR('Parameters'!$B$25=1,C87=0),1,0)))</f>
        <v>1</v>
      </c>
      <c r="D97" s="76">
        <f>IF($K$87=0,0,IF($K$87=3,IF('Parameters'!$B$24=1,1,0),IF(OR('Parameters'!$B$25=1,D87=0),1,0)))</f>
        <v>1</v>
      </c>
      <c r="E97" s="76">
        <f>IF($K$87=0,0,IF($K$87=4,IF('Parameters'!$B$24=1,1,0),IF(OR('Parameters'!$B$25=1,E87=0),1,0)))</f>
        <v>1</v>
      </c>
      <c r="F97" s="76">
        <f>IF($K$87=0,0,IF($K$87=5,IF('Parameters'!$B$24=1,1,0),IF(OR('Parameters'!$B$25=1,F87=0),1,0)))</f>
        <v>1</v>
      </c>
      <c r="G97" s="76">
        <f>IF($K$87=0,0,IF($K$87=6,IF('Parameters'!$B$24=1,1,0),IF(OR('Parameters'!$B$25=1,G87=0),1,0)))</f>
        <v>1</v>
      </c>
      <c r="H97" s="76">
        <f>IF($K$87=0,0,IF($K$87=7,IF('Parameters'!$B$24=1,1,0),IF(OR('Parameters'!$B$25=1,H87=0),1,0)))</f>
        <v>1</v>
      </c>
      <c r="J97" s="82" t="inlineStr">
        <is>
          <t xml:space="preserve">|D| after</t>
        </is>
      </c>
      <c r="K97" s="85">
        <f>SUM(B107:H107)</f>
        <v>4</v>
      </c>
    </row>
    <row r="98">
      <c r="A98" s="63" t="inlineStr">
        <is>
          <t xml:space="preserve">Step 4 · Sⱼ ∈ L</t>
        </is>
      </c>
      <c r="B98" s="77">
        <f>B86*B92*B95*B96*B97</f>
        <v>0</v>
      </c>
      <c r="C98" s="77">
        <f>C86*C92*C95*C96*C97</f>
        <v>1</v>
      </c>
      <c r="D98" s="77">
        <f>D86*D92*D95*D96*D97</f>
        <v>0</v>
      </c>
      <c r="E98" s="77">
        <f>E86*E92*E95*E96*E97</f>
        <v>0</v>
      </c>
      <c r="F98" s="77">
        <f>F86*F92*F95*F96*F97</f>
        <v>0</v>
      </c>
      <c r="G98" s="77">
        <f>G86*G92*G95*G96*G97</f>
        <v>0</v>
      </c>
      <c r="H98" s="77">
        <f>H86*H92*H95*H96*H97</f>
        <v>0</v>
      </c>
      <c r="J98" s="82" t="inlineStr">
        <is>
          <t xml:space="preserve">Objects left in the queue</t>
        </is>
      </c>
      <c r="K98" s="85">
        <f>SUMPRODUCT(B104:H104*(1-B105:H105))</f>
        <v>2</v>
      </c>
    </row>
    <row r="99">
      <c r="A99" s="63" t="inlineStr">
        <is>
          <t xml:space="preserve">Step 4 · |L| = 1 → Sᵢ moves to D</t>
        </is>
      </c>
      <c r="B99" s="76">
        <f>IF(AND(B91=1,$K$92=1),1,0)</f>
        <v>0</v>
      </c>
      <c r="C99" s="76">
        <f>IF(AND(C91=1,$K$92=1),1,0)</f>
        <v>1</v>
      </c>
      <c r="D99" s="76">
        <f>IF(AND(D91=1,$K$92=1),1,0)</f>
        <v>0</v>
      </c>
      <c r="E99" s="76">
        <f>IF(AND(E91=1,$K$92=1),1,0)</f>
        <v>0</v>
      </c>
      <c r="F99" s="76">
        <f>IF(AND(F91=1,$K$92=1),1,0)</f>
        <v>0</v>
      </c>
      <c r="G99" s="76">
        <f>IF(AND(G91=1,$K$92=1),1,0)</f>
        <v>0</v>
      </c>
      <c r="H99" s="76">
        <f>IF(AND(H91=1,$K$92=1),1,0)</f>
        <v>0</v>
      </c>
      <c r="J99" s="82" t="inlineStr">
        <is>
          <t xml:space="preserve">Step 4 · Sᵢ blocked: d(Sᵢ) ← −(d + ε)</t>
        </is>
      </c>
      <c r="K99" s="96">
        <f>IF(K87=0,"—",-(INDEX('ERDR Characteristics'!$J$5:$J$11,K87)+'Parameters'!$B$17))</f>
        <v>-0.0805428388</v>
      </c>
    </row>
    <row r="100">
      <c r="A100" s="63" t="inlineStr">
        <is>
          <t xml:space="preserve">Step 5 · counter decreased (|L| &gt; 1)</t>
        </is>
      </c>
      <c r="B100" s="76">
        <f>IF($K$92&gt;1,B98,0)</f>
        <v>0</v>
      </c>
      <c r="C100" s="76">
        <f>IF($K$92&gt;1,C98*IF('Parameters'!$B$26=1,1,IF(SUMPRODUCT($B$98:B$98*($B$88:B$88=2))=0,1,0)),0)</f>
        <v>0</v>
      </c>
      <c r="D100" s="76">
        <f>IF($K$92&gt;1,D98*IF('Parameters'!$B$26=1,1,IF(SUMPRODUCT($B$98:C$98*($B$88:C$88=2))=0,1,0)),0)</f>
        <v>0</v>
      </c>
      <c r="E100" s="76">
        <f>IF($K$92&gt;1,E98*IF('Parameters'!$B$26=1,1,IF(SUMPRODUCT($B$98:D$98*($B$88:D$88=2))=0,1,0)),0)</f>
        <v>0</v>
      </c>
      <c r="F100" s="76">
        <f>IF($K$92&gt;1,F98*IF('Parameters'!$B$26=1,1,IF(SUMPRODUCT($B$98:E$98*($B$88:E$88=2))=0,1,0)),0)</f>
        <v>0</v>
      </c>
      <c r="G100" s="76">
        <f>IF($K$92&gt;1,G98*IF('Parameters'!$B$26=1,1,IF(SUMPRODUCT($B$98:F$98*($B$88:F$88=2))=0,1,0)),0)</f>
        <v>0</v>
      </c>
      <c r="H100" s="76">
        <f>IF($K$92&gt;1,H98*IF('Parameters'!$B$26=1,1,IF(SUMPRODUCT($B$98:G$98*($B$88:G$88=2))=0,1,0)),0)</f>
        <v>0</v>
      </c>
      <c r="J100" s="101" t="inlineStr">
        <is>
          <t xml:space="preserve"/>
        </is>
      </c>
      <c r="K100" s="101" t="inlineStr">
        <is>
          <t xml:space="preserve"/>
        </is>
      </c>
    </row>
    <row r="101">
      <c r="A101" s="63" t="inlineStr">
        <is>
          <t xml:space="preserve">g after the iteration</t>
        </is>
      </c>
      <c r="B101" s="80">
        <f>B88-B100</f>
        <v>1</v>
      </c>
      <c r="C101" s="80">
        <f>C88-C100</f>
        <v>2</v>
      </c>
      <c r="D101" s="80">
        <f>D88-D100</f>
        <v>2</v>
      </c>
      <c r="E101" s="80">
        <f>E88-E100</f>
        <v>1</v>
      </c>
      <c r="F101" s="80">
        <f>F88-F100</f>
        <v>1</v>
      </c>
      <c r="G101" s="80">
        <f>G88-G100</f>
        <v>1</v>
      </c>
      <c r="H101" s="80">
        <f>H88-H100</f>
        <v>1</v>
      </c>
      <c r="J101" s="101" t="inlineStr">
        <is>
          <t xml:space="preserve"/>
        </is>
      </c>
      <c r="K101" s="101" t="inlineStr">
        <is>
          <t xml:space="preserve"/>
        </is>
      </c>
    </row>
    <row r="102">
      <c r="A102" s="63" t="inlineStr">
        <is>
          <t xml:space="preserve">Step 5 · g fell to 1 → Sⱼ moves to D</t>
        </is>
      </c>
      <c r="B102" s="76">
        <f>IF(AND(B100=1,B101=1),1,0)</f>
        <v>0</v>
      </c>
      <c r="C102" s="76">
        <f>IF(AND(C100=1,C101=1),1,0)</f>
        <v>0</v>
      </c>
      <c r="D102" s="76">
        <f>IF(AND(D100=1,D101=1),1,0)</f>
        <v>0</v>
      </c>
      <c r="E102" s="76">
        <f>IF(AND(E100=1,E101=1),1,0)</f>
        <v>0</v>
      </c>
      <c r="F102" s="76">
        <f>IF(AND(F100=1,F101=1),1,0)</f>
        <v>0</v>
      </c>
      <c r="G102" s="76">
        <f>IF(AND(G100=1,G101=1),1,0)</f>
        <v>0</v>
      </c>
      <c r="H102" s="76">
        <f>IF(AND(H100=1,H101=1),1,0)</f>
        <v>0</v>
      </c>
      <c r="J102" s="101" t="inlineStr">
        <is>
          <t xml:space="preserve"/>
        </is>
      </c>
      <c r="K102" s="101" t="inlineStr">
        <is>
          <t xml:space="preserve"/>
        </is>
      </c>
    </row>
    <row r="103">
      <c r="A103" s="63" t="inlineStr">
        <is>
          <t xml:space="preserve">Moves to D in this iteration</t>
        </is>
      </c>
      <c r="B103" s="77">
        <f>B99+B102</f>
        <v>0</v>
      </c>
      <c r="C103" s="77">
        <f>C99+C102</f>
        <v>1</v>
      </c>
      <c r="D103" s="77">
        <f>D99+D102</f>
        <v>0</v>
      </c>
      <c r="E103" s="77">
        <f>E99+E102</f>
        <v>0</v>
      </c>
      <c r="F103" s="77">
        <f>F99+F102</f>
        <v>0</v>
      </c>
      <c r="G103" s="77">
        <f>G99+G102</f>
        <v>0</v>
      </c>
      <c r="H103" s="77">
        <f>H99+H102</f>
        <v>0</v>
      </c>
      <c r="J103" s="101" t="inlineStr">
        <is>
          <t xml:space="preserve"/>
        </is>
      </c>
      <c r="K103" s="101" t="inlineStr">
        <is>
          <t xml:space="preserve"/>
        </is>
      </c>
    </row>
    <row r="104">
      <c r="A104" s="63" t="inlineStr">
        <is>
          <t xml:space="preserve">In F after the iteration</t>
        </is>
      </c>
      <c r="B104" s="76">
        <f>B86-B103</f>
        <v>0</v>
      </c>
      <c r="C104" s="76">
        <f>C86-C103</f>
        <v>0</v>
      </c>
      <c r="D104" s="76">
        <f>D86-D103</f>
        <v>1</v>
      </c>
      <c r="E104" s="76">
        <f>E86-E103</f>
        <v>1</v>
      </c>
      <c r="F104" s="76">
        <f>F86-F103</f>
        <v>0</v>
      </c>
      <c r="G104" s="76">
        <f>G86-G103</f>
        <v>1</v>
      </c>
      <c r="H104" s="76">
        <f>H86-H103</f>
        <v>0</v>
      </c>
      <c r="J104" s="101" t="inlineStr">
        <is>
          <t xml:space="preserve"/>
        </is>
      </c>
      <c r="K104" s="101" t="inlineStr">
        <is>
          <t xml:space="preserve"/>
        </is>
      </c>
    </row>
    <row r="105">
      <c r="A105" s="63" t="inlineStr">
        <is>
          <t xml:space="preserve">Processed after the iteration</t>
        </is>
      </c>
      <c r="B105" s="76">
        <f>MIN(1,B87+B91)</f>
        <v>1</v>
      </c>
      <c r="C105" s="76">
        <f>MIN(1,C87+C91)</f>
        <v>1</v>
      </c>
      <c r="D105" s="76">
        <f>MIN(1,D87+D91)</f>
        <v>1</v>
      </c>
      <c r="E105" s="76">
        <f>MIN(1,E87+E91)</f>
        <v>0</v>
      </c>
      <c r="F105" s="76">
        <f>MIN(1,F87+F91)</f>
        <v>1</v>
      </c>
      <c r="G105" s="76">
        <f>MIN(1,G87+G91)</f>
        <v>0</v>
      </c>
      <c r="H105" s="76">
        <f>MIN(1,H87+H91)</f>
        <v>0</v>
      </c>
      <c r="J105" s="101" t="inlineStr">
        <is>
          <t xml:space="preserve"/>
        </is>
      </c>
      <c r="K105" s="101" t="inlineStr">
        <is>
          <t xml:space="preserve"/>
        </is>
      </c>
    </row>
    <row r="106">
      <c r="A106" s="63" t="inlineStr">
        <is>
          <t xml:space="preserve">d after (article: −(d + ε) once processed)</t>
        </is>
      </c>
      <c r="B106" s="73">
        <f>IF(B105=1,-('ERDR Characteristics'!$J$5+'Parameters'!$B$17),'ERDR Characteristics'!$J$5)</f>
        <v>-0.001</v>
      </c>
      <c r="C106" s="73">
        <f>IF(C105=1,-('ERDR Characteristics'!$J$6+'Parameters'!$B$17),'ERDR Characteristics'!$J$6)</f>
        <v>-0.0805428388</v>
      </c>
      <c r="D106" s="73">
        <f>IF(D105=1,-('ERDR Characteristics'!$J$7+'Parameters'!$B$17),'ERDR Characteristics'!$J$7)</f>
        <v>-0.001</v>
      </c>
      <c r="E106" s="73">
        <f>IF(E105=1,-('ERDR Characteristics'!$J$8+'Parameters'!$B$17),'ERDR Characteristics'!$J$8)</f>
        <v>0.2529498997</v>
      </c>
      <c r="F106" s="73">
        <f>IF(F105=1,-('ERDR Characteristics'!$J$9+'Parameters'!$B$17),'ERDR Characteristics'!$J$9)</f>
        <v>-0.001</v>
      </c>
      <c r="G106" s="73">
        <f>IF(G105=1,-('ERDR Characteristics'!$J$10+'Parameters'!$B$17),'ERDR Characteristics'!$J$10)</f>
        <v>0.1692169896</v>
      </c>
      <c r="H106" s="73">
        <f>IF(H105=1,-('ERDR Characteristics'!$J$11+'Parameters'!$B$17),'ERDR Characteristics'!$J$11)</f>
        <v>0.1252961741</v>
      </c>
      <c r="J106" s="101" t="inlineStr">
        <is>
          <t xml:space="preserve"/>
        </is>
      </c>
      <c r="K106" s="101" t="inlineStr">
        <is>
          <t xml:space="preserve"/>
        </is>
      </c>
    </row>
    <row r="107">
      <c r="A107" s="63" t="inlineStr">
        <is>
          <t xml:space="preserve">In D after the iteration</t>
        </is>
      </c>
      <c r="B107" s="76">
        <f>1-B104</f>
        <v>1</v>
      </c>
      <c r="C107" s="76">
        <f>1-C104</f>
        <v>1</v>
      </c>
      <c r="D107" s="76">
        <f>1-D104</f>
        <v>0</v>
      </c>
      <c r="E107" s="76">
        <f>1-E104</f>
        <v>0</v>
      </c>
      <c r="F107" s="76">
        <f>1-F104</f>
        <v>1</v>
      </c>
      <c r="G107" s="76">
        <f>1-G104</f>
        <v>0</v>
      </c>
      <c r="H107" s="76">
        <f>1-H104</f>
        <v>1</v>
      </c>
      <c r="J107" s="101" t="inlineStr">
        <is>
          <t xml:space="preserve"/>
        </is>
      </c>
      <c r="K107" s="101" t="inlineStr">
        <is>
          <t xml:space="preserve"/>
        </is>
      </c>
    </row>
    <row r="108"/>
    <row r="109">
      <c r="A109" s="59" t="str">
        <f>"Iteration 5  ·  "&amp;IF($K$113=0,"queue empty → Step 6 (stop)","Step 3 selects "&amp;$K$114&amp;"  ·  L = "&amp;$K$117&amp;"  ·  "&amp;$K$119)</f>
        <v>Iteration 5  ·  Step 3 selects S₆  ·  L = {S₃}  ·  |L| = 1 → Sᵢ moves to D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59"/>
    </row>
    <row r="110">
      <c r="A110" s="61" t="inlineStr">
        <is>
          <t xml:space="preserve">Row</t>
        </is>
      </c>
      <c r="B110" s="60" t="inlineStr">
        <is>
          <t xml:space="preserve">S₁</t>
        </is>
      </c>
      <c r="C110" s="60" t="inlineStr">
        <is>
          <t xml:space="preserve">S₂</t>
        </is>
      </c>
      <c r="D110" s="60" t="inlineStr">
        <is>
          <t xml:space="preserve">S₃</t>
        </is>
      </c>
      <c r="E110" s="60" t="inlineStr">
        <is>
          <t xml:space="preserve">S₄</t>
        </is>
      </c>
      <c r="F110" s="60" t="inlineStr">
        <is>
          <t xml:space="preserve">S₅</t>
        </is>
      </c>
      <c r="G110" s="60" t="inlineStr">
        <is>
          <t xml:space="preserve">S₆</t>
        </is>
      </c>
      <c r="H110" s="60" t="inlineStr">
        <is>
          <t xml:space="preserve">S₇</t>
        </is>
      </c>
      <c r="J110" s="61" t="inlineStr">
        <is>
          <t xml:space="preserve">Iteration summary</t>
        </is>
      </c>
      <c r="K110" s="61" t="inlineStr">
        <is>
          <t xml:space="preserve">Value</t>
        </is>
      </c>
    </row>
    <row r="111">
      <c r="A111" s="63" t="inlineStr">
        <is>
          <t xml:space="preserve">Class</t>
        </is>
      </c>
      <c r="B111" s="68">
        <f>'Dataset'!$P$5</f>
        <v>2</v>
      </c>
      <c r="C111" s="68">
        <f>'Dataset'!$P$6</f>
        <v>2</v>
      </c>
      <c r="D111" s="68">
        <f>'Dataset'!$P$7</f>
        <v>1</v>
      </c>
      <c r="E111" s="68">
        <f>'Dataset'!$P$8</f>
        <v>2</v>
      </c>
      <c r="F111" s="68">
        <f>'Dataset'!$P$9</f>
        <v>2</v>
      </c>
      <c r="G111" s="68">
        <f>'Dataset'!$P$10</f>
        <v>1</v>
      </c>
      <c r="H111" s="68">
        <f>'Dataset'!$P$11</f>
        <v>1</v>
      </c>
      <c r="J111" s="82" t="inlineStr">
        <is>
          <t xml:space="preserve">Queue length (Step 2)</t>
        </is>
      </c>
      <c r="K111" s="85">
        <f>SUM(B115:H115)</f>
        <v>2</v>
      </c>
    </row>
    <row r="112">
      <c r="A112" s="63" t="inlineStr">
        <is>
          <t xml:space="preserve">In F before the iteration (1 = in the working set)</t>
        </is>
      </c>
      <c r="B112" s="76">
        <f>B104</f>
        <v>0</v>
      </c>
      <c r="C112" s="76">
        <f>C104</f>
        <v>0</v>
      </c>
      <c r="D112" s="76">
        <f>D104</f>
        <v>1</v>
      </c>
      <c r="E112" s="76">
        <f>E104</f>
        <v>1</v>
      </c>
      <c r="F112" s="76">
        <f>F104</f>
        <v>0</v>
      </c>
      <c r="G112" s="76">
        <f>G104</f>
        <v>1</v>
      </c>
      <c r="H112" s="76">
        <f>H104</f>
        <v>0</v>
      </c>
      <c r="J112" s="82" t="inlineStr">
        <is>
          <t xml:space="preserve">Smallest queue key</t>
        </is>
      </c>
      <c r="K112" s="85">
        <f>MIN(B116:H116)</f>
        <v>6</v>
      </c>
    </row>
    <row r="113">
      <c r="A113" s="63" t="inlineStr">
        <is>
          <t xml:space="preserve">Processed before (blocked: d &lt; 0)</t>
        </is>
      </c>
      <c r="B113" s="76">
        <f>B105</f>
        <v>1</v>
      </c>
      <c r="C113" s="76">
        <f>C105</f>
        <v>1</v>
      </c>
      <c r="D113" s="76">
        <f>D105</f>
        <v>1</v>
      </c>
      <c r="E113" s="76">
        <f>E105</f>
        <v>0</v>
      </c>
      <c r="F113" s="76">
        <f>F105</f>
        <v>1</v>
      </c>
      <c r="G113" s="76">
        <f>G105</f>
        <v>0</v>
      </c>
      <c r="H113" s="76">
        <f>H105</f>
        <v>0</v>
      </c>
      <c r="J113" s="82" t="inlineStr">
        <is>
          <t xml:space="preserve">Selected index i (0 = queue empty)</t>
        </is>
      </c>
      <c r="K113" s="85">
        <f>IF(K112=99,0,MATCH(K112,B116:H116,0))</f>
        <v>6</v>
      </c>
    </row>
    <row r="114">
      <c r="A114" s="63" t="inlineStr">
        <is>
          <t xml:space="preserve">g before the iteration</t>
        </is>
      </c>
      <c r="B114" s="80">
        <f>B101</f>
        <v>1</v>
      </c>
      <c r="C114" s="80">
        <f>C101</f>
        <v>2</v>
      </c>
      <c r="D114" s="80">
        <f>D101</f>
        <v>2</v>
      </c>
      <c r="E114" s="80">
        <f>E101</f>
        <v>1</v>
      </c>
      <c r="F114" s="80">
        <f>F101</f>
        <v>1</v>
      </c>
      <c r="G114" s="80">
        <f>G101</f>
        <v>1</v>
      </c>
      <c r="H114" s="80">
        <f>H101</f>
        <v>1</v>
      </c>
      <c r="J114" s="82" t="inlineStr">
        <is>
          <t xml:space="preserve">Step 3 · selected Sᵢ</t>
        </is>
      </c>
      <c r="K114" s="85" t="str">
        <f>IF(K113=0,"— (queue empty → Step 6)",INDEX(B110:H110,K113))</f>
        <v>S₆</v>
      </c>
    </row>
    <row r="115">
      <c r="A115" s="63" t="inlineStr">
        <is>
          <t xml:space="preserve">Step 2 · in the queue: in F and not processed</t>
        </is>
      </c>
      <c r="B115" s="76">
        <f>IF(AND(B112=1,B113=0),1,0)</f>
        <v>0</v>
      </c>
      <c r="C115" s="76">
        <f>IF(AND(C112=1,C113=0),1,0)</f>
        <v>0</v>
      </c>
      <c r="D115" s="76">
        <f>IF(AND(D112=1,D113=0),1,0)</f>
        <v>0</v>
      </c>
      <c r="E115" s="76">
        <f>IF(AND(E112=1,E113=0),1,0)</f>
        <v>1</v>
      </c>
      <c r="F115" s="76">
        <f>IF(AND(F112=1,F113=0),1,0)</f>
        <v>0</v>
      </c>
      <c r="G115" s="76">
        <f>IF(AND(G112=1,G113=0),1,0)</f>
        <v>1</v>
      </c>
      <c r="H115" s="76">
        <f>IF(AND(H112=1,H113=0),1,0)</f>
        <v>0</v>
      </c>
      <c r="J115" s="82" t="inlineStr">
        <is>
          <t xml:space="preserve">d(Sᵢ)</t>
        </is>
      </c>
      <c r="K115" s="96">
        <f>IF(K113=0,"—",INDEX('ERDR Characteristics'!$J$5:$J$11,K113))</f>
        <v>0.1692169896</v>
      </c>
    </row>
    <row r="116">
      <c r="A116" s="63" t="inlineStr">
        <is>
          <t xml:space="preserve">Step 2 · queue key = priority position (99 = not in the queue)</t>
        </is>
      </c>
      <c r="B116" s="76">
        <f>IF(B115=1,'ERDR Characteristics'!$K$5,99)</f>
        <v>99</v>
      </c>
      <c r="C116" s="76">
        <f>IF(C115=1,'ERDR Characteristics'!$K$6,99)</f>
        <v>99</v>
      </c>
      <c r="D116" s="76">
        <f>IF(D115=1,'ERDR Characteristics'!$K$7,99)</f>
        <v>99</v>
      </c>
      <c r="E116" s="76">
        <f>IF(E115=1,'ERDR Characteristics'!$K$8,99)</f>
        <v>7</v>
      </c>
      <c r="F116" s="76">
        <f>IF(F115=1,'ERDR Characteristics'!$K$9,99)</f>
        <v>99</v>
      </c>
      <c r="G116" s="76">
        <f>IF(G115=1,'ERDR Characteristics'!$K$10,99)</f>
        <v>6</v>
      </c>
      <c r="H116" s="76">
        <f>IF(H115=1,'ERDR Characteristics'!$K$11,99)</f>
        <v>99</v>
      </c>
      <c r="J116" s="82" t="inlineStr">
        <is>
          <t xml:space="preserve">r(Sᵢ)</t>
        </is>
      </c>
      <c r="K116" s="96">
        <f>IF(K113=0,"—",INDEX('ERDR Characteristics'!$D$5:$D$11,K113))</f>
        <v>3.7071187508</v>
      </c>
    </row>
    <row r="117">
      <c r="A117" s="63" t="inlineStr">
        <is>
          <t xml:space="preserve">Step 3 · selected Sᵢ (smallest key)</t>
        </is>
      </c>
      <c r="B117" s="77">
        <f>IF($K$113=1,1,0)</f>
        <v>0</v>
      </c>
      <c r="C117" s="77">
        <f>IF($K$113=2,1,0)</f>
        <v>0</v>
      </c>
      <c r="D117" s="77">
        <f>IF($K$113=3,1,0)</f>
        <v>0</v>
      </c>
      <c r="E117" s="77">
        <f>IF($K$113=4,1,0)</f>
        <v>0</v>
      </c>
      <c r="F117" s="77">
        <f>IF($K$113=5,1,0)</f>
        <v>0</v>
      </c>
      <c r="G117" s="77">
        <f>IF($K$113=6,1,0)</f>
        <v>1</v>
      </c>
      <c r="H117" s="77">
        <f>IF($K$113=7,1,0)</f>
        <v>0</v>
      </c>
      <c r="J117" s="82" t="inlineStr">
        <is>
          <t xml:space="preserve">Step 4 · L</t>
        </is>
      </c>
      <c r="K117" s="85" t="str">
        <f>IF(K118=0,"∅","{"&amp;MID(IF(B124=1,", "&amp;B$110,"")&amp;IF(C124=1,", "&amp;C$110,"")&amp;IF(D124=1,", "&amp;D$110,"")&amp;IF(E124=1,", "&amp;E$110,"")&amp;IF(F124=1,", "&amp;F$110,"")&amp;IF(G124=1,", "&amp;G$110,"")&amp;IF(H124=1,", "&amp;H$110,""),3,200)&amp;"}")</f>
        <v>{S₃}</v>
      </c>
    </row>
    <row r="118">
      <c r="A118" s="63" t="inlineStr">
        <is>
          <t xml:space="preserve">Same class as Sᵢ</t>
        </is>
      </c>
      <c r="B118" s="76">
        <f>IF($K$113=0,0,IF(B111=INDEX($B$111:$H$111,$K$113),1,0))</f>
        <v>0</v>
      </c>
      <c r="C118" s="76">
        <f>IF($K$113=0,0,IF(C111=INDEX($B$111:$H$111,$K$113),1,0))</f>
        <v>0</v>
      </c>
      <c r="D118" s="76">
        <f>IF($K$113=0,0,IF(D111=INDEX($B$111:$H$111,$K$113),1,0))</f>
        <v>1</v>
      </c>
      <c r="E118" s="76">
        <f>IF($K$113=0,0,IF(E111=INDEX($B$111:$H$111,$K$113),1,0))</f>
        <v>0</v>
      </c>
      <c r="F118" s="76">
        <f>IF($K$113=0,0,IF(F111=INDEX($B$111:$H$111,$K$113),1,0))</f>
        <v>0</v>
      </c>
      <c r="G118" s="76">
        <f>IF($K$113=0,0,IF(G111=INDEX($B$111:$H$111,$K$113),1,0))</f>
        <v>1</v>
      </c>
      <c r="H118" s="76">
        <f>IF($K$113=0,0,IF(H111=INDEX($B$111:$H$111,$K$113),1,0))</f>
        <v>1</v>
      </c>
      <c r="J118" s="82" t="inlineStr">
        <is>
          <t xml:space="preserve">|L|</t>
        </is>
      </c>
      <c r="K118" s="85">
        <f>SUM(B124:H124)</f>
        <v>1</v>
      </c>
    </row>
    <row r="119">
      <c r="A119" s="63" t="inlineStr">
        <is>
          <t xml:space="preserve">ρ(Sⱼ, Sᵢ)</t>
        </is>
      </c>
      <c r="B119" s="73">
        <f>IF($K$113=0,"—",INDEX('Zhuravlev Distances'!$B$5:$H$5,$K$113))</f>
        <v>6.8015669516</v>
      </c>
      <c r="C119" s="73">
        <f>IF($K$113=0,"—",INDEX('Zhuravlev Distances'!$B$6:$H$6,$K$113))</f>
        <v>8.742951174</v>
      </c>
      <c r="D119" s="73">
        <f>IF($K$113=0,"—",INDEX('Zhuravlev Distances'!$B$7:$H$7,$K$113))</f>
        <v>5.2172783643</v>
      </c>
      <c r="E119" s="73">
        <f>IF($K$113=0,"—",INDEX('Zhuravlev Distances'!$B$8:$H$8,$K$113))</f>
        <v>3.7071187508</v>
      </c>
      <c r="F119" s="73">
        <f>IF($K$113=0,"—",INDEX('Zhuravlev Distances'!$B$9:$H$9,$K$113))</f>
        <v>9.0234774016</v>
      </c>
      <c r="G119" s="73">
        <f>IF($K$113=0,"—",INDEX('Zhuravlev Distances'!$B$10:$H$10,$K$113))</f>
        <v>0</v>
      </c>
      <c r="H119" s="73">
        <f>IF($K$113=0,"—",INDEX('Zhuravlev Distances'!$B$11:$H$11,$K$113))</f>
        <v>5.0314314939</v>
      </c>
      <c r="J119" s="82" t="inlineStr">
        <is>
          <t xml:space="preserve">Decision</t>
        </is>
      </c>
      <c r="K119" s="85" t="str">
        <f>IF(K113=0,"Step 6 · stop",IF(K118=0,"|L| = 0 → Sᵢ is only blocked and stays in F",IF(K118=1,"|L| = 1 → Sᵢ moves to D","|L| &gt; 1 → Step 5 corrects g")))</f>
        <v>|L| = 1 → Sᵢ moves to D</v>
      </c>
    </row>
    <row r="120">
      <c r="A120" s="63" t="inlineStr">
        <is>
          <t xml:space="preserve">r(Sⱼ)</t>
        </is>
      </c>
      <c r="B120" s="73">
        <f>'ERDR Characteristics'!$D$5</f>
        <v>5.60708061</v>
      </c>
      <c r="C120" s="73">
        <f>'ERDR Characteristics'!$D$6</f>
        <v>7.4699698919</v>
      </c>
      <c r="D120" s="73">
        <f>'ERDR Characteristics'!$D$7</f>
        <v>5.60708061</v>
      </c>
      <c r="E120" s="73">
        <f>'ERDR Characteristics'!$D$8</f>
        <v>3.7071187508</v>
      </c>
      <c r="F120" s="73">
        <f>'ERDR Characteristics'!$D$9</f>
        <v>7.1117040273</v>
      </c>
      <c r="G120" s="73">
        <f>'ERDR Characteristics'!$D$10</f>
        <v>3.7071187508</v>
      </c>
      <c r="H120" s="73">
        <f>'ERDR Characteristics'!$D$11</f>
        <v>3.9109813746</v>
      </c>
      <c r="J120" s="82" t="inlineStr">
        <is>
          <t xml:space="preserve">Step 5 · counters g: before → after</t>
        </is>
      </c>
      <c r="K120" s="85" t="str">
        <f>IF(SUM(B126:H126)=0,"—",MID(IF(B126=1,", "&amp;B$110&amp;": "&amp;B114&amp;" → "&amp;B127,"")&amp;IF(C126=1,", "&amp;C$110&amp;": "&amp;C114&amp;" → "&amp;C127,"")&amp;IF(D126=1,", "&amp;D$110&amp;": "&amp;D114&amp;" → "&amp;D127,"")&amp;IF(E126=1,", "&amp;E$110&amp;": "&amp;E114&amp;" → "&amp;E127,"")&amp;IF(F126=1,", "&amp;F$110&amp;": "&amp;F114&amp;" → "&amp;F127,"")&amp;IF(G126=1,", "&amp;G$110&amp;": "&amp;G114&amp;" → "&amp;G127,"")&amp;IF(H126=1,", "&amp;H$110&amp;": "&amp;H114&amp;" → "&amp;H127,""),3,300))</f>
        <v>—</v>
      </c>
    </row>
    <row r="121">
      <c r="A121" s="63" t="inlineStr">
        <is>
          <t xml:space="preserve">Sᵢ inside the sphere of Sⱼ:  ρ(Sⱼ, Sᵢ) &lt; r(Sⱼ)</t>
        </is>
      </c>
      <c r="B121" s="76">
        <f>IF($K$113=0,0,IF(B119&lt;B120,1,0))</f>
        <v>0</v>
      </c>
      <c r="C121" s="76">
        <f>IF($K$113=0,0,IF(C119&lt;C120,1,0))</f>
        <v>0</v>
      </c>
      <c r="D121" s="76">
        <f>IF($K$113=0,0,IF(D119&lt;D120,1,0))</f>
        <v>1</v>
      </c>
      <c r="E121" s="76">
        <f>IF($K$113=0,0,IF(E119&lt;E120,1,0))</f>
        <v>0</v>
      </c>
      <c r="F121" s="76">
        <f>IF($K$113=0,0,IF(F119&lt;F120,1,0))</f>
        <v>0</v>
      </c>
      <c r="G121" s="76">
        <f>IF($K$113=0,0,IF(G119&lt;G120,1,0))</f>
        <v>1</v>
      </c>
      <c r="H121" s="76">
        <f>IF($K$113=0,0,IF(H119&lt;H120,1,0))</f>
        <v>0</v>
      </c>
      <c r="J121" s="82" t="inlineStr">
        <is>
          <t xml:space="preserve">Moved to D</t>
        </is>
      </c>
      <c r="K121" s="85" t="str">
        <f>IF(SUM(B129:H129)=0,"—",MID(IF(B129=1,", "&amp;B$110&amp;IF(B125=1," (Step 4)"," (Step 5)"),"")&amp;IF(C129=1,", "&amp;C$110&amp;IF(C125=1," (Step 4)"," (Step 5)"),"")&amp;IF(D129=1,", "&amp;D$110&amp;IF(D125=1," (Step 4)"," (Step 5)"),"")&amp;IF(E129=1,", "&amp;E$110&amp;IF(E125=1," (Step 4)"," (Step 5)"),"")&amp;IF(F129=1,", "&amp;F$110&amp;IF(F125=1," (Step 4)"," (Step 5)"),"")&amp;IF(G129=1,", "&amp;G$110&amp;IF(G125=1," (Step 4)"," (Step 5)"),"")&amp;IF(H129=1,", "&amp;H$110&amp;IF(H125=1," (Step 4)"," (Step 5)"),""),3,300))</f>
        <v>S₆ (Step 4)</v>
      </c>
    </row>
    <row r="122">
      <c r="A122" s="63" t="inlineStr">
        <is>
          <t xml:space="preserve">g(Sⱼ) &gt; 1</t>
        </is>
      </c>
      <c r="B122" s="76">
        <f>IF(B114&gt;1,1,0)</f>
        <v>0</v>
      </c>
      <c r="C122" s="76">
        <f>IF(C114&gt;1,1,0)</f>
        <v>1</v>
      </c>
      <c r="D122" s="76">
        <f>IF(D114&gt;1,1,0)</f>
        <v>1</v>
      </c>
      <c r="E122" s="76">
        <f>IF(E114&gt;1,1,0)</f>
        <v>0</v>
      </c>
      <c r="F122" s="76">
        <f>IF(F114&gt;1,1,0)</f>
        <v>0</v>
      </c>
      <c r="G122" s="76">
        <f>IF(G114&gt;1,1,0)</f>
        <v>0</v>
      </c>
      <c r="H122" s="76">
        <f>IF(H114&gt;1,1,0)</f>
        <v>0</v>
      </c>
      <c r="J122" s="82" t="inlineStr">
        <is>
          <t xml:space="preserve">|F| after</t>
        </is>
      </c>
      <c r="K122" s="85">
        <f>SUM(B130:H130)</f>
        <v>2</v>
      </c>
    </row>
    <row r="123">
      <c r="A123" s="63" t="inlineStr">
        <is>
          <t xml:space="preserve">Allowed by readings A (Sᵢ itself) and B (processed Sⱼ)</t>
        </is>
      </c>
      <c r="B123" s="76">
        <f>IF($K$113=0,0,IF($K$113=1,IF('Parameters'!$B$24=1,1,0),IF(OR('Parameters'!$B$25=1,B113=0),1,0)))</f>
        <v>1</v>
      </c>
      <c r="C123" s="76">
        <f>IF($K$113=0,0,IF($K$113=2,IF('Parameters'!$B$24=1,1,0),IF(OR('Parameters'!$B$25=1,C113=0),1,0)))</f>
        <v>1</v>
      </c>
      <c r="D123" s="76">
        <f>IF($K$113=0,0,IF($K$113=3,IF('Parameters'!$B$24=1,1,0),IF(OR('Parameters'!$B$25=1,D113=0),1,0)))</f>
        <v>1</v>
      </c>
      <c r="E123" s="76">
        <f>IF($K$113=0,0,IF($K$113=4,IF('Parameters'!$B$24=1,1,0),IF(OR('Parameters'!$B$25=1,E113=0),1,0)))</f>
        <v>1</v>
      </c>
      <c r="F123" s="76">
        <f>IF($K$113=0,0,IF($K$113=5,IF('Parameters'!$B$24=1,1,0),IF(OR('Parameters'!$B$25=1,F113=0),1,0)))</f>
        <v>1</v>
      </c>
      <c r="G123" s="76">
        <f>IF($K$113=0,0,IF($K$113=6,IF('Parameters'!$B$24=1,1,0),IF(OR('Parameters'!$B$25=1,G113=0),1,0)))</f>
        <v>1</v>
      </c>
      <c r="H123" s="76">
        <f>IF($K$113=0,0,IF($K$113=7,IF('Parameters'!$B$24=1,1,0),IF(OR('Parameters'!$B$25=1,H113=0),1,0)))</f>
        <v>1</v>
      </c>
      <c r="J123" s="82" t="inlineStr">
        <is>
          <t xml:space="preserve">|D| after</t>
        </is>
      </c>
      <c r="K123" s="85">
        <f>SUM(B133:H133)</f>
        <v>5</v>
      </c>
    </row>
    <row r="124">
      <c r="A124" s="63" t="inlineStr">
        <is>
          <t xml:space="preserve">Step 4 · Sⱼ ∈ L</t>
        </is>
      </c>
      <c r="B124" s="77">
        <f>B112*B118*B121*B122*B123</f>
        <v>0</v>
      </c>
      <c r="C124" s="77">
        <f>C112*C118*C121*C122*C123</f>
        <v>0</v>
      </c>
      <c r="D124" s="77">
        <f>D112*D118*D121*D122*D123</f>
        <v>1</v>
      </c>
      <c r="E124" s="77">
        <f>E112*E118*E121*E122*E123</f>
        <v>0</v>
      </c>
      <c r="F124" s="77">
        <f>F112*F118*F121*F122*F123</f>
        <v>0</v>
      </c>
      <c r="G124" s="77">
        <f>G112*G118*G121*G122*G123</f>
        <v>0</v>
      </c>
      <c r="H124" s="77">
        <f>H112*H118*H121*H122*H123</f>
        <v>0</v>
      </c>
      <c r="J124" s="82" t="inlineStr">
        <is>
          <t xml:space="preserve">Objects left in the queue</t>
        </is>
      </c>
      <c r="K124" s="85">
        <f>SUMPRODUCT(B130:H130*(1-B131:H131))</f>
        <v>1</v>
      </c>
    </row>
    <row r="125">
      <c r="A125" s="63" t="inlineStr">
        <is>
          <t xml:space="preserve">Step 4 · |L| = 1 → Sᵢ moves to D</t>
        </is>
      </c>
      <c r="B125" s="76">
        <f>IF(AND(B117=1,$K$118=1),1,0)</f>
        <v>0</v>
      </c>
      <c r="C125" s="76">
        <f>IF(AND(C117=1,$K$118=1),1,0)</f>
        <v>0</v>
      </c>
      <c r="D125" s="76">
        <f>IF(AND(D117=1,$K$118=1),1,0)</f>
        <v>0</v>
      </c>
      <c r="E125" s="76">
        <f>IF(AND(E117=1,$K$118=1),1,0)</f>
        <v>0</v>
      </c>
      <c r="F125" s="76">
        <f>IF(AND(F117=1,$K$118=1),1,0)</f>
        <v>0</v>
      </c>
      <c r="G125" s="76">
        <f>IF(AND(G117=1,$K$118=1),1,0)</f>
        <v>1</v>
      </c>
      <c r="H125" s="76">
        <f>IF(AND(H117=1,$K$118=1),1,0)</f>
        <v>0</v>
      </c>
      <c r="J125" s="82" t="inlineStr">
        <is>
          <t xml:space="preserve">Step 4 · Sᵢ blocked: d(Sᵢ) ← −(d + ε)</t>
        </is>
      </c>
      <c r="K125" s="96">
        <f>IF(K113=0,"—",-(INDEX('ERDR Characteristics'!$J$5:$J$11,K113)+'Parameters'!$B$17))</f>
        <v>-0.1702169896</v>
      </c>
    </row>
    <row r="126">
      <c r="A126" s="63" t="inlineStr">
        <is>
          <t xml:space="preserve">Step 5 · counter decreased (|L| &gt; 1)</t>
        </is>
      </c>
      <c r="B126" s="76">
        <f>IF($K$118&gt;1,B124,0)</f>
        <v>0</v>
      </c>
      <c r="C126" s="76">
        <f>IF($K$118&gt;1,C124*IF('Parameters'!$B$26=1,1,IF(SUMPRODUCT($B$124:B$124*($B$114:B$114=2))=0,1,0)),0)</f>
        <v>0</v>
      </c>
      <c r="D126" s="76">
        <f>IF($K$118&gt;1,D124*IF('Parameters'!$B$26=1,1,IF(SUMPRODUCT($B$124:C$124*($B$114:C$114=2))=0,1,0)),0)</f>
        <v>0</v>
      </c>
      <c r="E126" s="76">
        <f>IF($K$118&gt;1,E124*IF('Parameters'!$B$26=1,1,IF(SUMPRODUCT($B$124:D$124*($B$114:D$114=2))=0,1,0)),0)</f>
        <v>0</v>
      </c>
      <c r="F126" s="76">
        <f>IF($K$118&gt;1,F124*IF('Parameters'!$B$26=1,1,IF(SUMPRODUCT($B$124:E$124*($B$114:E$114=2))=0,1,0)),0)</f>
        <v>0</v>
      </c>
      <c r="G126" s="76">
        <f>IF($K$118&gt;1,G124*IF('Parameters'!$B$26=1,1,IF(SUMPRODUCT($B$124:F$124*($B$114:F$114=2))=0,1,0)),0)</f>
        <v>0</v>
      </c>
      <c r="H126" s="76">
        <f>IF($K$118&gt;1,H124*IF('Parameters'!$B$26=1,1,IF(SUMPRODUCT($B$124:G$124*($B$114:G$114=2))=0,1,0)),0)</f>
        <v>0</v>
      </c>
      <c r="J126" s="101" t="inlineStr">
        <is>
          <t xml:space="preserve"/>
        </is>
      </c>
      <c r="K126" s="101" t="inlineStr">
        <is>
          <t xml:space="preserve"/>
        </is>
      </c>
    </row>
    <row r="127">
      <c r="A127" s="63" t="inlineStr">
        <is>
          <t xml:space="preserve">g after the iteration</t>
        </is>
      </c>
      <c r="B127" s="80">
        <f>B114-B126</f>
        <v>1</v>
      </c>
      <c r="C127" s="80">
        <f>C114-C126</f>
        <v>2</v>
      </c>
      <c r="D127" s="80">
        <f>D114-D126</f>
        <v>2</v>
      </c>
      <c r="E127" s="80">
        <f>E114-E126</f>
        <v>1</v>
      </c>
      <c r="F127" s="80">
        <f>F114-F126</f>
        <v>1</v>
      </c>
      <c r="G127" s="80">
        <f>G114-G126</f>
        <v>1</v>
      </c>
      <c r="H127" s="80">
        <f>H114-H126</f>
        <v>1</v>
      </c>
      <c r="J127" s="101" t="inlineStr">
        <is>
          <t xml:space="preserve"/>
        </is>
      </c>
      <c r="K127" s="101" t="inlineStr">
        <is>
          <t xml:space="preserve"/>
        </is>
      </c>
    </row>
    <row r="128">
      <c r="A128" s="63" t="inlineStr">
        <is>
          <t xml:space="preserve">Step 5 · g fell to 1 → Sⱼ moves to D</t>
        </is>
      </c>
      <c r="B128" s="76">
        <f>IF(AND(B126=1,B127=1),1,0)</f>
        <v>0</v>
      </c>
      <c r="C128" s="76">
        <f>IF(AND(C126=1,C127=1),1,0)</f>
        <v>0</v>
      </c>
      <c r="D128" s="76">
        <f>IF(AND(D126=1,D127=1),1,0)</f>
        <v>0</v>
      </c>
      <c r="E128" s="76">
        <f>IF(AND(E126=1,E127=1),1,0)</f>
        <v>0</v>
      </c>
      <c r="F128" s="76">
        <f>IF(AND(F126=1,F127=1),1,0)</f>
        <v>0</v>
      </c>
      <c r="G128" s="76">
        <f>IF(AND(G126=1,G127=1),1,0)</f>
        <v>0</v>
      </c>
      <c r="H128" s="76">
        <f>IF(AND(H126=1,H127=1),1,0)</f>
        <v>0</v>
      </c>
      <c r="J128" s="101" t="inlineStr">
        <is>
          <t xml:space="preserve"/>
        </is>
      </c>
      <c r="K128" s="101" t="inlineStr">
        <is>
          <t xml:space="preserve"/>
        </is>
      </c>
    </row>
    <row r="129">
      <c r="A129" s="63" t="inlineStr">
        <is>
          <t xml:space="preserve">Moves to D in this iteration</t>
        </is>
      </c>
      <c r="B129" s="77">
        <f>B125+B128</f>
        <v>0</v>
      </c>
      <c r="C129" s="77">
        <f>C125+C128</f>
        <v>0</v>
      </c>
      <c r="D129" s="77">
        <f>D125+D128</f>
        <v>0</v>
      </c>
      <c r="E129" s="77">
        <f>E125+E128</f>
        <v>0</v>
      </c>
      <c r="F129" s="77">
        <f>F125+F128</f>
        <v>0</v>
      </c>
      <c r="G129" s="77">
        <f>G125+G128</f>
        <v>1</v>
      </c>
      <c r="H129" s="77">
        <f>H125+H128</f>
        <v>0</v>
      </c>
      <c r="J129" s="101" t="inlineStr">
        <is>
          <t xml:space="preserve"/>
        </is>
      </c>
      <c r="K129" s="101" t="inlineStr">
        <is>
          <t xml:space="preserve"/>
        </is>
      </c>
    </row>
    <row r="130">
      <c r="A130" s="63" t="inlineStr">
        <is>
          <t xml:space="preserve">In F after the iteration</t>
        </is>
      </c>
      <c r="B130" s="76">
        <f>B112-B129</f>
        <v>0</v>
      </c>
      <c r="C130" s="76">
        <f>C112-C129</f>
        <v>0</v>
      </c>
      <c r="D130" s="76">
        <f>D112-D129</f>
        <v>1</v>
      </c>
      <c r="E130" s="76">
        <f>E112-E129</f>
        <v>1</v>
      </c>
      <c r="F130" s="76">
        <f>F112-F129</f>
        <v>0</v>
      </c>
      <c r="G130" s="76">
        <f>G112-G129</f>
        <v>0</v>
      </c>
      <c r="H130" s="76">
        <f>H112-H129</f>
        <v>0</v>
      </c>
      <c r="J130" s="101" t="inlineStr">
        <is>
          <t xml:space="preserve"/>
        </is>
      </c>
      <c r="K130" s="101" t="inlineStr">
        <is>
          <t xml:space="preserve"/>
        </is>
      </c>
    </row>
    <row r="131">
      <c r="A131" s="63" t="inlineStr">
        <is>
          <t xml:space="preserve">Processed after the iteration</t>
        </is>
      </c>
      <c r="B131" s="76">
        <f>MIN(1,B113+B117)</f>
        <v>1</v>
      </c>
      <c r="C131" s="76">
        <f>MIN(1,C113+C117)</f>
        <v>1</v>
      </c>
      <c r="D131" s="76">
        <f>MIN(1,D113+D117)</f>
        <v>1</v>
      </c>
      <c r="E131" s="76">
        <f>MIN(1,E113+E117)</f>
        <v>0</v>
      </c>
      <c r="F131" s="76">
        <f>MIN(1,F113+F117)</f>
        <v>1</v>
      </c>
      <c r="G131" s="76">
        <f>MIN(1,G113+G117)</f>
        <v>1</v>
      </c>
      <c r="H131" s="76">
        <f>MIN(1,H113+H117)</f>
        <v>0</v>
      </c>
      <c r="J131" s="101" t="inlineStr">
        <is>
          <t xml:space="preserve"/>
        </is>
      </c>
      <c r="K131" s="101" t="inlineStr">
        <is>
          <t xml:space="preserve"/>
        </is>
      </c>
    </row>
    <row r="132">
      <c r="A132" s="63" t="inlineStr">
        <is>
          <t xml:space="preserve">d after (article: −(d + ε) once processed)</t>
        </is>
      </c>
      <c r="B132" s="73">
        <f>IF(B131=1,-('ERDR Characteristics'!$J$5+'Parameters'!$B$17),'ERDR Characteristics'!$J$5)</f>
        <v>-0.001</v>
      </c>
      <c r="C132" s="73">
        <f>IF(C131=1,-('ERDR Characteristics'!$J$6+'Parameters'!$B$17),'ERDR Characteristics'!$J$6)</f>
        <v>-0.0805428388</v>
      </c>
      <c r="D132" s="73">
        <f>IF(D131=1,-('ERDR Characteristics'!$J$7+'Parameters'!$B$17),'ERDR Characteristics'!$J$7)</f>
        <v>-0.001</v>
      </c>
      <c r="E132" s="73">
        <f>IF(E131=1,-('ERDR Characteristics'!$J$8+'Parameters'!$B$17),'ERDR Characteristics'!$J$8)</f>
        <v>0.2529498997</v>
      </c>
      <c r="F132" s="73">
        <f>IF(F131=1,-('ERDR Characteristics'!$J$9+'Parameters'!$B$17),'ERDR Characteristics'!$J$9)</f>
        <v>-0.001</v>
      </c>
      <c r="G132" s="73">
        <f>IF(G131=1,-('ERDR Characteristics'!$J$10+'Parameters'!$B$17),'ERDR Characteristics'!$J$10)</f>
        <v>-0.1702169896</v>
      </c>
      <c r="H132" s="73">
        <f>IF(H131=1,-('ERDR Characteristics'!$J$11+'Parameters'!$B$17),'ERDR Characteristics'!$J$11)</f>
        <v>0.1252961741</v>
      </c>
      <c r="J132" s="101" t="inlineStr">
        <is>
          <t xml:space="preserve"/>
        </is>
      </c>
      <c r="K132" s="101" t="inlineStr">
        <is>
          <t xml:space="preserve"/>
        </is>
      </c>
    </row>
    <row r="133">
      <c r="A133" s="63" t="inlineStr">
        <is>
          <t xml:space="preserve">In D after the iteration</t>
        </is>
      </c>
      <c r="B133" s="76">
        <f>1-B130</f>
        <v>1</v>
      </c>
      <c r="C133" s="76">
        <f>1-C130</f>
        <v>1</v>
      </c>
      <c r="D133" s="76">
        <f>1-D130</f>
        <v>0</v>
      </c>
      <c r="E133" s="76">
        <f>1-E130</f>
        <v>0</v>
      </c>
      <c r="F133" s="76">
        <f>1-F130</f>
        <v>1</v>
      </c>
      <c r="G133" s="76">
        <f>1-G130</f>
        <v>1</v>
      </c>
      <c r="H133" s="76">
        <f>1-H130</f>
        <v>1</v>
      </c>
      <c r="J133" s="101" t="inlineStr">
        <is>
          <t xml:space="preserve"/>
        </is>
      </c>
      <c r="K133" s="101" t="inlineStr">
        <is>
          <t xml:space="preserve"/>
        </is>
      </c>
    </row>
    <row r="134"/>
    <row r="135">
      <c r="A135" s="59" t="str">
        <f>"Iteration 6  ·  "&amp;IF($K$139=0,"queue empty → Step 6 (stop)","Step 3 selects "&amp;$K$140&amp;"  ·  L = "&amp;$K$143&amp;"  ·  "&amp;$K$145)</f>
        <v>Iteration 6  ·  Step 3 selects S₄  ·  L = ∅  ·  |L| = 0 → Sᵢ is only blocked and stays in F</v>
      </c>
      <c r="B135" s="59"/>
      <c r="C135" s="59"/>
      <c r="D135" s="59"/>
      <c r="E135" s="59"/>
      <c r="F135" s="59"/>
      <c r="G135" s="59"/>
      <c r="H135" s="59"/>
      <c r="I135" s="59"/>
      <c r="J135" s="59"/>
      <c r="K135" s="59"/>
    </row>
    <row r="136">
      <c r="A136" s="61" t="inlineStr">
        <is>
          <t xml:space="preserve">Row</t>
        </is>
      </c>
      <c r="B136" s="60" t="inlineStr">
        <is>
          <t xml:space="preserve">S₁</t>
        </is>
      </c>
      <c r="C136" s="60" t="inlineStr">
        <is>
          <t xml:space="preserve">S₂</t>
        </is>
      </c>
      <c r="D136" s="60" t="inlineStr">
        <is>
          <t xml:space="preserve">S₃</t>
        </is>
      </c>
      <c r="E136" s="60" t="inlineStr">
        <is>
          <t xml:space="preserve">S₄</t>
        </is>
      </c>
      <c r="F136" s="60" t="inlineStr">
        <is>
          <t xml:space="preserve">S₅</t>
        </is>
      </c>
      <c r="G136" s="60" t="inlineStr">
        <is>
          <t xml:space="preserve">S₆</t>
        </is>
      </c>
      <c r="H136" s="60" t="inlineStr">
        <is>
          <t xml:space="preserve">S₇</t>
        </is>
      </c>
      <c r="J136" s="61" t="inlineStr">
        <is>
          <t xml:space="preserve">Iteration summary</t>
        </is>
      </c>
      <c r="K136" s="61" t="inlineStr">
        <is>
          <t xml:space="preserve">Value</t>
        </is>
      </c>
    </row>
    <row r="137">
      <c r="A137" s="63" t="inlineStr">
        <is>
          <t xml:space="preserve">Class</t>
        </is>
      </c>
      <c r="B137" s="68">
        <f>'Dataset'!$P$5</f>
        <v>2</v>
      </c>
      <c r="C137" s="68">
        <f>'Dataset'!$P$6</f>
        <v>2</v>
      </c>
      <c r="D137" s="68">
        <f>'Dataset'!$P$7</f>
        <v>1</v>
      </c>
      <c r="E137" s="68">
        <f>'Dataset'!$P$8</f>
        <v>2</v>
      </c>
      <c r="F137" s="68">
        <f>'Dataset'!$P$9</f>
        <v>2</v>
      </c>
      <c r="G137" s="68">
        <f>'Dataset'!$P$10</f>
        <v>1</v>
      </c>
      <c r="H137" s="68">
        <f>'Dataset'!$P$11</f>
        <v>1</v>
      </c>
      <c r="J137" s="82" t="inlineStr">
        <is>
          <t xml:space="preserve">Queue length (Step 2)</t>
        </is>
      </c>
      <c r="K137" s="85">
        <f>SUM(B141:H141)</f>
        <v>1</v>
      </c>
    </row>
    <row r="138">
      <c r="A138" s="63" t="inlineStr">
        <is>
          <t xml:space="preserve">In F before the iteration (1 = in the working set)</t>
        </is>
      </c>
      <c r="B138" s="76">
        <f>B130</f>
        <v>0</v>
      </c>
      <c r="C138" s="76">
        <f>C130</f>
        <v>0</v>
      </c>
      <c r="D138" s="76">
        <f>D130</f>
        <v>1</v>
      </c>
      <c r="E138" s="76">
        <f>E130</f>
        <v>1</v>
      </c>
      <c r="F138" s="76">
        <f>F130</f>
        <v>0</v>
      </c>
      <c r="G138" s="76">
        <f>G130</f>
        <v>0</v>
      </c>
      <c r="H138" s="76">
        <f>H130</f>
        <v>0</v>
      </c>
      <c r="J138" s="82" t="inlineStr">
        <is>
          <t xml:space="preserve">Smallest queue key</t>
        </is>
      </c>
      <c r="K138" s="85">
        <f>MIN(B142:H142)</f>
        <v>7</v>
      </c>
    </row>
    <row r="139">
      <c r="A139" s="63" t="inlineStr">
        <is>
          <t xml:space="preserve">Processed before (blocked: d &lt; 0)</t>
        </is>
      </c>
      <c r="B139" s="76">
        <f>B131</f>
        <v>1</v>
      </c>
      <c r="C139" s="76">
        <f>C131</f>
        <v>1</v>
      </c>
      <c r="D139" s="76">
        <f>D131</f>
        <v>1</v>
      </c>
      <c r="E139" s="76">
        <f>E131</f>
        <v>0</v>
      </c>
      <c r="F139" s="76">
        <f>F131</f>
        <v>1</v>
      </c>
      <c r="G139" s="76">
        <f>G131</f>
        <v>1</v>
      </c>
      <c r="H139" s="76">
        <f>H131</f>
        <v>0</v>
      </c>
      <c r="J139" s="82" t="inlineStr">
        <is>
          <t xml:space="preserve">Selected index i (0 = queue empty)</t>
        </is>
      </c>
      <c r="K139" s="85">
        <f>IF(K138=99,0,MATCH(K138,B142:H142,0))</f>
        <v>4</v>
      </c>
    </row>
    <row r="140">
      <c r="A140" s="63" t="inlineStr">
        <is>
          <t xml:space="preserve">g before the iteration</t>
        </is>
      </c>
      <c r="B140" s="80">
        <f>B127</f>
        <v>1</v>
      </c>
      <c r="C140" s="80">
        <f>C127</f>
        <v>2</v>
      </c>
      <c r="D140" s="80">
        <f>D127</f>
        <v>2</v>
      </c>
      <c r="E140" s="80">
        <f>E127</f>
        <v>1</v>
      </c>
      <c r="F140" s="80">
        <f>F127</f>
        <v>1</v>
      </c>
      <c r="G140" s="80">
        <f>G127</f>
        <v>1</v>
      </c>
      <c r="H140" s="80">
        <f>H127</f>
        <v>1</v>
      </c>
      <c r="J140" s="82" t="inlineStr">
        <is>
          <t xml:space="preserve">Step 3 · selected Sᵢ</t>
        </is>
      </c>
      <c r="K140" s="85" t="str">
        <f>IF(K139=0,"— (queue empty → Step 6)",INDEX(B136:H136,K139))</f>
        <v>S₄</v>
      </c>
    </row>
    <row r="141">
      <c r="A141" s="63" t="inlineStr">
        <is>
          <t xml:space="preserve">Step 2 · in the queue: in F and not processed</t>
        </is>
      </c>
      <c r="B141" s="76">
        <f>IF(AND(B138=1,B139=0),1,0)</f>
        <v>0</v>
      </c>
      <c r="C141" s="76">
        <f>IF(AND(C138=1,C139=0),1,0)</f>
        <v>0</v>
      </c>
      <c r="D141" s="76">
        <f>IF(AND(D138=1,D139=0),1,0)</f>
        <v>0</v>
      </c>
      <c r="E141" s="76">
        <f>IF(AND(E138=1,E139=0),1,0)</f>
        <v>1</v>
      </c>
      <c r="F141" s="76">
        <f>IF(AND(F138=1,F139=0),1,0)</f>
        <v>0</v>
      </c>
      <c r="G141" s="76">
        <f>IF(AND(G138=1,G139=0),1,0)</f>
        <v>0</v>
      </c>
      <c r="H141" s="76">
        <f>IF(AND(H138=1,H139=0),1,0)</f>
        <v>0</v>
      </c>
      <c r="J141" s="82" t="inlineStr">
        <is>
          <t xml:space="preserve">d(Sᵢ)</t>
        </is>
      </c>
      <c r="K141" s="96">
        <f>IF(K139=0,"—",INDEX('ERDR Characteristics'!$J$5:$J$11,K139))</f>
        <v>0.2529498997</v>
      </c>
    </row>
    <row r="142">
      <c r="A142" s="63" t="inlineStr">
        <is>
          <t xml:space="preserve">Step 2 · queue key = priority position (99 = not in the queue)</t>
        </is>
      </c>
      <c r="B142" s="76">
        <f>IF(B141=1,'ERDR Characteristics'!$K$5,99)</f>
        <v>99</v>
      </c>
      <c r="C142" s="76">
        <f>IF(C141=1,'ERDR Characteristics'!$K$6,99)</f>
        <v>99</v>
      </c>
      <c r="D142" s="76">
        <f>IF(D141=1,'ERDR Characteristics'!$K$7,99)</f>
        <v>99</v>
      </c>
      <c r="E142" s="76">
        <f>IF(E141=1,'ERDR Characteristics'!$K$8,99)</f>
        <v>7</v>
      </c>
      <c r="F142" s="76">
        <f>IF(F141=1,'ERDR Characteristics'!$K$9,99)</f>
        <v>99</v>
      </c>
      <c r="G142" s="76">
        <f>IF(G141=1,'ERDR Characteristics'!$K$10,99)</f>
        <v>99</v>
      </c>
      <c r="H142" s="76">
        <f>IF(H141=1,'ERDR Characteristics'!$K$11,99)</f>
        <v>99</v>
      </c>
      <c r="J142" s="82" t="inlineStr">
        <is>
          <t xml:space="preserve">r(Sᵢ)</t>
        </is>
      </c>
      <c r="K142" s="96">
        <f>IF(K139=0,"—",INDEX('ERDR Characteristics'!$D$5:$D$11,K139))</f>
        <v>3.7071187508</v>
      </c>
    </row>
    <row r="143">
      <c r="A143" s="63" t="inlineStr">
        <is>
          <t xml:space="preserve">Step 3 · selected Sᵢ (smallest key)</t>
        </is>
      </c>
      <c r="B143" s="77">
        <f>IF($K$139=1,1,0)</f>
        <v>0</v>
      </c>
      <c r="C143" s="77">
        <f>IF($K$139=2,1,0)</f>
        <v>0</v>
      </c>
      <c r="D143" s="77">
        <f>IF($K$139=3,1,0)</f>
        <v>0</v>
      </c>
      <c r="E143" s="77">
        <f>IF($K$139=4,1,0)</f>
        <v>1</v>
      </c>
      <c r="F143" s="77">
        <f>IF($K$139=5,1,0)</f>
        <v>0</v>
      </c>
      <c r="G143" s="77">
        <f>IF($K$139=6,1,0)</f>
        <v>0</v>
      </c>
      <c r="H143" s="77">
        <f>IF($K$139=7,1,0)</f>
        <v>0</v>
      </c>
      <c r="J143" s="82" t="inlineStr">
        <is>
          <t xml:space="preserve">Step 4 · L</t>
        </is>
      </c>
      <c r="K143" s="85" t="str">
        <f>IF(K144=0,"∅","{"&amp;MID(IF(B150=1,", "&amp;B$136,"")&amp;IF(C150=1,", "&amp;C$136,"")&amp;IF(D150=1,", "&amp;D$136,"")&amp;IF(E150=1,", "&amp;E$136,"")&amp;IF(F150=1,", "&amp;F$136,"")&amp;IF(G150=1,", "&amp;G$136,"")&amp;IF(H150=1,", "&amp;H$136,""),3,200)&amp;"}")</f>
        <v>∅</v>
      </c>
    </row>
    <row r="144">
      <c r="A144" s="63" t="inlineStr">
        <is>
          <t xml:space="preserve">Same class as Sᵢ</t>
        </is>
      </c>
      <c r="B144" s="76">
        <f>IF($K$139=0,0,IF(B137=INDEX($B$137:$H$137,$K$139),1,0))</f>
        <v>1</v>
      </c>
      <c r="C144" s="76">
        <f>IF($K$139=0,0,IF(C137=INDEX($B$137:$H$137,$K$139),1,0))</f>
        <v>1</v>
      </c>
      <c r="D144" s="76">
        <f>IF($K$139=0,0,IF(D137=INDEX($B$137:$H$137,$K$139),1,0))</f>
        <v>0</v>
      </c>
      <c r="E144" s="76">
        <f>IF($K$139=0,0,IF(E137=INDEX($B$137:$H$137,$K$139),1,0))</f>
        <v>1</v>
      </c>
      <c r="F144" s="76">
        <f>IF($K$139=0,0,IF(F137=INDEX($B$137:$H$137,$K$139),1,0))</f>
        <v>1</v>
      </c>
      <c r="G144" s="76">
        <f>IF($K$139=0,0,IF(G137=INDEX($B$137:$H$137,$K$139),1,0))</f>
        <v>0</v>
      </c>
      <c r="H144" s="76">
        <f>IF($K$139=0,0,IF(H137=INDEX($B$137:$H$137,$K$139),1,0))</f>
        <v>0</v>
      </c>
      <c r="J144" s="82" t="inlineStr">
        <is>
          <t xml:space="preserve">|L|</t>
        </is>
      </c>
      <c r="K144" s="85">
        <f>SUM(B150:H150)</f>
        <v>0</v>
      </c>
    </row>
    <row r="145">
      <c r="A145" s="63" t="inlineStr">
        <is>
          <t xml:space="preserve">ρ(Sⱼ, Sᵢ)</t>
        </is>
      </c>
      <c r="B145" s="73">
        <f>IF($K$139=0,"—",INDEX('Zhuravlev Distances'!$B$5:$H$5,$K$139))</f>
        <v>6.6272117335</v>
      </c>
      <c r="C145" s="73">
        <f>IF($K$139=0,"—",INDEX('Zhuravlev Distances'!$B$6:$H$6,$K$139))</f>
        <v>6.3691657565</v>
      </c>
      <c r="D145" s="73">
        <f>IF($K$139=0,"—",INDEX('Zhuravlev Distances'!$B$7:$H$7,$K$139))</f>
        <v>6.2175670209</v>
      </c>
      <c r="E145" s="73">
        <f>IF($K$139=0,"—",INDEX('Zhuravlev Distances'!$B$8:$H$8,$K$139))</f>
        <v>0</v>
      </c>
      <c r="F145" s="73">
        <f>IF($K$139=0,"—",INDEX('Zhuravlev Distances'!$B$9:$H$9,$K$139))</f>
        <v>7.8491221835</v>
      </c>
      <c r="G145" s="73">
        <f>IF($K$139=0,"—",INDEX('Zhuravlev Distances'!$B$10:$H$10,$K$139))</f>
        <v>3.7071187508</v>
      </c>
      <c r="H145" s="73">
        <f>IF($K$139=0,"—",INDEX('Zhuravlev Distances'!$B$11:$H$11,$K$139))</f>
        <v>3.9109813746</v>
      </c>
      <c r="J145" s="82" t="inlineStr">
        <is>
          <t xml:space="preserve">Decision</t>
        </is>
      </c>
      <c r="K145" s="85" t="str">
        <f>IF(K139=0,"Step 6 · stop",IF(K144=0,"|L| = 0 → Sᵢ is only blocked and stays in F",IF(K144=1,"|L| = 1 → Sᵢ moves to D","|L| &gt; 1 → Step 5 corrects g")))</f>
        <v>|L| = 0 → Sᵢ is only blocked and stays in F</v>
      </c>
    </row>
    <row r="146">
      <c r="A146" s="63" t="inlineStr">
        <is>
          <t xml:space="preserve">r(Sⱼ)</t>
        </is>
      </c>
      <c r="B146" s="73">
        <f>'ERDR Characteristics'!$D$5</f>
        <v>5.60708061</v>
      </c>
      <c r="C146" s="73">
        <f>'ERDR Characteristics'!$D$6</f>
        <v>7.4699698919</v>
      </c>
      <c r="D146" s="73">
        <f>'ERDR Characteristics'!$D$7</f>
        <v>5.60708061</v>
      </c>
      <c r="E146" s="73">
        <f>'ERDR Characteristics'!$D$8</f>
        <v>3.7071187508</v>
      </c>
      <c r="F146" s="73">
        <f>'ERDR Characteristics'!$D$9</f>
        <v>7.1117040273</v>
      </c>
      <c r="G146" s="73">
        <f>'ERDR Characteristics'!$D$10</f>
        <v>3.7071187508</v>
      </c>
      <c r="H146" s="73">
        <f>'ERDR Characteristics'!$D$11</f>
        <v>3.9109813746</v>
      </c>
      <c r="J146" s="82" t="inlineStr">
        <is>
          <t xml:space="preserve">Step 5 · counters g: before → after</t>
        </is>
      </c>
      <c r="K146" s="85" t="str">
        <f>IF(SUM(B152:H152)=0,"—",MID(IF(B152=1,", "&amp;B$136&amp;": "&amp;B140&amp;" → "&amp;B153,"")&amp;IF(C152=1,", "&amp;C$136&amp;": "&amp;C140&amp;" → "&amp;C153,"")&amp;IF(D152=1,", "&amp;D$136&amp;": "&amp;D140&amp;" → "&amp;D153,"")&amp;IF(E152=1,", "&amp;E$136&amp;": "&amp;E140&amp;" → "&amp;E153,"")&amp;IF(F152=1,", "&amp;F$136&amp;": "&amp;F140&amp;" → "&amp;F153,"")&amp;IF(G152=1,", "&amp;G$136&amp;": "&amp;G140&amp;" → "&amp;G153,"")&amp;IF(H152=1,", "&amp;H$136&amp;": "&amp;H140&amp;" → "&amp;H153,""),3,300))</f>
        <v>—</v>
      </c>
    </row>
    <row r="147">
      <c r="A147" s="63" t="inlineStr">
        <is>
          <t xml:space="preserve">Sᵢ inside the sphere of Sⱼ:  ρ(Sⱼ, Sᵢ) &lt; r(Sⱼ)</t>
        </is>
      </c>
      <c r="B147" s="76">
        <f>IF($K$139=0,0,IF(B145&lt;B146,1,0))</f>
        <v>0</v>
      </c>
      <c r="C147" s="76">
        <f>IF($K$139=0,0,IF(C145&lt;C146,1,0))</f>
        <v>1</v>
      </c>
      <c r="D147" s="76">
        <f>IF($K$139=0,0,IF(D145&lt;D146,1,0))</f>
        <v>0</v>
      </c>
      <c r="E147" s="76">
        <f>IF($K$139=0,0,IF(E145&lt;E146,1,0))</f>
        <v>1</v>
      </c>
      <c r="F147" s="76">
        <f>IF($K$139=0,0,IF(F145&lt;F146,1,0))</f>
        <v>0</v>
      </c>
      <c r="G147" s="76">
        <f>IF($K$139=0,0,IF(G145&lt;G146,1,0))</f>
        <v>0</v>
      </c>
      <c r="H147" s="76">
        <f>IF($K$139=0,0,IF(H145&lt;H146,1,0))</f>
        <v>0</v>
      </c>
      <c r="J147" s="82" t="inlineStr">
        <is>
          <t xml:space="preserve">Moved to D</t>
        </is>
      </c>
      <c r="K147" s="85" t="str">
        <f>IF(SUM(B155:H155)=0,"—",MID(IF(B155=1,", "&amp;B$136&amp;IF(B151=1," (Step 4)"," (Step 5)"),"")&amp;IF(C155=1,", "&amp;C$136&amp;IF(C151=1," (Step 4)"," (Step 5)"),"")&amp;IF(D155=1,", "&amp;D$136&amp;IF(D151=1," (Step 4)"," (Step 5)"),"")&amp;IF(E155=1,", "&amp;E$136&amp;IF(E151=1," (Step 4)"," (Step 5)"),"")&amp;IF(F155=1,", "&amp;F$136&amp;IF(F151=1," (Step 4)"," (Step 5)"),"")&amp;IF(G155=1,", "&amp;G$136&amp;IF(G151=1," (Step 4)"," (Step 5)"),"")&amp;IF(H155=1,", "&amp;H$136&amp;IF(H151=1," (Step 4)"," (Step 5)"),""),3,300))</f>
        <v>—</v>
      </c>
    </row>
    <row r="148">
      <c r="A148" s="63" t="inlineStr">
        <is>
          <t xml:space="preserve">g(Sⱼ) &gt; 1</t>
        </is>
      </c>
      <c r="B148" s="76">
        <f>IF(B140&gt;1,1,0)</f>
        <v>0</v>
      </c>
      <c r="C148" s="76">
        <f>IF(C140&gt;1,1,0)</f>
        <v>1</v>
      </c>
      <c r="D148" s="76">
        <f>IF(D140&gt;1,1,0)</f>
        <v>1</v>
      </c>
      <c r="E148" s="76">
        <f>IF(E140&gt;1,1,0)</f>
        <v>0</v>
      </c>
      <c r="F148" s="76">
        <f>IF(F140&gt;1,1,0)</f>
        <v>0</v>
      </c>
      <c r="G148" s="76">
        <f>IF(G140&gt;1,1,0)</f>
        <v>0</v>
      </c>
      <c r="H148" s="76">
        <f>IF(H140&gt;1,1,0)</f>
        <v>0</v>
      </c>
      <c r="J148" s="82" t="inlineStr">
        <is>
          <t xml:space="preserve">|F| after</t>
        </is>
      </c>
      <c r="K148" s="85">
        <f>SUM(B156:H156)</f>
        <v>2</v>
      </c>
    </row>
    <row r="149">
      <c r="A149" s="63" t="inlineStr">
        <is>
          <t xml:space="preserve">Allowed by readings A (Sᵢ itself) and B (processed Sⱼ)</t>
        </is>
      </c>
      <c r="B149" s="76">
        <f>IF($K$139=0,0,IF($K$139=1,IF('Parameters'!$B$24=1,1,0),IF(OR('Parameters'!$B$25=1,B139=0),1,0)))</f>
        <v>1</v>
      </c>
      <c r="C149" s="76">
        <f>IF($K$139=0,0,IF($K$139=2,IF('Parameters'!$B$24=1,1,0),IF(OR('Parameters'!$B$25=1,C139=0),1,0)))</f>
        <v>1</v>
      </c>
      <c r="D149" s="76">
        <f>IF($K$139=0,0,IF($K$139=3,IF('Parameters'!$B$24=1,1,0),IF(OR('Parameters'!$B$25=1,D139=0),1,0)))</f>
        <v>1</v>
      </c>
      <c r="E149" s="76">
        <f>IF($K$139=0,0,IF($K$139=4,IF('Parameters'!$B$24=1,1,0),IF(OR('Parameters'!$B$25=1,E139=0),1,0)))</f>
        <v>1</v>
      </c>
      <c r="F149" s="76">
        <f>IF($K$139=0,0,IF($K$139=5,IF('Parameters'!$B$24=1,1,0),IF(OR('Parameters'!$B$25=1,F139=0),1,0)))</f>
        <v>1</v>
      </c>
      <c r="G149" s="76">
        <f>IF($K$139=0,0,IF($K$139=6,IF('Parameters'!$B$24=1,1,0),IF(OR('Parameters'!$B$25=1,G139=0),1,0)))</f>
        <v>1</v>
      </c>
      <c r="H149" s="76">
        <f>IF($K$139=0,0,IF($K$139=7,IF('Parameters'!$B$24=1,1,0),IF(OR('Parameters'!$B$25=1,H139=0),1,0)))</f>
        <v>1</v>
      </c>
      <c r="J149" s="82" t="inlineStr">
        <is>
          <t xml:space="preserve">|D| after</t>
        </is>
      </c>
      <c r="K149" s="85">
        <f>SUM(B159:H159)</f>
        <v>5</v>
      </c>
    </row>
    <row r="150">
      <c r="A150" s="63" t="inlineStr">
        <is>
          <t xml:space="preserve">Step 4 · Sⱼ ∈ L</t>
        </is>
      </c>
      <c r="B150" s="77">
        <f>B138*B144*B147*B148*B149</f>
        <v>0</v>
      </c>
      <c r="C150" s="77">
        <f>C138*C144*C147*C148*C149</f>
        <v>0</v>
      </c>
      <c r="D150" s="77">
        <f>D138*D144*D147*D148*D149</f>
        <v>0</v>
      </c>
      <c r="E150" s="77">
        <f>E138*E144*E147*E148*E149</f>
        <v>0</v>
      </c>
      <c r="F150" s="77">
        <f>F138*F144*F147*F148*F149</f>
        <v>0</v>
      </c>
      <c r="G150" s="77">
        <f>G138*G144*G147*G148*G149</f>
        <v>0</v>
      </c>
      <c r="H150" s="77">
        <f>H138*H144*H147*H148*H149</f>
        <v>0</v>
      </c>
      <c r="J150" s="82" t="inlineStr">
        <is>
          <t xml:space="preserve">Objects left in the queue</t>
        </is>
      </c>
      <c r="K150" s="85">
        <f>SUMPRODUCT(B156:H156*(1-B157:H157))</f>
        <v>0</v>
      </c>
    </row>
    <row r="151">
      <c r="A151" s="63" t="inlineStr">
        <is>
          <t xml:space="preserve">Step 4 · |L| = 1 → Sᵢ moves to D</t>
        </is>
      </c>
      <c r="B151" s="76">
        <f>IF(AND(B143=1,$K$144=1),1,0)</f>
        <v>0</v>
      </c>
      <c r="C151" s="76">
        <f>IF(AND(C143=1,$K$144=1),1,0)</f>
        <v>0</v>
      </c>
      <c r="D151" s="76">
        <f>IF(AND(D143=1,$K$144=1),1,0)</f>
        <v>0</v>
      </c>
      <c r="E151" s="76">
        <f>IF(AND(E143=1,$K$144=1),1,0)</f>
        <v>0</v>
      </c>
      <c r="F151" s="76">
        <f>IF(AND(F143=1,$K$144=1),1,0)</f>
        <v>0</v>
      </c>
      <c r="G151" s="76">
        <f>IF(AND(G143=1,$K$144=1),1,0)</f>
        <v>0</v>
      </c>
      <c r="H151" s="76">
        <f>IF(AND(H143=1,$K$144=1),1,0)</f>
        <v>0</v>
      </c>
      <c r="J151" s="82" t="inlineStr">
        <is>
          <t xml:space="preserve">Step 4 · Sᵢ blocked: d(Sᵢ) ← −(d + ε)</t>
        </is>
      </c>
      <c r="K151" s="96">
        <f>IF(K139=0,"—",-(INDEX('ERDR Characteristics'!$J$5:$J$11,K139)+'Parameters'!$B$17))</f>
        <v>-0.2539498997</v>
      </c>
    </row>
    <row r="152">
      <c r="A152" s="63" t="inlineStr">
        <is>
          <t xml:space="preserve">Step 5 · counter decreased (|L| &gt; 1)</t>
        </is>
      </c>
      <c r="B152" s="76">
        <f>IF($K$144&gt;1,B150,0)</f>
        <v>0</v>
      </c>
      <c r="C152" s="76">
        <f>IF($K$144&gt;1,C150*IF('Parameters'!$B$26=1,1,IF(SUMPRODUCT($B$150:B$150*($B$140:B$140=2))=0,1,0)),0)</f>
        <v>0</v>
      </c>
      <c r="D152" s="76">
        <f>IF($K$144&gt;1,D150*IF('Parameters'!$B$26=1,1,IF(SUMPRODUCT($B$150:C$150*($B$140:C$140=2))=0,1,0)),0)</f>
        <v>0</v>
      </c>
      <c r="E152" s="76">
        <f>IF($K$144&gt;1,E150*IF('Parameters'!$B$26=1,1,IF(SUMPRODUCT($B$150:D$150*($B$140:D$140=2))=0,1,0)),0)</f>
        <v>0</v>
      </c>
      <c r="F152" s="76">
        <f>IF($K$144&gt;1,F150*IF('Parameters'!$B$26=1,1,IF(SUMPRODUCT($B$150:E$150*($B$140:E$140=2))=0,1,0)),0)</f>
        <v>0</v>
      </c>
      <c r="G152" s="76">
        <f>IF($K$144&gt;1,G150*IF('Parameters'!$B$26=1,1,IF(SUMPRODUCT($B$150:F$150*($B$140:F$140=2))=0,1,0)),0)</f>
        <v>0</v>
      </c>
      <c r="H152" s="76">
        <f>IF($K$144&gt;1,H150*IF('Parameters'!$B$26=1,1,IF(SUMPRODUCT($B$150:G$150*($B$140:G$140=2))=0,1,0)),0)</f>
        <v>0</v>
      </c>
      <c r="J152" s="101" t="inlineStr">
        <is>
          <t xml:space="preserve"/>
        </is>
      </c>
      <c r="K152" s="101" t="inlineStr">
        <is>
          <t xml:space="preserve"/>
        </is>
      </c>
    </row>
    <row r="153">
      <c r="A153" s="63" t="inlineStr">
        <is>
          <t xml:space="preserve">g after the iteration</t>
        </is>
      </c>
      <c r="B153" s="80">
        <f>B140-B152</f>
        <v>1</v>
      </c>
      <c r="C153" s="80">
        <f>C140-C152</f>
        <v>2</v>
      </c>
      <c r="D153" s="80">
        <f>D140-D152</f>
        <v>2</v>
      </c>
      <c r="E153" s="80">
        <f>E140-E152</f>
        <v>1</v>
      </c>
      <c r="F153" s="80">
        <f>F140-F152</f>
        <v>1</v>
      </c>
      <c r="G153" s="80">
        <f>G140-G152</f>
        <v>1</v>
      </c>
      <c r="H153" s="80">
        <f>H140-H152</f>
        <v>1</v>
      </c>
      <c r="J153" s="101" t="inlineStr">
        <is>
          <t xml:space="preserve"/>
        </is>
      </c>
      <c r="K153" s="101" t="inlineStr">
        <is>
          <t xml:space="preserve"/>
        </is>
      </c>
    </row>
    <row r="154">
      <c r="A154" s="63" t="inlineStr">
        <is>
          <t xml:space="preserve">Step 5 · g fell to 1 → Sⱼ moves to D</t>
        </is>
      </c>
      <c r="B154" s="76">
        <f>IF(AND(B152=1,B153=1),1,0)</f>
        <v>0</v>
      </c>
      <c r="C154" s="76">
        <f>IF(AND(C152=1,C153=1),1,0)</f>
        <v>0</v>
      </c>
      <c r="D154" s="76">
        <f>IF(AND(D152=1,D153=1),1,0)</f>
        <v>0</v>
      </c>
      <c r="E154" s="76">
        <f>IF(AND(E152=1,E153=1),1,0)</f>
        <v>0</v>
      </c>
      <c r="F154" s="76">
        <f>IF(AND(F152=1,F153=1),1,0)</f>
        <v>0</v>
      </c>
      <c r="G154" s="76">
        <f>IF(AND(G152=1,G153=1),1,0)</f>
        <v>0</v>
      </c>
      <c r="H154" s="76">
        <f>IF(AND(H152=1,H153=1),1,0)</f>
        <v>0</v>
      </c>
      <c r="J154" s="101" t="inlineStr">
        <is>
          <t xml:space="preserve"/>
        </is>
      </c>
      <c r="K154" s="101" t="inlineStr">
        <is>
          <t xml:space="preserve"/>
        </is>
      </c>
    </row>
    <row r="155">
      <c r="A155" s="63" t="inlineStr">
        <is>
          <t xml:space="preserve">Moves to D in this iteration</t>
        </is>
      </c>
      <c r="B155" s="77">
        <f>B151+B154</f>
        <v>0</v>
      </c>
      <c r="C155" s="77">
        <f>C151+C154</f>
        <v>0</v>
      </c>
      <c r="D155" s="77">
        <f>D151+D154</f>
        <v>0</v>
      </c>
      <c r="E155" s="77">
        <f>E151+E154</f>
        <v>0</v>
      </c>
      <c r="F155" s="77">
        <f>F151+F154</f>
        <v>0</v>
      </c>
      <c r="G155" s="77">
        <f>G151+G154</f>
        <v>0</v>
      </c>
      <c r="H155" s="77">
        <f>H151+H154</f>
        <v>0</v>
      </c>
      <c r="J155" s="101" t="inlineStr">
        <is>
          <t xml:space="preserve"/>
        </is>
      </c>
      <c r="K155" s="101" t="inlineStr">
        <is>
          <t xml:space="preserve"/>
        </is>
      </c>
    </row>
    <row r="156">
      <c r="A156" s="63" t="inlineStr">
        <is>
          <t xml:space="preserve">In F after the iteration</t>
        </is>
      </c>
      <c r="B156" s="76">
        <f>B138-B155</f>
        <v>0</v>
      </c>
      <c r="C156" s="76">
        <f>C138-C155</f>
        <v>0</v>
      </c>
      <c r="D156" s="76">
        <f>D138-D155</f>
        <v>1</v>
      </c>
      <c r="E156" s="76">
        <f>E138-E155</f>
        <v>1</v>
      </c>
      <c r="F156" s="76">
        <f>F138-F155</f>
        <v>0</v>
      </c>
      <c r="G156" s="76">
        <f>G138-G155</f>
        <v>0</v>
      </c>
      <c r="H156" s="76">
        <f>H138-H155</f>
        <v>0</v>
      </c>
      <c r="J156" s="101" t="inlineStr">
        <is>
          <t xml:space="preserve"/>
        </is>
      </c>
      <c r="K156" s="101" t="inlineStr">
        <is>
          <t xml:space="preserve"/>
        </is>
      </c>
    </row>
    <row r="157">
      <c r="A157" s="63" t="inlineStr">
        <is>
          <t xml:space="preserve">Processed after the iteration</t>
        </is>
      </c>
      <c r="B157" s="76">
        <f>MIN(1,B139+B143)</f>
        <v>1</v>
      </c>
      <c r="C157" s="76">
        <f>MIN(1,C139+C143)</f>
        <v>1</v>
      </c>
      <c r="D157" s="76">
        <f>MIN(1,D139+D143)</f>
        <v>1</v>
      </c>
      <c r="E157" s="76">
        <f>MIN(1,E139+E143)</f>
        <v>1</v>
      </c>
      <c r="F157" s="76">
        <f>MIN(1,F139+F143)</f>
        <v>1</v>
      </c>
      <c r="G157" s="76">
        <f>MIN(1,G139+G143)</f>
        <v>1</v>
      </c>
      <c r="H157" s="76">
        <f>MIN(1,H139+H143)</f>
        <v>0</v>
      </c>
      <c r="J157" s="101" t="inlineStr">
        <is>
          <t xml:space="preserve"/>
        </is>
      </c>
      <c r="K157" s="101" t="inlineStr">
        <is>
          <t xml:space="preserve"/>
        </is>
      </c>
    </row>
    <row r="158">
      <c r="A158" s="63" t="inlineStr">
        <is>
          <t xml:space="preserve">d after (article: −(d + ε) once processed)</t>
        </is>
      </c>
      <c r="B158" s="73">
        <f>IF(B157=1,-('ERDR Characteristics'!$J$5+'Parameters'!$B$17),'ERDR Characteristics'!$J$5)</f>
        <v>-0.001</v>
      </c>
      <c r="C158" s="73">
        <f>IF(C157=1,-('ERDR Characteristics'!$J$6+'Parameters'!$B$17),'ERDR Characteristics'!$J$6)</f>
        <v>-0.0805428388</v>
      </c>
      <c r="D158" s="73">
        <f>IF(D157=1,-('ERDR Characteristics'!$J$7+'Parameters'!$B$17),'ERDR Characteristics'!$J$7)</f>
        <v>-0.001</v>
      </c>
      <c r="E158" s="73">
        <f>IF(E157=1,-('ERDR Characteristics'!$J$8+'Parameters'!$B$17),'ERDR Characteristics'!$J$8)</f>
        <v>-0.2539498997</v>
      </c>
      <c r="F158" s="73">
        <f>IF(F157=1,-('ERDR Characteristics'!$J$9+'Parameters'!$B$17),'ERDR Characteristics'!$J$9)</f>
        <v>-0.001</v>
      </c>
      <c r="G158" s="73">
        <f>IF(G157=1,-('ERDR Characteristics'!$J$10+'Parameters'!$B$17),'ERDR Characteristics'!$J$10)</f>
        <v>-0.1702169896</v>
      </c>
      <c r="H158" s="73">
        <f>IF(H157=1,-('ERDR Characteristics'!$J$11+'Parameters'!$B$17),'ERDR Characteristics'!$J$11)</f>
        <v>0.1252961741</v>
      </c>
      <c r="J158" s="101" t="inlineStr">
        <is>
          <t xml:space="preserve"/>
        </is>
      </c>
      <c r="K158" s="101" t="inlineStr">
        <is>
          <t xml:space="preserve"/>
        </is>
      </c>
    </row>
    <row r="159">
      <c r="A159" s="63" t="inlineStr">
        <is>
          <t xml:space="preserve">In D after the iteration</t>
        </is>
      </c>
      <c r="B159" s="76">
        <f>1-B156</f>
        <v>1</v>
      </c>
      <c r="C159" s="76">
        <f>1-C156</f>
        <v>1</v>
      </c>
      <c r="D159" s="76">
        <f>1-D156</f>
        <v>0</v>
      </c>
      <c r="E159" s="76">
        <f>1-E156</f>
        <v>0</v>
      </c>
      <c r="F159" s="76">
        <f>1-F156</f>
        <v>1</v>
      </c>
      <c r="G159" s="76">
        <f>1-G156</f>
        <v>1</v>
      </c>
      <c r="H159" s="76">
        <f>1-H156</f>
        <v>1</v>
      </c>
      <c r="J159" s="101" t="inlineStr">
        <is>
          <t xml:space="preserve"/>
        </is>
      </c>
      <c r="K159" s="101" t="inlineStr">
        <is>
          <t xml:space="preserve"/>
        </is>
      </c>
    </row>
    <row r="160"/>
    <row r="161">
      <c r="A161" s="59" t="str">
        <f>"Iteration 7  ·  "&amp;IF($K$165=0,"queue empty → Step 6 (stop)","Step 3 selects "&amp;$K$166&amp;"  ·  L = "&amp;$K$169&amp;"  ·  "&amp;$K$171)</f>
        <v>Iteration 7  ·  queue empty → Step 6 (stop)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59"/>
    </row>
    <row r="162">
      <c r="A162" s="61" t="inlineStr">
        <is>
          <t xml:space="preserve">Row</t>
        </is>
      </c>
      <c r="B162" s="60" t="inlineStr">
        <is>
          <t xml:space="preserve">S₁</t>
        </is>
      </c>
      <c r="C162" s="60" t="inlineStr">
        <is>
          <t xml:space="preserve">S₂</t>
        </is>
      </c>
      <c r="D162" s="60" t="inlineStr">
        <is>
          <t xml:space="preserve">S₃</t>
        </is>
      </c>
      <c r="E162" s="60" t="inlineStr">
        <is>
          <t xml:space="preserve">S₄</t>
        </is>
      </c>
      <c r="F162" s="60" t="inlineStr">
        <is>
          <t xml:space="preserve">S₅</t>
        </is>
      </c>
      <c r="G162" s="60" t="inlineStr">
        <is>
          <t xml:space="preserve">S₆</t>
        </is>
      </c>
      <c r="H162" s="60" t="inlineStr">
        <is>
          <t xml:space="preserve">S₇</t>
        </is>
      </c>
      <c r="J162" s="61" t="inlineStr">
        <is>
          <t xml:space="preserve">Iteration summary</t>
        </is>
      </c>
      <c r="K162" s="61" t="inlineStr">
        <is>
          <t xml:space="preserve">Value</t>
        </is>
      </c>
    </row>
    <row r="163">
      <c r="A163" s="63" t="inlineStr">
        <is>
          <t xml:space="preserve">Class</t>
        </is>
      </c>
      <c r="B163" s="68">
        <f>'Dataset'!$P$5</f>
        <v>2</v>
      </c>
      <c r="C163" s="68">
        <f>'Dataset'!$P$6</f>
        <v>2</v>
      </c>
      <c r="D163" s="68">
        <f>'Dataset'!$P$7</f>
        <v>1</v>
      </c>
      <c r="E163" s="68">
        <f>'Dataset'!$P$8</f>
        <v>2</v>
      </c>
      <c r="F163" s="68">
        <f>'Dataset'!$P$9</f>
        <v>2</v>
      </c>
      <c r="G163" s="68">
        <f>'Dataset'!$P$10</f>
        <v>1</v>
      </c>
      <c r="H163" s="68">
        <f>'Dataset'!$P$11</f>
        <v>1</v>
      </c>
      <c r="J163" s="82" t="inlineStr">
        <is>
          <t xml:space="preserve">Queue length (Step 2)</t>
        </is>
      </c>
      <c r="K163" s="85">
        <f>SUM(B167:H167)</f>
        <v>0</v>
      </c>
    </row>
    <row r="164">
      <c r="A164" s="63" t="inlineStr">
        <is>
          <t xml:space="preserve">In F before the iteration (1 = in the working set)</t>
        </is>
      </c>
      <c r="B164" s="76">
        <f>B156</f>
        <v>0</v>
      </c>
      <c r="C164" s="76">
        <f>C156</f>
        <v>0</v>
      </c>
      <c r="D164" s="76">
        <f>D156</f>
        <v>1</v>
      </c>
      <c r="E164" s="76">
        <f>E156</f>
        <v>1</v>
      </c>
      <c r="F164" s="76">
        <f>F156</f>
        <v>0</v>
      </c>
      <c r="G164" s="76">
        <f>G156</f>
        <v>0</v>
      </c>
      <c r="H164" s="76">
        <f>H156</f>
        <v>0</v>
      </c>
      <c r="J164" s="82" t="inlineStr">
        <is>
          <t xml:space="preserve">Smallest queue key</t>
        </is>
      </c>
      <c r="K164" s="85">
        <f>MIN(B168:H168)</f>
        <v>99</v>
      </c>
    </row>
    <row r="165">
      <c r="A165" s="63" t="inlineStr">
        <is>
          <t xml:space="preserve">Processed before (blocked: d &lt; 0)</t>
        </is>
      </c>
      <c r="B165" s="76">
        <f>B157</f>
        <v>1</v>
      </c>
      <c r="C165" s="76">
        <f>C157</f>
        <v>1</v>
      </c>
      <c r="D165" s="76">
        <f>D157</f>
        <v>1</v>
      </c>
      <c r="E165" s="76">
        <f>E157</f>
        <v>1</v>
      </c>
      <c r="F165" s="76">
        <f>F157</f>
        <v>1</v>
      </c>
      <c r="G165" s="76">
        <f>G157</f>
        <v>1</v>
      </c>
      <c r="H165" s="76">
        <f>H157</f>
        <v>0</v>
      </c>
      <c r="J165" s="82" t="inlineStr">
        <is>
          <t xml:space="preserve">Selected index i (0 = queue empty)</t>
        </is>
      </c>
      <c r="K165" s="85">
        <f>IF(K164=99,0,MATCH(K164,B168:H168,0))</f>
        <v>0</v>
      </c>
    </row>
    <row r="166">
      <c r="A166" s="63" t="inlineStr">
        <is>
          <t xml:space="preserve">g before the iteration</t>
        </is>
      </c>
      <c r="B166" s="80">
        <f>B153</f>
        <v>1</v>
      </c>
      <c r="C166" s="80">
        <f>C153</f>
        <v>2</v>
      </c>
      <c r="D166" s="80">
        <f>D153</f>
        <v>2</v>
      </c>
      <c r="E166" s="80">
        <f>E153</f>
        <v>1</v>
      </c>
      <c r="F166" s="80">
        <f>F153</f>
        <v>1</v>
      </c>
      <c r="G166" s="80">
        <f>G153</f>
        <v>1</v>
      </c>
      <c r="H166" s="80">
        <f>H153</f>
        <v>1</v>
      </c>
      <c r="J166" s="82" t="inlineStr">
        <is>
          <t xml:space="preserve">Step 3 · selected Sᵢ</t>
        </is>
      </c>
      <c r="K166" s="85" t="str">
        <f>IF(K165=0,"— (queue empty → Step 6)",INDEX(B162:H162,K165))</f>
        <v>— (queue empty → Step 6)</v>
      </c>
    </row>
    <row r="167">
      <c r="A167" s="63" t="inlineStr">
        <is>
          <t xml:space="preserve">Step 2 · in the queue: in F and not processed</t>
        </is>
      </c>
      <c r="B167" s="76">
        <f>IF(AND(B164=1,B165=0),1,0)</f>
        <v>0</v>
      </c>
      <c r="C167" s="76">
        <f>IF(AND(C164=1,C165=0),1,0)</f>
        <v>0</v>
      </c>
      <c r="D167" s="76">
        <f>IF(AND(D164=1,D165=0),1,0)</f>
        <v>0</v>
      </c>
      <c r="E167" s="76">
        <f>IF(AND(E164=1,E165=0),1,0)</f>
        <v>0</v>
      </c>
      <c r="F167" s="76">
        <f>IF(AND(F164=1,F165=0),1,0)</f>
        <v>0</v>
      </c>
      <c r="G167" s="76">
        <f>IF(AND(G164=1,G165=0),1,0)</f>
        <v>0</v>
      </c>
      <c r="H167" s="76">
        <f>IF(AND(H164=1,H165=0),1,0)</f>
        <v>0</v>
      </c>
      <c r="J167" s="82" t="inlineStr">
        <is>
          <t xml:space="preserve">d(Sᵢ)</t>
        </is>
      </c>
      <c r="K167" s="96" t="str">
        <f>IF(K165=0,"—",INDEX('ERDR Characteristics'!$J$5:$J$11,K165))</f>
        <v>—</v>
      </c>
    </row>
    <row r="168">
      <c r="A168" s="63" t="inlineStr">
        <is>
          <t xml:space="preserve">Step 2 · queue key = priority position (99 = not in the queue)</t>
        </is>
      </c>
      <c r="B168" s="76">
        <f>IF(B167=1,'ERDR Characteristics'!$K$5,99)</f>
        <v>99</v>
      </c>
      <c r="C168" s="76">
        <f>IF(C167=1,'ERDR Characteristics'!$K$6,99)</f>
        <v>99</v>
      </c>
      <c r="D168" s="76">
        <f>IF(D167=1,'ERDR Characteristics'!$K$7,99)</f>
        <v>99</v>
      </c>
      <c r="E168" s="76">
        <f>IF(E167=1,'ERDR Characteristics'!$K$8,99)</f>
        <v>99</v>
      </c>
      <c r="F168" s="76">
        <f>IF(F167=1,'ERDR Characteristics'!$K$9,99)</f>
        <v>99</v>
      </c>
      <c r="G168" s="76">
        <f>IF(G167=1,'ERDR Characteristics'!$K$10,99)</f>
        <v>99</v>
      </c>
      <c r="H168" s="76">
        <f>IF(H167=1,'ERDR Characteristics'!$K$11,99)</f>
        <v>99</v>
      </c>
      <c r="J168" s="82" t="inlineStr">
        <is>
          <t xml:space="preserve">r(Sᵢ)</t>
        </is>
      </c>
      <c r="K168" s="96" t="str">
        <f>IF(K165=0,"—",INDEX('ERDR Characteristics'!$D$5:$D$11,K165))</f>
        <v>—</v>
      </c>
    </row>
    <row r="169">
      <c r="A169" s="63" t="inlineStr">
        <is>
          <t xml:space="preserve">Step 3 · selected Sᵢ (smallest key)</t>
        </is>
      </c>
      <c r="B169" s="77">
        <f>IF($K$165=1,1,0)</f>
        <v>0</v>
      </c>
      <c r="C169" s="77">
        <f>IF($K$165=2,1,0)</f>
        <v>0</v>
      </c>
      <c r="D169" s="77">
        <f>IF($K$165=3,1,0)</f>
        <v>0</v>
      </c>
      <c r="E169" s="77">
        <f>IF($K$165=4,1,0)</f>
        <v>0</v>
      </c>
      <c r="F169" s="77">
        <f>IF($K$165=5,1,0)</f>
        <v>0</v>
      </c>
      <c r="G169" s="77">
        <f>IF($K$165=6,1,0)</f>
        <v>0</v>
      </c>
      <c r="H169" s="77">
        <f>IF($K$165=7,1,0)</f>
        <v>0</v>
      </c>
      <c r="J169" s="82" t="inlineStr">
        <is>
          <t xml:space="preserve">Step 4 · L</t>
        </is>
      </c>
      <c r="K169" s="85" t="str">
        <f>IF(K170=0,"∅","{"&amp;MID(IF(B176=1,", "&amp;B$162,"")&amp;IF(C176=1,", "&amp;C$162,"")&amp;IF(D176=1,", "&amp;D$162,"")&amp;IF(E176=1,", "&amp;E$162,"")&amp;IF(F176=1,", "&amp;F$162,"")&amp;IF(G176=1,", "&amp;G$162,"")&amp;IF(H176=1,", "&amp;H$162,""),3,200)&amp;"}")</f>
        <v>∅</v>
      </c>
    </row>
    <row r="170">
      <c r="A170" s="63" t="inlineStr">
        <is>
          <t xml:space="preserve">Same class as Sᵢ</t>
        </is>
      </c>
      <c r="B170" s="76">
        <f>IF($K$165=0,0,IF(B163=INDEX($B$163:$H$163,$K$165),1,0))</f>
        <v>0</v>
      </c>
      <c r="C170" s="76">
        <f>IF($K$165=0,0,IF(C163=INDEX($B$163:$H$163,$K$165),1,0))</f>
        <v>0</v>
      </c>
      <c r="D170" s="76">
        <f>IF($K$165=0,0,IF(D163=INDEX($B$163:$H$163,$K$165),1,0))</f>
        <v>0</v>
      </c>
      <c r="E170" s="76">
        <f>IF($K$165=0,0,IF(E163=INDEX($B$163:$H$163,$K$165),1,0))</f>
        <v>0</v>
      </c>
      <c r="F170" s="76">
        <f>IF($K$165=0,0,IF(F163=INDEX($B$163:$H$163,$K$165),1,0))</f>
        <v>0</v>
      </c>
      <c r="G170" s="76">
        <f>IF($K$165=0,0,IF(G163=INDEX($B$163:$H$163,$K$165),1,0))</f>
        <v>0</v>
      </c>
      <c r="H170" s="76">
        <f>IF($K$165=0,0,IF(H163=INDEX($B$163:$H$163,$K$165),1,0))</f>
        <v>0</v>
      </c>
      <c r="J170" s="82" t="inlineStr">
        <is>
          <t xml:space="preserve">|L|</t>
        </is>
      </c>
      <c r="K170" s="85">
        <f>SUM(B176:H176)</f>
        <v>0</v>
      </c>
    </row>
    <row r="171">
      <c r="A171" s="63" t="inlineStr">
        <is>
          <t xml:space="preserve">ρ(Sⱼ, Sᵢ)</t>
        </is>
      </c>
      <c r="B171" s="73" t="str">
        <f>IF($K$165=0,"—",INDEX('Zhuravlev Distances'!$B$5:$H$5,$K$165))</f>
        <v>—</v>
      </c>
      <c r="C171" s="73" t="str">
        <f>IF($K$165=0,"—",INDEX('Zhuravlev Distances'!$B$6:$H$6,$K$165))</f>
        <v>—</v>
      </c>
      <c r="D171" s="73" t="str">
        <f>IF($K$165=0,"—",INDEX('Zhuravlev Distances'!$B$7:$H$7,$K$165))</f>
        <v>—</v>
      </c>
      <c r="E171" s="73" t="str">
        <f>IF($K$165=0,"—",INDEX('Zhuravlev Distances'!$B$8:$H$8,$K$165))</f>
        <v>—</v>
      </c>
      <c r="F171" s="73" t="str">
        <f>IF($K$165=0,"—",INDEX('Zhuravlev Distances'!$B$9:$H$9,$K$165))</f>
        <v>—</v>
      </c>
      <c r="G171" s="73" t="str">
        <f>IF($K$165=0,"—",INDEX('Zhuravlev Distances'!$B$10:$H$10,$K$165))</f>
        <v>—</v>
      </c>
      <c r="H171" s="73" t="str">
        <f>IF($K$165=0,"—",INDEX('Zhuravlev Distances'!$B$11:$H$11,$K$165))</f>
        <v>—</v>
      </c>
      <c r="J171" s="82" t="inlineStr">
        <is>
          <t xml:space="preserve">Decision</t>
        </is>
      </c>
      <c r="K171" s="85" t="str">
        <f>IF(K165=0,"Step 6 · stop",IF(K170=0,"|L| = 0 → Sᵢ is only blocked and stays in F",IF(K170=1,"|L| = 1 → Sᵢ moves to D","|L| &gt; 1 → Step 5 corrects g")))</f>
        <v>Step 6 · stop</v>
      </c>
    </row>
    <row r="172">
      <c r="A172" s="63" t="inlineStr">
        <is>
          <t xml:space="preserve">r(Sⱼ)</t>
        </is>
      </c>
      <c r="B172" s="73">
        <f>'ERDR Characteristics'!$D$5</f>
        <v>5.60708061</v>
      </c>
      <c r="C172" s="73">
        <f>'ERDR Characteristics'!$D$6</f>
        <v>7.4699698919</v>
      </c>
      <c r="D172" s="73">
        <f>'ERDR Characteristics'!$D$7</f>
        <v>5.60708061</v>
      </c>
      <c r="E172" s="73">
        <f>'ERDR Characteristics'!$D$8</f>
        <v>3.7071187508</v>
      </c>
      <c r="F172" s="73">
        <f>'ERDR Characteristics'!$D$9</f>
        <v>7.1117040273</v>
      </c>
      <c r="G172" s="73">
        <f>'ERDR Characteristics'!$D$10</f>
        <v>3.7071187508</v>
      </c>
      <c r="H172" s="73">
        <f>'ERDR Characteristics'!$D$11</f>
        <v>3.9109813746</v>
      </c>
      <c r="J172" s="82" t="inlineStr">
        <is>
          <t xml:space="preserve">Step 5 · counters g: before → after</t>
        </is>
      </c>
      <c r="K172" s="85" t="str">
        <f>IF(SUM(B178:H178)=0,"—",MID(IF(B178=1,", "&amp;B$162&amp;": "&amp;B166&amp;" → "&amp;B179,"")&amp;IF(C178=1,", "&amp;C$162&amp;": "&amp;C166&amp;" → "&amp;C179,"")&amp;IF(D178=1,", "&amp;D$162&amp;": "&amp;D166&amp;" → "&amp;D179,"")&amp;IF(E178=1,", "&amp;E$162&amp;": "&amp;E166&amp;" → "&amp;E179,"")&amp;IF(F178=1,", "&amp;F$162&amp;": "&amp;F166&amp;" → "&amp;F179,"")&amp;IF(G178=1,", "&amp;G$162&amp;": "&amp;G166&amp;" → "&amp;G179,"")&amp;IF(H178=1,", "&amp;H$162&amp;": "&amp;H166&amp;" → "&amp;H179,""),3,300))</f>
        <v>—</v>
      </c>
    </row>
    <row r="173">
      <c r="A173" s="63" t="inlineStr">
        <is>
          <t xml:space="preserve">Sᵢ inside the sphere of Sⱼ:  ρ(Sⱼ, Sᵢ) &lt; r(Sⱼ)</t>
        </is>
      </c>
      <c r="B173" s="76">
        <f>IF($K$165=0,0,IF(B171&lt;B172,1,0))</f>
        <v>0</v>
      </c>
      <c r="C173" s="76">
        <f>IF($K$165=0,0,IF(C171&lt;C172,1,0))</f>
        <v>0</v>
      </c>
      <c r="D173" s="76">
        <f>IF($K$165=0,0,IF(D171&lt;D172,1,0))</f>
        <v>0</v>
      </c>
      <c r="E173" s="76">
        <f>IF($K$165=0,0,IF(E171&lt;E172,1,0))</f>
        <v>0</v>
      </c>
      <c r="F173" s="76">
        <f>IF($K$165=0,0,IF(F171&lt;F172,1,0))</f>
        <v>0</v>
      </c>
      <c r="G173" s="76">
        <f>IF($K$165=0,0,IF(G171&lt;G172,1,0))</f>
        <v>0</v>
      </c>
      <c r="H173" s="76">
        <f>IF($K$165=0,0,IF(H171&lt;H172,1,0))</f>
        <v>0</v>
      </c>
      <c r="J173" s="82" t="inlineStr">
        <is>
          <t xml:space="preserve">Moved to D</t>
        </is>
      </c>
      <c r="K173" s="85" t="str">
        <f>IF(SUM(B181:H181)=0,"—",MID(IF(B181=1,", "&amp;B$162&amp;IF(B177=1," (Step 4)"," (Step 5)"),"")&amp;IF(C181=1,", "&amp;C$162&amp;IF(C177=1," (Step 4)"," (Step 5)"),"")&amp;IF(D181=1,", "&amp;D$162&amp;IF(D177=1," (Step 4)"," (Step 5)"),"")&amp;IF(E181=1,", "&amp;E$162&amp;IF(E177=1," (Step 4)"," (Step 5)"),"")&amp;IF(F181=1,", "&amp;F$162&amp;IF(F177=1," (Step 4)"," (Step 5)"),"")&amp;IF(G181=1,", "&amp;G$162&amp;IF(G177=1," (Step 4)"," (Step 5)"),"")&amp;IF(H181=1,", "&amp;H$162&amp;IF(H177=1," (Step 4)"," (Step 5)"),""),3,300))</f>
        <v>—</v>
      </c>
    </row>
    <row r="174">
      <c r="A174" s="63" t="inlineStr">
        <is>
          <t xml:space="preserve">g(Sⱼ) &gt; 1</t>
        </is>
      </c>
      <c r="B174" s="76">
        <f>IF(B166&gt;1,1,0)</f>
        <v>0</v>
      </c>
      <c r="C174" s="76">
        <f>IF(C166&gt;1,1,0)</f>
        <v>1</v>
      </c>
      <c r="D174" s="76">
        <f>IF(D166&gt;1,1,0)</f>
        <v>1</v>
      </c>
      <c r="E174" s="76">
        <f>IF(E166&gt;1,1,0)</f>
        <v>0</v>
      </c>
      <c r="F174" s="76">
        <f>IF(F166&gt;1,1,0)</f>
        <v>0</v>
      </c>
      <c r="G174" s="76">
        <f>IF(G166&gt;1,1,0)</f>
        <v>0</v>
      </c>
      <c r="H174" s="76">
        <f>IF(H166&gt;1,1,0)</f>
        <v>0</v>
      </c>
      <c r="J174" s="82" t="inlineStr">
        <is>
          <t xml:space="preserve">|F| after</t>
        </is>
      </c>
      <c r="K174" s="85">
        <f>SUM(B182:H182)</f>
        <v>2</v>
      </c>
    </row>
    <row r="175">
      <c r="A175" s="63" t="inlineStr">
        <is>
          <t xml:space="preserve">Allowed by readings A (Sᵢ itself) and B (processed Sⱼ)</t>
        </is>
      </c>
      <c r="B175" s="76">
        <f>IF($K$165=0,0,IF($K$165=1,IF('Parameters'!$B$24=1,1,0),IF(OR('Parameters'!$B$25=1,B165=0),1,0)))</f>
        <v>0</v>
      </c>
      <c r="C175" s="76">
        <f>IF($K$165=0,0,IF($K$165=2,IF('Parameters'!$B$24=1,1,0),IF(OR('Parameters'!$B$25=1,C165=0),1,0)))</f>
        <v>0</v>
      </c>
      <c r="D175" s="76">
        <f>IF($K$165=0,0,IF($K$165=3,IF('Parameters'!$B$24=1,1,0),IF(OR('Parameters'!$B$25=1,D165=0),1,0)))</f>
        <v>0</v>
      </c>
      <c r="E175" s="76">
        <f>IF($K$165=0,0,IF($K$165=4,IF('Parameters'!$B$24=1,1,0),IF(OR('Parameters'!$B$25=1,E165=0),1,0)))</f>
        <v>0</v>
      </c>
      <c r="F175" s="76">
        <f>IF($K$165=0,0,IF($K$165=5,IF('Parameters'!$B$24=1,1,0),IF(OR('Parameters'!$B$25=1,F165=0),1,0)))</f>
        <v>0</v>
      </c>
      <c r="G175" s="76">
        <f>IF($K$165=0,0,IF($K$165=6,IF('Parameters'!$B$24=1,1,0),IF(OR('Parameters'!$B$25=1,G165=0),1,0)))</f>
        <v>0</v>
      </c>
      <c r="H175" s="76">
        <f>IF($K$165=0,0,IF($K$165=7,IF('Parameters'!$B$24=1,1,0),IF(OR('Parameters'!$B$25=1,H165=0),1,0)))</f>
        <v>0</v>
      </c>
      <c r="J175" s="82" t="inlineStr">
        <is>
          <t xml:space="preserve">|D| after</t>
        </is>
      </c>
      <c r="K175" s="85">
        <f>SUM(B185:H185)</f>
        <v>5</v>
      </c>
    </row>
    <row r="176">
      <c r="A176" s="63" t="inlineStr">
        <is>
          <t xml:space="preserve">Step 4 · Sⱼ ∈ L</t>
        </is>
      </c>
      <c r="B176" s="77">
        <f>B164*B170*B173*B174*B175</f>
        <v>0</v>
      </c>
      <c r="C176" s="77">
        <f>C164*C170*C173*C174*C175</f>
        <v>0</v>
      </c>
      <c r="D176" s="77">
        <f>D164*D170*D173*D174*D175</f>
        <v>0</v>
      </c>
      <c r="E176" s="77">
        <f>E164*E170*E173*E174*E175</f>
        <v>0</v>
      </c>
      <c r="F176" s="77">
        <f>F164*F170*F173*F174*F175</f>
        <v>0</v>
      </c>
      <c r="G176" s="77">
        <f>G164*G170*G173*G174*G175</f>
        <v>0</v>
      </c>
      <c r="H176" s="77">
        <f>H164*H170*H173*H174*H175</f>
        <v>0</v>
      </c>
      <c r="J176" s="82" t="inlineStr">
        <is>
          <t xml:space="preserve">Objects left in the queue</t>
        </is>
      </c>
      <c r="K176" s="85">
        <f>SUMPRODUCT(B182:H182*(1-B183:H183))</f>
        <v>0</v>
      </c>
    </row>
    <row r="177">
      <c r="A177" s="63" t="inlineStr">
        <is>
          <t xml:space="preserve">Step 4 · |L| = 1 → Sᵢ moves to D</t>
        </is>
      </c>
      <c r="B177" s="76">
        <f>IF(AND(B169=1,$K$170=1),1,0)</f>
        <v>0</v>
      </c>
      <c r="C177" s="76">
        <f>IF(AND(C169=1,$K$170=1),1,0)</f>
        <v>0</v>
      </c>
      <c r="D177" s="76">
        <f>IF(AND(D169=1,$K$170=1),1,0)</f>
        <v>0</v>
      </c>
      <c r="E177" s="76">
        <f>IF(AND(E169=1,$K$170=1),1,0)</f>
        <v>0</v>
      </c>
      <c r="F177" s="76">
        <f>IF(AND(F169=1,$K$170=1),1,0)</f>
        <v>0</v>
      </c>
      <c r="G177" s="76">
        <f>IF(AND(G169=1,$K$170=1),1,0)</f>
        <v>0</v>
      </c>
      <c r="H177" s="76">
        <f>IF(AND(H169=1,$K$170=1),1,0)</f>
        <v>0</v>
      </c>
      <c r="J177" s="82" t="inlineStr">
        <is>
          <t xml:space="preserve">Step 4 · Sᵢ blocked: d(Sᵢ) ← −(d + ε)</t>
        </is>
      </c>
      <c r="K177" s="96" t="str">
        <f>IF(K165=0,"—",-(INDEX('ERDR Characteristics'!$J$5:$J$11,K165)+'Parameters'!$B$17))</f>
        <v>—</v>
      </c>
    </row>
    <row r="178">
      <c r="A178" s="63" t="inlineStr">
        <is>
          <t xml:space="preserve">Step 5 · counter decreased (|L| &gt; 1)</t>
        </is>
      </c>
      <c r="B178" s="76">
        <f>IF($K$170&gt;1,B176,0)</f>
        <v>0</v>
      </c>
      <c r="C178" s="76">
        <f>IF($K$170&gt;1,C176*IF('Parameters'!$B$26=1,1,IF(SUMPRODUCT($B$176:B$176*($B$166:B$166=2))=0,1,0)),0)</f>
        <v>0</v>
      </c>
      <c r="D178" s="76">
        <f>IF($K$170&gt;1,D176*IF('Parameters'!$B$26=1,1,IF(SUMPRODUCT($B$176:C$176*($B$166:C$166=2))=0,1,0)),0)</f>
        <v>0</v>
      </c>
      <c r="E178" s="76">
        <f>IF($K$170&gt;1,E176*IF('Parameters'!$B$26=1,1,IF(SUMPRODUCT($B$176:D$176*($B$166:D$166=2))=0,1,0)),0)</f>
        <v>0</v>
      </c>
      <c r="F178" s="76">
        <f>IF($K$170&gt;1,F176*IF('Parameters'!$B$26=1,1,IF(SUMPRODUCT($B$176:E$176*($B$166:E$166=2))=0,1,0)),0)</f>
        <v>0</v>
      </c>
      <c r="G178" s="76">
        <f>IF($K$170&gt;1,G176*IF('Parameters'!$B$26=1,1,IF(SUMPRODUCT($B$176:F$176*($B$166:F$166=2))=0,1,0)),0)</f>
        <v>0</v>
      </c>
      <c r="H178" s="76">
        <f>IF($K$170&gt;1,H176*IF('Parameters'!$B$26=1,1,IF(SUMPRODUCT($B$176:G$176*($B$166:G$166=2))=0,1,0)),0)</f>
        <v>0</v>
      </c>
      <c r="J178" s="101" t="inlineStr">
        <is>
          <t xml:space="preserve"/>
        </is>
      </c>
      <c r="K178" s="101" t="inlineStr">
        <is>
          <t xml:space="preserve"/>
        </is>
      </c>
    </row>
    <row r="179">
      <c r="A179" s="63" t="inlineStr">
        <is>
          <t xml:space="preserve">g after the iteration</t>
        </is>
      </c>
      <c r="B179" s="80">
        <f>B166-B178</f>
        <v>1</v>
      </c>
      <c r="C179" s="80">
        <f>C166-C178</f>
        <v>2</v>
      </c>
      <c r="D179" s="80">
        <f>D166-D178</f>
        <v>2</v>
      </c>
      <c r="E179" s="80">
        <f>E166-E178</f>
        <v>1</v>
      </c>
      <c r="F179" s="80">
        <f>F166-F178</f>
        <v>1</v>
      </c>
      <c r="G179" s="80">
        <f>G166-G178</f>
        <v>1</v>
      </c>
      <c r="H179" s="80">
        <f>H166-H178</f>
        <v>1</v>
      </c>
      <c r="J179" s="101" t="inlineStr">
        <is>
          <t xml:space="preserve"/>
        </is>
      </c>
      <c r="K179" s="101" t="inlineStr">
        <is>
          <t xml:space="preserve"/>
        </is>
      </c>
    </row>
    <row r="180">
      <c r="A180" s="63" t="inlineStr">
        <is>
          <t xml:space="preserve">Step 5 · g fell to 1 → Sⱼ moves to D</t>
        </is>
      </c>
      <c r="B180" s="76">
        <f>IF(AND(B178=1,B179=1),1,0)</f>
        <v>0</v>
      </c>
      <c r="C180" s="76">
        <f>IF(AND(C178=1,C179=1),1,0)</f>
        <v>0</v>
      </c>
      <c r="D180" s="76">
        <f>IF(AND(D178=1,D179=1),1,0)</f>
        <v>0</v>
      </c>
      <c r="E180" s="76">
        <f>IF(AND(E178=1,E179=1),1,0)</f>
        <v>0</v>
      </c>
      <c r="F180" s="76">
        <f>IF(AND(F178=1,F179=1),1,0)</f>
        <v>0</v>
      </c>
      <c r="G180" s="76">
        <f>IF(AND(G178=1,G179=1),1,0)</f>
        <v>0</v>
      </c>
      <c r="H180" s="76">
        <f>IF(AND(H178=1,H179=1),1,0)</f>
        <v>0</v>
      </c>
      <c r="J180" s="101" t="inlineStr">
        <is>
          <t xml:space="preserve"/>
        </is>
      </c>
      <c r="K180" s="101" t="inlineStr">
        <is>
          <t xml:space="preserve"/>
        </is>
      </c>
    </row>
    <row r="181">
      <c r="A181" s="63" t="inlineStr">
        <is>
          <t xml:space="preserve">Moves to D in this iteration</t>
        </is>
      </c>
      <c r="B181" s="77">
        <f>B177+B180</f>
        <v>0</v>
      </c>
      <c r="C181" s="77">
        <f>C177+C180</f>
        <v>0</v>
      </c>
      <c r="D181" s="77">
        <f>D177+D180</f>
        <v>0</v>
      </c>
      <c r="E181" s="77">
        <f>E177+E180</f>
        <v>0</v>
      </c>
      <c r="F181" s="77">
        <f>F177+F180</f>
        <v>0</v>
      </c>
      <c r="G181" s="77">
        <f>G177+G180</f>
        <v>0</v>
      </c>
      <c r="H181" s="77">
        <f>H177+H180</f>
        <v>0</v>
      </c>
      <c r="J181" s="101" t="inlineStr">
        <is>
          <t xml:space="preserve"/>
        </is>
      </c>
      <c r="K181" s="101" t="inlineStr">
        <is>
          <t xml:space="preserve"/>
        </is>
      </c>
    </row>
    <row r="182">
      <c r="A182" s="63" t="inlineStr">
        <is>
          <t xml:space="preserve">In F after the iteration</t>
        </is>
      </c>
      <c r="B182" s="76">
        <f>B164-B181</f>
        <v>0</v>
      </c>
      <c r="C182" s="76">
        <f>C164-C181</f>
        <v>0</v>
      </c>
      <c r="D182" s="76">
        <f>D164-D181</f>
        <v>1</v>
      </c>
      <c r="E182" s="76">
        <f>E164-E181</f>
        <v>1</v>
      </c>
      <c r="F182" s="76">
        <f>F164-F181</f>
        <v>0</v>
      </c>
      <c r="G182" s="76">
        <f>G164-G181</f>
        <v>0</v>
      </c>
      <c r="H182" s="76">
        <f>H164-H181</f>
        <v>0</v>
      </c>
      <c r="J182" s="101" t="inlineStr">
        <is>
          <t xml:space="preserve"/>
        </is>
      </c>
      <c r="K182" s="101" t="inlineStr">
        <is>
          <t xml:space="preserve"/>
        </is>
      </c>
    </row>
    <row r="183">
      <c r="A183" s="63" t="inlineStr">
        <is>
          <t xml:space="preserve">Processed after the iteration</t>
        </is>
      </c>
      <c r="B183" s="76">
        <f>MIN(1,B165+B169)</f>
        <v>1</v>
      </c>
      <c r="C183" s="76">
        <f>MIN(1,C165+C169)</f>
        <v>1</v>
      </c>
      <c r="D183" s="76">
        <f>MIN(1,D165+D169)</f>
        <v>1</v>
      </c>
      <c r="E183" s="76">
        <f>MIN(1,E165+E169)</f>
        <v>1</v>
      </c>
      <c r="F183" s="76">
        <f>MIN(1,F165+F169)</f>
        <v>1</v>
      </c>
      <c r="G183" s="76">
        <f>MIN(1,G165+G169)</f>
        <v>1</v>
      </c>
      <c r="H183" s="76">
        <f>MIN(1,H165+H169)</f>
        <v>0</v>
      </c>
      <c r="J183" s="101" t="inlineStr">
        <is>
          <t xml:space="preserve"/>
        </is>
      </c>
      <c r="K183" s="101" t="inlineStr">
        <is>
          <t xml:space="preserve"/>
        </is>
      </c>
    </row>
    <row r="184">
      <c r="A184" s="63" t="inlineStr">
        <is>
          <t xml:space="preserve">d after (article: −(d + ε) once processed)</t>
        </is>
      </c>
      <c r="B184" s="73">
        <f>IF(B183=1,-('ERDR Characteristics'!$J$5+'Parameters'!$B$17),'ERDR Characteristics'!$J$5)</f>
        <v>-0.001</v>
      </c>
      <c r="C184" s="73">
        <f>IF(C183=1,-('ERDR Characteristics'!$J$6+'Parameters'!$B$17),'ERDR Characteristics'!$J$6)</f>
        <v>-0.0805428388</v>
      </c>
      <c r="D184" s="73">
        <f>IF(D183=1,-('ERDR Characteristics'!$J$7+'Parameters'!$B$17),'ERDR Characteristics'!$J$7)</f>
        <v>-0.001</v>
      </c>
      <c r="E184" s="73">
        <f>IF(E183=1,-('ERDR Characteristics'!$J$8+'Parameters'!$B$17),'ERDR Characteristics'!$J$8)</f>
        <v>-0.2539498997</v>
      </c>
      <c r="F184" s="73">
        <f>IF(F183=1,-('ERDR Characteristics'!$J$9+'Parameters'!$B$17),'ERDR Characteristics'!$J$9)</f>
        <v>-0.001</v>
      </c>
      <c r="G184" s="73">
        <f>IF(G183=1,-('ERDR Characteristics'!$J$10+'Parameters'!$B$17),'ERDR Characteristics'!$J$10)</f>
        <v>-0.1702169896</v>
      </c>
      <c r="H184" s="73">
        <f>IF(H183=1,-('ERDR Characteristics'!$J$11+'Parameters'!$B$17),'ERDR Characteristics'!$J$11)</f>
        <v>0.1252961741</v>
      </c>
      <c r="J184" s="101" t="inlineStr">
        <is>
          <t xml:space="preserve"/>
        </is>
      </c>
      <c r="K184" s="101" t="inlineStr">
        <is>
          <t xml:space="preserve"/>
        </is>
      </c>
    </row>
    <row r="185">
      <c r="A185" s="63" t="inlineStr">
        <is>
          <t xml:space="preserve">In D after the iteration</t>
        </is>
      </c>
      <c r="B185" s="76">
        <f>1-B182</f>
        <v>1</v>
      </c>
      <c r="C185" s="76">
        <f>1-C182</f>
        <v>1</v>
      </c>
      <c r="D185" s="76">
        <f>1-D182</f>
        <v>0</v>
      </c>
      <c r="E185" s="76">
        <f>1-E182</f>
        <v>0</v>
      </c>
      <c r="F185" s="76">
        <f>1-F182</f>
        <v>1</v>
      </c>
      <c r="G185" s="76">
        <f>1-G182</f>
        <v>1</v>
      </c>
      <c r="H185" s="76">
        <f>1-H182</f>
        <v>1</v>
      </c>
      <c r="J185" s="101" t="inlineStr">
        <is>
          <t xml:space="preserve"/>
        </is>
      </c>
      <c r="K185" s="101" t="inlineStr">
        <is>
          <t xml:space="preserve"/>
        </is>
      </c>
    </row>
    <row r="186"/>
    <row r="187">
      <c r="A187" s="100" t="inlineStr">
        <is>
          <t xml:space="preserve">Each block reads the state left by the previous block: In F, Processed and g. Block 1 starts with F = E₀, nothing processed and g from Step 1.</t>
        </is>
      </c>
    </row>
    <row r="188">
      <c r="A188" s="100" t="inlineStr">
        <is>
          <t xml:space="preserve">Step 2–3: the selected Sᵢ is the queue object with the smallest priority position (Priority Queue sheet). Step 4: L is built before Sᵢ is blocked, exactly as in the article.</t>
        </is>
      </c>
    </row>
    <row r="189">
      <c r="A189" s="100" t="inlineStr">
        <is>
          <t xml:space="preserve">Reading A decides whether Sᵢ itself can be in L; reading B whether already processed objects can still cover; reading C whether Step 5 stops at the first object whose g falls to 1.</t>
        </is>
      </c>
    </row>
    <row r="190">
      <c r="A190" s="100" t="inlineStr">
        <is>
          <t xml:space="preserve">When the queue is empty the block shows “Step 6 · stop” and only carries the state forward; D = objects moved in Steps 4–5, F = E₀ \ D.</t>
        </is>
      </c>
    </row>
  </sheetData>
  <mergeCells count="9">
    <mergeCell ref="A1:K1"/>
    <mergeCell ref="A3:K3"/>
    <mergeCell ref="A5:K5"/>
    <mergeCell ref="A31:K31"/>
    <mergeCell ref="A57:K57"/>
    <mergeCell ref="A83:K83"/>
    <mergeCell ref="A109:K109"/>
    <mergeCell ref="A135:K135"/>
    <mergeCell ref="A161:K161"/>
  </mergeCells>
  <conditionalFormatting sqref="B20:H20">
    <cfRule type="cellIs" dxfId="1" priority="1" operator="equal">
      <formula>1</formula>
    </cfRule>
  </conditionalFormatting>
  <conditionalFormatting sqref="B25:H25">
    <cfRule type="cellIs" dxfId="4" priority="2" operator="equal">
      <formula>1</formula>
    </cfRule>
  </conditionalFormatting>
  <conditionalFormatting sqref="B21:H21">
    <cfRule type="cellIs" dxfId="4" priority="3" operator="equal">
      <formula>1</formula>
    </cfRule>
  </conditionalFormatting>
  <conditionalFormatting sqref="B24:H24">
    <cfRule type="cellIs" dxfId="4" priority="4" operator="equal">
      <formula>1</formula>
    </cfRule>
  </conditionalFormatting>
  <conditionalFormatting sqref="B9:H9">
    <cfRule type="cellIs" dxfId="3" priority="5" operator="equal">
      <formula>1</formula>
    </cfRule>
  </conditionalFormatting>
  <conditionalFormatting sqref="B22:H22">
    <cfRule type="cellIs" dxfId="1" priority="6" operator="equal">
      <formula>1</formula>
    </cfRule>
  </conditionalFormatting>
  <conditionalFormatting sqref="B7:H29">
    <cfRule type="expression" dxfId="5" priority="7">
      <formula>B$13=1</formula>
    </cfRule>
  </conditionalFormatting>
  <conditionalFormatting sqref="B46:H46">
    <cfRule type="cellIs" dxfId="1" priority="8" operator="equal">
      <formula>1</formula>
    </cfRule>
  </conditionalFormatting>
  <conditionalFormatting sqref="B51:H51">
    <cfRule type="cellIs" dxfId="4" priority="9" operator="equal">
      <formula>1</formula>
    </cfRule>
  </conditionalFormatting>
  <conditionalFormatting sqref="B47:H47">
    <cfRule type="cellIs" dxfId="4" priority="10" operator="equal">
      <formula>1</formula>
    </cfRule>
  </conditionalFormatting>
  <conditionalFormatting sqref="B50:H50">
    <cfRule type="cellIs" dxfId="4" priority="11" operator="equal">
      <formula>1</formula>
    </cfRule>
  </conditionalFormatting>
  <conditionalFormatting sqref="B35:H35">
    <cfRule type="cellIs" dxfId="3" priority="12" operator="equal">
      <formula>1</formula>
    </cfRule>
  </conditionalFormatting>
  <conditionalFormatting sqref="B48:H48">
    <cfRule type="cellIs" dxfId="1" priority="13" operator="equal">
      <formula>1</formula>
    </cfRule>
  </conditionalFormatting>
  <conditionalFormatting sqref="B33:H55">
    <cfRule type="expression" dxfId="5" priority="14">
      <formula>B$39=1</formula>
    </cfRule>
  </conditionalFormatting>
  <conditionalFormatting sqref="B72:H72">
    <cfRule type="cellIs" dxfId="1" priority="15" operator="equal">
      <formula>1</formula>
    </cfRule>
  </conditionalFormatting>
  <conditionalFormatting sqref="B77:H77">
    <cfRule type="cellIs" dxfId="4" priority="16" operator="equal">
      <formula>1</formula>
    </cfRule>
  </conditionalFormatting>
  <conditionalFormatting sqref="B73:H73">
    <cfRule type="cellIs" dxfId="4" priority="17" operator="equal">
      <formula>1</formula>
    </cfRule>
  </conditionalFormatting>
  <conditionalFormatting sqref="B76:H76">
    <cfRule type="cellIs" dxfId="4" priority="18" operator="equal">
      <formula>1</formula>
    </cfRule>
  </conditionalFormatting>
  <conditionalFormatting sqref="B61:H61">
    <cfRule type="cellIs" dxfId="3" priority="19" operator="equal">
      <formula>1</formula>
    </cfRule>
  </conditionalFormatting>
  <conditionalFormatting sqref="B74:H74">
    <cfRule type="cellIs" dxfId="1" priority="20" operator="equal">
      <formula>1</formula>
    </cfRule>
  </conditionalFormatting>
  <conditionalFormatting sqref="B59:H81">
    <cfRule type="expression" dxfId="5" priority="21">
      <formula>B$65=1</formula>
    </cfRule>
  </conditionalFormatting>
  <conditionalFormatting sqref="B98:H98">
    <cfRule type="cellIs" dxfId="1" priority="22" operator="equal">
      <formula>1</formula>
    </cfRule>
  </conditionalFormatting>
  <conditionalFormatting sqref="B103:H103">
    <cfRule type="cellIs" dxfId="4" priority="23" operator="equal">
      <formula>1</formula>
    </cfRule>
  </conditionalFormatting>
  <conditionalFormatting sqref="B99:H99">
    <cfRule type="cellIs" dxfId="4" priority="24" operator="equal">
      <formula>1</formula>
    </cfRule>
  </conditionalFormatting>
  <conditionalFormatting sqref="B102:H102">
    <cfRule type="cellIs" dxfId="4" priority="25" operator="equal">
      <formula>1</formula>
    </cfRule>
  </conditionalFormatting>
  <conditionalFormatting sqref="B87:H87">
    <cfRule type="cellIs" dxfId="3" priority="26" operator="equal">
      <formula>1</formula>
    </cfRule>
  </conditionalFormatting>
  <conditionalFormatting sqref="B100:H100">
    <cfRule type="cellIs" dxfId="1" priority="27" operator="equal">
      <formula>1</formula>
    </cfRule>
  </conditionalFormatting>
  <conditionalFormatting sqref="B85:H107">
    <cfRule type="expression" dxfId="5" priority="28">
      <formula>B$91=1</formula>
    </cfRule>
  </conditionalFormatting>
  <conditionalFormatting sqref="B124:H124">
    <cfRule type="cellIs" dxfId="1" priority="29" operator="equal">
      <formula>1</formula>
    </cfRule>
  </conditionalFormatting>
  <conditionalFormatting sqref="B129:H129">
    <cfRule type="cellIs" dxfId="4" priority="30" operator="equal">
      <formula>1</formula>
    </cfRule>
  </conditionalFormatting>
  <conditionalFormatting sqref="B125:H125">
    <cfRule type="cellIs" dxfId="4" priority="31" operator="equal">
      <formula>1</formula>
    </cfRule>
  </conditionalFormatting>
  <conditionalFormatting sqref="B128:H128">
    <cfRule type="cellIs" dxfId="4" priority="32" operator="equal">
      <formula>1</formula>
    </cfRule>
  </conditionalFormatting>
  <conditionalFormatting sqref="B113:H113">
    <cfRule type="cellIs" dxfId="3" priority="33" operator="equal">
      <formula>1</formula>
    </cfRule>
  </conditionalFormatting>
  <conditionalFormatting sqref="B126:H126">
    <cfRule type="cellIs" dxfId="1" priority="34" operator="equal">
      <formula>1</formula>
    </cfRule>
  </conditionalFormatting>
  <conditionalFormatting sqref="B111:H133">
    <cfRule type="expression" dxfId="5" priority="35">
      <formula>B$117=1</formula>
    </cfRule>
  </conditionalFormatting>
  <conditionalFormatting sqref="B150:H150">
    <cfRule type="cellIs" dxfId="1" priority="36" operator="equal">
      <formula>1</formula>
    </cfRule>
  </conditionalFormatting>
  <conditionalFormatting sqref="B155:H155">
    <cfRule type="cellIs" dxfId="4" priority="37" operator="equal">
      <formula>1</formula>
    </cfRule>
  </conditionalFormatting>
  <conditionalFormatting sqref="B151:H151">
    <cfRule type="cellIs" dxfId="4" priority="38" operator="equal">
      <formula>1</formula>
    </cfRule>
  </conditionalFormatting>
  <conditionalFormatting sqref="B154:H154">
    <cfRule type="cellIs" dxfId="4" priority="39" operator="equal">
      <formula>1</formula>
    </cfRule>
  </conditionalFormatting>
  <conditionalFormatting sqref="B139:H139">
    <cfRule type="cellIs" dxfId="3" priority="40" operator="equal">
      <formula>1</formula>
    </cfRule>
  </conditionalFormatting>
  <conditionalFormatting sqref="B152:H152">
    <cfRule type="cellIs" dxfId="1" priority="41" operator="equal">
      <formula>1</formula>
    </cfRule>
  </conditionalFormatting>
  <conditionalFormatting sqref="B137:H159">
    <cfRule type="expression" dxfId="5" priority="42">
      <formula>B$143=1</formula>
    </cfRule>
  </conditionalFormatting>
  <conditionalFormatting sqref="B176:H176">
    <cfRule type="cellIs" dxfId="1" priority="43" operator="equal">
      <formula>1</formula>
    </cfRule>
  </conditionalFormatting>
  <conditionalFormatting sqref="B181:H181">
    <cfRule type="cellIs" dxfId="4" priority="44" operator="equal">
      <formula>1</formula>
    </cfRule>
  </conditionalFormatting>
  <conditionalFormatting sqref="B177:H177">
    <cfRule type="cellIs" dxfId="4" priority="45" operator="equal">
      <formula>1</formula>
    </cfRule>
  </conditionalFormatting>
  <conditionalFormatting sqref="B180:H180">
    <cfRule type="cellIs" dxfId="4" priority="46" operator="equal">
      <formula>1</formula>
    </cfRule>
  </conditionalFormatting>
  <conditionalFormatting sqref="B165:H165">
    <cfRule type="cellIs" dxfId="3" priority="47" operator="equal">
      <formula>1</formula>
    </cfRule>
  </conditionalFormatting>
  <conditionalFormatting sqref="B178:H178">
    <cfRule type="cellIs" dxfId="1" priority="48" operator="equal">
      <formula>1</formula>
    </cfRule>
  </conditionalFormatting>
  <conditionalFormatting sqref="B163:H185">
    <cfRule type="expression" dxfId="5" priority="49">
      <formula>B$169=1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L105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2.77734375" customWidth="1"/>
    <col min="2" max="8" width="11.77734375" customWidth="1"/>
    <col min="9" max="9" width="20.77734375" customWidth="1"/>
    <col min="10" max="10" width="42.77734375" customWidth="1"/>
    <col min="11" max="11" width="32.77734375" customWidth="1"/>
    <col min="12" max="12" width="26.77734375" customWidth="1"/>
  </cols>
  <sheetData>
    <row r="1" ht="22" customHeight="1">
      <c r="A1" s="57" t="inlineStr">
        <is>
          <t xml:space="preserve">ERDR trace · summary of every iteration, the state matrices behind it, and the Step 6 result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/>
    <row r="3">
      <c r="A3" s="58" t="inlineStr">
        <is>
          <t xml:space="preserve">Iteration summary (from ERDR Iterations)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ht="20" customHeight="1">
      <c r="A4" s="60" t="inlineStr">
        <is>
          <t xml:space="preserve">t</t>
        </is>
      </c>
      <c r="B4" s="60" t="inlineStr">
        <is>
          <t xml:space="preserve">Selected Sᵢ</t>
        </is>
      </c>
      <c r="C4" s="60" t="inlineStr">
        <is>
          <t xml:space="preserve">d(Sᵢ)</t>
        </is>
      </c>
      <c r="D4" s="60" t="inlineStr">
        <is>
          <t xml:space="preserve">r(Sᵢ)</t>
        </is>
      </c>
      <c r="E4" s="60" t="inlineStr">
        <is>
          <t xml:space="preserve">|L|</t>
        </is>
      </c>
      <c r="F4" s="60" t="inlineStr">
        <is>
          <t xml:space="preserve">|F| after</t>
        </is>
      </c>
      <c r="G4" s="60" t="inlineStr">
        <is>
          <t xml:space="preserve">|D| after</t>
        </is>
      </c>
      <c r="H4" s="60" t="inlineStr">
        <is>
          <t xml:space="preserve">Queue left</t>
        </is>
      </c>
      <c r="I4" s="60" t="inlineStr">
        <is>
          <t xml:space="preserve">L</t>
        </is>
      </c>
      <c r="J4" s="60" t="inlineStr">
        <is>
          <t xml:space="preserve">Decision</t>
        </is>
      </c>
      <c r="K4" s="60" t="inlineStr">
        <is>
          <t xml:space="preserve">Counters g: before → after</t>
        </is>
      </c>
      <c r="L4" s="60" t="inlineStr">
        <is>
          <t xml:space="preserve">Moved to D</t>
        </is>
      </c>
    </row>
    <row r="5">
      <c r="A5" s="77">
        <v>1</v>
      </c>
      <c r="B5" s="62" t="str">
        <f>IF('ERDR Iterations'!$K$9=0,"— stop",'ERDR Iterations'!$K$10)</f>
        <v>S₁</v>
      </c>
      <c r="C5" s="73">
        <f>'ERDR Iterations'!$K$11</f>
        <v>0</v>
      </c>
      <c r="D5" s="73">
        <f>'ERDR Iterations'!$K$12</f>
        <v>5.60708061</v>
      </c>
      <c r="E5" s="77">
        <f>'ERDR Iterations'!$K$14</f>
        <v>3</v>
      </c>
      <c r="F5" s="76">
        <f>'ERDR Iterations'!$K$18</f>
        <v>7</v>
      </c>
      <c r="G5" s="76">
        <f>'ERDR Iterations'!$K$19</f>
        <v>0</v>
      </c>
      <c r="H5" s="76">
        <f>'ERDR Iterations'!$K$20</f>
        <v>6</v>
      </c>
      <c r="I5" s="101" t="str">
        <f>'ERDR Iterations'!$K$13</f>
        <v>{S₁, S₂, S₅}</v>
      </c>
      <c r="J5" s="101" t="str">
        <f>'ERDR Iterations'!$K$15</f>
        <v>|L| &gt; 1 → Step 5 corrects g</v>
      </c>
      <c r="K5" s="101" t="str">
        <f>'ERDR Iterations'!$K$16</f>
        <v>S₁: 3 → 2, S₂: 4 → 3, S₅: 3 → 2</v>
      </c>
      <c r="L5" s="101" t="str">
        <f>'ERDR Iterations'!$K$17</f>
        <v>—</v>
      </c>
    </row>
    <row r="6">
      <c r="A6" s="77">
        <v>2</v>
      </c>
      <c r="B6" s="62" t="str">
        <f>IF('ERDR Iterations'!$K$35=0,"— stop",'ERDR Iterations'!$K$36)</f>
        <v>S₃</v>
      </c>
      <c r="C6" s="73">
        <f>'ERDR Iterations'!$K$37</f>
        <v>0</v>
      </c>
      <c r="D6" s="73">
        <f>'ERDR Iterations'!$K$38</f>
        <v>5.60708061</v>
      </c>
      <c r="E6" s="77">
        <f>'ERDR Iterations'!$K$40</f>
        <v>2</v>
      </c>
      <c r="F6" s="76">
        <f>'ERDR Iterations'!$K$44</f>
        <v>6</v>
      </c>
      <c r="G6" s="76">
        <f>'ERDR Iterations'!$K$45</f>
        <v>1</v>
      </c>
      <c r="H6" s="76">
        <f>'ERDR Iterations'!$K$46</f>
        <v>4</v>
      </c>
      <c r="I6" s="101" t="str">
        <f>'ERDR Iterations'!$K$39</f>
        <v>{S₃, S₇}</v>
      </c>
      <c r="J6" s="101" t="str">
        <f>'ERDR Iterations'!$K$41</f>
        <v>|L| &gt; 1 → Step 5 corrects g</v>
      </c>
      <c r="K6" s="101" t="str">
        <f>'ERDR Iterations'!$K$42</f>
        <v>S₃: 3 → 2, S₇: 2 → 1</v>
      </c>
      <c r="L6" s="101" t="str">
        <f>'ERDR Iterations'!$K$43</f>
        <v>S₇ (Step 5)</v>
      </c>
    </row>
    <row r="7">
      <c r="A7" s="77">
        <v>3</v>
      </c>
      <c r="B7" s="62" t="str">
        <f>IF('ERDR Iterations'!$K$61=0,"— stop",'ERDR Iterations'!$K$62)</f>
        <v>S₅</v>
      </c>
      <c r="C7" s="73">
        <f>'ERDR Iterations'!$K$63</f>
        <v>0</v>
      </c>
      <c r="D7" s="73">
        <f>'ERDR Iterations'!$K$64</f>
        <v>7.1117040273</v>
      </c>
      <c r="E7" s="77">
        <f>'ERDR Iterations'!$K$66</f>
        <v>3</v>
      </c>
      <c r="F7" s="76">
        <f>'ERDR Iterations'!$K$70</f>
        <v>4</v>
      </c>
      <c r="G7" s="76">
        <f>'ERDR Iterations'!$K$71</f>
        <v>3</v>
      </c>
      <c r="H7" s="76">
        <f>'ERDR Iterations'!$K$72</f>
        <v>3</v>
      </c>
      <c r="I7" s="101" t="str">
        <f>'ERDR Iterations'!$K$65</f>
        <v>{S₁, S₂, S₅}</v>
      </c>
      <c r="J7" s="101" t="str">
        <f>'ERDR Iterations'!$K$67</f>
        <v>|L| &gt; 1 → Step 5 corrects g</v>
      </c>
      <c r="K7" s="101" t="str">
        <f>'ERDR Iterations'!$K$68</f>
        <v>S₁: 2 → 1, S₂: 3 → 2, S₅: 2 → 1</v>
      </c>
      <c r="L7" s="101" t="str">
        <f>'ERDR Iterations'!$K$69</f>
        <v>S₁ (Step 5), S₅ (Step 5)</v>
      </c>
    </row>
    <row r="8">
      <c r="A8" s="77">
        <v>4</v>
      </c>
      <c r="B8" s="62" t="str">
        <f>IF('ERDR Iterations'!$K$87=0,"— stop",'ERDR Iterations'!$K$88)</f>
        <v>S₂</v>
      </c>
      <c r="C8" s="73">
        <f>'ERDR Iterations'!$K$89</f>
        <v>0.0795428388</v>
      </c>
      <c r="D8" s="73">
        <f>'ERDR Iterations'!$K$90</f>
        <v>7.4699698919</v>
      </c>
      <c r="E8" s="77">
        <f>'ERDR Iterations'!$K$92</f>
        <v>1</v>
      </c>
      <c r="F8" s="76">
        <f>'ERDR Iterations'!$K$96</f>
        <v>3</v>
      </c>
      <c r="G8" s="76">
        <f>'ERDR Iterations'!$K$97</f>
        <v>4</v>
      </c>
      <c r="H8" s="76">
        <f>'ERDR Iterations'!$K$98</f>
        <v>2</v>
      </c>
      <c r="I8" s="101" t="str">
        <f>'ERDR Iterations'!$K$91</f>
        <v>{S₂}</v>
      </c>
      <c r="J8" s="101" t="str">
        <f>'ERDR Iterations'!$K$93</f>
        <v>|L| = 1 → Sᵢ moves to D</v>
      </c>
      <c r="K8" s="101" t="str">
        <f>'ERDR Iterations'!$K$94</f>
        <v>—</v>
      </c>
      <c r="L8" s="101" t="str">
        <f>'ERDR Iterations'!$K$95</f>
        <v>S₂ (Step 4)</v>
      </c>
    </row>
    <row r="9">
      <c r="A9" s="77">
        <v>5</v>
      </c>
      <c r="B9" s="62" t="str">
        <f>IF('ERDR Iterations'!$K$113=0,"— stop",'ERDR Iterations'!$K$114)</f>
        <v>S₆</v>
      </c>
      <c r="C9" s="73">
        <f>'ERDR Iterations'!$K$115</f>
        <v>0.1692169896</v>
      </c>
      <c r="D9" s="73">
        <f>'ERDR Iterations'!$K$116</f>
        <v>3.7071187508</v>
      </c>
      <c r="E9" s="77">
        <f>'ERDR Iterations'!$K$118</f>
        <v>1</v>
      </c>
      <c r="F9" s="76">
        <f>'ERDR Iterations'!$K$122</f>
        <v>2</v>
      </c>
      <c r="G9" s="76">
        <f>'ERDR Iterations'!$K$123</f>
        <v>5</v>
      </c>
      <c r="H9" s="76">
        <f>'ERDR Iterations'!$K$124</f>
        <v>1</v>
      </c>
      <c r="I9" s="101" t="str">
        <f>'ERDR Iterations'!$K$117</f>
        <v>{S₃}</v>
      </c>
      <c r="J9" s="101" t="str">
        <f>'ERDR Iterations'!$K$119</f>
        <v>|L| = 1 → Sᵢ moves to D</v>
      </c>
      <c r="K9" s="101" t="str">
        <f>'ERDR Iterations'!$K$120</f>
        <v>—</v>
      </c>
      <c r="L9" s="101" t="str">
        <f>'ERDR Iterations'!$K$121</f>
        <v>S₆ (Step 4)</v>
      </c>
    </row>
    <row r="10">
      <c r="A10" s="77">
        <v>6</v>
      </c>
      <c r="B10" s="62" t="str">
        <f>IF('ERDR Iterations'!$K$139=0,"— stop",'ERDR Iterations'!$K$140)</f>
        <v>S₄</v>
      </c>
      <c r="C10" s="73">
        <f>'ERDR Iterations'!$K$141</f>
        <v>0.2529498997</v>
      </c>
      <c r="D10" s="73">
        <f>'ERDR Iterations'!$K$142</f>
        <v>3.7071187508</v>
      </c>
      <c r="E10" s="77">
        <f>'ERDR Iterations'!$K$144</f>
        <v>0</v>
      </c>
      <c r="F10" s="76">
        <f>'ERDR Iterations'!$K$148</f>
        <v>2</v>
      </c>
      <c r="G10" s="76">
        <f>'ERDR Iterations'!$K$149</f>
        <v>5</v>
      </c>
      <c r="H10" s="76">
        <f>'ERDR Iterations'!$K$150</f>
        <v>0</v>
      </c>
      <c r="I10" s="101" t="str">
        <f>'ERDR Iterations'!$K$143</f>
        <v>∅</v>
      </c>
      <c r="J10" s="101" t="str">
        <f>'ERDR Iterations'!$K$145</f>
        <v>|L| = 0 → Sᵢ is only blocked and stays in F</v>
      </c>
      <c r="K10" s="101" t="str">
        <f>'ERDR Iterations'!$K$146</f>
        <v>—</v>
      </c>
      <c r="L10" s="101" t="str">
        <f>'ERDR Iterations'!$K$147</f>
        <v>—</v>
      </c>
    </row>
    <row r="11">
      <c r="A11" s="77">
        <v>7</v>
      </c>
      <c r="B11" s="62" t="str">
        <f>IF('ERDR Iterations'!$K$165=0,"— stop",'ERDR Iterations'!$K$166)</f>
        <v>— stop</v>
      </c>
      <c r="C11" s="73" t="str">
        <f>'ERDR Iterations'!$K$167</f>
        <v>—</v>
      </c>
      <c r="D11" s="73" t="str">
        <f>'ERDR Iterations'!$K$168</f>
        <v>—</v>
      </c>
      <c r="E11" s="77">
        <f>'ERDR Iterations'!$K$170</f>
        <v>0</v>
      </c>
      <c r="F11" s="76">
        <f>'ERDR Iterations'!$K$174</f>
        <v>2</v>
      </c>
      <c r="G11" s="76">
        <f>'ERDR Iterations'!$K$175</f>
        <v>5</v>
      </c>
      <c r="H11" s="76">
        <f>'ERDR Iterations'!$K$176</f>
        <v>0</v>
      </c>
      <c r="I11" s="101" t="str">
        <f>'ERDR Iterations'!$K$169</f>
        <v>∅</v>
      </c>
      <c r="J11" s="101" t="str">
        <f>'ERDR Iterations'!$K$171</f>
        <v>Step 6 · stop</v>
      </c>
      <c r="K11" s="101" t="str">
        <f>'ERDR Iterations'!$K$172</f>
        <v>—</v>
      </c>
      <c r="L11" s="101" t="str">
        <f>'ERDR Iterations'!$K$173</f>
        <v>—</v>
      </c>
    </row>
    <row r="12">
      <c r="A12" s="90" t="inlineStr">
        <is>
          <t xml:space="preserve">Step 6</t>
        </is>
      </c>
      <c r="B12" s="92" t="str">
        <f>"Stop after "&amp;COUNTIF(B5:B11,"S*")&amp;" iterations  ·  D (training) = "&amp;'Training &amp; Validation'!$B$19&amp;"  ·  F (validation) = "&amp;'Training &amp; Validation'!$B$20</f>
        <v>Stop after 6 iterations  ·  D (training) = {S₁, S₂, S₅, S₆, S₇}  ·  F (validation) = {S₃, S₄}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</row>
    <row r="13"/>
    <row r="14">
      <c r="A14" s="58" t="inlineStr">
        <is>
          <t xml:space="preserve">Step 3 · selected in iteration t</t>
        </is>
      </c>
      <c r="B14" s="58"/>
      <c r="C14" s="58"/>
      <c r="D14" s="58"/>
      <c r="E14" s="58"/>
      <c r="F14" s="58"/>
      <c r="G14" s="58"/>
      <c r="H14" s="58"/>
    </row>
    <row r="15">
      <c r="A15" s="60" t="inlineStr">
        <is>
          <t xml:space="preserve">t</t>
        </is>
      </c>
      <c r="B15" s="60" t="inlineStr">
        <is>
          <t xml:space="preserve">S₁</t>
        </is>
      </c>
      <c r="C15" s="60" t="inlineStr">
        <is>
          <t xml:space="preserve">S₂</t>
        </is>
      </c>
      <c r="D15" s="60" t="inlineStr">
        <is>
          <t xml:space="preserve">S₃</t>
        </is>
      </c>
      <c r="E15" s="60" t="inlineStr">
        <is>
          <t xml:space="preserve">S₄</t>
        </is>
      </c>
      <c r="F15" s="60" t="inlineStr">
        <is>
          <t xml:space="preserve">S₅</t>
        </is>
      </c>
      <c r="G15" s="60" t="inlineStr">
        <is>
          <t xml:space="preserve">S₆</t>
        </is>
      </c>
      <c r="H15" s="60" t="inlineStr">
        <is>
          <t xml:space="preserve">S₇</t>
        </is>
      </c>
    </row>
    <row r="16">
      <c r="A16" s="62">
        <v>1</v>
      </c>
      <c r="B16" s="76">
        <f>'ERDR Iterations'!B13</f>
        <v>1</v>
      </c>
      <c r="C16" s="76">
        <f>'ERDR Iterations'!C13</f>
        <v>0</v>
      </c>
      <c r="D16" s="76">
        <f>'ERDR Iterations'!D13</f>
        <v>0</v>
      </c>
      <c r="E16" s="76">
        <f>'ERDR Iterations'!E13</f>
        <v>0</v>
      </c>
      <c r="F16" s="76">
        <f>'ERDR Iterations'!F13</f>
        <v>0</v>
      </c>
      <c r="G16" s="76">
        <f>'ERDR Iterations'!G13</f>
        <v>0</v>
      </c>
      <c r="H16" s="76">
        <f>'ERDR Iterations'!H13</f>
        <v>0</v>
      </c>
    </row>
    <row r="17">
      <c r="A17" s="62">
        <v>2</v>
      </c>
      <c r="B17" s="76">
        <f>'ERDR Iterations'!B39</f>
        <v>0</v>
      </c>
      <c r="C17" s="76">
        <f>'ERDR Iterations'!C39</f>
        <v>0</v>
      </c>
      <c r="D17" s="76">
        <f>'ERDR Iterations'!D39</f>
        <v>1</v>
      </c>
      <c r="E17" s="76">
        <f>'ERDR Iterations'!E39</f>
        <v>0</v>
      </c>
      <c r="F17" s="76">
        <f>'ERDR Iterations'!F39</f>
        <v>0</v>
      </c>
      <c r="G17" s="76">
        <f>'ERDR Iterations'!G39</f>
        <v>0</v>
      </c>
      <c r="H17" s="76">
        <f>'ERDR Iterations'!H39</f>
        <v>0</v>
      </c>
    </row>
    <row r="18">
      <c r="A18" s="62">
        <v>3</v>
      </c>
      <c r="B18" s="76">
        <f>'ERDR Iterations'!B65</f>
        <v>0</v>
      </c>
      <c r="C18" s="76">
        <f>'ERDR Iterations'!C65</f>
        <v>0</v>
      </c>
      <c r="D18" s="76">
        <f>'ERDR Iterations'!D65</f>
        <v>0</v>
      </c>
      <c r="E18" s="76">
        <f>'ERDR Iterations'!E65</f>
        <v>0</v>
      </c>
      <c r="F18" s="76">
        <f>'ERDR Iterations'!F65</f>
        <v>1</v>
      </c>
      <c r="G18" s="76">
        <f>'ERDR Iterations'!G65</f>
        <v>0</v>
      </c>
      <c r="H18" s="76">
        <f>'ERDR Iterations'!H65</f>
        <v>0</v>
      </c>
    </row>
    <row r="19">
      <c r="A19" s="62">
        <v>4</v>
      </c>
      <c r="B19" s="76">
        <f>'ERDR Iterations'!B91</f>
        <v>0</v>
      </c>
      <c r="C19" s="76">
        <f>'ERDR Iterations'!C91</f>
        <v>1</v>
      </c>
      <c r="D19" s="76">
        <f>'ERDR Iterations'!D91</f>
        <v>0</v>
      </c>
      <c r="E19" s="76">
        <f>'ERDR Iterations'!E91</f>
        <v>0</v>
      </c>
      <c r="F19" s="76">
        <f>'ERDR Iterations'!F91</f>
        <v>0</v>
      </c>
      <c r="G19" s="76">
        <f>'ERDR Iterations'!G91</f>
        <v>0</v>
      </c>
      <c r="H19" s="76">
        <f>'ERDR Iterations'!H91</f>
        <v>0</v>
      </c>
    </row>
    <row r="20">
      <c r="A20" s="62">
        <v>5</v>
      </c>
      <c r="B20" s="76">
        <f>'ERDR Iterations'!B117</f>
        <v>0</v>
      </c>
      <c r="C20" s="76">
        <f>'ERDR Iterations'!C117</f>
        <v>0</v>
      </c>
      <c r="D20" s="76">
        <f>'ERDR Iterations'!D117</f>
        <v>0</v>
      </c>
      <c r="E20" s="76">
        <f>'ERDR Iterations'!E117</f>
        <v>0</v>
      </c>
      <c r="F20" s="76">
        <f>'ERDR Iterations'!F117</f>
        <v>0</v>
      </c>
      <c r="G20" s="76">
        <f>'ERDR Iterations'!G117</f>
        <v>1</v>
      </c>
      <c r="H20" s="76">
        <f>'ERDR Iterations'!H117</f>
        <v>0</v>
      </c>
    </row>
    <row r="21">
      <c r="A21" s="62">
        <v>6</v>
      </c>
      <c r="B21" s="76">
        <f>'ERDR Iterations'!B143</f>
        <v>0</v>
      </c>
      <c r="C21" s="76">
        <f>'ERDR Iterations'!C143</f>
        <v>0</v>
      </c>
      <c r="D21" s="76">
        <f>'ERDR Iterations'!D143</f>
        <v>0</v>
      </c>
      <c r="E21" s="76">
        <f>'ERDR Iterations'!E143</f>
        <v>1</v>
      </c>
      <c r="F21" s="76">
        <f>'ERDR Iterations'!F143</f>
        <v>0</v>
      </c>
      <c r="G21" s="76">
        <f>'ERDR Iterations'!G143</f>
        <v>0</v>
      </c>
      <c r="H21" s="76">
        <f>'ERDR Iterations'!H143</f>
        <v>0</v>
      </c>
    </row>
    <row r="22">
      <c r="A22" s="62">
        <v>7</v>
      </c>
      <c r="B22" s="76">
        <f>'ERDR Iterations'!B169</f>
        <v>0</v>
      </c>
      <c r="C22" s="76">
        <f>'ERDR Iterations'!C169</f>
        <v>0</v>
      </c>
      <c r="D22" s="76">
        <f>'ERDR Iterations'!D169</f>
        <v>0</v>
      </c>
      <c r="E22" s="76">
        <f>'ERDR Iterations'!E169</f>
        <v>0</v>
      </c>
      <c r="F22" s="76">
        <f>'ERDR Iterations'!F169</f>
        <v>0</v>
      </c>
      <c r="G22" s="76">
        <f>'ERDR Iterations'!G169</f>
        <v>0</v>
      </c>
      <c r="H22" s="76">
        <f>'ERDR Iterations'!H169</f>
        <v>0</v>
      </c>
    </row>
    <row r="23"/>
    <row r="24">
      <c r="A24" s="58" t="inlineStr">
        <is>
          <t xml:space="preserve">Step 4 · Sⱼ ∈ L</t>
        </is>
      </c>
      <c r="B24" s="58"/>
      <c r="C24" s="58"/>
      <c r="D24" s="58"/>
      <c r="E24" s="58"/>
      <c r="F24" s="58"/>
      <c r="G24" s="58"/>
      <c r="H24" s="58"/>
    </row>
    <row r="25">
      <c r="A25" s="60" t="inlineStr">
        <is>
          <t xml:space="preserve">t</t>
        </is>
      </c>
      <c r="B25" s="60" t="inlineStr">
        <is>
          <t xml:space="preserve">S₁</t>
        </is>
      </c>
      <c r="C25" s="60" t="inlineStr">
        <is>
          <t xml:space="preserve">S₂</t>
        </is>
      </c>
      <c r="D25" s="60" t="inlineStr">
        <is>
          <t xml:space="preserve">S₃</t>
        </is>
      </c>
      <c r="E25" s="60" t="inlineStr">
        <is>
          <t xml:space="preserve">S₄</t>
        </is>
      </c>
      <c r="F25" s="60" t="inlineStr">
        <is>
          <t xml:space="preserve">S₅</t>
        </is>
      </c>
      <c r="G25" s="60" t="inlineStr">
        <is>
          <t xml:space="preserve">S₆</t>
        </is>
      </c>
      <c r="H25" s="60" t="inlineStr">
        <is>
          <t xml:space="preserve">S₇</t>
        </is>
      </c>
    </row>
    <row r="26">
      <c r="A26" s="62">
        <v>1</v>
      </c>
      <c r="B26" s="76">
        <f>'ERDR Iterations'!B20</f>
        <v>1</v>
      </c>
      <c r="C26" s="76">
        <f>'ERDR Iterations'!C20</f>
        <v>1</v>
      </c>
      <c r="D26" s="76">
        <f>'ERDR Iterations'!D20</f>
        <v>0</v>
      </c>
      <c r="E26" s="76">
        <f>'ERDR Iterations'!E20</f>
        <v>0</v>
      </c>
      <c r="F26" s="76">
        <f>'ERDR Iterations'!F20</f>
        <v>1</v>
      </c>
      <c r="G26" s="76">
        <f>'ERDR Iterations'!G20</f>
        <v>0</v>
      </c>
      <c r="H26" s="76">
        <f>'ERDR Iterations'!H20</f>
        <v>0</v>
      </c>
    </row>
    <row r="27">
      <c r="A27" s="62">
        <v>2</v>
      </c>
      <c r="B27" s="76">
        <f>'ERDR Iterations'!B46</f>
        <v>0</v>
      </c>
      <c r="C27" s="76">
        <f>'ERDR Iterations'!C46</f>
        <v>0</v>
      </c>
      <c r="D27" s="76">
        <f>'ERDR Iterations'!D46</f>
        <v>1</v>
      </c>
      <c r="E27" s="76">
        <f>'ERDR Iterations'!E46</f>
        <v>0</v>
      </c>
      <c r="F27" s="76">
        <f>'ERDR Iterations'!F46</f>
        <v>0</v>
      </c>
      <c r="G27" s="76">
        <f>'ERDR Iterations'!G46</f>
        <v>0</v>
      </c>
      <c r="H27" s="76">
        <f>'ERDR Iterations'!H46</f>
        <v>1</v>
      </c>
    </row>
    <row r="28">
      <c r="A28" s="62">
        <v>3</v>
      </c>
      <c r="B28" s="76">
        <f>'ERDR Iterations'!B72</f>
        <v>1</v>
      </c>
      <c r="C28" s="76">
        <f>'ERDR Iterations'!C72</f>
        <v>1</v>
      </c>
      <c r="D28" s="76">
        <f>'ERDR Iterations'!D72</f>
        <v>0</v>
      </c>
      <c r="E28" s="76">
        <f>'ERDR Iterations'!E72</f>
        <v>0</v>
      </c>
      <c r="F28" s="76">
        <f>'ERDR Iterations'!F72</f>
        <v>1</v>
      </c>
      <c r="G28" s="76">
        <f>'ERDR Iterations'!G72</f>
        <v>0</v>
      </c>
      <c r="H28" s="76">
        <f>'ERDR Iterations'!H72</f>
        <v>0</v>
      </c>
    </row>
    <row r="29">
      <c r="A29" s="62">
        <v>4</v>
      </c>
      <c r="B29" s="76">
        <f>'ERDR Iterations'!B98</f>
        <v>0</v>
      </c>
      <c r="C29" s="76">
        <f>'ERDR Iterations'!C98</f>
        <v>1</v>
      </c>
      <c r="D29" s="76">
        <f>'ERDR Iterations'!D98</f>
        <v>0</v>
      </c>
      <c r="E29" s="76">
        <f>'ERDR Iterations'!E98</f>
        <v>0</v>
      </c>
      <c r="F29" s="76">
        <f>'ERDR Iterations'!F98</f>
        <v>0</v>
      </c>
      <c r="G29" s="76">
        <f>'ERDR Iterations'!G98</f>
        <v>0</v>
      </c>
      <c r="H29" s="76">
        <f>'ERDR Iterations'!H98</f>
        <v>0</v>
      </c>
    </row>
    <row r="30">
      <c r="A30" s="62">
        <v>5</v>
      </c>
      <c r="B30" s="76">
        <f>'ERDR Iterations'!B124</f>
        <v>0</v>
      </c>
      <c r="C30" s="76">
        <f>'ERDR Iterations'!C124</f>
        <v>0</v>
      </c>
      <c r="D30" s="76">
        <f>'ERDR Iterations'!D124</f>
        <v>1</v>
      </c>
      <c r="E30" s="76">
        <f>'ERDR Iterations'!E124</f>
        <v>0</v>
      </c>
      <c r="F30" s="76">
        <f>'ERDR Iterations'!F124</f>
        <v>0</v>
      </c>
      <c r="G30" s="76">
        <f>'ERDR Iterations'!G124</f>
        <v>0</v>
      </c>
      <c r="H30" s="76">
        <f>'ERDR Iterations'!H124</f>
        <v>0</v>
      </c>
    </row>
    <row r="31">
      <c r="A31" s="62">
        <v>6</v>
      </c>
      <c r="B31" s="76">
        <f>'ERDR Iterations'!B150</f>
        <v>0</v>
      </c>
      <c r="C31" s="76">
        <f>'ERDR Iterations'!C150</f>
        <v>0</v>
      </c>
      <c r="D31" s="76">
        <f>'ERDR Iterations'!D150</f>
        <v>0</v>
      </c>
      <c r="E31" s="76">
        <f>'ERDR Iterations'!E150</f>
        <v>0</v>
      </c>
      <c r="F31" s="76">
        <f>'ERDR Iterations'!F150</f>
        <v>0</v>
      </c>
      <c r="G31" s="76">
        <f>'ERDR Iterations'!G150</f>
        <v>0</v>
      </c>
      <c r="H31" s="76">
        <f>'ERDR Iterations'!H150</f>
        <v>0</v>
      </c>
    </row>
    <row r="32">
      <c r="A32" s="62">
        <v>7</v>
      </c>
      <c r="B32" s="76">
        <f>'ERDR Iterations'!B176</f>
        <v>0</v>
      </c>
      <c r="C32" s="76">
        <f>'ERDR Iterations'!C176</f>
        <v>0</v>
      </c>
      <c r="D32" s="76">
        <f>'ERDR Iterations'!D176</f>
        <v>0</v>
      </c>
      <c r="E32" s="76">
        <f>'ERDR Iterations'!E176</f>
        <v>0</v>
      </c>
      <c r="F32" s="76">
        <f>'ERDR Iterations'!F176</f>
        <v>0</v>
      </c>
      <c r="G32" s="76">
        <f>'ERDR Iterations'!G176</f>
        <v>0</v>
      </c>
      <c r="H32" s="76">
        <f>'ERDR Iterations'!H176</f>
        <v>0</v>
      </c>
    </row>
    <row r="33"/>
    <row r="34">
      <c r="A34" s="58" t="inlineStr">
        <is>
          <t xml:space="preserve">Step 5 · counter decreased</t>
        </is>
      </c>
      <c r="B34" s="58"/>
      <c r="C34" s="58"/>
      <c r="D34" s="58"/>
      <c r="E34" s="58"/>
      <c r="F34" s="58"/>
      <c r="G34" s="58"/>
      <c r="H34" s="58"/>
    </row>
    <row r="35">
      <c r="A35" s="60" t="inlineStr">
        <is>
          <t xml:space="preserve">t</t>
        </is>
      </c>
      <c r="B35" s="60" t="inlineStr">
        <is>
          <t xml:space="preserve">S₁</t>
        </is>
      </c>
      <c r="C35" s="60" t="inlineStr">
        <is>
          <t xml:space="preserve">S₂</t>
        </is>
      </c>
      <c r="D35" s="60" t="inlineStr">
        <is>
          <t xml:space="preserve">S₃</t>
        </is>
      </c>
      <c r="E35" s="60" t="inlineStr">
        <is>
          <t xml:space="preserve">S₄</t>
        </is>
      </c>
      <c r="F35" s="60" t="inlineStr">
        <is>
          <t xml:space="preserve">S₅</t>
        </is>
      </c>
      <c r="G35" s="60" t="inlineStr">
        <is>
          <t xml:space="preserve">S₆</t>
        </is>
      </c>
      <c r="H35" s="60" t="inlineStr">
        <is>
          <t xml:space="preserve">S₇</t>
        </is>
      </c>
    </row>
    <row r="36">
      <c r="A36" s="62">
        <v>1</v>
      </c>
      <c r="B36" s="76">
        <f>'ERDR Iterations'!B22</f>
        <v>1</v>
      </c>
      <c r="C36" s="76">
        <f>'ERDR Iterations'!C22</f>
        <v>1</v>
      </c>
      <c r="D36" s="76">
        <f>'ERDR Iterations'!D22</f>
        <v>0</v>
      </c>
      <c r="E36" s="76">
        <f>'ERDR Iterations'!E22</f>
        <v>0</v>
      </c>
      <c r="F36" s="76">
        <f>'ERDR Iterations'!F22</f>
        <v>1</v>
      </c>
      <c r="G36" s="76">
        <f>'ERDR Iterations'!G22</f>
        <v>0</v>
      </c>
      <c r="H36" s="76">
        <f>'ERDR Iterations'!H22</f>
        <v>0</v>
      </c>
    </row>
    <row r="37">
      <c r="A37" s="62">
        <v>2</v>
      </c>
      <c r="B37" s="76">
        <f>'ERDR Iterations'!B48</f>
        <v>0</v>
      </c>
      <c r="C37" s="76">
        <f>'ERDR Iterations'!C48</f>
        <v>0</v>
      </c>
      <c r="D37" s="76">
        <f>'ERDR Iterations'!D48</f>
        <v>1</v>
      </c>
      <c r="E37" s="76">
        <f>'ERDR Iterations'!E48</f>
        <v>0</v>
      </c>
      <c r="F37" s="76">
        <f>'ERDR Iterations'!F48</f>
        <v>0</v>
      </c>
      <c r="G37" s="76">
        <f>'ERDR Iterations'!G48</f>
        <v>0</v>
      </c>
      <c r="H37" s="76">
        <f>'ERDR Iterations'!H48</f>
        <v>1</v>
      </c>
    </row>
    <row r="38">
      <c r="A38" s="62">
        <v>3</v>
      </c>
      <c r="B38" s="76">
        <f>'ERDR Iterations'!B74</f>
        <v>1</v>
      </c>
      <c r="C38" s="76">
        <f>'ERDR Iterations'!C74</f>
        <v>1</v>
      </c>
      <c r="D38" s="76">
        <f>'ERDR Iterations'!D74</f>
        <v>0</v>
      </c>
      <c r="E38" s="76">
        <f>'ERDR Iterations'!E74</f>
        <v>0</v>
      </c>
      <c r="F38" s="76">
        <f>'ERDR Iterations'!F74</f>
        <v>1</v>
      </c>
      <c r="G38" s="76">
        <f>'ERDR Iterations'!G74</f>
        <v>0</v>
      </c>
      <c r="H38" s="76">
        <f>'ERDR Iterations'!H74</f>
        <v>0</v>
      </c>
    </row>
    <row r="39">
      <c r="A39" s="62">
        <v>4</v>
      </c>
      <c r="B39" s="76">
        <f>'ERDR Iterations'!B100</f>
        <v>0</v>
      </c>
      <c r="C39" s="76">
        <f>'ERDR Iterations'!C100</f>
        <v>0</v>
      </c>
      <c r="D39" s="76">
        <f>'ERDR Iterations'!D100</f>
        <v>0</v>
      </c>
      <c r="E39" s="76">
        <f>'ERDR Iterations'!E100</f>
        <v>0</v>
      </c>
      <c r="F39" s="76">
        <f>'ERDR Iterations'!F100</f>
        <v>0</v>
      </c>
      <c r="G39" s="76">
        <f>'ERDR Iterations'!G100</f>
        <v>0</v>
      </c>
      <c r="H39" s="76">
        <f>'ERDR Iterations'!H100</f>
        <v>0</v>
      </c>
    </row>
    <row r="40">
      <c r="A40" s="62">
        <v>5</v>
      </c>
      <c r="B40" s="76">
        <f>'ERDR Iterations'!B126</f>
        <v>0</v>
      </c>
      <c r="C40" s="76">
        <f>'ERDR Iterations'!C126</f>
        <v>0</v>
      </c>
      <c r="D40" s="76">
        <f>'ERDR Iterations'!D126</f>
        <v>0</v>
      </c>
      <c r="E40" s="76">
        <f>'ERDR Iterations'!E126</f>
        <v>0</v>
      </c>
      <c r="F40" s="76">
        <f>'ERDR Iterations'!F126</f>
        <v>0</v>
      </c>
      <c r="G40" s="76">
        <f>'ERDR Iterations'!G126</f>
        <v>0</v>
      </c>
      <c r="H40" s="76">
        <f>'ERDR Iterations'!H126</f>
        <v>0</v>
      </c>
    </row>
    <row r="41">
      <c r="A41" s="62">
        <v>6</v>
      </c>
      <c r="B41" s="76">
        <f>'ERDR Iterations'!B152</f>
        <v>0</v>
      </c>
      <c r="C41" s="76">
        <f>'ERDR Iterations'!C152</f>
        <v>0</v>
      </c>
      <c r="D41" s="76">
        <f>'ERDR Iterations'!D152</f>
        <v>0</v>
      </c>
      <c r="E41" s="76">
        <f>'ERDR Iterations'!E152</f>
        <v>0</v>
      </c>
      <c r="F41" s="76">
        <f>'ERDR Iterations'!F152</f>
        <v>0</v>
      </c>
      <c r="G41" s="76">
        <f>'ERDR Iterations'!G152</f>
        <v>0</v>
      </c>
      <c r="H41" s="76">
        <f>'ERDR Iterations'!H152</f>
        <v>0</v>
      </c>
    </row>
    <row r="42">
      <c r="A42" s="62">
        <v>7</v>
      </c>
      <c r="B42" s="76">
        <f>'ERDR Iterations'!B178</f>
        <v>0</v>
      </c>
      <c r="C42" s="76">
        <f>'ERDR Iterations'!C178</f>
        <v>0</v>
      </c>
      <c r="D42" s="76">
        <f>'ERDR Iterations'!D178</f>
        <v>0</v>
      </c>
      <c r="E42" s="76">
        <f>'ERDR Iterations'!E178</f>
        <v>0</v>
      </c>
      <c r="F42" s="76">
        <f>'ERDR Iterations'!F178</f>
        <v>0</v>
      </c>
      <c r="G42" s="76">
        <f>'ERDR Iterations'!G178</f>
        <v>0</v>
      </c>
      <c r="H42" s="76">
        <f>'ERDR Iterations'!H178</f>
        <v>0</v>
      </c>
    </row>
    <row r="43"/>
    <row r="44">
      <c r="A44" s="58" t="inlineStr">
        <is>
          <t xml:space="preserve">Step 4 · moved to D (|L| = 1)</t>
        </is>
      </c>
      <c r="B44" s="58"/>
      <c r="C44" s="58"/>
      <c r="D44" s="58"/>
      <c r="E44" s="58"/>
      <c r="F44" s="58"/>
      <c r="G44" s="58"/>
      <c r="H44" s="58"/>
    </row>
    <row r="45">
      <c r="A45" s="60" t="inlineStr">
        <is>
          <t xml:space="preserve">t</t>
        </is>
      </c>
      <c r="B45" s="60" t="inlineStr">
        <is>
          <t xml:space="preserve">S₁</t>
        </is>
      </c>
      <c r="C45" s="60" t="inlineStr">
        <is>
          <t xml:space="preserve">S₂</t>
        </is>
      </c>
      <c r="D45" s="60" t="inlineStr">
        <is>
          <t xml:space="preserve">S₃</t>
        </is>
      </c>
      <c r="E45" s="60" t="inlineStr">
        <is>
          <t xml:space="preserve">S₄</t>
        </is>
      </c>
      <c r="F45" s="60" t="inlineStr">
        <is>
          <t xml:space="preserve">S₅</t>
        </is>
      </c>
      <c r="G45" s="60" t="inlineStr">
        <is>
          <t xml:space="preserve">S₆</t>
        </is>
      </c>
      <c r="H45" s="60" t="inlineStr">
        <is>
          <t xml:space="preserve">S₇</t>
        </is>
      </c>
    </row>
    <row r="46">
      <c r="A46" s="62">
        <v>1</v>
      </c>
      <c r="B46" s="76">
        <f>'ERDR Iterations'!B21</f>
        <v>0</v>
      </c>
      <c r="C46" s="76">
        <f>'ERDR Iterations'!C21</f>
        <v>0</v>
      </c>
      <c r="D46" s="76">
        <f>'ERDR Iterations'!D21</f>
        <v>0</v>
      </c>
      <c r="E46" s="76">
        <f>'ERDR Iterations'!E21</f>
        <v>0</v>
      </c>
      <c r="F46" s="76">
        <f>'ERDR Iterations'!F21</f>
        <v>0</v>
      </c>
      <c r="G46" s="76">
        <f>'ERDR Iterations'!G21</f>
        <v>0</v>
      </c>
      <c r="H46" s="76">
        <f>'ERDR Iterations'!H21</f>
        <v>0</v>
      </c>
    </row>
    <row r="47">
      <c r="A47" s="62">
        <v>2</v>
      </c>
      <c r="B47" s="76">
        <f>'ERDR Iterations'!B47</f>
        <v>0</v>
      </c>
      <c r="C47" s="76">
        <f>'ERDR Iterations'!C47</f>
        <v>0</v>
      </c>
      <c r="D47" s="76">
        <f>'ERDR Iterations'!D47</f>
        <v>0</v>
      </c>
      <c r="E47" s="76">
        <f>'ERDR Iterations'!E47</f>
        <v>0</v>
      </c>
      <c r="F47" s="76">
        <f>'ERDR Iterations'!F47</f>
        <v>0</v>
      </c>
      <c r="G47" s="76">
        <f>'ERDR Iterations'!G47</f>
        <v>0</v>
      </c>
      <c r="H47" s="76">
        <f>'ERDR Iterations'!H47</f>
        <v>0</v>
      </c>
    </row>
    <row r="48">
      <c r="A48" s="62">
        <v>3</v>
      </c>
      <c r="B48" s="76">
        <f>'ERDR Iterations'!B73</f>
        <v>0</v>
      </c>
      <c r="C48" s="76">
        <f>'ERDR Iterations'!C73</f>
        <v>0</v>
      </c>
      <c r="D48" s="76">
        <f>'ERDR Iterations'!D73</f>
        <v>0</v>
      </c>
      <c r="E48" s="76">
        <f>'ERDR Iterations'!E73</f>
        <v>0</v>
      </c>
      <c r="F48" s="76">
        <f>'ERDR Iterations'!F73</f>
        <v>0</v>
      </c>
      <c r="G48" s="76">
        <f>'ERDR Iterations'!G73</f>
        <v>0</v>
      </c>
      <c r="H48" s="76">
        <f>'ERDR Iterations'!H73</f>
        <v>0</v>
      </c>
    </row>
    <row r="49">
      <c r="A49" s="62">
        <v>4</v>
      </c>
      <c r="B49" s="76">
        <f>'ERDR Iterations'!B99</f>
        <v>0</v>
      </c>
      <c r="C49" s="76">
        <f>'ERDR Iterations'!C99</f>
        <v>1</v>
      </c>
      <c r="D49" s="76">
        <f>'ERDR Iterations'!D99</f>
        <v>0</v>
      </c>
      <c r="E49" s="76">
        <f>'ERDR Iterations'!E99</f>
        <v>0</v>
      </c>
      <c r="F49" s="76">
        <f>'ERDR Iterations'!F99</f>
        <v>0</v>
      </c>
      <c r="G49" s="76">
        <f>'ERDR Iterations'!G99</f>
        <v>0</v>
      </c>
      <c r="H49" s="76">
        <f>'ERDR Iterations'!H99</f>
        <v>0</v>
      </c>
    </row>
    <row r="50">
      <c r="A50" s="62">
        <v>5</v>
      </c>
      <c r="B50" s="76">
        <f>'ERDR Iterations'!B125</f>
        <v>0</v>
      </c>
      <c r="C50" s="76">
        <f>'ERDR Iterations'!C125</f>
        <v>0</v>
      </c>
      <c r="D50" s="76">
        <f>'ERDR Iterations'!D125</f>
        <v>0</v>
      </c>
      <c r="E50" s="76">
        <f>'ERDR Iterations'!E125</f>
        <v>0</v>
      </c>
      <c r="F50" s="76">
        <f>'ERDR Iterations'!F125</f>
        <v>0</v>
      </c>
      <c r="G50" s="76">
        <f>'ERDR Iterations'!G125</f>
        <v>1</v>
      </c>
      <c r="H50" s="76">
        <f>'ERDR Iterations'!H125</f>
        <v>0</v>
      </c>
    </row>
    <row r="51">
      <c r="A51" s="62">
        <v>6</v>
      </c>
      <c r="B51" s="76">
        <f>'ERDR Iterations'!B151</f>
        <v>0</v>
      </c>
      <c r="C51" s="76">
        <f>'ERDR Iterations'!C151</f>
        <v>0</v>
      </c>
      <c r="D51" s="76">
        <f>'ERDR Iterations'!D151</f>
        <v>0</v>
      </c>
      <c r="E51" s="76">
        <f>'ERDR Iterations'!E151</f>
        <v>0</v>
      </c>
      <c r="F51" s="76">
        <f>'ERDR Iterations'!F151</f>
        <v>0</v>
      </c>
      <c r="G51" s="76">
        <f>'ERDR Iterations'!G151</f>
        <v>0</v>
      </c>
      <c r="H51" s="76">
        <f>'ERDR Iterations'!H151</f>
        <v>0</v>
      </c>
    </row>
    <row r="52">
      <c r="A52" s="62">
        <v>7</v>
      </c>
      <c r="B52" s="76">
        <f>'ERDR Iterations'!B177</f>
        <v>0</v>
      </c>
      <c r="C52" s="76">
        <f>'ERDR Iterations'!C177</f>
        <v>0</v>
      </c>
      <c r="D52" s="76">
        <f>'ERDR Iterations'!D177</f>
        <v>0</v>
      </c>
      <c r="E52" s="76">
        <f>'ERDR Iterations'!E177</f>
        <v>0</v>
      </c>
      <c r="F52" s="76">
        <f>'ERDR Iterations'!F177</f>
        <v>0</v>
      </c>
      <c r="G52" s="76">
        <f>'ERDR Iterations'!G177</f>
        <v>0</v>
      </c>
      <c r="H52" s="76">
        <f>'ERDR Iterations'!H177</f>
        <v>0</v>
      </c>
    </row>
    <row r="53"/>
    <row r="54">
      <c r="A54" s="58" t="inlineStr">
        <is>
          <t xml:space="preserve">Moved to D (Step 4 or Step 5)</t>
        </is>
      </c>
      <c r="B54" s="58"/>
      <c r="C54" s="58"/>
      <c r="D54" s="58"/>
      <c r="E54" s="58"/>
      <c r="F54" s="58"/>
      <c r="G54" s="58"/>
      <c r="H54" s="58"/>
    </row>
    <row r="55">
      <c r="A55" s="60" t="inlineStr">
        <is>
          <t xml:space="preserve">t</t>
        </is>
      </c>
      <c r="B55" s="60" t="inlineStr">
        <is>
          <t xml:space="preserve">S₁</t>
        </is>
      </c>
      <c r="C55" s="60" t="inlineStr">
        <is>
          <t xml:space="preserve">S₂</t>
        </is>
      </c>
      <c r="D55" s="60" t="inlineStr">
        <is>
          <t xml:space="preserve">S₃</t>
        </is>
      </c>
      <c r="E55" s="60" t="inlineStr">
        <is>
          <t xml:space="preserve">S₄</t>
        </is>
      </c>
      <c r="F55" s="60" t="inlineStr">
        <is>
          <t xml:space="preserve">S₅</t>
        </is>
      </c>
      <c r="G55" s="60" t="inlineStr">
        <is>
          <t xml:space="preserve">S₆</t>
        </is>
      </c>
      <c r="H55" s="60" t="inlineStr">
        <is>
          <t xml:space="preserve">S₇</t>
        </is>
      </c>
    </row>
    <row r="56">
      <c r="A56" s="62">
        <v>1</v>
      </c>
      <c r="B56" s="76">
        <f>'ERDR Iterations'!B25</f>
        <v>0</v>
      </c>
      <c r="C56" s="76">
        <f>'ERDR Iterations'!C25</f>
        <v>0</v>
      </c>
      <c r="D56" s="76">
        <f>'ERDR Iterations'!D25</f>
        <v>0</v>
      </c>
      <c r="E56" s="76">
        <f>'ERDR Iterations'!E25</f>
        <v>0</v>
      </c>
      <c r="F56" s="76">
        <f>'ERDR Iterations'!F25</f>
        <v>0</v>
      </c>
      <c r="G56" s="76">
        <f>'ERDR Iterations'!G25</f>
        <v>0</v>
      </c>
      <c r="H56" s="76">
        <f>'ERDR Iterations'!H25</f>
        <v>0</v>
      </c>
    </row>
    <row r="57">
      <c r="A57" s="62">
        <v>2</v>
      </c>
      <c r="B57" s="76">
        <f>'ERDR Iterations'!B51</f>
        <v>0</v>
      </c>
      <c r="C57" s="76">
        <f>'ERDR Iterations'!C51</f>
        <v>0</v>
      </c>
      <c r="D57" s="76">
        <f>'ERDR Iterations'!D51</f>
        <v>0</v>
      </c>
      <c r="E57" s="76">
        <f>'ERDR Iterations'!E51</f>
        <v>0</v>
      </c>
      <c r="F57" s="76">
        <f>'ERDR Iterations'!F51</f>
        <v>0</v>
      </c>
      <c r="G57" s="76">
        <f>'ERDR Iterations'!G51</f>
        <v>0</v>
      </c>
      <c r="H57" s="76">
        <f>'ERDR Iterations'!H51</f>
        <v>1</v>
      </c>
    </row>
    <row r="58">
      <c r="A58" s="62">
        <v>3</v>
      </c>
      <c r="B58" s="76">
        <f>'ERDR Iterations'!B77</f>
        <v>1</v>
      </c>
      <c r="C58" s="76">
        <f>'ERDR Iterations'!C77</f>
        <v>0</v>
      </c>
      <c r="D58" s="76">
        <f>'ERDR Iterations'!D77</f>
        <v>0</v>
      </c>
      <c r="E58" s="76">
        <f>'ERDR Iterations'!E77</f>
        <v>0</v>
      </c>
      <c r="F58" s="76">
        <f>'ERDR Iterations'!F77</f>
        <v>1</v>
      </c>
      <c r="G58" s="76">
        <f>'ERDR Iterations'!G77</f>
        <v>0</v>
      </c>
      <c r="H58" s="76">
        <f>'ERDR Iterations'!H77</f>
        <v>0</v>
      </c>
    </row>
    <row r="59">
      <c r="A59" s="62">
        <v>4</v>
      </c>
      <c r="B59" s="76">
        <f>'ERDR Iterations'!B103</f>
        <v>0</v>
      </c>
      <c r="C59" s="76">
        <f>'ERDR Iterations'!C103</f>
        <v>1</v>
      </c>
      <c r="D59" s="76">
        <f>'ERDR Iterations'!D103</f>
        <v>0</v>
      </c>
      <c r="E59" s="76">
        <f>'ERDR Iterations'!E103</f>
        <v>0</v>
      </c>
      <c r="F59" s="76">
        <f>'ERDR Iterations'!F103</f>
        <v>0</v>
      </c>
      <c r="G59" s="76">
        <f>'ERDR Iterations'!G103</f>
        <v>0</v>
      </c>
      <c r="H59" s="76">
        <f>'ERDR Iterations'!H103</f>
        <v>0</v>
      </c>
    </row>
    <row r="60">
      <c r="A60" s="62">
        <v>5</v>
      </c>
      <c r="B60" s="76">
        <f>'ERDR Iterations'!B129</f>
        <v>0</v>
      </c>
      <c r="C60" s="76">
        <f>'ERDR Iterations'!C129</f>
        <v>0</v>
      </c>
      <c r="D60" s="76">
        <f>'ERDR Iterations'!D129</f>
        <v>0</v>
      </c>
      <c r="E60" s="76">
        <f>'ERDR Iterations'!E129</f>
        <v>0</v>
      </c>
      <c r="F60" s="76">
        <f>'ERDR Iterations'!F129</f>
        <v>0</v>
      </c>
      <c r="G60" s="76">
        <f>'ERDR Iterations'!G129</f>
        <v>1</v>
      </c>
      <c r="H60" s="76">
        <f>'ERDR Iterations'!H129</f>
        <v>0</v>
      </c>
    </row>
    <row r="61">
      <c r="A61" s="62">
        <v>6</v>
      </c>
      <c r="B61" s="76">
        <f>'ERDR Iterations'!B155</f>
        <v>0</v>
      </c>
      <c r="C61" s="76">
        <f>'ERDR Iterations'!C155</f>
        <v>0</v>
      </c>
      <c r="D61" s="76">
        <f>'ERDR Iterations'!D155</f>
        <v>0</v>
      </c>
      <c r="E61" s="76">
        <f>'ERDR Iterations'!E155</f>
        <v>0</v>
      </c>
      <c r="F61" s="76">
        <f>'ERDR Iterations'!F155</f>
        <v>0</v>
      </c>
      <c r="G61" s="76">
        <f>'ERDR Iterations'!G155</f>
        <v>0</v>
      </c>
      <c r="H61" s="76">
        <f>'ERDR Iterations'!H155</f>
        <v>0</v>
      </c>
    </row>
    <row r="62">
      <c r="A62" s="62">
        <v>7</v>
      </c>
      <c r="B62" s="76">
        <f>'ERDR Iterations'!B181</f>
        <v>0</v>
      </c>
      <c r="C62" s="76">
        <f>'ERDR Iterations'!C181</f>
        <v>0</v>
      </c>
      <c r="D62" s="76">
        <f>'ERDR Iterations'!D181</f>
        <v>0</v>
      </c>
      <c r="E62" s="76">
        <f>'ERDR Iterations'!E181</f>
        <v>0</v>
      </c>
      <c r="F62" s="76">
        <f>'ERDR Iterations'!F181</f>
        <v>0</v>
      </c>
      <c r="G62" s="76">
        <f>'ERDR Iterations'!G181</f>
        <v>0</v>
      </c>
      <c r="H62" s="76">
        <f>'ERDR Iterations'!H181</f>
        <v>0</v>
      </c>
    </row>
    <row r="63"/>
    <row r="64">
      <c r="A64" s="58" t="inlineStr">
        <is>
          <t xml:space="preserve">In F after iteration t  (start = E₀)</t>
        </is>
      </c>
      <c r="B64" s="58"/>
      <c r="C64" s="58"/>
      <c r="D64" s="58"/>
      <c r="E64" s="58"/>
      <c r="F64" s="58"/>
      <c r="G64" s="58"/>
      <c r="H64" s="58"/>
    </row>
    <row r="65">
      <c r="A65" s="60" t="inlineStr">
        <is>
          <t xml:space="preserve">t</t>
        </is>
      </c>
      <c r="B65" s="60" t="inlineStr">
        <is>
          <t xml:space="preserve">S₁</t>
        </is>
      </c>
      <c r="C65" s="60" t="inlineStr">
        <is>
          <t xml:space="preserve">S₂</t>
        </is>
      </c>
      <c r="D65" s="60" t="inlineStr">
        <is>
          <t xml:space="preserve">S₃</t>
        </is>
      </c>
      <c r="E65" s="60" t="inlineStr">
        <is>
          <t xml:space="preserve">S₄</t>
        </is>
      </c>
      <c r="F65" s="60" t="inlineStr">
        <is>
          <t xml:space="preserve">S₅</t>
        </is>
      </c>
      <c r="G65" s="60" t="inlineStr">
        <is>
          <t xml:space="preserve">S₆</t>
        </is>
      </c>
      <c r="H65" s="60" t="inlineStr">
        <is>
          <t xml:space="preserve">S₇</t>
        </is>
      </c>
    </row>
    <row r="66">
      <c r="A66" s="62" t="inlineStr">
        <is>
          <t xml:space="preserve">start</t>
        </is>
      </c>
      <c r="B66" s="76">
        <v>1</v>
      </c>
      <c r="C66" s="76">
        <v>1</v>
      </c>
      <c r="D66" s="76">
        <v>1</v>
      </c>
      <c r="E66" s="76">
        <v>1</v>
      </c>
      <c r="F66" s="76">
        <v>1</v>
      </c>
      <c r="G66" s="76">
        <v>1</v>
      </c>
      <c r="H66" s="76">
        <v>1</v>
      </c>
    </row>
    <row r="67">
      <c r="A67" s="62">
        <v>1</v>
      </c>
      <c r="B67" s="76">
        <f>'ERDR Iterations'!B26</f>
        <v>1</v>
      </c>
      <c r="C67" s="76">
        <f>'ERDR Iterations'!C26</f>
        <v>1</v>
      </c>
      <c r="D67" s="76">
        <f>'ERDR Iterations'!D26</f>
        <v>1</v>
      </c>
      <c r="E67" s="76">
        <f>'ERDR Iterations'!E26</f>
        <v>1</v>
      </c>
      <c r="F67" s="76">
        <f>'ERDR Iterations'!F26</f>
        <v>1</v>
      </c>
      <c r="G67" s="76">
        <f>'ERDR Iterations'!G26</f>
        <v>1</v>
      </c>
      <c r="H67" s="76">
        <f>'ERDR Iterations'!H26</f>
        <v>1</v>
      </c>
    </row>
    <row r="68">
      <c r="A68" s="62">
        <v>2</v>
      </c>
      <c r="B68" s="76">
        <f>'ERDR Iterations'!B52</f>
        <v>1</v>
      </c>
      <c r="C68" s="76">
        <f>'ERDR Iterations'!C52</f>
        <v>1</v>
      </c>
      <c r="D68" s="76">
        <f>'ERDR Iterations'!D52</f>
        <v>1</v>
      </c>
      <c r="E68" s="76">
        <f>'ERDR Iterations'!E52</f>
        <v>1</v>
      </c>
      <c r="F68" s="76">
        <f>'ERDR Iterations'!F52</f>
        <v>1</v>
      </c>
      <c r="G68" s="76">
        <f>'ERDR Iterations'!G52</f>
        <v>1</v>
      </c>
      <c r="H68" s="76">
        <f>'ERDR Iterations'!H52</f>
        <v>0</v>
      </c>
    </row>
    <row r="69">
      <c r="A69" s="62">
        <v>3</v>
      </c>
      <c r="B69" s="76">
        <f>'ERDR Iterations'!B78</f>
        <v>0</v>
      </c>
      <c r="C69" s="76">
        <f>'ERDR Iterations'!C78</f>
        <v>1</v>
      </c>
      <c r="D69" s="76">
        <f>'ERDR Iterations'!D78</f>
        <v>1</v>
      </c>
      <c r="E69" s="76">
        <f>'ERDR Iterations'!E78</f>
        <v>1</v>
      </c>
      <c r="F69" s="76">
        <f>'ERDR Iterations'!F78</f>
        <v>0</v>
      </c>
      <c r="G69" s="76">
        <f>'ERDR Iterations'!G78</f>
        <v>1</v>
      </c>
      <c r="H69" s="76">
        <f>'ERDR Iterations'!H78</f>
        <v>0</v>
      </c>
    </row>
    <row r="70">
      <c r="A70" s="62">
        <v>4</v>
      </c>
      <c r="B70" s="76">
        <f>'ERDR Iterations'!B104</f>
        <v>0</v>
      </c>
      <c r="C70" s="76">
        <f>'ERDR Iterations'!C104</f>
        <v>0</v>
      </c>
      <c r="D70" s="76">
        <f>'ERDR Iterations'!D104</f>
        <v>1</v>
      </c>
      <c r="E70" s="76">
        <f>'ERDR Iterations'!E104</f>
        <v>1</v>
      </c>
      <c r="F70" s="76">
        <f>'ERDR Iterations'!F104</f>
        <v>0</v>
      </c>
      <c r="G70" s="76">
        <f>'ERDR Iterations'!G104</f>
        <v>1</v>
      </c>
      <c r="H70" s="76">
        <f>'ERDR Iterations'!H104</f>
        <v>0</v>
      </c>
    </row>
    <row r="71">
      <c r="A71" s="62">
        <v>5</v>
      </c>
      <c r="B71" s="76">
        <f>'ERDR Iterations'!B130</f>
        <v>0</v>
      </c>
      <c r="C71" s="76">
        <f>'ERDR Iterations'!C130</f>
        <v>0</v>
      </c>
      <c r="D71" s="76">
        <f>'ERDR Iterations'!D130</f>
        <v>1</v>
      </c>
      <c r="E71" s="76">
        <f>'ERDR Iterations'!E130</f>
        <v>1</v>
      </c>
      <c r="F71" s="76">
        <f>'ERDR Iterations'!F130</f>
        <v>0</v>
      </c>
      <c r="G71" s="76">
        <f>'ERDR Iterations'!G130</f>
        <v>0</v>
      </c>
      <c r="H71" s="76">
        <f>'ERDR Iterations'!H130</f>
        <v>0</v>
      </c>
    </row>
    <row r="72">
      <c r="A72" s="62">
        <v>6</v>
      </c>
      <c r="B72" s="76">
        <f>'ERDR Iterations'!B156</f>
        <v>0</v>
      </c>
      <c r="C72" s="76">
        <f>'ERDR Iterations'!C156</f>
        <v>0</v>
      </c>
      <c r="D72" s="76">
        <f>'ERDR Iterations'!D156</f>
        <v>1</v>
      </c>
      <c r="E72" s="76">
        <f>'ERDR Iterations'!E156</f>
        <v>1</v>
      </c>
      <c r="F72" s="76">
        <f>'ERDR Iterations'!F156</f>
        <v>0</v>
      </c>
      <c r="G72" s="76">
        <f>'ERDR Iterations'!G156</f>
        <v>0</v>
      </c>
      <c r="H72" s="76">
        <f>'ERDR Iterations'!H156</f>
        <v>0</v>
      </c>
    </row>
    <row r="73">
      <c r="A73" s="62">
        <v>7</v>
      </c>
      <c r="B73" s="76">
        <f>'ERDR Iterations'!B182</f>
        <v>0</v>
      </c>
      <c r="C73" s="76">
        <f>'ERDR Iterations'!C182</f>
        <v>0</v>
      </c>
      <c r="D73" s="76">
        <f>'ERDR Iterations'!D182</f>
        <v>1</v>
      </c>
      <c r="E73" s="76">
        <f>'ERDR Iterations'!E182</f>
        <v>1</v>
      </c>
      <c r="F73" s="76">
        <f>'ERDR Iterations'!F182</f>
        <v>0</v>
      </c>
      <c r="G73" s="76">
        <f>'ERDR Iterations'!G182</f>
        <v>0</v>
      </c>
      <c r="H73" s="76">
        <f>'ERDR Iterations'!H182</f>
        <v>0</v>
      </c>
    </row>
    <row r="74"/>
    <row r="75">
      <c r="A75" s="58" t="inlineStr">
        <is>
          <t xml:space="preserve">g after iteration t  (start = Step 1)</t>
        </is>
      </c>
      <c r="B75" s="58"/>
      <c r="C75" s="58"/>
      <c r="D75" s="58"/>
      <c r="E75" s="58"/>
      <c r="F75" s="58"/>
      <c r="G75" s="58"/>
      <c r="H75" s="58"/>
    </row>
    <row r="76">
      <c r="A76" s="60" t="inlineStr">
        <is>
          <t xml:space="preserve">t</t>
        </is>
      </c>
      <c r="B76" s="60" t="inlineStr">
        <is>
          <t xml:space="preserve">S₁</t>
        </is>
      </c>
      <c r="C76" s="60" t="inlineStr">
        <is>
          <t xml:space="preserve">S₂</t>
        </is>
      </c>
      <c r="D76" s="60" t="inlineStr">
        <is>
          <t xml:space="preserve">S₃</t>
        </is>
      </c>
      <c r="E76" s="60" t="inlineStr">
        <is>
          <t xml:space="preserve">S₄</t>
        </is>
      </c>
      <c r="F76" s="60" t="inlineStr">
        <is>
          <t xml:space="preserve">S₅</t>
        </is>
      </c>
      <c r="G76" s="60" t="inlineStr">
        <is>
          <t xml:space="preserve">S₆</t>
        </is>
      </c>
      <c r="H76" s="60" t="inlineStr">
        <is>
          <t xml:space="preserve">S₇</t>
        </is>
      </c>
    </row>
    <row r="77">
      <c r="A77" s="62" t="inlineStr">
        <is>
          <t xml:space="preserve">start</t>
        </is>
      </c>
      <c r="B77" s="80">
        <f>'ERDR Characteristics'!$E$5</f>
        <v>3</v>
      </c>
      <c r="C77" s="80">
        <f>'ERDR Characteristics'!$E$6</f>
        <v>4</v>
      </c>
      <c r="D77" s="80">
        <f>'ERDR Characteristics'!$E$7</f>
        <v>3</v>
      </c>
      <c r="E77" s="80">
        <f>'ERDR Characteristics'!$E$8</f>
        <v>1</v>
      </c>
      <c r="F77" s="80">
        <f>'ERDR Characteristics'!$E$9</f>
        <v>3</v>
      </c>
      <c r="G77" s="80">
        <f>'ERDR Characteristics'!$E$10</f>
        <v>1</v>
      </c>
      <c r="H77" s="80">
        <f>'ERDR Characteristics'!$E$11</f>
        <v>2</v>
      </c>
    </row>
    <row r="78">
      <c r="A78" s="62">
        <v>1</v>
      </c>
      <c r="B78" s="80">
        <f>'ERDR Iterations'!B23</f>
        <v>2</v>
      </c>
      <c r="C78" s="80">
        <f>'ERDR Iterations'!C23</f>
        <v>3</v>
      </c>
      <c r="D78" s="80">
        <f>'ERDR Iterations'!D23</f>
        <v>3</v>
      </c>
      <c r="E78" s="80">
        <f>'ERDR Iterations'!E23</f>
        <v>1</v>
      </c>
      <c r="F78" s="80">
        <f>'ERDR Iterations'!F23</f>
        <v>2</v>
      </c>
      <c r="G78" s="80">
        <f>'ERDR Iterations'!G23</f>
        <v>1</v>
      </c>
      <c r="H78" s="80">
        <f>'ERDR Iterations'!H23</f>
        <v>2</v>
      </c>
    </row>
    <row r="79">
      <c r="A79" s="62">
        <v>2</v>
      </c>
      <c r="B79" s="80">
        <f>'ERDR Iterations'!B49</f>
        <v>2</v>
      </c>
      <c r="C79" s="80">
        <f>'ERDR Iterations'!C49</f>
        <v>3</v>
      </c>
      <c r="D79" s="80">
        <f>'ERDR Iterations'!D49</f>
        <v>2</v>
      </c>
      <c r="E79" s="80">
        <f>'ERDR Iterations'!E49</f>
        <v>1</v>
      </c>
      <c r="F79" s="80">
        <f>'ERDR Iterations'!F49</f>
        <v>2</v>
      </c>
      <c r="G79" s="80">
        <f>'ERDR Iterations'!G49</f>
        <v>1</v>
      </c>
      <c r="H79" s="80">
        <f>'ERDR Iterations'!H49</f>
        <v>1</v>
      </c>
    </row>
    <row r="80">
      <c r="A80" s="62">
        <v>3</v>
      </c>
      <c r="B80" s="80">
        <f>'ERDR Iterations'!B75</f>
        <v>1</v>
      </c>
      <c r="C80" s="80">
        <f>'ERDR Iterations'!C75</f>
        <v>2</v>
      </c>
      <c r="D80" s="80">
        <f>'ERDR Iterations'!D75</f>
        <v>2</v>
      </c>
      <c r="E80" s="80">
        <f>'ERDR Iterations'!E75</f>
        <v>1</v>
      </c>
      <c r="F80" s="80">
        <f>'ERDR Iterations'!F75</f>
        <v>1</v>
      </c>
      <c r="G80" s="80">
        <f>'ERDR Iterations'!G75</f>
        <v>1</v>
      </c>
      <c r="H80" s="80">
        <f>'ERDR Iterations'!H75</f>
        <v>1</v>
      </c>
    </row>
    <row r="81">
      <c r="A81" s="62">
        <v>4</v>
      </c>
      <c r="B81" s="80">
        <f>'ERDR Iterations'!B101</f>
        <v>1</v>
      </c>
      <c r="C81" s="80">
        <f>'ERDR Iterations'!C101</f>
        <v>2</v>
      </c>
      <c r="D81" s="80">
        <f>'ERDR Iterations'!D101</f>
        <v>2</v>
      </c>
      <c r="E81" s="80">
        <f>'ERDR Iterations'!E101</f>
        <v>1</v>
      </c>
      <c r="F81" s="80">
        <f>'ERDR Iterations'!F101</f>
        <v>1</v>
      </c>
      <c r="G81" s="80">
        <f>'ERDR Iterations'!G101</f>
        <v>1</v>
      </c>
      <c r="H81" s="80">
        <f>'ERDR Iterations'!H101</f>
        <v>1</v>
      </c>
    </row>
    <row r="82">
      <c r="A82" s="62">
        <v>5</v>
      </c>
      <c r="B82" s="80">
        <f>'ERDR Iterations'!B127</f>
        <v>1</v>
      </c>
      <c r="C82" s="80">
        <f>'ERDR Iterations'!C127</f>
        <v>2</v>
      </c>
      <c r="D82" s="80">
        <f>'ERDR Iterations'!D127</f>
        <v>2</v>
      </c>
      <c r="E82" s="80">
        <f>'ERDR Iterations'!E127</f>
        <v>1</v>
      </c>
      <c r="F82" s="80">
        <f>'ERDR Iterations'!F127</f>
        <v>1</v>
      </c>
      <c r="G82" s="80">
        <f>'ERDR Iterations'!G127</f>
        <v>1</v>
      </c>
      <c r="H82" s="80">
        <f>'ERDR Iterations'!H127</f>
        <v>1</v>
      </c>
    </row>
    <row r="83">
      <c r="A83" s="62">
        <v>6</v>
      </c>
      <c r="B83" s="80">
        <f>'ERDR Iterations'!B153</f>
        <v>1</v>
      </c>
      <c r="C83" s="80">
        <f>'ERDR Iterations'!C153</f>
        <v>2</v>
      </c>
      <c r="D83" s="80">
        <f>'ERDR Iterations'!D153</f>
        <v>2</v>
      </c>
      <c r="E83" s="80">
        <f>'ERDR Iterations'!E153</f>
        <v>1</v>
      </c>
      <c r="F83" s="80">
        <f>'ERDR Iterations'!F153</f>
        <v>1</v>
      </c>
      <c r="G83" s="80">
        <f>'ERDR Iterations'!G153</f>
        <v>1</v>
      </c>
      <c r="H83" s="80">
        <f>'ERDR Iterations'!H153</f>
        <v>1</v>
      </c>
    </row>
    <row r="84">
      <c r="A84" s="62">
        <v>7</v>
      </c>
      <c r="B84" s="80">
        <f>'ERDR Iterations'!B179</f>
        <v>1</v>
      </c>
      <c r="C84" s="80">
        <f>'ERDR Iterations'!C179</f>
        <v>2</v>
      </c>
      <c r="D84" s="80">
        <f>'ERDR Iterations'!D179</f>
        <v>2</v>
      </c>
      <c r="E84" s="80">
        <f>'ERDR Iterations'!E179</f>
        <v>1</v>
      </c>
      <c r="F84" s="80">
        <f>'ERDR Iterations'!F179</f>
        <v>1</v>
      </c>
      <c r="G84" s="80">
        <f>'ERDR Iterations'!G179</f>
        <v>1</v>
      </c>
      <c r="H84" s="80">
        <f>'ERDR Iterations'!H179</f>
        <v>1</v>
      </c>
    </row>
    <row r="85"/>
    <row r="86">
      <c r="A86" s="58" t="inlineStr">
        <is>
          <t xml:space="preserve">Per object</t>
        </is>
      </c>
      <c r="B86" s="58"/>
      <c r="C86" s="58"/>
      <c r="D86" s="58"/>
      <c r="E86" s="58"/>
      <c r="F86" s="58"/>
      <c r="G86" s="58"/>
      <c r="H86" s="58"/>
    </row>
    <row r="87">
      <c r="A87" s="60" t="inlineStr">
        <is>
          <t xml:space="preserve">Object</t>
        </is>
      </c>
      <c r="B87" s="60" t="inlineStr">
        <is>
          <t xml:space="preserve">S₁</t>
        </is>
      </c>
      <c r="C87" s="60" t="inlineStr">
        <is>
          <t xml:space="preserve">S₂</t>
        </is>
      </c>
      <c r="D87" s="60" t="inlineStr">
        <is>
          <t xml:space="preserve">S₃</t>
        </is>
      </c>
      <c r="E87" s="60" t="inlineStr">
        <is>
          <t xml:space="preserve">S₄</t>
        </is>
      </c>
      <c r="F87" s="60" t="inlineStr">
        <is>
          <t xml:space="preserve">S₅</t>
        </is>
      </c>
      <c r="G87" s="60" t="inlineStr">
        <is>
          <t xml:space="preserve">S₆</t>
        </is>
      </c>
      <c r="H87" s="60" t="inlineStr">
        <is>
          <t xml:space="preserve">S₇</t>
        </is>
      </c>
    </row>
    <row r="88">
      <c r="A88" s="63" t="inlineStr">
        <is>
          <t xml:space="preserve">Processed (selected) in iteration</t>
        </is>
      </c>
      <c r="B88" s="77">
        <f>IFERROR(MATCH(1,B16:B22,0),"—")</f>
        <v>1</v>
      </c>
      <c r="C88" s="77">
        <f>IFERROR(MATCH(1,C16:C22,0),"—")</f>
        <v>4</v>
      </c>
      <c r="D88" s="77">
        <f>IFERROR(MATCH(1,D16:D22,0),"—")</f>
        <v>2</v>
      </c>
      <c r="E88" s="77">
        <f>IFERROR(MATCH(1,E16:E22,0),"—")</f>
        <v>6</v>
      </c>
      <c r="F88" s="77">
        <f>IFERROR(MATCH(1,F16:F22,0),"—")</f>
        <v>3</v>
      </c>
      <c r="G88" s="77">
        <f>IFERROR(MATCH(1,G16:G22,0),"—")</f>
        <v>5</v>
      </c>
      <c r="H88" s="77" t="str">
        <f>IFERROR(MATCH(1,H16:H22,0),"—")</f>
        <v>—</v>
      </c>
    </row>
    <row r="89">
      <c r="A89" s="63" t="inlineStr">
        <is>
          <t xml:space="preserve">Moved to D in iteration</t>
        </is>
      </c>
      <c r="B89" s="77">
        <f>IFERROR(MATCH(1,B56:B62,0),"—")</f>
        <v>3</v>
      </c>
      <c r="C89" s="77">
        <f>IFERROR(MATCH(1,C56:C62,0),"—")</f>
        <v>4</v>
      </c>
      <c r="D89" s="77" t="str">
        <f>IFERROR(MATCH(1,D56:D62,0),"—")</f>
        <v>—</v>
      </c>
      <c r="E89" s="77" t="str">
        <f>IFERROR(MATCH(1,E56:E62,0),"—")</f>
        <v>—</v>
      </c>
      <c r="F89" s="77">
        <f>IFERROR(MATCH(1,F56:F62,0),"—")</f>
        <v>3</v>
      </c>
      <c r="G89" s="77">
        <f>IFERROR(MATCH(1,G56:G62,0),"—")</f>
        <v>5</v>
      </c>
      <c r="H89" s="77">
        <f>IFERROR(MATCH(1,H56:H62,0),"—")</f>
        <v>2</v>
      </c>
    </row>
    <row r="90">
      <c r="A90" s="63" t="inlineStr">
        <is>
          <t xml:space="preserve">Moved by</t>
        </is>
      </c>
      <c r="B90" s="77" t="str">
        <f>IF(B89="—","—",IF(SUM(B46:B52)=1,"Step 4","Step 5"))</f>
        <v>Step 5</v>
      </c>
      <c r="C90" s="77" t="str">
        <f>IF(C89="—","—",IF(SUM(C46:C52)=1,"Step 4","Step 5"))</f>
        <v>Step 4</v>
      </c>
      <c r="D90" s="77" t="str">
        <f>IF(D89="—","—",IF(SUM(D46:D52)=1,"Step 4","Step 5"))</f>
        <v>—</v>
      </c>
      <c r="E90" s="77" t="str">
        <f>IF(E89="—","—",IF(SUM(E46:E52)=1,"Step 4","Step 5"))</f>
        <v>—</v>
      </c>
      <c r="F90" s="77" t="str">
        <f>IF(F89="—","—",IF(SUM(F46:F52)=1,"Step 4","Step 5"))</f>
        <v>Step 5</v>
      </c>
      <c r="G90" s="77" t="str">
        <f>IF(G89="—","—",IF(SUM(G46:G52)=1,"Step 4","Step 5"))</f>
        <v>Step 4</v>
      </c>
      <c r="H90" s="77" t="str">
        <f>IF(H89="—","—",IF(SUM(H46:H52)=1,"Step 4","Step 5"))</f>
        <v>Step 5</v>
      </c>
    </row>
    <row r="91">
      <c r="A91" s="63" t="inlineStr">
        <is>
          <t xml:space="preserve">Counter decreases (Step 5)</t>
        </is>
      </c>
      <c r="B91" s="77">
        <f>SUM(B36:B42)</f>
        <v>2</v>
      </c>
      <c r="C91" s="77">
        <f>SUM(C36:C42)</f>
        <v>2</v>
      </c>
      <c r="D91" s="77">
        <f>SUM(D36:D42)</f>
        <v>1</v>
      </c>
      <c r="E91" s="77">
        <f>SUM(E36:E42)</f>
        <v>0</v>
      </c>
      <c r="F91" s="77">
        <f>SUM(F36:F42)</f>
        <v>2</v>
      </c>
      <c r="G91" s="77">
        <f>SUM(G36:G42)</f>
        <v>0</v>
      </c>
      <c r="H91" s="77">
        <f>SUM(H36:H42)</f>
        <v>1</v>
      </c>
    </row>
    <row r="92">
      <c r="A92" s="63" t="inlineStr">
        <is>
          <t xml:space="preserve">Final sample</t>
        </is>
      </c>
      <c r="B92" s="77" t="str">
        <f>IF(B73=1,"F","D")</f>
        <v>D</v>
      </c>
      <c r="C92" s="77" t="str">
        <f>IF(C73=1,"F","D")</f>
        <v>D</v>
      </c>
      <c r="D92" s="77" t="str">
        <f>IF(D73=1,"F","D")</f>
        <v>F</v>
      </c>
      <c r="E92" s="77" t="str">
        <f>IF(E73=1,"F","D")</f>
        <v>F</v>
      </c>
      <c r="F92" s="77" t="str">
        <f>IF(F73=1,"F","D")</f>
        <v>D</v>
      </c>
      <c r="G92" s="77" t="str">
        <f>IF(G73=1,"F","D")</f>
        <v>D</v>
      </c>
      <c r="H92" s="77" t="str">
        <f>IF(H73=1,"F","D")</f>
        <v>D</v>
      </c>
    </row>
    <row r="93"/>
    <row r="94"/>
    <row r="95">
      <c r="A95" s="58" t="inlineStr">
        <is>
          <t xml:space="preserve">Sample sizes after each iteration (chart data)</t>
        </is>
      </c>
      <c r="B95" s="58"/>
      <c r="C95" s="58"/>
      <c r="D95" s="58"/>
    </row>
    <row r="96">
      <c r="A96" s="60" t="inlineStr">
        <is>
          <t xml:space="preserve">Iteration</t>
        </is>
      </c>
      <c r="B96" s="60" t="inlineStr">
        <is>
          <t xml:space="preserve">|F| (working set)</t>
        </is>
      </c>
      <c r="C96" s="60" t="inlineStr">
        <is>
          <t xml:space="preserve">|D| (training)</t>
        </is>
      </c>
      <c r="D96" s="60" t="inlineStr">
        <is>
          <t xml:space="preserve">Queue left</t>
        </is>
      </c>
    </row>
    <row r="97">
      <c r="A97" s="77">
        <v>0</v>
      </c>
      <c r="B97" s="76">
        <f>SUM(B66:H66)</f>
        <v>7</v>
      </c>
      <c r="C97" s="76">
        <f>'Parameters'!$B$5-B97</f>
        <v>0</v>
      </c>
      <c r="D97" s="76">
        <f>'Parameters'!$B$5</f>
        <v>7</v>
      </c>
    </row>
    <row r="98">
      <c r="A98" s="77">
        <v>1</v>
      </c>
      <c r="B98" s="76">
        <f>SUM(B67:H67)</f>
        <v>7</v>
      </c>
      <c r="C98" s="76">
        <f>'Parameters'!$B$5-B98</f>
        <v>0</v>
      </c>
      <c r="D98" s="76">
        <f>H5</f>
        <v>6</v>
      </c>
    </row>
    <row r="99">
      <c r="A99" s="77">
        <v>2</v>
      </c>
      <c r="B99" s="76">
        <f>SUM(B68:H68)</f>
        <v>6</v>
      </c>
      <c r="C99" s="76">
        <f>'Parameters'!$B$5-B99</f>
        <v>1</v>
      </c>
      <c r="D99" s="76">
        <f>H6</f>
        <v>4</v>
      </c>
    </row>
    <row r="100">
      <c r="A100" s="77">
        <v>3</v>
      </c>
      <c r="B100" s="76">
        <f>SUM(B69:H69)</f>
        <v>4</v>
      </c>
      <c r="C100" s="76">
        <f>'Parameters'!$B$5-B100</f>
        <v>3</v>
      </c>
      <c r="D100" s="76">
        <f>H7</f>
        <v>3</v>
      </c>
    </row>
    <row r="101">
      <c r="A101" s="77">
        <v>4</v>
      </c>
      <c r="B101" s="76">
        <f>SUM(B70:H70)</f>
        <v>3</v>
      </c>
      <c r="C101" s="76">
        <f>'Parameters'!$B$5-B101</f>
        <v>4</v>
      </c>
      <c r="D101" s="76">
        <f>H8</f>
        <v>2</v>
      </c>
    </row>
    <row r="102">
      <c r="A102" s="77">
        <v>5</v>
      </c>
      <c r="B102" s="76">
        <f>SUM(B71:H71)</f>
        <v>2</v>
      </c>
      <c r="C102" s="76">
        <f>'Parameters'!$B$5-B102</f>
        <v>5</v>
      </c>
      <c r="D102" s="76">
        <f>H9</f>
        <v>1</v>
      </c>
    </row>
    <row r="103">
      <c r="A103" s="77">
        <v>6</v>
      </c>
      <c r="B103" s="76">
        <f>SUM(B72:H72)</f>
        <v>2</v>
      </c>
      <c r="C103" s="76">
        <f>'Parameters'!$B$5-B103</f>
        <v>5</v>
      </c>
      <c r="D103" s="76">
        <f>H10</f>
        <v>0</v>
      </c>
    </row>
    <row r="104">
      <c r="A104" s="77">
        <v>7</v>
      </c>
      <c r="B104" s="76">
        <f>SUM(B73:H73)</f>
        <v>2</v>
      </c>
      <c r="C104" s="76">
        <f>'Parameters'!$B$5-B104</f>
        <v>5</v>
      </c>
      <c r="D104" s="76">
        <f>H11</f>
        <v>0</v>
      </c>
    </row>
    <row r="105">
      <c r="A105" s="100" t="inlineStr">
        <is>
          <t xml:space="preserve">All cells are formulas on ERDR Iterations; “Counter decreases” counts how often Step 5 lowered g(Sⱼ) over the whole run (the state carried between iterations).</t>
        </is>
      </c>
    </row>
  </sheetData>
  <mergeCells count="12">
    <mergeCell ref="A1:L1"/>
    <mergeCell ref="A3:L3"/>
    <mergeCell ref="B12:L12"/>
    <mergeCell ref="A14:H14"/>
    <mergeCell ref="A24:H24"/>
    <mergeCell ref="A34:H34"/>
    <mergeCell ref="A44:H44"/>
    <mergeCell ref="A54:H54"/>
    <mergeCell ref="A64:H64"/>
    <mergeCell ref="A75:H75"/>
    <mergeCell ref="A86:H86"/>
    <mergeCell ref="A95:D95"/>
  </mergeCells>
  <conditionalFormatting sqref="B16:H22">
    <cfRule type="cellIs" dxfId="1" priority="1" operator="equal">
      <formula>1</formula>
    </cfRule>
  </conditionalFormatting>
  <conditionalFormatting sqref="B26:H32">
    <cfRule type="cellIs" dxfId="1" priority="2" operator="equal">
      <formula>1</formula>
    </cfRule>
  </conditionalFormatting>
  <conditionalFormatting sqref="B36:H42">
    <cfRule type="cellIs" dxfId="1" priority="3" operator="equal">
      <formula>1</formula>
    </cfRule>
  </conditionalFormatting>
  <conditionalFormatting sqref="B46:H52">
    <cfRule type="cellIs" dxfId="1" priority="4" operator="equal">
      <formula>1</formula>
    </cfRule>
  </conditionalFormatting>
  <conditionalFormatting sqref="B56:H62">
    <cfRule type="cellIs" dxfId="4" priority="5" operator="equal">
      <formula>1</formula>
    </cfRule>
  </conditionalFormatting>
  <conditionalFormatting sqref="B66:H73">
    <cfRule type="cellIs" dxfId="3" priority="6" operator="equal">
      <formula>0</formula>
    </cfRule>
  </conditionalFormatting>
  <conditionalFormatting sqref="B92:H92">
    <cfRule type="cellIs" dxfId="4" priority="7" operator="equal">
      <formula>"D"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Q26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8.77734375" customWidth="1"/>
    <col min="2" max="2" width="74.77734375" customWidth="1"/>
    <col min="3" max="3" width="22.77734375" customWidth="1"/>
    <col min="4" max="4" width="9.77734375" customWidth="1"/>
    <col min="5" max="5" width="13.77734375" customWidth="1"/>
    <col min="6" max="6" width="56.77734375" customWidth="1"/>
    <col min="7" max="7" width="9.77734375" customWidth="1"/>
    <col min="8" max="9" width="2.77734375" customWidth="1"/>
    <col min="10" max="10" width="10.77734375" customWidth="1"/>
    <col min="11" max="17" width="6.77734375" customWidth="1"/>
  </cols>
  <sheetData>
    <row r="1" ht="22" customHeight="1">
      <c r="A1" s="57" t="inlineStr">
        <is>
          <t xml:space="preserve">Case checklist · every case of the ERDR algorithm and where it occurs in this sample (live — recalculates for any selection or reading)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/>
    <row r="3">
      <c r="A3" s="58" t="inlineStr">
        <is>
          <t xml:space="preserve">Cases 1–4, 6–14 and 16 are the 14 branch cases; 5, 15 and 17 are the extra cases that need the seventh object (see Object Selection)</t>
        </is>
      </c>
      <c r="B3" s="58"/>
      <c r="C3" s="58"/>
      <c r="D3" s="58"/>
      <c r="E3" s="58"/>
      <c r="F3" s="58"/>
      <c r="G3" s="58"/>
      <c r="H3" s="58"/>
      <c r="J3" s="58" t="inlineStr">
        <is>
          <t xml:space="preserve">Per-iteration flags (1 = happens in t)</t>
        </is>
      </c>
      <c r="K3" s="58"/>
      <c r="L3" s="58"/>
      <c r="M3" s="58"/>
      <c r="N3" s="58"/>
      <c r="O3" s="58"/>
      <c r="P3" s="58"/>
      <c r="Q3" s="58"/>
    </row>
    <row r="4" ht="20" customHeight="1">
      <c r="A4" s="60" t="inlineStr">
        <is>
          <t xml:space="preserve">#</t>
        </is>
      </c>
      <c r="B4" s="60" t="inlineStr">
        <is>
          <t xml:space="preserve">Case</t>
        </is>
      </c>
      <c r="C4" s="60" t="inlineStr">
        <is>
          <t xml:space="preserve">Checked on</t>
        </is>
      </c>
      <c r="D4" s="60" t="inlineStr">
        <is>
          <t xml:space="preserve">Occurs</t>
        </is>
      </c>
      <c r="E4" s="60" t="inlineStr">
        <is>
          <t xml:space="preserve">First iteration</t>
        </is>
      </c>
      <c r="F4" s="60" t="inlineStr">
        <is>
          <t xml:space="preserve">Why it matters</t>
        </is>
      </c>
      <c r="G4" s="60" t="inlineStr">
        <is>
          <t xml:space="preserve">Kind</t>
        </is>
      </c>
      <c r="H4" s="60" t="inlineStr">
        <is>
          <t xml:space="preserve"/>
        </is>
      </c>
      <c r="J4" s="60" t="inlineStr">
        <is>
          <t xml:space="preserve">Case \ t</t>
        </is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</row>
    <row r="5" ht="31" customHeight="1">
      <c r="A5" s="77">
        <v>1</v>
      </c>
      <c r="B5" s="102" t="inlineStr">
        <is>
          <t xml:space="preserve">Both classes with at least 3 objects each — k_min = 3 is permitted (k_max = 2·min|Kᵢ| − 3 ≥ 3)</t>
        </is>
      </c>
      <c r="C5" s="111" t="inlineStr">
        <is>
          <t xml:space="preserve">Parameters</t>
        </is>
      </c>
      <c r="D5" s="94">
        <f>IF(AND('Parameters'!$B$6&gt;=3,'Parameters'!$B$7&gt;=3),1,0)</f>
        <v>1</v>
      </c>
      <c r="E5" s="77" t="inlineStr">
        <is>
          <t xml:space="preserve">k rule</t>
        </is>
      </c>
      <c r="F5" s="102" t="inlineStr">
        <is>
          <t xml:space="preserve">The k rule; with fewer objects in a class no k is permitted</t>
        </is>
      </c>
      <c r="G5" s="101" t="inlineStr">
        <is>
          <t xml:space="preserve">branch</t>
        </is>
      </c>
      <c r="J5" s="62">
        <v>6</v>
      </c>
      <c r="K5" s="76">
        <f>IF('ERDR Iterations'!$K$9=0,0,IF(AND('ERDR Iterations'!$K$14=1,INDEX('ERDR Iterations'!$B$20:$H$20,'ERDR Iterations'!$K$9)=1),1,0))</f>
        <v>0</v>
      </c>
      <c r="L5" s="76">
        <f>IF('ERDR Iterations'!$K$35=0,0,IF(AND('ERDR Iterations'!$K$40=1,INDEX('ERDR Iterations'!$B$46:$H$46,'ERDR Iterations'!$K$35)=1),1,0))</f>
        <v>0</v>
      </c>
      <c r="M5" s="76">
        <f>IF('ERDR Iterations'!$K$61=0,0,IF(AND('ERDR Iterations'!$K$66=1,INDEX('ERDR Iterations'!$B$72:$H$72,'ERDR Iterations'!$K$61)=1),1,0))</f>
        <v>0</v>
      </c>
      <c r="N5" s="76">
        <f>IF('ERDR Iterations'!$K$87=0,0,IF(AND('ERDR Iterations'!$K$92=1,INDEX('ERDR Iterations'!$B$98:$H$98,'ERDR Iterations'!$K$87)=1),1,0))</f>
        <v>1</v>
      </c>
      <c r="O5" s="76">
        <f>IF('ERDR Iterations'!$K$113=0,0,IF(AND('ERDR Iterations'!$K$118=1,INDEX('ERDR Iterations'!$B$124:$H$124,'ERDR Iterations'!$K$113)=1),1,0))</f>
        <v>0</v>
      </c>
      <c r="P5" s="76">
        <f>IF('ERDR Iterations'!$K$139=0,0,IF(AND('ERDR Iterations'!$K$144=1,INDEX('ERDR Iterations'!$B$150:$H$150,'ERDR Iterations'!$K$139)=1),1,0))</f>
        <v>0</v>
      </c>
      <c r="Q5" s="76">
        <f>IF('ERDR Iterations'!$K$165=0,0,IF(AND('ERDR Iterations'!$K$170=1,INDEX('ERDR Iterations'!$B$176:$H$176,'ERDR Iterations'!$K$165)=1),1,0))</f>
        <v>0</v>
      </c>
    </row>
    <row r="6" ht="31" customHeight="1">
      <c r="A6" s="77">
        <v>2</v>
      </c>
      <c r="B6" s="102" t="inlineStr">
        <is>
          <t xml:space="preserve">An object with g = 1: no own-class object inside its enemy sphere (border object)</t>
        </is>
      </c>
      <c r="C6" s="111" t="inlineStr">
        <is>
          <t xml:space="preserve">ERDR Characteristics</t>
        </is>
      </c>
      <c r="D6" s="94">
        <f>IF(COUNTIF('ERDR Characteristics'!$E$5:$E$11,1)&gt;0,1,0)</f>
        <v>1</v>
      </c>
      <c r="E6" s="77" t="inlineStr">
        <is>
          <t xml:space="preserve">Step 1</t>
        </is>
      </c>
      <c r="F6" s="102" t="inlineStr">
        <is>
          <t xml:space="preserve">Such an object can never be in another object’s L</t>
        </is>
      </c>
      <c r="G6" s="101" t="inlineStr">
        <is>
          <t xml:space="preserve">branch</t>
        </is>
      </c>
      <c r="J6" s="62">
        <v>7</v>
      </c>
      <c r="K6" s="76">
        <f>IF('ERDR Iterations'!$K$9=0,0,IF(AND('ERDR Iterations'!$K$14=1,INDEX('ERDR Iterations'!$B$20:$H$20,'ERDR Iterations'!$K$9)=0),1,0))</f>
        <v>0</v>
      </c>
      <c r="L6" s="76">
        <f>IF('ERDR Iterations'!$K$35=0,0,IF(AND('ERDR Iterations'!$K$40=1,INDEX('ERDR Iterations'!$B$46:$H$46,'ERDR Iterations'!$K$35)=0),1,0))</f>
        <v>0</v>
      </c>
      <c r="M6" s="76">
        <f>IF('ERDR Iterations'!$K$61=0,0,IF(AND('ERDR Iterations'!$K$66=1,INDEX('ERDR Iterations'!$B$72:$H$72,'ERDR Iterations'!$K$61)=0),1,0))</f>
        <v>0</v>
      </c>
      <c r="N6" s="76">
        <f>IF('ERDR Iterations'!$K$87=0,0,IF(AND('ERDR Iterations'!$K$92=1,INDEX('ERDR Iterations'!$B$98:$H$98,'ERDR Iterations'!$K$87)=0),1,0))</f>
        <v>0</v>
      </c>
      <c r="O6" s="76">
        <f>IF('ERDR Iterations'!$K$113=0,0,IF(AND('ERDR Iterations'!$K$118=1,INDEX('ERDR Iterations'!$B$124:$H$124,'ERDR Iterations'!$K$113)=0),1,0))</f>
        <v>1</v>
      </c>
      <c r="P6" s="76">
        <f>IF('ERDR Iterations'!$K$139=0,0,IF(AND('ERDR Iterations'!$K$144=1,INDEX('ERDR Iterations'!$B$150:$H$150,'ERDR Iterations'!$K$139)=0),1,0))</f>
        <v>0</v>
      </c>
      <c r="Q6" s="76">
        <f>IF('ERDR Iterations'!$K$165=0,0,IF(AND('ERDR Iterations'!$K$170=1,INDEX('ERDR Iterations'!$B$176:$H$176,'ERDR Iterations'!$K$165)=0),1,0))</f>
        <v>0</v>
      </c>
    </row>
    <row r="7" ht="31" customHeight="1">
      <c r="A7" s="77">
        <v>3</v>
      </c>
      <c r="B7" s="102" t="inlineStr">
        <is>
          <t xml:space="preserve">An object with g ≥ 2: own-class objects inside its enemy sphere (dense object)</t>
        </is>
      </c>
      <c r="C7" s="111" t="inlineStr">
        <is>
          <t xml:space="preserve">ERDR Characteristics</t>
        </is>
      </c>
      <c r="D7" s="94">
        <f>IF(COUNTIF('ERDR Characteristics'!$E$5:$E$11,"&gt;=2")&gt;0,1,0)</f>
        <v>1</v>
      </c>
      <c r="E7" s="77" t="inlineStr">
        <is>
          <t xml:space="preserve">Step 1</t>
        </is>
      </c>
      <c r="F7" s="102" t="inlineStr">
        <is>
          <t xml:space="preserve">Only these objects can cover others in Step 4</t>
        </is>
      </c>
      <c r="G7" s="101" t="inlineStr">
        <is>
          <t xml:space="preserve">branch</t>
        </is>
      </c>
      <c r="J7" s="62">
        <v>8</v>
      </c>
      <c r="K7" s="76">
        <f>IF('ERDR Iterations'!$K$9=0,0,IF('ERDR Iterations'!$K$14=0,1,0))</f>
        <v>0</v>
      </c>
      <c r="L7" s="76">
        <f>IF('ERDR Iterations'!$K$35=0,0,IF('ERDR Iterations'!$K$40=0,1,0))</f>
        <v>0</v>
      </c>
      <c r="M7" s="76">
        <f>IF('ERDR Iterations'!$K$61=0,0,IF('ERDR Iterations'!$K$66=0,1,0))</f>
        <v>0</v>
      </c>
      <c r="N7" s="76">
        <f>IF('ERDR Iterations'!$K$87=0,0,IF('ERDR Iterations'!$K$92=0,1,0))</f>
        <v>0</v>
      </c>
      <c r="O7" s="76">
        <f>IF('ERDR Iterations'!$K$113=0,0,IF('ERDR Iterations'!$K$118=0,1,0))</f>
        <v>0</v>
      </c>
      <c r="P7" s="76">
        <f>IF('ERDR Iterations'!$K$139=0,0,IF('ERDR Iterations'!$K$144=0,1,0))</f>
        <v>1</v>
      </c>
      <c r="Q7" s="76">
        <f>IF('ERDR Iterations'!$K$165=0,0,IF('ERDR Iterations'!$K$170=0,1,0))</f>
        <v>0</v>
      </c>
    </row>
    <row r="8" ht="31" customHeight="1">
      <c r="A8" s="77">
        <v>4</v>
      </c>
      <c r="B8" s="102" t="inlineStr">
        <is>
          <t xml:space="preserve">Two objects with equal d — Step 2 orders them by r</t>
        </is>
      </c>
      <c r="C8" s="111" t="inlineStr">
        <is>
          <t xml:space="preserve">Priority Queue</t>
        </is>
      </c>
      <c r="D8" s="94">
        <f>IF(COUNTIF('Priority Queue'!$G$5:$G$10,"r*")&gt;0,1,0)</f>
        <v>1</v>
      </c>
      <c r="E8" s="77" t="inlineStr">
        <is>
          <t xml:space="preserve">Step 2</t>
        </is>
      </c>
      <c r="F8" s="102" t="inlineStr">
        <is>
          <t xml:space="preserve">Second criterion of Step 2</t>
        </is>
      </c>
      <c r="G8" s="101" t="inlineStr">
        <is>
          <t xml:space="preserve">branch</t>
        </is>
      </c>
      <c r="J8" s="62">
        <v>9</v>
      </c>
      <c r="K8" s="76">
        <f>IF(AND('ERDR Iterations'!$K$14&gt;1,SUM('ERDR Iterations'!$B$24:$H$24)&gt;0),1,0)</f>
        <v>0</v>
      </c>
      <c r="L8" s="76">
        <f>IF(AND('ERDR Iterations'!$K$40&gt;1,SUM('ERDR Iterations'!$B$50:$H$50)&gt;0),1,0)</f>
        <v>1</v>
      </c>
      <c r="M8" s="76">
        <f>IF(AND('ERDR Iterations'!$K$66&gt;1,SUM('ERDR Iterations'!$B$76:$H$76)&gt;0),1,0)</f>
        <v>1</v>
      </c>
      <c r="N8" s="76">
        <f>IF(AND('ERDR Iterations'!$K$92&gt;1,SUM('ERDR Iterations'!$B$102:$H$102)&gt;0),1,0)</f>
        <v>0</v>
      </c>
      <c r="O8" s="76">
        <f>IF(AND('ERDR Iterations'!$K$118&gt;1,SUM('ERDR Iterations'!$B$128:$H$128)&gt;0),1,0)</f>
        <v>0</v>
      </c>
      <c r="P8" s="76">
        <f>IF(AND('ERDR Iterations'!$K$144&gt;1,SUM('ERDR Iterations'!$B$154:$H$154)&gt;0),1,0)</f>
        <v>0</v>
      </c>
      <c r="Q8" s="76">
        <f>IF(AND('ERDR Iterations'!$K$170&gt;1,SUM('ERDR Iterations'!$B$180:$H$180)&gt;0),1,0)</f>
        <v>0</v>
      </c>
    </row>
    <row r="9" ht="31" customHeight="1">
      <c r="A9" s="77">
        <v>5</v>
      </c>
      <c r="B9" s="102" t="inlineStr">
        <is>
          <t xml:space="preserve">Two objects with equal d and equal r — Step 2 orders them by the index</t>
        </is>
      </c>
      <c r="C9" s="111" t="inlineStr">
        <is>
          <t xml:space="preserve">Priority Queue</t>
        </is>
      </c>
      <c r="D9" s="94">
        <f>IF(COUNTIF('Priority Queue'!$G$5:$G$10,"index*")&gt;0,1,0)</f>
        <v>1</v>
      </c>
      <c r="E9" s="77" t="inlineStr">
        <is>
          <t xml:space="preserve">Step 2</t>
        </is>
      </c>
      <c r="F9" s="102" t="inlineStr">
        <is>
          <t xml:space="preserve">Third criterion of Step 2 (needs mutual nearest enemies with z = r)</t>
        </is>
      </c>
      <c r="G9" s="101" t="inlineStr">
        <is>
          <t xml:space="preserve">extra</t>
        </is>
      </c>
      <c r="J9" s="62">
        <v>10</v>
      </c>
      <c r="K9" s="76">
        <f>IF(AND('ERDR Iterations'!$K$14&gt;1,SUMPRODUCT('ERDR Iterations'!$B$22:$H$22*('ERDR Iterations'!$B$23:$H$23&gt;1))&gt;0),1,0)</f>
        <v>1</v>
      </c>
      <c r="L9" s="76">
        <f>IF(AND('ERDR Iterations'!$K$40&gt;1,SUMPRODUCT('ERDR Iterations'!$B$48:$H$48*('ERDR Iterations'!$B$49:$H$49&gt;1))&gt;0),1,0)</f>
        <v>1</v>
      </c>
      <c r="M9" s="76">
        <f>IF(AND('ERDR Iterations'!$K$66&gt;1,SUMPRODUCT('ERDR Iterations'!$B$74:$H$74*('ERDR Iterations'!$B$75:$H$75&gt;1))&gt;0),1,0)</f>
        <v>1</v>
      </c>
      <c r="N9" s="76">
        <f>IF(AND('ERDR Iterations'!$K$92&gt;1,SUMPRODUCT('ERDR Iterations'!$B$100:$H$100*('ERDR Iterations'!$B$101:$H$101&gt;1))&gt;0),1,0)</f>
        <v>0</v>
      </c>
      <c r="O9" s="76">
        <f>IF(AND('ERDR Iterations'!$K$118&gt;1,SUMPRODUCT('ERDR Iterations'!$B$126:$H$126*('ERDR Iterations'!$B$127:$H$127&gt;1))&gt;0),1,0)</f>
        <v>0</v>
      </c>
      <c r="P9" s="76">
        <f>IF(AND('ERDR Iterations'!$K$144&gt;1,SUMPRODUCT('ERDR Iterations'!$B$152:$H$152*('ERDR Iterations'!$B$153:$H$153&gt;1))&gt;0),1,0)</f>
        <v>0</v>
      </c>
      <c r="Q9" s="76">
        <f>IF(AND('ERDR Iterations'!$K$170&gt;1,SUMPRODUCT('ERDR Iterations'!$B$178:$H$178*('ERDR Iterations'!$B$179:$H$179&gt;1))&gt;0),1,0)</f>
        <v>0</v>
      </c>
    </row>
    <row r="10" ht="31" customHeight="1">
      <c r="A10" s="77">
        <v>6</v>
      </c>
      <c r="B10" s="102" t="inlineStr">
        <is>
          <t xml:space="preserve">|L| = 1 with L = {Sᵢ}: no other object covers Sᵢ → Sᵢ moves to D</t>
        </is>
      </c>
      <c r="C10" s="111" t="inlineStr">
        <is>
          <t xml:space="preserve">ERDR Iterations</t>
        </is>
      </c>
      <c r="D10" s="94">
        <f>IF(SUM(K5:Q5)&gt;0,1,0)</f>
        <v>1</v>
      </c>
      <c r="E10" s="77">
        <f>IFERROR(MATCH(1,K5:Q5,0),"—")</f>
        <v>4</v>
      </c>
      <c r="F10" s="102" t="inlineStr">
        <is>
          <t xml:space="preserve">Step 4, first form</t>
        </is>
      </c>
      <c r="G10" s="101" t="inlineStr">
        <is>
          <t xml:space="preserve">branch</t>
        </is>
      </c>
      <c r="J10" s="62">
        <v>11</v>
      </c>
      <c r="K10" s="76">
        <f>IF(SUMPRODUCT('ERDR Iterations'!$B$24:$H$24*(1-'ERDR Iterations'!$B$9:$H$9)*(1-'ERDR Iterations'!$B$13:$H$13))&gt;0,1,0)</f>
        <v>0</v>
      </c>
      <c r="L10" s="76">
        <f>IF(SUMPRODUCT('ERDR Iterations'!$B$50:$H$50*(1-'ERDR Iterations'!$B$35:$H$35)*(1-'ERDR Iterations'!$B$39:$H$39))&gt;0,1,0)</f>
        <v>1</v>
      </c>
      <c r="M10" s="76">
        <f>IF(SUMPRODUCT('ERDR Iterations'!$B$76:$H$76*(1-'ERDR Iterations'!$B$61:$H$61)*(1-'ERDR Iterations'!$B$65:$H$65))&gt;0,1,0)</f>
        <v>0</v>
      </c>
      <c r="N10" s="76">
        <f>IF(SUMPRODUCT('ERDR Iterations'!$B$102:$H$102*(1-'ERDR Iterations'!$B$87:$H$87)*(1-'ERDR Iterations'!$B$91:$H$91))&gt;0,1,0)</f>
        <v>0</v>
      </c>
      <c r="O10" s="76">
        <f>IF(SUMPRODUCT('ERDR Iterations'!$B$128:$H$128*(1-'ERDR Iterations'!$B$113:$H$113)*(1-'ERDR Iterations'!$B$117:$H$117))&gt;0,1,0)</f>
        <v>0</v>
      </c>
      <c r="P10" s="76">
        <f>IF(SUMPRODUCT('ERDR Iterations'!$B$154:$H$154*(1-'ERDR Iterations'!$B$139:$H$139)*(1-'ERDR Iterations'!$B$143:$H$143))&gt;0,1,0)</f>
        <v>0</v>
      </c>
      <c r="Q10" s="76">
        <f>IF(SUMPRODUCT('ERDR Iterations'!$B$180:$H$180*(1-'ERDR Iterations'!$B$165:$H$165)*(1-'ERDR Iterations'!$B$169:$H$169))&gt;0,1,0)</f>
        <v>0</v>
      </c>
    </row>
    <row r="11" ht="31" customHeight="1">
      <c r="A11" s="77">
        <v>7</v>
      </c>
      <c r="B11" s="102" t="inlineStr">
        <is>
          <t xml:space="preserve">|L| = 1 with L = {Sⱼ}, j ≠ i: exactly one other object covers Sᵢ → Sᵢ moves to D</t>
        </is>
      </c>
      <c r="C11" s="111" t="inlineStr">
        <is>
          <t xml:space="preserve">ERDR Iterations</t>
        </is>
      </c>
      <c r="D11" s="94">
        <f>IF(SUM(K6:Q6)&gt;0,1,0)</f>
        <v>1</v>
      </c>
      <c r="E11" s="77">
        <f>IFERROR(MATCH(1,K6:Q6,0),"—")</f>
        <v>5</v>
      </c>
      <c r="F11" s="102" t="inlineStr">
        <is>
          <t xml:space="preserve">Step 4, second form (here g(Sᵢ) = 1)</t>
        </is>
      </c>
      <c r="G11" s="101" t="inlineStr">
        <is>
          <t xml:space="preserve">branch</t>
        </is>
      </c>
      <c r="J11" s="62">
        <v>12</v>
      </c>
      <c r="K11" s="76">
        <f>IF(SUMPRODUCT('ERDR Iterations'!$B$24:$H$24*'ERDR Iterations'!$B$9:$H$9)&gt;0,1,0)</f>
        <v>0</v>
      </c>
      <c r="L11" s="76">
        <f>IF(SUMPRODUCT('ERDR Iterations'!$B$50:$H$50*'ERDR Iterations'!$B$35:$H$35)&gt;0,1,0)</f>
        <v>0</v>
      </c>
      <c r="M11" s="76">
        <f>IF(SUMPRODUCT('ERDR Iterations'!$B$76:$H$76*'ERDR Iterations'!$B$61:$H$61)&gt;0,1,0)</f>
        <v>1</v>
      </c>
      <c r="N11" s="76">
        <f>IF(SUMPRODUCT('ERDR Iterations'!$B$102:$H$102*'ERDR Iterations'!$B$87:$H$87)&gt;0,1,0)</f>
        <v>0</v>
      </c>
      <c r="O11" s="76">
        <f>IF(SUMPRODUCT('ERDR Iterations'!$B$128:$H$128*'ERDR Iterations'!$B$113:$H$113)&gt;0,1,0)</f>
        <v>0</v>
      </c>
      <c r="P11" s="76">
        <f>IF(SUMPRODUCT('ERDR Iterations'!$B$154:$H$154*'ERDR Iterations'!$B$139:$H$139)&gt;0,1,0)</f>
        <v>0</v>
      </c>
      <c r="Q11" s="76">
        <f>IF(SUMPRODUCT('ERDR Iterations'!$B$180:$H$180*'ERDR Iterations'!$B$165:$H$165)&gt;0,1,0)</f>
        <v>0</v>
      </c>
    </row>
    <row r="12" ht="31" customHeight="1">
      <c r="A12" s="77">
        <v>8</v>
      </c>
      <c r="B12" s="102" t="inlineStr">
        <is>
          <t xml:space="preserve">|L| = 0: Sᵢ is only blocked and stays in F</t>
        </is>
      </c>
      <c r="C12" s="111" t="inlineStr">
        <is>
          <t xml:space="preserve">ERDR Iterations</t>
        </is>
      </c>
      <c r="D12" s="94">
        <f>IF(SUM(K7:Q7)&gt;0,1,0)</f>
        <v>1</v>
      </c>
      <c r="E12" s="77">
        <f>IFERROR(MATCH(1,K7:Q7,0),"—")</f>
        <v>6</v>
      </c>
      <c r="F12" s="102" t="inlineStr">
        <is>
          <t xml:space="preserve">Not stated in the article; the literal text leaves Sᵢ in F (validation)</t>
        </is>
      </c>
      <c r="G12" s="101" t="inlineStr">
        <is>
          <t xml:space="preserve">branch</t>
        </is>
      </c>
      <c r="J12" s="62">
        <v>13</v>
      </c>
      <c r="K12" s="76">
        <f>IF('ERDR Iterations'!$K$9=0,0,IF(AND('ERDR Iterations'!$K$14&gt;1,INDEX('ERDR Iterations'!$B$20:$H$20,'ERDR Iterations'!$K$9)=1),1,0))</f>
        <v>1</v>
      </c>
      <c r="L12" s="76">
        <f>IF('ERDR Iterations'!$K$35=0,0,IF(AND('ERDR Iterations'!$K$40&gt;1,INDEX('ERDR Iterations'!$B$46:$H$46,'ERDR Iterations'!$K$35)=1),1,0))</f>
        <v>1</v>
      </c>
      <c r="M12" s="76">
        <f>IF('ERDR Iterations'!$K$61=0,0,IF(AND('ERDR Iterations'!$K$66&gt;1,INDEX('ERDR Iterations'!$B$72:$H$72,'ERDR Iterations'!$K$61)=1),1,0))</f>
        <v>1</v>
      </c>
      <c r="N12" s="76">
        <f>IF('ERDR Iterations'!$K$87=0,0,IF(AND('ERDR Iterations'!$K$92&gt;1,INDEX('ERDR Iterations'!$B$98:$H$98,'ERDR Iterations'!$K$87)=1),1,0))</f>
        <v>0</v>
      </c>
      <c r="O12" s="76">
        <f>IF('ERDR Iterations'!$K$113=0,0,IF(AND('ERDR Iterations'!$K$118&gt;1,INDEX('ERDR Iterations'!$B$124:$H$124,'ERDR Iterations'!$K$113)=1),1,0))</f>
        <v>0</v>
      </c>
      <c r="P12" s="76">
        <f>IF('ERDR Iterations'!$K$139=0,0,IF(AND('ERDR Iterations'!$K$144&gt;1,INDEX('ERDR Iterations'!$B$150:$H$150,'ERDR Iterations'!$K$139)=1),1,0))</f>
        <v>0</v>
      </c>
      <c r="Q12" s="76">
        <f>IF('ERDR Iterations'!$K$165=0,0,IF(AND('ERDR Iterations'!$K$170&gt;1,INDEX('ERDR Iterations'!$B$176:$H$176,'ERDR Iterations'!$K$165)=1),1,0))</f>
        <v>0</v>
      </c>
    </row>
    <row r="13" ht="31" customHeight="1">
      <c r="A13" s="77">
        <v>9</v>
      </c>
      <c r="B13" s="102" t="inlineStr">
        <is>
          <t xml:space="preserve">|L| &gt; 1 and some g(Sⱼ) falls to 1 → Sⱼ moves to D</t>
        </is>
      </c>
      <c r="C13" s="111" t="inlineStr">
        <is>
          <t xml:space="preserve">ERDR Iterations</t>
        </is>
      </c>
      <c r="D13" s="94">
        <f>IF(SUM(K8:Q8)&gt;0,1,0)</f>
        <v>1</v>
      </c>
      <c r="E13" s="77">
        <f>IFERROR(MATCH(1,K8:Q8,0),"—")</f>
        <v>2</v>
      </c>
      <c r="F13" s="102" t="inlineStr">
        <is>
          <t xml:space="preserve">Step 5 move</t>
        </is>
      </c>
      <c r="G13" s="101" t="inlineStr">
        <is>
          <t xml:space="preserve">branch</t>
        </is>
      </c>
      <c r="J13" s="62">
        <v>15</v>
      </c>
      <c r="K13" s="76">
        <f>IF(SUM('ERDR Iterations'!$B$24:$H$24)&gt;=2,1,0)</f>
        <v>0</v>
      </c>
      <c r="L13" s="76">
        <f>IF(SUM('ERDR Iterations'!$B$50:$H$50)&gt;=2,1,0)</f>
        <v>0</v>
      </c>
      <c r="M13" s="76">
        <f>IF(SUM('ERDR Iterations'!$B$76:$H$76)&gt;=2,1,0)</f>
        <v>1</v>
      </c>
      <c r="N13" s="76">
        <f>IF(SUM('ERDR Iterations'!$B$102:$H$102)&gt;=2,1,0)</f>
        <v>0</v>
      </c>
      <c r="O13" s="76">
        <f>IF(SUM('ERDR Iterations'!$B$128:$H$128)&gt;=2,1,0)</f>
        <v>0</v>
      </c>
      <c r="P13" s="76">
        <f>IF(SUM('ERDR Iterations'!$B$154:$H$154)&gt;=2,1,0)</f>
        <v>0</v>
      </c>
      <c r="Q13" s="76">
        <f>IF(SUM('ERDR Iterations'!$B$180:$H$180)&gt;=2,1,0)</f>
        <v>0</v>
      </c>
    </row>
    <row r="14" ht="31" customHeight="1">
      <c r="A14" s="77">
        <v>10</v>
      </c>
      <c r="B14" s="102" t="inlineStr">
        <is>
          <t xml:space="preserve">|L| &gt; 1 and some g(Sⱼ) stays above 1 after the decrease</t>
        </is>
      </c>
      <c r="C14" s="111" t="inlineStr">
        <is>
          <t xml:space="preserve">ERDR Iterations</t>
        </is>
      </c>
      <c r="D14" s="94">
        <f>IF(SUM(K9:Q9)&gt;0,1,0)</f>
        <v>1</v>
      </c>
      <c r="E14" s="77">
        <f>IFERROR(MATCH(1,K9:Q9,0),"—")</f>
        <v>1</v>
      </c>
      <c r="F14" s="102" t="inlineStr">
        <is>
          <t xml:space="preserve">Step 5 correction without a move</t>
        </is>
      </c>
      <c r="G14" s="101" t="inlineStr">
        <is>
          <t xml:space="preserve">branch</t>
        </is>
      </c>
    </row>
    <row r="15" ht="31" customHeight="1">
      <c r="A15" s="77">
        <v>11</v>
      </c>
      <c r="B15" s="102" t="inlineStr">
        <is>
          <t xml:space="preserve">Step 5 moves an object that has not been processed yet (it leaves the queue early)</t>
        </is>
      </c>
      <c r="C15" s="111" t="inlineStr">
        <is>
          <t xml:space="preserve">ERDR Iterations</t>
        </is>
      </c>
      <c r="D15" s="94">
        <f>IF(SUM(K10:Q10)&gt;0,1,0)</f>
        <v>1</v>
      </c>
      <c r="E15" s="77">
        <f>IFERROR(MATCH(1,K10:Q10,0),"—")</f>
        <v>2</v>
      </c>
      <c r="F15" s="102" t="inlineStr">
        <is>
          <t xml:space="preserve">Step 5 changes the queue of later iterations</t>
        </is>
      </c>
      <c r="G15" s="101" t="inlineStr">
        <is>
          <t xml:space="preserve">branch</t>
        </is>
      </c>
    </row>
    <row r="16" ht="31" customHeight="1">
      <c r="A16" s="77">
        <v>12</v>
      </c>
      <c r="B16" s="102" t="inlineStr">
        <is>
          <t xml:space="preserve">Step 5 moves an object that was processed earlier and stayed in F</t>
        </is>
      </c>
      <c r="C16" s="111" t="inlineStr">
        <is>
          <t xml:space="preserve">ERDR Iterations</t>
        </is>
      </c>
      <c r="D16" s="94">
        <f>IF(SUM(K11:Q11)&gt;0,1,0)</f>
        <v>1</v>
      </c>
      <c r="E16" s="77">
        <f>IFERROR(MATCH(1,K11:Q11,0),"—")</f>
        <v>3</v>
      </c>
      <c r="F16" s="102" t="inlineStr">
        <is>
          <t xml:space="preserve">Possible only because processed objects stay in F (reading B)</t>
        </is>
      </c>
      <c r="G16" s="101" t="inlineStr">
        <is>
          <t xml:space="preserve">branch</t>
        </is>
      </c>
    </row>
    <row r="17" ht="31" customHeight="1">
      <c r="A17" s="77">
        <v>13</v>
      </c>
      <c r="B17" s="102" t="inlineStr">
        <is>
          <t xml:space="preserve">Sᵢ belongs to its own L and its own counter is decreased</t>
        </is>
      </c>
      <c r="C17" s="111" t="inlineStr">
        <is>
          <t xml:space="preserve">ERDR Iterations</t>
        </is>
      </c>
      <c r="D17" s="94">
        <f>IF(SUM(K12:Q12)&gt;0,1,0)</f>
        <v>1</v>
      </c>
      <c r="E17" s="77">
        <f>IFERROR(MATCH(1,K12:Q12,0),"—")</f>
        <v>1</v>
      </c>
      <c r="F17" s="102" t="inlineStr">
        <is>
          <t xml:space="preserve">Literal reading A: Sᵢ lies inside its own sphere</t>
        </is>
      </c>
      <c r="G17" s="101" t="inlineStr">
        <is>
          <t xml:space="preserve">branch</t>
        </is>
      </c>
    </row>
    <row r="18" ht="31" customHeight="1">
      <c r="A18" s="77">
        <v>14</v>
      </c>
      <c r="B18" s="102" t="inlineStr">
        <is>
          <t xml:space="preserve">One counter g(Sⱼ) is decreased in two different iterations</t>
        </is>
      </c>
      <c r="C18" s="111" t="inlineStr">
        <is>
          <t xml:space="preserve">ERDR Trace</t>
        </is>
      </c>
      <c r="D18" s="94">
        <f>IF(COUNTIF('ERDR Trace'!$B$91:$H$91,"&gt;=2")&gt;0,1,0)</f>
        <v>1</v>
      </c>
      <c r="E18" s="77" t="inlineStr">
        <is>
          <t xml:space="preserve">Step 5 (run)</t>
        </is>
      </c>
      <c r="F18" s="102" t="inlineStr">
        <is>
          <t xml:space="preserve">State carried from one iteration to the next</t>
        </is>
      </c>
      <c r="G18" s="101" t="inlineStr">
        <is>
          <t xml:space="preserve">branch</t>
        </is>
      </c>
    </row>
    <row r="19" ht="31" customHeight="1">
      <c r="A19" s="77">
        <v>15</v>
      </c>
      <c r="B19" s="102" t="inlineStr">
        <is>
          <t xml:space="preserve">Two objects move to D in the same Step 5</t>
        </is>
      </c>
      <c r="C19" s="111" t="inlineStr">
        <is>
          <t xml:space="preserve">ERDR Iterations</t>
        </is>
      </c>
      <c r="D19" s="94">
        <f>IF(SUM(K13:Q13)&gt;0,1,0)</f>
        <v>1</v>
      </c>
      <c r="E19" s="77">
        <f>IFERROR(MATCH(1,K13:Q13,0),"—")</f>
        <v>3</v>
      </c>
      <c r="F19" s="102" t="inlineStr">
        <is>
          <t xml:space="preserve">Where “Перейти к шагу 2” stands matters (reading C)</t>
        </is>
      </c>
      <c r="G19" s="101" t="inlineStr">
        <is>
          <t xml:space="preserve">extra</t>
        </is>
      </c>
    </row>
    <row r="20" ht="31" customHeight="1">
      <c r="A20" s="77">
        <v>16</v>
      </c>
      <c r="B20" s="102" t="inlineStr">
        <is>
          <t xml:space="preserve">Result: D contains both classes and the validation set F is not empty</t>
        </is>
      </c>
      <c r="C20" s="111" t="inlineStr">
        <is>
          <t xml:space="preserve">Training &amp; Validation</t>
        </is>
      </c>
      <c r="D20" s="94">
        <f>IF(AND('Training &amp; Validation'!$B$15&gt;0,'Training &amp; Validation'!$C$15&gt;0,'Training &amp; Validation'!$D$16&gt;0),1,0)</f>
        <v>1</v>
      </c>
      <c r="E20" s="77" t="inlineStr">
        <is>
          <t xml:space="preserve">Step 6</t>
        </is>
      </c>
      <c r="F20" s="102" t="inlineStr">
        <is>
          <t xml:space="preserve">A usable training sample</t>
        </is>
      </c>
      <c r="G20" s="101" t="inlineStr">
        <is>
          <t xml:space="preserve">branch</t>
        </is>
      </c>
    </row>
    <row r="21" ht="31" customHeight="1">
      <c r="A21" s="77">
        <v>17</v>
      </c>
      <c r="B21" s="102" t="inlineStr">
        <is>
          <t xml:space="preserve">Result: the validation set F contains both classes</t>
        </is>
      </c>
      <c r="C21" s="111" t="inlineStr">
        <is>
          <t xml:space="preserve">Training &amp; Validation</t>
        </is>
      </c>
      <c r="D21" s="94">
        <f>IF(AND('Training &amp; Validation'!$B$16&gt;0,'Training &amp; Validation'!$C$16&gt;0),1,0)</f>
        <v>1</v>
      </c>
      <c r="E21" s="77" t="inlineStr">
        <is>
          <t xml:space="preserve">Step 6</t>
        </is>
      </c>
      <c r="F21" s="102" t="inlineStr">
        <is>
          <t xml:space="preserve">A usable validation sample</t>
        </is>
      </c>
      <c r="G21" s="101" t="inlineStr">
        <is>
          <t xml:space="preserve">extra</t>
        </is>
      </c>
    </row>
    <row r="22">
      <c r="A22" s="90" t="inlineStr">
        <is>
          <t xml:space="preserve">Σ</t>
        </is>
      </c>
      <c r="B22" s="92" t="str">
        <f>SUM(D5:D21)&amp;" of 17 cases occur"&amp;IF(SUM(D5:D21)=17,"  ✓ every case of the algorithm is shown","  ⚠ some cases are missing for this selection / reading")</f>
        <v>17 of 17 cases occur  ✓ every case of the algorithm is shown</v>
      </c>
      <c r="C22" s="92"/>
      <c r="D22" s="92"/>
      <c r="E22" s="92"/>
      <c r="F22" s="92"/>
      <c r="G22" s="92"/>
      <c r="H22" s="92"/>
    </row>
    <row r="23"/>
    <row r="24">
      <c r="A24" s="100" t="inlineStr">
        <is>
          <t xml:space="preserve">A case that cannot happen is not listed: “an object covers Sᵢ but is left out of L because g(Sⱼ) = 1”. If Sⱼ ≠ Sᵢ covers Sᵢ, Sᵢ is inside the sphere of Sⱼ, so g(Sⱼ) ≥ 2 at the start;</t>
        </is>
      </c>
    </row>
    <row r="25">
      <c r="A25" s="100" t="inlineStr">
        <is>
          <t xml:space="preserve">g only decreases in Step 5, and an object whose g falls to 1 leaves F at once. Hence for Sⱼ ≠ Sᵢ the condition g(Sⱼ) &gt; 1 in L always holds — it only decides whether Sᵢ itself is in L.</t>
        </is>
      </c>
    </row>
    <row r="26">
      <c r="A26" s="100" t="inlineStr">
        <is>
          <t xml:space="preserve">Iteration cases are detected from the ERDR Iterations rows (|L|, membership of Sᵢ, Step 5 moves, processed flags); the others from Step 1, Step 2 and the Step 6 result.</t>
        </is>
      </c>
    </row>
  </sheetData>
  <mergeCells count="4">
    <mergeCell ref="A1:Q1"/>
    <mergeCell ref="A3:H3"/>
    <mergeCell ref="B22:H22"/>
    <mergeCell ref="J3:Q3"/>
  </mergeCells>
  <conditionalFormatting sqref="D5:D21">
    <cfRule type="cellIs" dxfId="0" priority="1" operator="equal">
      <formula>1</formula>
    </cfRule>
  </conditionalFormatting>
  <conditionalFormatting sqref="D5:D21">
    <cfRule type="cellIs" dxfId="2" priority="2" operator="equal">
      <formula>0</formula>
    </cfRule>
  </conditionalFormatting>
  <conditionalFormatting sqref="K5:Q5">
    <cfRule type="cellIs" dxfId="0" priority="3" operator="equal">
      <formula>1</formula>
    </cfRule>
  </conditionalFormatting>
  <conditionalFormatting sqref="K6:Q6">
    <cfRule type="cellIs" dxfId="0" priority="4" operator="equal">
      <formula>1</formula>
    </cfRule>
  </conditionalFormatting>
  <conditionalFormatting sqref="K7:Q7">
    <cfRule type="cellIs" dxfId="0" priority="5" operator="equal">
      <formula>1</formula>
    </cfRule>
  </conditionalFormatting>
  <conditionalFormatting sqref="K8:Q8">
    <cfRule type="cellIs" dxfId="0" priority="6" operator="equal">
      <formula>1</formula>
    </cfRule>
  </conditionalFormatting>
  <conditionalFormatting sqref="K9:Q9">
    <cfRule type="cellIs" dxfId="0" priority="7" operator="equal">
      <formula>1</formula>
    </cfRule>
  </conditionalFormatting>
  <conditionalFormatting sqref="K10:Q10">
    <cfRule type="cellIs" dxfId="0" priority="8" operator="equal">
      <formula>1</formula>
    </cfRule>
  </conditionalFormatting>
  <conditionalFormatting sqref="K11:Q11">
    <cfRule type="cellIs" dxfId="0" priority="9" operator="equal">
      <formula>1</formula>
    </cfRule>
  </conditionalFormatting>
  <conditionalFormatting sqref="K12:Q12">
    <cfRule type="cellIs" dxfId="0" priority="10" operator="equal">
      <formula>1</formula>
    </cfRule>
  </conditionalFormatting>
  <conditionalFormatting sqref="K13:Q13">
    <cfRule type="cellIs" dxfId="0" priority="11" operator="equal">
      <formula>1</formula>
    </cfRule>
  </conditionalFormatting>
  <hyperlinks>
    <hyperlink ref="C5" location="'Parameters'!A1" display="Parameters" tooltip="Go to Parameters"/>
    <hyperlink ref="C6" location="'ERDR Characteristics'!A1" display="ERDR Characteristics" tooltip="Go to ERDR Characteristics"/>
    <hyperlink ref="C7" location="'ERDR Characteristics'!A1" display="ERDR Characteristics" tooltip="Go to ERDR Characteristics"/>
    <hyperlink ref="C8" location="'Priority Queue'!A1" display="Priority Queue" tooltip="Go to Priority Queue"/>
    <hyperlink ref="C9" location="'Priority Queue'!A1" display="Priority Queue" tooltip="Go to Priority Queue"/>
    <hyperlink ref="C10" location="'ERDR Iterations'!A1" display="ERDR Iterations" tooltip="Go to ERDR Iterations"/>
    <hyperlink ref="C11" location="'ERDR Iterations'!A1" display="ERDR Iterations" tooltip="Go to ERDR Iterations"/>
    <hyperlink ref="C12" location="'ERDR Iterations'!A1" display="ERDR Iterations" tooltip="Go to ERDR Iterations"/>
    <hyperlink ref="C13" location="'ERDR Iterations'!A1" display="ERDR Iterations" tooltip="Go to ERDR Iterations"/>
    <hyperlink ref="C14" location="'ERDR Iterations'!A1" display="ERDR Iterations" tooltip="Go to ERDR Iterations"/>
    <hyperlink ref="C15" location="'ERDR Iterations'!A1" display="ERDR Iterations" tooltip="Go to ERDR Iterations"/>
    <hyperlink ref="C16" location="'ERDR Iterations'!A1" display="ERDR Iterations" tooltip="Go to ERDR Iterations"/>
    <hyperlink ref="C17" location="'ERDR Iterations'!A1" display="ERDR Iterations" tooltip="Go to ERDR Iterations"/>
    <hyperlink ref="C18" location="'ERDR Trace'!A1" display="ERDR Trace" tooltip="Go to ERDR Trace"/>
    <hyperlink ref="C19" location="'ERDR Iterations'!A1" display="ERDR Iterations" tooltip="Go to ERDR Iterations"/>
    <hyperlink ref="C20" location="'Training &amp; Validation'!A1" display="Training &amp; Validation" tooltip="Go to Training &amp; Validation"/>
    <hyperlink ref="C21" location="'Training &amp; Validation'!A1" display="Training &amp; Validation" tooltip="Go to Training &amp; Validation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H23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2.77734375" customWidth="1"/>
    <col min="2" max="3" width="12.77734375" customWidth="1"/>
    <col min="4" max="4" width="16.77734375" customWidth="1"/>
    <col min="5" max="6" width="14.77734375" customWidth="1"/>
    <col min="7" max="7" width="22.77734375" customWidth="1"/>
    <col min="8" max="8" width="12.77734375" customWidth="1"/>
  </cols>
  <sheetData>
    <row r="1" ht="22" customHeight="1">
      <c r="A1" s="57" t="inlineStr">
        <is>
          <t xml:space="preserve">ERDR Step 6 · Training sample D and validation sample F = E₀ \ D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Every object, its sample and how it got there (live)</t>
        </is>
      </c>
      <c r="B3" s="58"/>
      <c r="C3" s="58"/>
      <c r="D3" s="58"/>
      <c r="E3" s="58"/>
      <c r="F3" s="58"/>
      <c r="G3" s="58"/>
      <c r="H3" s="58"/>
    </row>
    <row r="4" ht="34" customHeight="1">
      <c r="A4" s="60" t="inlineStr">
        <is>
          <t xml:space="preserve">№</t>
        </is>
      </c>
      <c r="B4" s="60" t="inlineStr">
        <is>
          <t xml:space="preserve">Source row</t>
        </is>
      </c>
      <c r="C4" s="60" t="inlineStr">
        <is>
          <t xml:space="preserve">Class</t>
        </is>
      </c>
      <c r="D4" s="60" t="inlineStr">
        <is>
          <t xml:space="preserve">Sample</t>
        </is>
      </c>
      <c r="E4" s="60" t="inlineStr">
        <is>
          <t xml:space="preserve">Processed in iteration</t>
        </is>
      </c>
      <c r="F4" s="60" t="inlineStr">
        <is>
          <t xml:space="preserve">Entered D in iteration</t>
        </is>
      </c>
      <c r="G4" s="60" t="inlineStr">
        <is>
          <t xml:space="preserve">Entered D by</t>
        </is>
      </c>
      <c r="H4" s="60" t="inlineStr">
        <is>
          <t xml:space="preserve">Counter decreases</t>
        </is>
      </c>
    </row>
    <row r="5">
      <c r="A5" s="62" t="inlineStr">
        <is>
          <t xml:space="preserve">S₁</t>
        </is>
      </c>
      <c r="B5" s="78">
        <f>'Dataset'!B5</f>
        <v>1</v>
      </c>
      <c r="C5" s="68">
        <f>'Dataset'!P5</f>
        <v>2</v>
      </c>
      <c r="D5" s="85" t="str">
        <f>IF('ERDR Trace'!B$92="F","F · validation","D · training")</f>
        <v>D · training</v>
      </c>
      <c r="E5" s="77">
        <f>'ERDR Trace'!B$88</f>
        <v>1</v>
      </c>
      <c r="F5" s="77">
        <f>'ERDR Trace'!B$89</f>
        <v>3</v>
      </c>
      <c r="G5" s="101" t="str">
        <f>IF('ERDR Trace'!B$90="Step 4","Step 4 · |L| = 1",IF('ERDR Trace'!B$90="Step 5","Step 5 · g fell to 1","— (stays in F)"))</f>
        <v>Step 5 · g fell to 1</v>
      </c>
      <c r="H5" s="76">
        <f>'ERDR Trace'!B$91</f>
        <v>2</v>
      </c>
    </row>
    <row r="6">
      <c r="A6" s="62" t="inlineStr">
        <is>
          <t xml:space="preserve">S₂</t>
        </is>
      </c>
      <c r="B6" s="78">
        <f>'Dataset'!B6</f>
        <v>10</v>
      </c>
      <c r="C6" s="68">
        <f>'Dataset'!P6</f>
        <v>2</v>
      </c>
      <c r="D6" s="85" t="str">
        <f>IF('ERDR Trace'!C$92="F","F · validation","D · training")</f>
        <v>D · training</v>
      </c>
      <c r="E6" s="77">
        <f>'ERDR Trace'!C$88</f>
        <v>4</v>
      </c>
      <c r="F6" s="77">
        <f>'ERDR Trace'!C$89</f>
        <v>4</v>
      </c>
      <c r="G6" s="101" t="str">
        <f>IF('ERDR Trace'!C$90="Step 4","Step 4 · |L| = 1",IF('ERDR Trace'!C$90="Step 5","Step 5 · g fell to 1","— (stays in F)"))</f>
        <v>Step 4 · |L| = 1</v>
      </c>
      <c r="H6" s="76">
        <f>'ERDR Trace'!C$91</f>
        <v>2</v>
      </c>
    </row>
    <row r="7">
      <c r="A7" s="62" t="inlineStr">
        <is>
          <t xml:space="preserve">S₃</t>
        </is>
      </c>
      <c r="B7" s="78">
        <f>'Dataset'!B7</f>
        <v>73</v>
      </c>
      <c r="C7" s="68">
        <f>'Dataset'!P7</f>
        <v>1</v>
      </c>
      <c r="D7" s="85" t="str">
        <f>IF('ERDR Trace'!D$92="F","F · validation","D · training")</f>
        <v>F · validation</v>
      </c>
      <c r="E7" s="77">
        <f>'ERDR Trace'!D$88</f>
        <v>2</v>
      </c>
      <c r="F7" s="77" t="str">
        <f>'ERDR Trace'!D$89</f>
        <v>—</v>
      </c>
      <c r="G7" s="101" t="str">
        <f>IF('ERDR Trace'!D$90="Step 4","Step 4 · |L| = 1",IF('ERDR Trace'!D$90="Step 5","Step 5 · g fell to 1","— (stays in F)"))</f>
        <v>— (stays in F)</v>
      </c>
      <c r="H7" s="76">
        <f>'ERDR Trace'!D$91</f>
        <v>1</v>
      </c>
    </row>
    <row r="8">
      <c r="A8" s="62" t="inlineStr">
        <is>
          <t xml:space="preserve">S₄</t>
        </is>
      </c>
      <c r="B8" s="78">
        <f>'Dataset'!B8</f>
        <v>143</v>
      </c>
      <c r="C8" s="68">
        <f>'Dataset'!P8</f>
        <v>2</v>
      </c>
      <c r="D8" s="85" t="str">
        <f>IF('ERDR Trace'!E$92="F","F · validation","D · training")</f>
        <v>F · validation</v>
      </c>
      <c r="E8" s="77">
        <f>'ERDR Trace'!E$88</f>
        <v>6</v>
      </c>
      <c r="F8" s="77" t="str">
        <f>'ERDR Trace'!E$89</f>
        <v>—</v>
      </c>
      <c r="G8" s="101" t="str">
        <f>IF('ERDR Trace'!E$90="Step 4","Step 4 · |L| = 1",IF('ERDR Trace'!E$90="Step 5","Step 5 · g fell to 1","— (stays in F)"))</f>
        <v>— (stays in F)</v>
      </c>
      <c r="H8" s="76">
        <f>'ERDR Trace'!E$91</f>
        <v>0</v>
      </c>
    </row>
    <row r="9">
      <c r="A9" s="62" t="inlineStr">
        <is>
          <t xml:space="preserve">S₅</t>
        </is>
      </c>
      <c r="B9" s="78">
        <f>'Dataset'!B9</f>
        <v>224</v>
      </c>
      <c r="C9" s="68">
        <f>'Dataset'!P9</f>
        <v>2</v>
      </c>
      <c r="D9" s="85" t="str">
        <f>IF('ERDR Trace'!F$92="F","F · validation","D · training")</f>
        <v>D · training</v>
      </c>
      <c r="E9" s="77">
        <f>'ERDR Trace'!F$88</f>
        <v>3</v>
      </c>
      <c r="F9" s="77">
        <f>'ERDR Trace'!F$89</f>
        <v>3</v>
      </c>
      <c r="G9" s="101" t="str">
        <f>IF('ERDR Trace'!F$90="Step 4","Step 4 · |L| = 1",IF('ERDR Trace'!F$90="Step 5","Step 5 · g fell to 1","— (stays in F)"))</f>
        <v>Step 5 · g fell to 1</v>
      </c>
      <c r="H9" s="76">
        <f>'ERDR Trace'!F$91</f>
        <v>2</v>
      </c>
    </row>
    <row r="10">
      <c r="A10" s="62" t="inlineStr">
        <is>
          <t xml:space="preserve">S₆</t>
        </is>
      </c>
      <c r="B10" s="78">
        <f>'Dataset'!B10</f>
        <v>226</v>
      </c>
      <c r="C10" s="68">
        <f>'Dataset'!P10</f>
        <v>1</v>
      </c>
      <c r="D10" s="85" t="str">
        <f>IF('ERDR Trace'!G$92="F","F · validation","D · training")</f>
        <v>D · training</v>
      </c>
      <c r="E10" s="77">
        <f>'ERDR Trace'!G$88</f>
        <v>5</v>
      </c>
      <c r="F10" s="77">
        <f>'ERDR Trace'!G$89</f>
        <v>5</v>
      </c>
      <c r="G10" s="101" t="str">
        <f>IF('ERDR Trace'!G$90="Step 4","Step 4 · |L| = 1",IF('ERDR Trace'!G$90="Step 5","Step 5 · g fell to 1","— (stays in F)"))</f>
        <v>Step 4 · |L| = 1</v>
      </c>
      <c r="H10" s="76">
        <f>'ERDR Trace'!G$91</f>
        <v>0</v>
      </c>
    </row>
    <row r="11">
      <c r="A11" s="62" t="inlineStr">
        <is>
          <t xml:space="preserve">S₇</t>
        </is>
      </c>
      <c r="B11" s="78">
        <f>'Dataset'!B11</f>
        <v>239</v>
      </c>
      <c r="C11" s="68">
        <f>'Dataset'!P11</f>
        <v>1</v>
      </c>
      <c r="D11" s="85" t="str">
        <f>IF('ERDR Trace'!H$92="F","F · validation","D · training")</f>
        <v>D · training</v>
      </c>
      <c r="E11" s="77" t="str">
        <f>'ERDR Trace'!H$88</f>
        <v>—</v>
      </c>
      <c r="F11" s="77">
        <f>'ERDR Trace'!H$89</f>
        <v>2</v>
      </c>
      <c r="G11" s="101" t="str">
        <f>IF('ERDR Trace'!H$90="Step 4","Step 4 · |L| = 1",IF('ERDR Trace'!H$90="Step 5","Step 5 · g fell to 1","— (stays in F)"))</f>
        <v>Step 5 · g fell to 1</v>
      </c>
      <c r="H11" s="76">
        <f>'ERDR Trace'!H$91</f>
        <v>1</v>
      </c>
    </row>
    <row r="12"/>
    <row r="13">
      <c r="A13" s="58" t="inlineStr">
        <is>
          <t xml:space="preserve">Class composition</t>
        </is>
      </c>
      <c r="B13" s="58"/>
      <c r="C13" s="58"/>
      <c r="D13" s="58"/>
      <c r="E13" s="58"/>
    </row>
    <row r="14">
      <c r="A14" s="60" t="inlineStr">
        <is>
          <t xml:space="preserve">Sample</t>
        </is>
      </c>
      <c r="B14" s="60" t="inlineStr">
        <is>
          <t xml:space="preserve">K1 (class 1)</t>
        </is>
      </c>
      <c r="C14" s="60" t="inlineStr">
        <is>
          <t xml:space="preserve">K2 (class 2)</t>
        </is>
      </c>
      <c r="D14" s="60" t="inlineStr">
        <is>
          <t xml:space="preserve">Total</t>
        </is>
      </c>
      <c r="E14" s="60" t="inlineStr">
        <is>
          <t xml:space="preserve">Share of N</t>
        </is>
      </c>
    </row>
    <row r="15">
      <c r="A15" s="63" t="inlineStr">
        <is>
          <t xml:space="preserve">D · training</t>
        </is>
      </c>
      <c r="B15" s="77">
        <f>SUMPRODUCT(($C$5:$C$11=1)*(LEFT($D$5:$D$11,1)="D"))</f>
        <v>2</v>
      </c>
      <c r="C15" s="77">
        <f>SUMPRODUCT(($C$5:$C$11=2)*(LEFT($D$5:$D$11,1)="D"))</f>
        <v>3</v>
      </c>
      <c r="D15" s="77">
        <f>B15+C15</f>
        <v>5</v>
      </c>
      <c r="E15" s="108">
        <f>D15/'Parameters'!$B$5</f>
        <v>0.714285714285714</v>
      </c>
    </row>
    <row r="16">
      <c r="A16" s="63" t="inlineStr">
        <is>
          <t xml:space="preserve">F · validation</t>
        </is>
      </c>
      <c r="B16" s="77">
        <f>SUMPRODUCT(($C$5:$C$11=1)*(LEFT($D$5:$D$11,1)="F"))</f>
        <v>1</v>
      </c>
      <c r="C16" s="77">
        <f>SUMPRODUCT(($C$5:$C$11=2)*(LEFT($D$5:$D$11,1)="F"))</f>
        <v>1</v>
      </c>
      <c r="D16" s="77">
        <f>B16+C16</f>
        <v>2</v>
      </c>
      <c r="E16" s="108">
        <f>D16/'Parameters'!$B$5</f>
        <v>0.285714285714286</v>
      </c>
    </row>
    <row r="17">
      <c r="A17" s="63" t="inlineStr">
        <is>
          <t xml:space="preserve">Total</t>
        </is>
      </c>
      <c r="B17" s="77">
        <f>B15+B16</f>
        <v>3</v>
      </c>
      <c r="C17" s="77">
        <f>C15+C16</f>
        <v>4</v>
      </c>
      <c r="D17" s="77">
        <f>D15+D16</f>
        <v>7</v>
      </c>
      <c r="E17" s="108">
        <f>D17/'Parameters'!$B$5</f>
        <v>1</v>
      </c>
    </row>
    <row r="18"/>
    <row r="19">
      <c r="A19" s="82" t="inlineStr">
        <is>
          <t xml:space="preserve">D (training sample)</t>
        </is>
      </c>
      <c r="B19" s="85" t="str">
        <f>IF(D15=0,"∅","{"&amp;MID(IF(LEFT($D$5,1)="D",", "&amp;$A$5,"")&amp;IF(LEFT($D$6,1)="D",", "&amp;$A$6,"")&amp;IF(LEFT($D$7,1)="D",", "&amp;$A$7,"")&amp;IF(LEFT($D$8,1)="D",", "&amp;$A$8,"")&amp;IF(LEFT($D$9,1)="D",", "&amp;$A$9,"")&amp;IF(LEFT($D$10,1)="D",", "&amp;$A$10,"")&amp;IF(LEFT($D$11,1)="D",", "&amp;$A$11,""),3,200)&amp;"}")</f>
        <v>{S₁, S₂, S₅, S₆, S₇}</v>
      </c>
      <c r="C19" s="85"/>
      <c r="D19" s="85"/>
      <c r="E19" s="85"/>
      <c r="F19" s="85"/>
      <c r="G19" s="85"/>
      <c r="H19" s="85"/>
    </row>
    <row r="20">
      <c r="A20" s="82" t="inlineStr">
        <is>
          <t xml:space="preserve">F (validation sample)</t>
        </is>
      </c>
      <c r="B20" s="85" t="str">
        <f>IF(D16=0,"∅","{"&amp;MID(IF(LEFT($D$5,1)="F",", "&amp;$A$5,"")&amp;IF(LEFT($D$6,1)="F",", "&amp;$A$6,"")&amp;IF(LEFT($D$7,1)="F",", "&amp;$A$7,"")&amp;IF(LEFT($D$8,1)="F",", "&amp;$A$8,"")&amp;IF(LEFT($D$9,1)="F",", "&amp;$A$9,"")&amp;IF(LEFT($D$10,1)="F",", "&amp;$A$10,"")&amp;IF(LEFT($D$11,1)="F",", "&amp;$A$11,""),3,200)&amp;"}")</f>
        <v>{S₃, S₄}</v>
      </c>
      <c r="C20" s="85"/>
      <c r="D20" s="85"/>
      <c r="E20" s="85"/>
      <c r="F20" s="85"/>
      <c r="G20" s="85"/>
      <c r="H20" s="85"/>
    </row>
    <row r="21"/>
    <row r="22">
      <c r="A22" s="100" t="inlineStr">
        <is>
          <t xml:space="preserve">The article: «Выход: множество объектов обучающей выборки D и множество объектов валидационной выборки F = E₀ \ D».</t>
        </is>
      </c>
    </row>
    <row r="23">
      <c r="A23" s="100" t="inlineStr">
        <is>
          <t xml:space="preserve">With the literal reading most objects end in D: every Step 5 that lowers the counter of Sᵢ itself (reading A) can move Sᵢ to D. Readings A = 2 or B = 2 give smaller training samples (Readings (Switches)).</t>
        </is>
      </c>
    </row>
  </sheetData>
  <mergeCells count="5">
    <mergeCell ref="A1:H1"/>
    <mergeCell ref="A3:H3"/>
    <mergeCell ref="A13:E13"/>
    <mergeCell ref="B19:H19"/>
    <mergeCell ref="B20:H20"/>
  </mergeCells>
  <conditionalFormatting sqref="A5:H11">
    <cfRule type="expression" dxfId="4" priority="1">
      <formula>LEFT($D5,1)="D"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L63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3" width="12.77734375" customWidth="1"/>
    <col min="4" max="4" width="9.77734375" customWidth="1"/>
    <col min="5" max="5" width="16.77734375" customWidth="1"/>
    <col min="6" max="9" width="12.77734375" customWidth="1"/>
    <col min="10" max="10" width="34.77734375" customWidth="1"/>
    <col min="11" max="12" width="12.77734375" customWidth="1"/>
  </cols>
  <sheetData>
    <row r="1" ht="22" customHeight="1">
      <c r="A1" s="57" t="inlineStr">
        <is>
          <t xml:space="preserve">Charts · the 7 objects on a 2-D map, r and z per object, the Step 2 order, and the sample sizes through the iterations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/>
    <row r="3">
      <c r="A3" s="58" t="inlineStr">
        <is>
          <t xml:space="preserve">Chart data — live formulas, except the 2-D map coordinates (Python engine)</t>
        </is>
      </c>
      <c r="B3" s="58"/>
      <c r="C3" s="58"/>
      <c r="D3" s="58"/>
      <c r="E3" s="58"/>
      <c r="F3" s="58"/>
      <c r="G3" s="58"/>
      <c r="H3" s="58"/>
      <c r="I3" s="58"/>
      <c r="J3" s="58"/>
    </row>
    <row r="4" ht="34" customHeight="1">
      <c r="A4" s="60" t="inlineStr">
        <is>
          <t xml:space="preserve">№</t>
        </is>
      </c>
      <c r="B4" s="60" t="inlineStr">
        <is>
          <t xml:space="preserve">x (2-D map)</t>
        </is>
      </c>
      <c r="C4" s="60" t="inlineStr">
        <is>
          <t xml:space="preserve">y (2-D map)</t>
        </is>
      </c>
      <c r="D4" s="60" t="inlineStr">
        <is>
          <t xml:space="preserve">Class</t>
        </is>
      </c>
      <c r="E4" s="60" t="inlineStr">
        <is>
          <t xml:space="preserve">Sample (live)</t>
        </is>
      </c>
      <c r="F4" s="60" t="inlineStr">
        <is>
          <t xml:space="preserve">r(Sᵢ)</t>
        </is>
      </c>
      <c r="G4" s="60" t="inlineStr">
        <is>
          <t xml:space="preserve">z(Sᵢ, k)</t>
        </is>
      </c>
      <c r="H4" s="60" t="inlineStr">
        <is>
          <t xml:space="preserve">d(Sᵢ)</t>
        </is>
      </c>
      <c r="I4" s="60" t="inlineStr">
        <is>
          <t xml:space="preserve">Priority position</t>
        </is>
      </c>
      <c r="J4" s="60" t="inlineStr">
        <is>
          <t xml:space="preserve">Marker on the map</t>
        </is>
      </c>
    </row>
    <row r="5">
      <c r="A5" s="62" t="inlineStr">
        <is>
          <t xml:space="preserve">S₁</t>
        </is>
      </c>
      <c r="B5" s="110">
        <v>2.31016</v>
      </c>
      <c r="C5" s="110">
        <v>-0.479167</v>
      </c>
      <c r="D5" s="68">
        <f>'Dataset'!P5</f>
        <v>2</v>
      </c>
      <c r="E5" s="85" t="str">
        <f>'Training &amp; Validation'!D5</f>
        <v>D · training</v>
      </c>
      <c r="F5" s="73">
        <f>'ERDR Characteristics'!D5</f>
        <v>5.60708061</v>
      </c>
      <c r="G5" s="73">
        <f>'ERDR Characteristics'!H5</f>
        <v>5.60708061</v>
      </c>
      <c r="H5" s="73">
        <f>'ERDR Characteristics'!J5</f>
        <v>0</v>
      </c>
      <c r="I5" s="77">
        <f>'ERDR Characteristics'!K5</f>
        <v>1</v>
      </c>
      <c r="J5" s="101" t="inlineStr">
        <is>
          <t xml:space="preserve">▲ triangle, dark (training D)</t>
        </is>
      </c>
    </row>
    <row r="6">
      <c r="A6" s="62" t="inlineStr">
        <is>
          <t xml:space="preserve">S₂</t>
        </is>
      </c>
      <c r="B6" s="110">
        <v>3.761907</v>
      </c>
      <c r="C6" s="110">
        <v>2.727525</v>
      </c>
      <c r="D6" s="68">
        <f>'Dataset'!P6</f>
        <v>2</v>
      </c>
      <c r="E6" s="85" t="str">
        <f>'Training &amp; Validation'!D6</f>
        <v>D · training</v>
      </c>
      <c r="F6" s="73">
        <f>'ERDR Characteristics'!D6</f>
        <v>7.4699698919</v>
      </c>
      <c r="G6" s="73">
        <f>'ERDR Characteristics'!H6</f>
        <v>6.3691657565</v>
      </c>
      <c r="H6" s="73">
        <f>'ERDR Characteristics'!J6</f>
        <v>0.0795428388</v>
      </c>
      <c r="I6" s="77">
        <f>'ERDR Characteristics'!K6</f>
        <v>4</v>
      </c>
      <c r="J6" s="101" t="inlineStr">
        <is>
          <t xml:space="preserve">▲ triangle, dark (training D)</t>
        </is>
      </c>
    </row>
    <row r="7">
      <c r="A7" s="62" t="inlineStr">
        <is>
          <t xml:space="preserve">S₃</t>
        </is>
      </c>
      <c r="B7" s="110">
        <v>-1.711201</v>
      </c>
      <c r="C7" s="110">
        <v>-2.511892</v>
      </c>
      <c r="D7" s="68">
        <f>'Dataset'!P7</f>
        <v>1</v>
      </c>
      <c r="E7" s="85" t="str">
        <f>'Training &amp; Validation'!D7</f>
        <v>F · validation</v>
      </c>
      <c r="F7" s="73">
        <f>'ERDR Characteristics'!D7</f>
        <v>5.60708061</v>
      </c>
      <c r="G7" s="73">
        <f>'ERDR Characteristics'!H7</f>
        <v>5.60708061</v>
      </c>
      <c r="H7" s="73">
        <f>'ERDR Characteristics'!J7</f>
        <v>0</v>
      </c>
      <c r="I7" s="77">
        <f>'ERDR Characteristics'!K7</f>
        <v>2</v>
      </c>
      <c r="J7" s="101" t="inlineStr">
        <is>
          <t xml:space="preserve">● circle, light (validation F)</t>
        </is>
      </c>
    </row>
    <row r="8">
      <c r="A8" s="62" t="inlineStr">
        <is>
          <t xml:space="preserve">S₄</t>
        </is>
      </c>
      <c r="B8" s="110">
        <v>-2.166181</v>
      </c>
      <c r="C8" s="110">
        <v>2.690197</v>
      </c>
      <c r="D8" s="68">
        <f>'Dataset'!P8</f>
        <v>2</v>
      </c>
      <c r="E8" s="85" t="str">
        <f>'Training &amp; Validation'!D8</f>
        <v>F · validation</v>
      </c>
      <c r="F8" s="73">
        <f>'ERDR Characteristics'!D8</f>
        <v>3.7071187508</v>
      </c>
      <c r="G8" s="73">
        <f>'ERDR Characteristics'!H8</f>
        <v>6.2175670209</v>
      </c>
      <c r="H8" s="73">
        <f>'ERDR Characteristics'!J8</f>
        <v>0.2529498997</v>
      </c>
      <c r="I8" s="77">
        <f>'ERDR Characteristics'!K8</f>
        <v>7</v>
      </c>
      <c r="J8" s="101" t="inlineStr">
        <is>
          <t xml:space="preserve">▲ triangle, light (validation F)</t>
        </is>
      </c>
    </row>
    <row r="9">
      <c r="A9" s="62" t="inlineStr">
        <is>
          <t xml:space="preserve">S₅</t>
        </is>
      </c>
      <c r="B9" s="110">
        <v>4.126983</v>
      </c>
      <c r="C9" s="110">
        <v>-1.813838</v>
      </c>
      <c r="D9" s="68">
        <f>'Dataset'!P9</f>
        <v>2</v>
      </c>
      <c r="E9" s="85" t="str">
        <f>'Training &amp; Validation'!D9</f>
        <v>D · training</v>
      </c>
      <c r="F9" s="73">
        <f>'ERDR Characteristics'!D9</f>
        <v>7.1117040273</v>
      </c>
      <c r="G9" s="73">
        <f>'ERDR Characteristics'!H9</f>
        <v>7.1117040273</v>
      </c>
      <c r="H9" s="73">
        <f>'ERDR Characteristics'!J9</f>
        <v>0</v>
      </c>
      <c r="I9" s="77">
        <f>'ERDR Characteristics'!K9</f>
        <v>3</v>
      </c>
      <c r="J9" s="101" t="inlineStr">
        <is>
          <t xml:space="preserve">▲ triangle, dark (training D)</t>
        </is>
      </c>
    </row>
    <row r="10">
      <c r="A10" s="62" t="inlineStr">
        <is>
          <t xml:space="preserve">S₆</t>
        </is>
      </c>
      <c r="B10" s="110">
        <v>-4.027502</v>
      </c>
      <c r="C10" s="110">
        <v>0.891279</v>
      </c>
      <c r="D10" s="68">
        <f>'Dataset'!P10</f>
        <v>1</v>
      </c>
      <c r="E10" s="85" t="str">
        <f>'Training &amp; Validation'!D10</f>
        <v>D · training</v>
      </c>
      <c r="F10" s="73">
        <f>'ERDR Characteristics'!D10</f>
        <v>3.7071187508</v>
      </c>
      <c r="G10" s="73">
        <f>'ERDR Characteristics'!H10</f>
        <v>5.2172783643</v>
      </c>
      <c r="H10" s="73">
        <f>'ERDR Characteristics'!J10</f>
        <v>0.1692169896</v>
      </c>
      <c r="I10" s="77">
        <f>'ERDR Characteristics'!K10</f>
        <v>6</v>
      </c>
      <c r="J10" s="101" t="inlineStr">
        <is>
          <t xml:space="preserve">● circle, dark (training D)</t>
        </is>
      </c>
    </row>
    <row r="11">
      <c r="A11" s="62" t="inlineStr">
        <is>
          <t xml:space="preserve">S₇</t>
        </is>
      </c>
      <c r="B11" s="110">
        <v>-2.294165</v>
      </c>
      <c r="C11" s="110">
        <v>-1.504104</v>
      </c>
      <c r="D11" s="68">
        <f>'Dataset'!P11</f>
        <v>1</v>
      </c>
      <c r="E11" s="85" t="str">
        <f>'Training &amp; Validation'!D11</f>
        <v>D · training</v>
      </c>
      <c r="F11" s="73">
        <f>'ERDR Characteristics'!D11</f>
        <v>3.9109813746</v>
      </c>
      <c r="G11" s="73">
        <f>'ERDR Characteristics'!H11</f>
        <v>5.0314314939</v>
      </c>
      <c r="H11" s="73">
        <f>'ERDR Characteristics'!J11</f>
        <v>0.1252961741</v>
      </c>
      <c r="I11" s="77">
        <f>'ERDR Characteristics'!K11</f>
        <v>5</v>
      </c>
      <c r="J11" s="101" t="inlineStr">
        <is>
          <t xml:space="preserve">● circle, dark (training D)</t>
        </is>
      </c>
    </row>
    <row r="12">
      <c r="A12" s="100" t="inlineStr">
        <is>
          <t xml:space="preserve">2-D map: classical multidimensional scaling of the Zhuravlev distances (Python engine) — correlation with ρ = 0.950, stress-1 = 0.18; positions are approximate.</t>
        </is>
      </c>
    </row>
    <row r="13">
      <c r="A13" s="100" t="inlineStr">
        <is>
          <t xml:space="preserve">Map markers: K1 = blue circle, K2 = red triangle; dark fill = training sample D, light fill = validation sample F (literal reading, default settings).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s="100" t="inlineStr">
        <is>
          <t xml:space="preserve">All charts except the map follow the formulas: change a reading, k or a source row and they update.</t>
        </is>
      </c>
    </row>
  </sheetData>
  <mergeCells count="2">
    <mergeCell ref="A1:L1"/>
    <mergeCell ref="A3:J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M22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3" width="6.77734375" customWidth="1"/>
    <col min="4" max="4" width="40.77734375" customWidth="1"/>
    <col min="5" max="5" width="24.77734375" customWidth="1"/>
    <col min="6" max="6" width="28.77734375" customWidth="1"/>
    <col min="7" max="10" width="9.77734375" customWidth="1"/>
    <col min="11" max="11" width="18.77734375" customWidth="1"/>
    <col min="12" max="12" width="22.77734375" customWidth="1"/>
    <col min="13" max="13" width="7.77734375" customWidth="1"/>
  </cols>
  <sheetData>
    <row r="1" ht="22" customHeight="1">
      <c r="A1" s="57" t="inlineStr">
        <is>
          <t xml:space="preserve">Readings (switches) · three points of §1.1 that the text leaves open, and what each changes on these 7 objects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/>
    <row r="3">
      <c r="A3" s="58" t="inlineStr">
        <is>
          <t xml:space="preserve">The switches live on the Parameters sheet (1 = literal article text, 2 = alternative)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>
      <c r="A4" s="60" t="inlineStr">
        <is>
          <t xml:space="preserve">Switch</t>
        </is>
      </c>
      <c r="B4" s="60"/>
      <c r="C4" s="60"/>
      <c r="D4" s="60" t="inlineStr">
        <is>
          <t xml:space="preserve">Literal article reading (value 1, default)</t>
        </is>
      </c>
      <c r="E4" s="60"/>
      <c r="F4" s="60"/>
      <c r="G4" s="60" t="inlineStr">
        <is>
          <t xml:space="preserve">Alternative (value 2)</t>
        </is>
      </c>
      <c r="H4" s="60"/>
      <c r="I4" s="60"/>
      <c r="J4" s="60"/>
      <c r="K4" s="60" t="inlineStr">
        <is>
          <t xml:space="preserve">Current value</t>
        </is>
      </c>
      <c r="L4" s="60" t="inlineStr">
        <is>
          <t xml:space="preserve">Where it acts</t>
        </is>
      </c>
      <c r="M4" s="60"/>
    </row>
    <row r="5" ht="48" customHeight="1">
      <c r="A5" s="83" t="inlineStr">
        <is>
          <t xml:space="preserve">A · Sᵢ in its own L</t>
        </is>
      </c>
      <c r="B5" s="83"/>
      <c r="C5" s="83"/>
      <c r="D5" s="102" t="inlineStr">
        <is>
          <t xml:space="preserve">Sᵢ is a member of L whenever g(Sᵢ) &gt; 1, because ρ(Sᵢ, Sᵢ) = 0 &lt; r(Sᵢ) — so Step 5 may lower g(Sᵢ) and move Sᵢ itself to D</t>
        </is>
      </c>
      <c r="E5" s="102"/>
      <c r="F5" s="102"/>
      <c r="G5" s="102" t="inlineStr">
        <is>
          <t xml:space="preserve">L contains only objects Sⱼ ≠ Sᵢ</t>
        </is>
      </c>
      <c r="H5" s="102"/>
      <c r="I5" s="102"/>
      <c r="J5" s="102"/>
      <c r="K5" s="88">
        <f>'Parameters'!$B$24</f>
        <v>1</v>
      </c>
      <c r="L5" s="102" t="inlineStr">
        <is>
          <t xml:space="preserve">ERDR Iterations, row “Allowed by readings”</t>
        </is>
      </c>
      <c r="M5" s="102"/>
    </row>
    <row r="6" ht="48" customHeight="1">
      <c r="A6" s="83" t="inlineStr">
        <is>
          <t xml:space="preserve">B · processed objects keep covering</t>
        </is>
      </c>
      <c r="B6" s="83"/>
      <c r="C6" s="83"/>
      <c r="D6" s="102" t="inlineStr">
        <is>
          <t xml:space="preserve">F contains every object not yet moved to D, also the blocked (processed) ones — they can be in L later and be moved to D by Step 5</t>
        </is>
      </c>
      <c r="E6" s="102"/>
      <c r="F6" s="102"/>
      <c r="G6" s="102" t="inlineStr">
        <is>
          <t xml:space="preserve">only objects still in the queue (in F, d ≥ 0) can belong to L</t>
        </is>
      </c>
      <c r="H6" s="102"/>
      <c r="I6" s="102"/>
      <c r="J6" s="102"/>
      <c r="K6" s="88">
        <f>'Parameters'!$B$25</f>
        <v>1</v>
      </c>
      <c r="L6" s="102" t="inlineStr">
        <is>
          <t xml:space="preserve">ERDR Iterations, row “Allowed by readings”</t>
        </is>
      </c>
      <c r="M6" s="102"/>
    </row>
    <row r="7" ht="48" customHeight="1">
      <c r="A7" s="83" t="inlineStr">
        <is>
          <t xml:space="preserve">C · return to Step 2</t>
        </is>
      </c>
      <c r="B7" s="83"/>
      <c r="C7" s="83"/>
      <c r="D7" s="102" t="inlineStr">
        <is>
          <t xml:space="preserve">«Перейти к шагу 2» after the whole set L has been corrected</t>
        </is>
      </c>
      <c r="E7" s="102"/>
      <c r="F7" s="102"/>
      <c r="G7" s="102" t="inlineStr">
        <is>
          <t xml:space="preserve">go to Step 2 right after the first object whose g falls to 1 (L taken by ascending index)</t>
        </is>
      </c>
      <c r="H7" s="102"/>
      <c r="I7" s="102"/>
      <c r="J7" s="102"/>
      <c r="K7" s="88">
        <f>'Parameters'!$B$26</f>
        <v>1</v>
      </c>
      <c r="L7" s="102" t="inlineStr">
        <is>
          <t xml:space="preserve">ERDR Iterations, row “Step 5 · counter decreased”</t>
        </is>
      </c>
      <c r="M7" s="102"/>
    </row>
    <row r="8"/>
    <row r="9">
      <c r="A9" s="58" t="inlineStr">
        <is>
          <t xml:space="preserve">All eight combinations on these 7 objects (Python engine values; the row of the current setting is checked against the workbook)</t>
        </is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</row>
    <row r="10" ht="34" customHeight="1">
      <c r="A10" s="60" t="inlineStr">
        <is>
          <t xml:space="preserve">A</t>
        </is>
      </c>
      <c r="B10" s="60" t="inlineStr">
        <is>
          <t xml:space="preserve">B</t>
        </is>
      </c>
      <c r="C10" s="60" t="inlineStr">
        <is>
          <t xml:space="preserve">C</t>
        </is>
      </c>
      <c r="D10" s="60" t="inlineStr">
        <is>
          <t xml:space="preserve">Processing order (Step 3)</t>
        </is>
      </c>
      <c r="E10" s="60" t="inlineStr">
        <is>
          <t xml:space="preserve">D · training</t>
        </is>
      </c>
      <c r="F10" s="60" t="inlineStr">
        <is>
          <t xml:space="preserve">F · validation</t>
        </is>
      </c>
      <c r="G10" s="60" t="inlineStr">
        <is>
          <t xml:space="preserve">|D|</t>
        </is>
      </c>
      <c r="H10" s="60" t="inlineStr">
        <is>
          <t xml:space="preserve">|D ∩ K1|</t>
        </is>
      </c>
      <c r="I10" s="60" t="inlineStr">
        <is>
          <t xml:space="preserve">|D ∩ K2|</t>
        </is>
      </c>
      <c r="J10" s="60" t="inlineStr">
        <is>
          <t xml:space="preserve">Iterations</t>
        </is>
      </c>
      <c r="K10" s="60" t="inlineStr">
        <is>
          <t xml:space="preserve">Current setting</t>
        </is>
      </c>
      <c r="L10" s="60" t="inlineStr">
        <is>
          <t xml:space="preserve">Workbook = engine</t>
        </is>
      </c>
    </row>
    <row r="11">
      <c r="A11" s="104">
        <v>1</v>
      </c>
      <c r="B11" s="104">
        <v>1</v>
      </c>
      <c r="C11" s="104">
        <v>1</v>
      </c>
      <c r="D11" s="106" t="inlineStr">
        <is>
          <t xml:space="preserve">S₁ → S₃ → S₅ → S₂ → S₆ → S₄</t>
        </is>
      </c>
      <c r="E11" s="106" t="inlineStr">
        <is>
          <t xml:space="preserve">{S₁, S₂, S₅, S₆, S₇}</t>
        </is>
      </c>
      <c r="F11" s="106" t="inlineStr">
        <is>
          <t xml:space="preserve">{S₃, S₄}</t>
        </is>
      </c>
      <c r="G11" s="104">
        <v>5</v>
      </c>
      <c r="H11" s="104">
        <v>2</v>
      </c>
      <c r="I11" s="104">
        <v>3</v>
      </c>
      <c r="J11" s="104">
        <v>6</v>
      </c>
      <c r="K11" s="85" t="str">
        <f>IF(AND(A11='Parameters'!$B$24,B11='Parameters'!$B$25,C11='Parameters'!$B$26),"◀ current setting","")</f>
        <v>◀ current setting</v>
      </c>
      <c r="L11" s="85" t="str">
        <f>IF(K11="","",IF(AND(E11='Training &amp; Validation'!$B$19,F11='Training &amp; Validation'!$B$20),"✓ workbook = engine","✗ differs"))</f>
        <v>✓ workbook = engine</v>
      </c>
      <c r="M11" s="101" t="inlineStr">
        <is>
          <t xml:space="preserve">111</t>
        </is>
      </c>
    </row>
    <row r="12">
      <c r="A12" s="104">
        <v>1</v>
      </c>
      <c r="B12" s="104">
        <v>1</v>
      </c>
      <c r="C12" s="104">
        <v>2</v>
      </c>
      <c r="D12" s="106" t="inlineStr">
        <is>
          <t xml:space="preserve">S₁ → S₃ → S₅ → S₂ → S₆ → S₄</t>
        </is>
      </c>
      <c r="E12" s="106" t="inlineStr">
        <is>
          <t xml:space="preserve">{S₁, S₄, S₅, S₆, S₇}</t>
        </is>
      </c>
      <c r="F12" s="106" t="inlineStr">
        <is>
          <t xml:space="preserve">{S₂, S₃}</t>
        </is>
      </c>
      <c r="G12" s="104">
        <v>5</v>
      </c>
      <c r="H12" s="104">
        <v>2</v>
      </c>
      <c r="I12" s="104">
        <v>3</v>
      </c>
      <c r="J12" s="104">
        <v>6</v>
      </c>
      <c r="K12" s="85" t="str">
        <f>IF(AND(A12='Parameters'!$B$24,B12='Parameters'!$B$25,C12='Parameters'!$B$26),"◀ current setting","")</f>
        <v/>
      </c>
      <c r="L12" s="85" t="str">
        <f>IF(K12="","",IF(AND(E12='Training &amp; Validation'!$B$19,F12='Training &amp; Validation'!$B$20),"✓ workbook = engine","✗ differs"))</f>
        <v/>
      </c>
      <c r="M12" s="101" t="inlineStr">
        <is>
          <t xml:space="preserve">112</t>
        </is>
      </c>
    </row>
    <row r="13">
      <c r="A13" s="104">
        <v>1</v>
      </c>
      <c r="B13" s="104">
        <v>2</v>
      </c>
      <c r="C13" s="104">
        <v>1</v>
      </c>
      <c r="D13" s="106" t="inlineStr">
        <is>
          <t xml:space="preserve">S₁ → S₃ → S₅ → S₂ → S₆ → S₄</t>
        </is>
      </c>
      <c r="E13" s="106" t="inlineStr">
        <is>
          <t xml:space="preserve">{S₂, S₅, S₇}</t>
        </is>
      </c>
      <c r="F13" s="106" t="inlineStr">
        <is>
          <t xml:space="preserve">{S₁, S₃, S₄, S₆}</t>
        </is>
      </c>
      <c r="G13" s="104">
        <v>3</v>
      </c>
      <c r="H13" s="104">
        <v>1</v>
      </c>
      <c r="I13" s="104">
        <v>2</v>
      </c>
      <c r="J13" s="104">
        <v>6</v>
      </c>
      <c r="K13" s="85" t="str">
        <f>IF(AND(A13='Parameters'!$B$24,B13='Parameters'!$B$25,C13='Parameters'!$B$26),"◀ current setting","")</f>
        <v/>
      </c>
      <c r="L13" s="85" t="str">
        <f>IF(K13="","",IF(AND(E13='Training &amp; Validation'!$B$19,F13='Training &amp; Validation'!$B$20),"✓ workbook = engine","✗ differs"))</f>
        <v/>
      </c>
      <c r="M13" s="101" t="inlineStr">
        <is>
          <t xml:space="preserve">121</t>
        </is>
      </c>
    </row>
    <row r="14">
      <c r="A14" s="104">
        <v>1</v>
      </c>
      <c r="B14" s="104">
        <v>2</v>
      </c>
      <c r="C14" s="104">
        <v>2</v>
      </c>
      <c r="D14" s="106" t="inlineStr">
        <is>
          <t xml:space="preserve">S₁ → S₃ → S₅ → S₂ → S₆ → S₄</t>
        </is>
      </c>
      <c r="E14" s="106" t="inlineStr">
        <is>
          <t xml:space="preserve">{S₂, S₅, S₇}</t>
        </is>
      </c>
      <c r="F14" s="106" t="inlineStr">
        <is>
          <t xml:space="preserve">{S₁, S₃, S₄, S₆}</t>
        </is>
      </c>
      <c r="G14" s="104">
        <v>3</v>
      </c>
      <c r="H14" s="104">
        <v>1</v>
      </c>
      <c r="I14" s="104">
        <v>2</v>
      </c>
      <c r="J14" s="104">
        <v>6</v>
      </c>
      <c r="K14" s="85" t="str">
        <f>IF(AND(A14='Parameters'!$B$24,B14='Parameters'!$B$25,C14='Parameters'!$B$26),"◀ current setting","")</f>
        <v/>
      </c>
      <c r="L14" s="85" t="str">
        <f>IF(K14="","",IF(AND(E14='Training &amp; Validation'!$B$19,F14='Training &amp; Validation'!$B$20),"✓ workbook = engine","✗ differs"))</f>
        <v/>
      </c>
      <c r="M14" s="101" t="inlineStr">
        <is>
          <t xml:space="preserve">122</t>
        </is>
      </c>
    </row>
    <row r="15">
      <c r="A15" s="104">
        <v>2</v>
      </c>
      <c r="B15" s="104">
        <v>1</v>
      </c>
      <c r="C15" s="104">
        <v>1</v>
      </c>
      <c r="D15" s="106" t="inlineStr">
        <is>
          <t xml:space="preserve">S₁ → S₃ → S₅ → S₂ → S₇ → S₆ → S₄</t>
        </is>
      </c>
      <c r="E15" s="106" t="inlineStr">
        <is>
          <t xml:space="preserve">{S₁, S₃, S₄, S₅}</t>
        </is>
      </c>
      <c r="F15" s="106" t="inlineStr">
        <is>
          <t xml:space="preserve">{S₂, S₆, S₇}</t>
        </is>
      </c>
      <c r="G15" s="104">
        <v>4</v>
      </c>
      <c r="H15" s="104">
        <v>1</v>
      </c>
      <c r="I15" s="104">
        <v>3</v>
      </c>
      <c r="J15" s="104">
        <v>7</v>
      </c>
      <c r="K15" s="85" t="str">
        <f>IF(AND(A15='Parameters'!$B$24,B15='Parameters'!$B$25,C15='Parameters'!$B$26),"◀ current setting","")</f>
        <v/>
      </c>
      <c r="L15" s="85" t="str">
        <f>IF(K15="","",IF(AND(E15='Training &amp; Validation'!$B$19,F15='Training &amp; Validation'!$B$20),"✓ workbook = engine","✗ differs"))</f>
        <v/>
      </c>
      <c r="M15" s="101" t="inlineStr">
        <is>
          <t xml:space="preserve">211</t>
        </is>
      </c>
    </row>
    <row r="16">
      <c r="A16" s="104">
        <v>2</v>
      </c>
      <c r="B16" s="104">
        <v>1</v>
      </c>
      <c r="C16" s="104">
        <v>2</v>
      </c>
      <c r="D16" s="106" t="inlineStr">
        <is>
          <t xml:space="preserve">S₁ → S₃ → S₅ → S₂ → S₇ → S₆ → S₄</t>
        </is>
      </c>
      <c r="E16" s="106" t="inlineStr">
        <is>
          <t xml:space="preserve">{S₁, S₃, S₄}</t>
        </is>
      </c>
      <c r="F16" s="106" t="inlineStr">
        <is>
          <t xml:space="preserve">{S₂, S₅, S₆, S₇}</t>
        </is>
      </c>
      <c r="G16" s="104">
        <v>3</v>
      </c>
      <c r="H16" s="104">
        <v>1</v>
      </c>
      <c r="I16" s="104">
        <v>2</v>
      </c>
      <c r="J16" s="104">
        <v>7</v>
      </c>
      <c r="K16" s="85" t="str">
        <f>IF(AND(A16='Parameters'!$B$24,B16='Parameters'!$B$25,C16='Parameters'!$B$26),"◀ current setting","")</f>
        <v/>
      </c>
      <c r="L16" s="85" t="str">
        <f>IF(K16="","",IF(AND(E16='Training &amp; Validation'!$B$19,F16='Training &amp; Validation'!$B$20),"✓ workbook = engine","✗ differs"))</f>
        <v/>
      </c>
      <c r="M16" s="101" t="inlineStr">
        <is>
          <t xml:space="preserve">212</t>
        </is>
      </c>
    </row>
    <row r="17">
      <c r="A17" s="104">
        <v>2</v>
      </c>
      <c r="B17" s="104">
        <v>2</v>
      </c>
      <c r="C17" s="104">
        <v>1</v>
      </c>
      <c r="D17" s="106" t="inlineStr">
        <is>
          <t xml:space="preserve">S₁ → S₃ → S₅ → S₂ → S₇ → S₆ → S₄</t>
        </is>
      </c>
      <c r="E17" s="106" t="inlineStr">
        <is>
          <t xml:space="preserve">{S₃, S₅}</t>
        </is>
      </c>
      <c r="F17" s="106" t="inlineStr">
        <is>
          <t xml:space="preserve">{S₁, S₂, S₄, S₆, S₇}</t>
        </is>
      </c>
      <c r="G17" s="104">
        <v>2</v>
      </c>
      <c r="H17" s="104">
        <v>1</v>
      </c>
      <c r="I17" s="104">
        <v>1</v>
      </c>
      <c r="J17" s="104">
        <v>7</v>
      </c>
      <c r="K17" s="85" t="str">
        <f>IF(AND(A17='Parameters'!$B$24,B17='Parameters'!$B$25,C17='Parameters'!$B$26),"◀ current setting","")</f>
        <v/>
      </c>
      <c r="L17" s="85" t="str">
        <f>IF(K17="","",IF(AND(E17='Training &amp; Validation'!$B$19,F17='Training &amp; Validation'!$B$20),"✓ workbook = engine","✗ differs"))</f>
        <v/>
      </c>
      <c r="M17" s="101" t="inlineStr">
        <is>
          <t xml:space="preserve">221</t>
        </is>
      </c>
    </row>
    <row r="18">
      <c r="A18" s="104">
        <v>2</v>
      </c>
      <c r="B18" s="104">
        <v>2</v>
      </c>
      <c r="C18" s="104">
        <v>2</v>
      </c>
      <c r="D18" s="106" t="inlineStr">
        <is>
          <t xml:space="preserve">S₁ → S₃ → S₅ → S₂ → S₇ → S₆ → S₄</t>
        </is>
      </c>
      <c r="E18" s="106" t="inlineStr">
        <is>
          <t xml:space="preserve">{S₃, S₅}</t>
        </is>
      </c>
      <c r="F18" s="106" t="inlineStr">
        <is>
          <t xml:space="preserve">{S₁, S₂, S₄, S₆, S₇}</t>
        </is>
      </c>
      <c r="G18" s="104">
        <v>2</v>
      </c>
      <c r="H18" s="104">
        <v>1</v>
      </c>
      <c r="I18" s="104">
        <v>1</v>
      </c>
      <c r="J18" s="104">
        <v>7</v>
      </c>
      <c r="K18" s="85" t="str">
        <f>IF(AND(A18='Parameters'!$B$24,B18='Parameters'!$B$25,C18='Parameters'!$B$26),"◀ current setting","")</f>
        <v/>
      </c>
      <c r="L18" s="85" t="str">
        <f>IF(K18="","",IF(AND(E18='Training &amp; Validation'!$B$19,F18='Training &amp; Validation'!$B$20),"✓ workbook = engine","✗ differs"))</f>
        <v/>
      </c>
      <c r="M18" s="101" t="inlineStr">
        <is>
          <t xml:space="preserve">222</t>
        </is>
      </c>
    </row>
    <row r="19"/>
    <row r="20">
      <c r="A20" s="100" t="inlineStr">
        <is>
          <t xml:space="preserve">6 different training samples come out of the 8 readings: the literal reading gives D = {S₁, S₂, S₅, S₆, S₇}; switching B alone gives D = {S₂, S₅, S₇}; switching A and B gives D = {S₃, S₅}.</t>
        </is>
      </c>
    </row>
    <row r="21">
      <c r="A21" s="100" t="inlineStr">
        <is>
          <t xml:space="preserve">Reading B = 2 together with z(Sᵢ, k) taken from the own class is the reading closest to the article’s Table 1 on all 270 objects (see Article Table 1 Check).</t>
        </is>
      </c>
    </row>
    <row r="22">
      <c r="A22" s="100" t="inlineStr">
        <is>
          <t xml:space="preserve">The own-class z is not offered as a switch here: K1 has only 3 objects, so a 3rd own-class neighbour does not exist (k = 3 needs at least 4 objects per class).</t>
        </is>
      </c>
    </row>
  </sheetData>
  <mergeCells count="19">
    <mergeCell ref="A1:L1"/>
    <mergeCell ref="A3:L3"/>
    <mergeCell ref="A4:C4"/>
    <mergeCell ref="D4:F4"/>
    <mergeCell ref="G4:J4"/>
    <mergeCell ref="L4:M4"/>
    <mergeCell ref="A5:C5"/>
    <mergeCell ref="D5:F5"/>
    <mergeCell ref="G5:J5"/>
    <mergeCell ref="L5:M5"/>
    <mergeCell ref="A6:C6"/>
    <mergeCell ref="D6:F6"/>
    <mergeCell ref="G6:J6"/>
    <mergeCell ref="L6:M6"/>
    <mergeCell ref="A7:C7"/>
    <mergeCell ref="D7:F7"/>
    <mergeCell ref="G7:J7"/>
    <mergeCell ref="L7:M7"/>
    <mergeCell ref="A9:L9"/>
  </mergeCells>
  <conditionalFormatting sqref="A11:L18">
    <cfRule type="expression" dxfId="0" priority="1">
      <formula>$K11&lt;&gt;""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R4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8.77734375" customWidth="1"/>
    <col min="2" max="3" width="11.77734375" customWidth="1"/>
    <col min="4" max="18" width="10.77734375" customWidth="1"/>
  </cols>
  <sheetData>
    <row r="1" ht="22" customHeight="1">
      <c r="A1" s="57" t="inlineStr">
        <is>
          <t xml:space="preserve">Article Table 1 check · training-sample size |D| on all 270 objects — published values vs this implementation (Python engine)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/>
    <row r="3">
      <c r="A3" s="58" t="inlineStr">
        <is>
          <t xml:space="preserve">Article §3, Table 1 «Размеры обучающих выборок (метрика Журавлёва)» against five readings of §1.1 (classes given as K1, K2 = class 1, class 2)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</row>
    <row r="4" ht="34" customHeight="1">
      <c r="A4" s="60" t="inlineStr">
        <is>
          <t xml:space="preserve">k</t>
        </is>
      </c>
      <c r="B4" s="60" t="inlineStr">
        <is>
          <t xml:space="preserve">Article Table 1</t>
        </is>
      </c>
      <c r="C4" s="60" t="inlineStr">
        <is>
          <t xml:space="preserve"/>
        </is>
      </c>
      <c r="D4" s="60" t="inlineStr">
        <is>
          <t xml:space="preserve">literal reading (article text)</t>
        </is>
      </c>
      <c r="E4" s="60"/>
      <c r="F4" s="60"/>
      <c r="G4" s="60" t="inlineStr">
        <is>
          <t xml:space="preserve">B: processed objects stop covering</t>
        </is>
      </c>
      <c r="H4" s="60"/>
      <c r="I4" s="60"/>
      <c r="J4" s="60" t="inlineStr">
        <is>
          <t xml:space="preserve">z(Sᵢ,k) from the own class</t>
        </is>
      </c>
      <c r="K4" s="60"/>
      <c r="L4" s="60"/>
      <c r="M4" s="60" t="inlineStr">
        <is>
          <t xml:space="preserve">B + own-class z  (closest reading found)</t>
        </is>
      </c>
      <c r="N4" s="60"/>
      <c r="O4" s="60"/>
      <c r="P4" s="60" t="inlineStr">
        <is>
          <t xml:space="preserve">A: Sᵢ not in its own L</t>
        </is>
      </c>
      <c r="Q4" s="60"/>
      <c r="R4" s="60"/>
    </row>
    <row r="5">
      <c r="A5" s="60" t="inlineStr">
        <is>
          <t xml:space="preserve"/>
        </is>
      </c>
      <c r="B5" s="60" t="inlineStr">
        <is>
          <t xml:space="preserve">|D|</t>
        </is>
      </c>
      <c r="C5" s="60" t="inlineStr">
        <is>
          <t xml:space="preserve">classes</t>
        </is>
      </c>
      <c r="D5" s="60" t="inlineStr">
        <is>
          <t xml:space="preserve">|D|</t>
        </is>
      </c>
      <c r="E5" s="60" t="inlineStr">
        <is>
          <t xml:space="preserve">K1, K2</t>
        </is>
      </c>
      <c r="F5" s="60" t="inlineStr">
        <is>
          <t xml:space="preserve">Δ |D|</t>
        </is>
      </c>
      <c r="G5" s="60" t="inlineStr">
        <is>
          <t xml:space="preserve">|D|</t>
        </is>
      </c>
      <c r="H5" s="60" t="inlineStr">
        <is>
          <t xml:space="preserve">K1, K2</t>
        </is>
      </c>
      <c r="I5" s="60" t="inlineStr">
        <is>
          <t xml:space="preserve">Δ |D|</t>
        </is>
      </c>
      <c r="J5" s="60" t="inlineStr">
        <is>
          <t xml:space="preserve">|D|</t>
        </is>
      </c>
      <c r="K5" s="60" t="inlineStr">
        <is>
          <t xml:space="preserve">K1, K2</t>
        </is>
      </c>
      <c r="L5" s="60" t="inlineStr">
        <is>
          <t xml:space="preserve">Δ |D|</t>
        </is>
      </c>
      <c r="M5" s="60" t="inlineStr">
        <is>
          <t xml:space="preserve">|D|</t>
        </is>
      </c>
      <c r="N5" s="60" t="inlineStr">
        <is>
          <t xml:space="preserve">K1, K2</t>
        </is>
      </c>
      <c r="O5" s="60" t="inlineStr">
        <is>
          <t xml:space="preserve">Δ |D|</t>
        </is>
      </c>
      <c r="P5" s="60" t="inlineStr">
        <is>
          <t xml:space="preserve">|D|</t>
        </is>
      </c>
      <c r="Q5" s="60" t="inlineStr">
        <is>
          <t xml:space="preserve">K1, K2</t>
        </is>
      </c>
      <c r="R5" s="60" t="inlineStr">
        <is>
          <t xml:space="preserve">Δ |D|</t>
        </is>
      </c>
    </row>
    <row r="6">
      <c r="A6" s="77">
        <v>3</v>
      </c>
      <c r="B6" s="84">
        <v>75</v>
      </c>
      <c r="C6" s="84" t="inlineStr">
        <is>
          <t xml:space="preserve">41, 34</t>
        </is>
      </c>
      <c r="D6" s="104">
        <v>198</v>
      </c>
      <c r="E6" s="104" t="inlineStr">
        <is>
          <t xml:space="preserve">111, 87</t>
        </is>
      </c>
      <c r="F6" s="77">
        <f>D6-$B6</f>
        <v>123</v>
      </c>
      <c r="G6" s="104">
        <v>81</v>
      </c>
      <c r="H6" s="104" t="inlineStr">
        <is>
          <t xml:space="preserve">46, 35</t>
        </is>
      </c>
      <c r="I6" s="77">
        <f>G6-$B6</f>
        <v>6</v>
      </c>
      <c r="J6" s="104">
        <v>194</v>
      </c>
      <c r="K6" s="104" t="inlineStr">
        <is>
          <t xml:space="preserve">105, 89</t>
        </is>
      </c>
      <c r="L6" s="77">
        <f>J6-$B6</f>
        <v>119</v>
      </c>
      <c r="M6" s="104">
        <v>75</v>
      </c>
      <c r="N6" s="104" t="inlineStr">
        <is>
          <t xml:space="preserve">42, 33</t>
        </is>
      </c>
      <c r="O6" s="77">
        <f>M6-$B6</f>
        <v>0</v>
      </c>
      <c r="P6" s="104">
        <v>124</v>
      </c>
      <c r="Q6" s="104" t="inlineStr">
        <is>
          <t xml:space="preserve">62, 62</t>
        </is>
      </c>
      <c r="R6" s="77">
        <f>P6-$B6</f>
        <v>49</v>
      </c>
    </row>
    <row r="7">
      <c r="A7" s="77">
        <v>5</v>
      </c>
      <c r="B7" s="84">
        <v>77</v>
      </c>
      <c r="C7" s="84" t="inlineStr">
        <is>
          <t xml:space="preserve">35, 42</t>
        </is>
      </c>
      <c r="D7" s="104">
        <v>190</v>
      </c>
      <c r="E7" s="104" t="inlineStr">
        <is>
          <t xml:space="preserve">110, 80</t>
        </is>
      </c>
      <c r="F7" s="77">
        <f>D7-$B7</f>
        <v>113</v>
      </c>
      <c r="G7" s="104">
        <v>73</v>
      </c>
      <c r="H7" s="104" t="inlineStr">
        <is>
          <t xml:space="preserve">40, 33</t>
        </is>
      </c>
      <c r="I7" s="77">
        <f>G7-$B7</f>
        <v>-4</v>
      </c>
      <c r="J7" s="104">
        <v>192</v>
      </c>
      <c r="K7" s="104" t="inlineStr">
        <is>
          <t xml:space="preserve">106, 86</t>
        </is>
      </c>
      <c r="L7" s="77">
        <f>J7-$B7</f>
        <v>115</v>
      </c>
      <c r="M7" s="104">
        <v>76</v>
      </c>
      <c r="N7" s="104" t="inlineStr">
        <is>
          <t xml:space="preserve">44, 32</t>
        </is>
      </c>
      <c r="O7" s="77">
        <f>M7-$B7</f>
        <v>-1</v>
      </c>
      <c r="P7" s="104">
        <v>121</v>
      </c>
      <c r="Q7" s="104" t="inlineStr">
        <is>
          <t xml:space="preserve">66, 55</t>
        </is>
      </c>
      <c r="R7" s="77">
        <f>P7-$B7</f>
        <v>44</v>
      </c>
    </row>
    <row r="8">
      <c r="A8" s="77">
        <v>7</v>
      </c>
      <c r="B8" s="84">
        <v>77</v>
      </c>
      <c r="C8" s="84" t="inlineStr">
        <is>
          <t xml:space="preserve">34, 43</t>
        </is>
      </c>
      <c r="D8" s="104">
        <v>201</v>
      </c>
      <c r="E8" s="104" t="inlineStr">
        <is>
          <t xml:space="preserve">114, 87</t>
        </is>
      </c>
      <c r="F8" s="77">
        <f>D8-$B8</f>
        <v>124</v>
      </c>
      <c r="G8" s="104">
        <v>72</v>
      </c>
      <c r="H8" s="104" t="inlineStr">
        <is>
          <t xml:space="preserve">39, 33</t>
        </is>
      </c>
      <c r="I8" s="77">
        <f>G8-$B8</f>
        <v>-5</v>
      </c>
      <c r="J8" s="104">
        <v>202</v>
      </c>
      <c r="K8" s="104" t="inlineStr">
        <is>
          <t xml:space="preserve">115, 87</t>
        </is>
      </c>
      <c r="L8" s="77">
        <f>J8-$B8</f>
        <v>125</v>
      </c>
      <c r="M8" s="104">
        <v>71</v>
      </c>
      <c r="N8" s="104" t="inlineStr">
        <is>
          <t xml:space="preserve">38, 33</t>
        </is>
      </c>
      <c r="O8" s="77">
        <f>M8-$B8</f>
        <v>-6</v>
      </c>
      <c r="P8" s="104">
        <v>130</v>
      </c>
      <c r="Q8" s="104" t="inlineStr">
        <is>
          <t xml:space="preserve">78, 52</t>
        </is>
      </c>
      <c r="R8" s="77">
        <f>P8-$B8</f>
        <v>53</v>
      </c>
    </row>
    <row r="9">
      <c r="A9" s="77">
        <v>13</v>
      </c>
      <c r="B9" s="84">
        <v>104</v>
      </c>
      <c r="C9" s="84" t="inlineStr">
        <is>
          <t xml:space="preserve">59, 45</t>
        </is>
      </c>
      <c r="D9" s="104">
        <v>177</v>
      </c>
      <c r="E9" s="104" t="inlineStr">
        <is>
          <t xml:space="preserve">97, 80</t>
        </is>
      </c>
      <c r="F9" s="77">
        <f>D9-$B9</f>
        <v>73</v>
      </c>
      <c r="G9" s="104">
        <v>84</v>
      </c>
      <c r="H9" s="104" t="inlineStr">
        <is>
          <t xml:space="preserve">50, 34</t>
        </is>
      </c>
      <c r="I9" s="77">
        <f>G9-$B9</f>
        <v>-20</v>
      </c>
      <c r="J9" s="104">
        <v>179</v>
      </c>
      <c r="K9" s="104" t="inlineStr">
        <is>
          <t xml:space="preserve">98, 81</t>
        </is>
      </c>
      <c r="L9" s="77">
        <f>J9-$B9</f>
        <v>75</v>
      </c>
      <c r="M9" s="104">
        <v>88</v>
      </c>
      <c r="N9" s="104" t="inlineStr">
        <is>
          <t xml:space="preserve">50, 38</t>
        </is>
      </c>
      <c r="O9" s="77">
        <f>M9-$B9</f>
        <v>-16</v>
      </c>
      <c r="P9" s="104">
        <v>106</v>
      </c>
      <c r="Q9" s="104" t="inlineStr">
        <is>
          <t xml:space="preserve">59, 47</t>
        </is>
      </c>
      <c r="R9" s="77">
        <f>P9-$B9</f>
        <v>2</v>
      </c>
    </row>
    <row r="10">
      <c r="A10" s="77">
        <v>17</v>
      </c>
      <c r="B10" s="84">
        <v>102</v>
      </c>
      <c r="C10" s="84" t="inlineStr">
        <is>
          <t xml:space="preserve">58, 44</t>
        </is>
      </c>
      <c r="D10" s="104">
        <v>165</v>
      </c>
      <c r="E10" s="104" t="inlineStr">
        <is>
          <t xml:space="preserve">96, 69</t>
        </is>
      </c>
      <c r="F10" s="77">
        <f>D10-$B10</f>
        <v>63</v>
      </c>
      <c r="G10" s="104">
        <v>90</v>
      </c>
      <c r="H10" s="104" t="inlineStr">
        <is>
          <t xml:space="preserve">52, 38</t>
        </is>
      </c>
      <c r="I10" s="77">
        <f>G10-$B10</f>
        <v>-12</v>
      </c>
      <c r="J10" s="104">
        <v>173</v>
      </c>
      <c r="K10" s="104" t="inlineStr">
        <is>
          <t xml:space="preserve">96, 77</t>
        </is>
      </c>
      <c r="L10" s="77">
        <f>J10-$B10</f>
        <v>71</v>
      </c>
      <c r="M10" s="104">
        <v>94</v>
      </c>
      <c r="N10" s="104" t="inlineStr">
        <is>
          <t xml:space="preserve">52, 42</t>
        </is>
      </c>
      <c r="O10" s="77">
        <f>M10-$B10</f>
        <v>-8</v>
      </c>
      <c r="P10" s="104">
        <v>100</v>
      </c>
      <c r="Q10" s="104" t="inlineStr">
        <is>
          <t xml:space="preserve">59, 41</t>
        </is>
      </c>
      <c r="R10" s="77">
        <f>P10-$B10</f>
        <v>-2</v>
      </c>
    </row>
    <row r="11">
      <c r="A11" s="63" t="inlineStr">
        <is>
          <t xml:space="preserve">Σ |Δ|</t>
        </is>
      </c>
      <c r="B11" s="62" t="inlineStr">
        <is>
          <t xml:space="preserve"/>
        </is>
      </c>
      <c r="C11" s="62" t="inlineStr">
        <is>
          <t xml:space="preserve"/>
        </is>
      </c>
      <c r="D11" s="62" t="inlineStr">
        <is>
          <t xml:space="preserve"/>
        </is>
      </c>
      <c r="E11" s="62" t="inlineStr">
        <is>
          <t xml:space="preserve"/>
        </is>
      </c>
      <c r="F11" s="90">
        <f>SUMPRODUCT(ABS(F6:F10))</f>
        <v>496</v>
      </c>
      <c r="G11" s="62" t="inlineStr">
        <is>
          <t xml:space="preserve"/>
        </is>
      </c>
      <c r="H11" s="62" t="inlineStr">
        <is>
          <t xml:space="preserve"/>
        </is>
      </c>
      <c r="I11" s="90">
        <f>SUMPRODUCT(ABS(I6:I10))</f>
        <v>47</v>
      </c>
      <c r="J11" s="62" t="inlineStr">
        <is>
          <t xml:space="preserve"/>
        </is>
      </c>
      <c r="K11" s="62" t="inlineStr">
        <is>
          <t xml:space="preserve"/>
        </is>
      </c>
      <c r="L11" s="90">
        <f>SUMPRODUCT(ABS(L6:L10))</f>
        <v>505</v>
      </c>
      <c r="M11" s="62" t="inlineStr">
        <is>
          <t xml:space="preserve"/>
        </is>
      </c>
      <c r="N11" s="62" t="inlineStr">
        <is>
          <t xml:space="preserve"/>
        </is>
      </c>
      <c r="O11" s="90">
        <f>SUMPRODUCT(ABS(O6:O10))</f>
        <v>31</v>
      </c>
      <c r="P11" s="62" t="inlineStr">
        <is>
          <t xml:space="preserve"/>
        </is>
      </c>
      <c r="Q11" s="62" t="inlineStr">
        <is>
          <t xml:space="preserve"/>
        </is>
      </c>
      <c r="R11" s="90">
        <f>SUMPRODUCT(ABS(R6:R10))</f>
        <v>150</v>
      </c>
    </row>
    <row r="12"/>
    <row r="13" ht="30" customHeight="1">
      <c r="A13" s="102" t="inlineStr">
        <is>
          <t xml:space="preserve">No reading reproduces Table 1 exactly. 960 combinations of reading switches were tested (who is in L, whether processed objects cover, where Step 5 returns, the scope of z, |L| = 0 handling, queue order, feature typing 6/7 or 7/6, tie rules).</t>
        </is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</row>
    <row r="14" ht="30" customHeight="1">
      <c r="A14" s="102" t="inlineStr">
        <is>
          <t xml:space="preserve">The literal reading of §1.1 keeps 61–74 % of the objects in D (165–201), the article reports 28–39 % (75–104). The closest reading — processed objects stop covering (B = 2) and z(Sᵢ, k) from the own class — differs by 0 to 16 objects.</t>
        </is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</row>
    <row r="15" ht="30" customHeight="1">
      <c r="A15" s="102" t="inlineStr">
        <is>
          <t xml:space="preserve">So the program behind Table 1 differs from the printed description in at least one detail; the text of §1.1 should state who belongs to L and over which objects z(Sᵢ, k) is taken.</t>
        </is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</row>
    <row r="16" ht="30" customHeight="1">
      <c r="A16" s="102" t="inlineStr">
        <is>
          <t xml:space="preserve">Engine values: Python reference engine on Heart-Disease (270, 13, 2) with the file’s type flags; Δ = this implementation − article; green = the closest reading.</t>
        </is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</row>
    <row r="17"/>
    <row r="18"/>
    <row r="19">
      <c r="A19" s="58" t="inlineStr">
        <is>
          <t xml:space="preserve">Chart data</t>
        </is>
      </c>
      <c r="B19" s="58"/>
      <c r="C19" s="58"/>
      <c r="D19" s="58"/>
    </row>
    <row r="20">
      <c r="A20" s="60" t="inlineStr">
        <is>
          <t xml:space="preserve">k</t>
        </is>
      </c>
      <c r="B20" s="60" t="inlineStr">
        <is>
          <t xml:space="preserve">Article Table 1</t>
        </is>
      </c>
      <c r="C20" s="60" t="inlineStr">
        <is>
          <t xml:space="preserve">Literal reading</t>
        </is>
      </c>
      <c r="D20" s="60" t="inlineStr">
        <is>
          <t xml:space="preserve">Closest reading</t>
        </is>
      </c>
    </row>
    <row r="21">
      <c r="A21" s="77">
        <f>A6</f>
        <v>3</v>
      </c>
      <c r="B21" s="76">
        <f>B6</f>
        <v>75</v>
      </c>
      <c r="C21" s="76">
        <f>D6</f>
        <v>198</v>
      </c>
      <c r="D21" s="76">
        <f>M6</f>
        <v>75</v>
      </c>
    </row>
    <row r="22">
      <c r="A22" s="77">
        <f>A7</f>
        <v>5</v>
      </c>
      <c r="B22" s="76">
        <f>B7</f>
        <v>77</v>
      </c>
      <c r="C22" s="76">
        <f>D7</f>
        <v>190</v>
      </c>
      <c r="D22" s="76">
        <f>M7</f>
        <v>76</v>
      </c>
    </row>
    <row r="23">
      <c r="A23" s="77">
        <f>A8</f>
        <v>7</v>
      </c>
      <c r="B23" s="76">
        <f>B8</f>
        <v>77</v>
      </c>
      <c r="C23" s="76">
        <f>D8</f>
        <v>201</v>
      </c>
      <c r="D23" s="76">
        <f>M8</f>
        <v>71</v>
      </c>
    </row>
    <row r="24">
      <c r="A24" s="77">
        <f>A9</f>
        <v>13</v>
      </c>
      <c r="B24" s="76">
        <f>B9</f>
        <v>104</v>
      </c>
      <c r="C24" s="76">
        <f>D9</f>
        <v>177</v>
      </c>
      <c r="D24" s="76">
        <f>M9</f>
        <v>88</v>
      </c>
    </row>
    <row r="25">
      <c r="A25" s="77">
        <f>A10</f>
        <v>17</v>
      </c>
      <c r="B25" s="76">
        <f>B10</f>
        <v>102</v>
      </c>
      <c r="C25" s="76">
        <f>D10</f>
        <v>165</v>
      </c>
      <c r="D25" s="76">
        <f>M10</f>
        <v>94</v>
      </c>
    </row>
    <row r="26"/>
    <row r="27"/>
    <row r="28">
      <c r="A28" s="58" t="inlineStr">
        <is>
          <t xml:space="preserve">|D| for odd k = 3 … 41 (270 objects)</t>
        </is>
      </c>
      <c r="B28" s="58"/>
      <c r="C28" s="58"/>
      <c r="D28" s="58"/>
      <c r="E28" s="58"/>
    </row>
    <row r="29">
      <c r="A29" s="60" t="inlineStr">
        <is>
          <t xml:space="preserve">k</t>
        </is>
      </c>
      <c r="B29" s="60" t="inlineStr">
        <is>
          <t xml:space="preserve">|D| literal</t>
        </is>
      </c>
      <c r="C29" s="60" t="inlineStr">
        <is>
          <t xml:space="preserve">share of 270</t>
        </is>
      </c>
      <c r="D29" s="60" t="inlineStr">
        <is>
          <t xml:space="preserve">|D| closest</t>
        </is>
      </c>
      <c r="E29" s="60" t="inlineStr">
        <is>
          <t xml:space="preserve">share of 270</t>
        </is>
      </c>
    </row>
    <row r="30">
      <c r="A30" s="77">
        <v>3</v>
      </c>
      <c r="B30" s="104">
        <v>198</v>
      </c>
      <c r="C30" s="109">
        <f>B30/270</f>
        <v>0.733333333333333</v>
      </c>
      <c r="D30" s="104">
        <v>75</v>
      </c>
      <c r="E30" s="109">
        <f>D30/270</f>
        <v>0.277777777777778</v>
      </c>
    </row>
    <row r="31">
      <c r="A31" s="77">
        <v>5</v>
      </c>
      <c r="B31" s="104">
        <v>190</v>
      </c>
      <c r="C31" s="109">
        <f>B31/270</f>
        <v>0.703703703703704</v>
      </c>
      <c r="D31" s="104">
        <v>76</v>
      </c>
      <c r="E31" s="109">
        <f>D31/270</f>
        <v>0.281481481481482</v>
      </c>
    </row>
    <row r="32">
      <c r="A32" s="77">
        <v>7</v>
      </c>
      <c r="B32" s="104">
        <v>201</v>
      </c>
      <c r="C32" s="109">
        <f>B32/270</f>
        <v>0.744444444444445</v>
      </c>
      <c r="D32" s="104">
        <v>71</v>
      </c>
      <c r="E32" s="109">
        <f>D32/270</f>
        <v>0.262962962962963</v>
      </c>
    </row>
    <row r="33">
      <c r="A33" s="77">
        <v>9</v>
      </c>
      <c r="B33" s="104">
        <v>192</v>
      </c>
      <c r="C33" s="109">
        <f>B33/270</f>
        <v>0.711111111111111</v>
      </c>
      <c r="D33" s="104">
        <v>81</v>
      </c>
      <c r="E33" s="109">
        <f>D33/270</f>
        <v>0.3</v>
      </c>
    </row>
    <row r="34">
      <c r="A34" s="77">
        <v>11</v>
      </c>
      <c r="B34" s="104">
        <v>180</v>
      </c>
      <c r="C34" s="109">
        <f>B34/270</f>
        <v>0.666666666666667</v>
      </c>
      <c r="D34" s="104">
        <v>85</v>
      </c>
      <c r="E34" s="109">
        <f>D34/270</f>
        <v>0.314814814814815</v>
      </c>
    </row>
    <row r="35">
      <c r="A35" s="77">
        <v>13</v>
      </c>
      <c r="B35" s="104">
        <v>177</v>
      </c>
      <c r="C35" s="109">
        <f>B35/270</f>
        <v>0.655555555555556</v>
      </c>
      <c r="D35" s="104">
        <v>88</v>
      </c>
      <c r="E35" s="109">
        <f>D35/270</f>
        <v>0.325925925925926</v>
      </c>
    </row>
    <row r="36">
      <c r="A36" s="77">
        <v>15</v>
      </c>
      <c r="B36" s="104">
        <v>174</v>
      </c>
      <c r="C36" s="109">
        <f>B36/270</f>
        <v>0.644444444444445</v>
      </c>
      <c r="D36" s="104">
        <v>90</v>
      </c>
      <c r="E36" s="109">
        <f>D36/270</f>
        <v>0.333333333333333</v>
      </c>
    </row>
    <row r="37">
      <c r="A37" s="77">
        <v>17</v>
      </c>
      <c r="B37" s="104">
        <v>165</v>
      </c>
      <c r="C37" s="109">
        <f>B37/270</f>
        <v>0.611111111111111</v>
      </c>
      <c r="D37" s="104">
        <v>94</v>
      </c>
      <c r="E37" s="109">
        <f>D37/270</f>
        <v>0.348148148148148</v>
      </c>
    </row>
    <row r="38">
      <c r="A38" s="77">
        <v>19</v>
      </c>
      <c r="B38" s="104">
        <v>168</v>
      </c>
      <c r="C38" s="109">
        <f>B38/270</f>
        <v>0.622222222222222</v>
      </c>
      <c r="D38" s="104">
        <v>94</v>
      </c>
      <c r="E38" s="109">
        <f>D38/270</f>
        <v>0.348148148148148</v>
      </c>
    </row>
    <row r="39">
      <c r="A39" s="77">
        <v>21</v>
      </c>
      <c r="B39" s="104">
        <v>162</v>
      </c>
      <c r="C39" s="109">
        <f>B39/270</f>
        <v>0.6</v>
      </c>
      <c r="D39" s="104">
        <v>94</v>
      </c>
      <c r="E39" s="109">
        <f>D39/270</f>
        <v>0.348148148148148</v>
      </c>
    </row>
    <row r="40">
      <c r="A40" s="77">
        <v>23</v>
      </c>
      <c r="B40" s="104">
        <v>158</v>
      </c>
      <c r="C40" s="109">
        <f>B40/270</f>
        <v>0.585185185185185</v>
      </c>
      <c r="D40" s="104">
        <v>90</v>
      </c>
      <c r="E40" s="109">
        <f>D40/270</f>
        <v>0.333333333333333</v>
      </c>
    </row>
    <row r="41">
      <c r="A41" s="77">
        <v>25</v>
      </c>
      <c r="B41" s="104">
        <v>158</v>
      </c>
      <c r="C41" s="109">
        <f>B41/270</f>
        <v>0.585185185185185</v>
      </c>
      <c r="D41" s="104">
        <v>91</v>
      </c>
      <c r="E41" s="109">
        <f>D41/270</f>
        <v>0.337037037037037</v>
      </c>
    </row>
    <row r="42">
      <c r="A42" s="77">
        <v>27</v>
      </c>
      <c r="B42" s="104">
        <v>160</v>
      </c>
      <c r="C42" s="109">
        <f>B42/270</f>
        <v>0.592592592592593</v>
      </c>
      <c r="D42" s="104">
        <v>90</v>
      </c>
      <c r="E42" s="109">
        <f>D42/270</f>
        <v>0.333333333333333</v>
      </c>
    </row>
    <row r="43">
      <c r="A43" s="77">
        <v>29</v>
      </c>
      <c r="B43" s="104">
        <v>157</v>
      </c>
      <c r="C43" s="109">
        <f>B43/270</f>
        <v>0.581481481481482</v>
      </c>
      <c r="D43" s="104">
        <v>89</v>
      </c>
      <c r="E43" s="109">
        <f>D43/270</f>
        <v>0.32962962962963</v>
      </c>
    </row>
    <row r="44">
      <c r="A44" s="77">
        <v>31</v>
      </c>
      <c r="B44" s="104">
        <v>163</v>
      </c>
      <c r="C44" s="109">
        <f>B44/270</f>
        <v>0.603703703703704</v>
      </c>
      <c r="D44" s="104">
        <v>90</v>
      </c>
      <c r="E44" s="109">
        <f>D44/270</f>
        <v>0.333333333333333</v>
      </c>
    </row>
    <row r="45">
      <c r="A45" s="77">
        <v>33</v>
      </c>
      <c r="B45" s="104">
        <v>157</v>
      </c>
      <c r="C45" s="109">
        <f>B45/270</f>
        <v>0.581481481481482</v>
      </c>
      <c r="D45" s="104">
        <v>92</v>
      </c>
      <c r="E45" s="109">
        <f>D45/270</f>
        <v>0.340740740740741</v>
      </c>
    </row>
    <row r="46">
      <c r="A46" s="77">
        <v>35</v>
      </c>
      <c r="B46" s="104">
        <v>162</v>
      </c>
      <c r="C46" s="109">
        <f>B46/270</f>
        <v>0.6</v>
      </c>
      <c r="D46" s="104">
        <v>92</v>
      </c>
      <c r="E46" s="109">
        <f>D46/270</f>
        <v>0.340740740740741</v>
      </c>
    </row>
    <row r="47">
      <c r="A47" s="77">
        <v>37</v>
      </c>
      <c r="B47" s="104">
        <v>162</v>
      </c>
      <c r="C47" s="109">
        <f>B47/270</f>
        <v>0.6</v>
      </c>
      <c r="D47" s="104">
        <v>91</v>
      </c>
      <c r="E47" s="109">
        <f>D47/270</f>
        <v>0.337037037037037</v>
      </c>
    </row>
    <row r="48">
      <c r="A48" s="77">
        <v>39</v>
      </c>
      <c r="B48" s="104">
        <v>159</v>
      </c>
      <c r="C48" s="109">
        <f>B48/270</f>
        <v>0.588888888888889</v>
      </c>
      <c r="D48" s="104">
        <v>91</v>
      </c>
      <c r="E48" s="109">
        <f>D48/270</f>
        <v>0.337037037037037</v>
      </c>
    </row>
    <row r="49">
      <c r="A49" s="77">
        <v>41</v>
      </c>
      <c r="B49" s="104">
        <v>159</v>
      </c>
      <c r="C49" s="109">
        <f>B49/270</f>
        <v>0.588888888888889</v>
      </c>
      <c r="D49" s="104">
        <v>91</v>
      </c>
      <c r="E49" s="109">
        <f>D49/270</f>
        <v>0.337037037037037</v>
      </c>
    </row>
  </sheetData>
  <mergeCells count="14">
    <mergeCell ref="A1:R1"/>
    <mergeCell ref="A3:R3"/>
    <mergeCell ref="B4:C4"/>
    <mergeCell ref="D4:F4"/>
    <mergeCell ref="G4:I4"/>
    <mergeCell ref="J4:L4"/>
    <mergeCell ref="M4:O4"/>
    <mergeCell ref="P4:R4"/>
    <mergeCell ref="A13:R13"/>
    <mergeCell ref="A14:R14"/>
    <mergeCell ref="A15:R15"/>
    <mergeCell ref="A16:R16"/>
    <mergeCell ref="A19:D19"/>
    <mergeCell ref="A28:E28"/>
  </mergeCells>
  <conditionalFormatting sqref="M6:O10">
    <cfRule type="expression" dxfId="0" priority="1">
      <formula>TRUE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D18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5.77734375" customWidth="1"/>
    <col min="2" max="2" width="62.77734375" customWidth="1"/>
    <col min="3" max="3" width="48.77734375" customWidth="1"/>
    <col min="4" max="4" width="70.77734375" customWidth="1"/>
  </cols>
  <sheetData>
    <row r="1" ht="22" customHeight="1">
      <c r="A1" s="57" t="inlineStr">
        <is>
          <t xml:space="preserve">Article notes · §1.1 (ERDR) of N. A. Ignatev, “Ансамбли алгоритмов распознавания на основе синтетических признаков и контекстов k ближайших соседей”, line by line</t>
        </is>
      </c>
      <c r="B1" s="57"/>
      <c r="C1" s="57"/>
      <c r="D1" s="57"/>
    </row>
    <row r="2"/>
    <row r="3">
      <c r="A3" s="58" t="inlineStr">
        <is>
          <t xml:space="preserve">What the article says, how this workbook implements it, and what the text leaves open</t>
        </is>
      </c>
      <c r="B3" s="58"/>
      <c r="C3" s="58"/>
      <c r="D3" s="58"/>
    </row>
    <row r="4">
      <c r="A4" s="60" t="inlineStr">
        <is>
          <t xml:space="preserve">#</t>
        </is>
      </c>
      <c r="B4" s="60" t="inlineStr">
        <is>
          <t xml:space="preserve">Article (quotation)</t>
        </is>
      </c>
      <c r="C4" s="60" t="inlineStr">
        <is>
          <t xml:space="preserve">This workbook</t>
        </is>
      </c>
      <c r="D4" s="60" t="inlineStr">
        <is>
          <t xml:space="preserve">Comment / open point</t>
        </is>
      </c>
    </row>
    <row r="5" ht="62" customHeight="1">
      <c r="A5" s="77">
        <v>1</v>
      </c>
      <c r="B5" s="102" t="inlineStr">
        <is>
          <t xml:space="preserve">«r(Sᵢ) — расстояние от объекта Sᵢ до ближайшего к нему объекта противоположного класса»</t>
        </is>
      </c>
      <c r="C5" s="102" t="inlineStr">
        <is>
          <t xml:space="preserve">ERDR Characteristics, column r(Sᵢ): first enemy in the sorted neighbours</t>
        </is>
      </c>
      <c r="D5" s="102" t="inlineStr">
        <is>
          <t xml:space="preserve">Clear.</t>
        </is>
      </c>
    </row>
    <row r="6" ht="62" customHeight="1">
      <c r="A6" s="77">
        <v>2</v>
      </c>
      <c r="B6" s="102" t="inlineStr">
        <is>
          <t xml:space="preserve">«g(Sᵢ) — количество объектов своего класса, находящихся строго внутри гипершара … g(Sᵢ)={Sⱼ∈K_t∣ρ(Sᵢ,Sⱼ)&lt;r(Sᵢ)}»</t>
        </is>
      </c>
      <c r="C6" s="102" t="inlineStr">
        <is>
          <t xml:space="preserve">Count of that set; Sᵢ itself is counted (ρ(Sᵢ, Sᵢ) = 0 &lt; r(Sᵢ)), so g ≥ 1</t>
        </is>
      </c>
      <c r="D6" s="102" t="inlineStr">
        <is>
          <t xml:space="preserve">Written as a set but used as a number — should be |{…}|. Self-counting is confirmed by «g(Sⱼ)=1 (т.е. Sⱼ остался единственным объектом …)».</t>
        </is>
      </c>
    </row>
    <row r="7" ht="62" customHeight="1">
      <c r="A7" s="77">
        <v>3</v>
      </c>
      <c r="B7" s="102" t="inlineStr">
        <is>
          <t xml:space="preserve">«z(Sᵢ,k) — расстояние от объекта Sᵢ до его k-го ближайшего соседа»</t>
        </is>
      </c>
      <c r="C7" s="102" t="inlineStr">
        <is>
          <t xml:space="preserve">k-th smallest distance to the other objects (all classes, Sᵢ excluded)</t>
        </is>
      </c>
      <c r="D7" s="102" t="inlineStr">
        <is>
          <t xml:space="preserve">The class scope is not stated; taking it from the own class brings the 270-object results much closer to Table 1.</t>
        </is>
      </c>
    </row>
    <row r="8" ht="62" customHeight="1">
      <c r="A8" s="77">
        <v>4</v>
      </c>
      <c r="B8" s="102" t="inlineStr">
        <is>
          <t xml:space="preserve">«d(Sᵢ)= ∣z(Sᵢ,k)−r(Sᵢ)∣/( z(Sᵢ,k)+r(Sᵢ))»</t>
        </is>
      </c>
      <c r="C8" s="102" t="inlineStr">
        <is>
          <t xml:space="preserve">ERDR Characteristics, column d(Sᵢ), rounded to 10 decimals</t>
        </is>
      </c>
      <c r="D8" s="102" t="inlineStr">
        <is>
          <t xml:space="preserve">The meaning of d (why the smallest goes first) is not explained in the article.</t>
        </is>
      </c>
    </row>
    <row r="9" ht="62" customHeight="1">
      <c r="A9" s="77">
        <v>5</v>
      </c>
      <c r="B9" s="102" t="inlineStr">
        <is>
          <t xml:space="preserve">Step 2: order by d, then r, then index; «Если для всех объектов Sᵢ∈F выполняется d(Sᵢ)&lt;0, перейти к шагу 6»</t>
        </is>
      </c>
      <c r="C9" s="102" t="inlineStr">
        <is>
          <t xml:space="preserve">Priority Queue (static order) + queue key per iteration</t>
        </is>
      </c>
      <c r="D9" s="102" t="inlineStr">
        <is>
          <t xml:space="preserve">The order is static because d and r of waiting objects never change.</t>
        </is>
      </c>
    </row>
    <row r="10" ht="62" customHeight="1">
      <c r="A10" s="77">
        <v>6</v>
      </c>
      <c r="B10" s="102" t="inlineStr">
        <is>
          <t xml:space="preserve">Step 4: «L={Sⱼ∈(F∩K_t)∣ρ(Sⱼ,Sᵢ)&lt;r(Sⱼ) и g(Sⱼ)&gt;1}»</t>
        </is>
      </c>
      <c r="C10" s="102" t="inlineStr">
        <is>
          <t xml:space="preserve">ERDR Iterations rows “Sᵢ inside the sphere of Sⱼ”, “g(Sⱼ) &gt; 1”, “Sⱼ ∈ L”</t>
        </is>
      </c>
      <c r="D10" s="102" t="inlineStr">
        <is>
          <t xml:space="preserve">Sᵢ itself satisfies the condition when g(Sᵢ) &gt; 1 (reading A). F still contains processed objects (reading B).</t>
        </is>
      </c>
    </row>
    <row r="11" ht="62" customHeight="1">
      <c r="A11" s="77">
        <v>7</v>
      </c>
      <c r="B11" s="102" t="inlineStr">
        <is>
          <t xml:space="preserve">Step 4: «Заблокировать объект Sᵢ, присвоив d(Sᵢ)=−(d(Sᵢ)+ε)»</t>
        </is>
      </c>
      <c r="C11" s="102" t="inlineStr">
        <is>
          <t xml:space="preserve">Row “Processed”, and the article value −(d + ε) in “d after”</t>
        </is>
      </c>
      <c r="D11" s="102" t="inlineStr">
        <is>
          <t xml:space="preserve">ε only marks the object as processed; any ε &gt; 0 gives the same result.</t>
        </is>
      </c>
    </row>
    <row r="12" ht="62" customHeight="1">
      <c r="A12" s="77">
        <v>8</v>
      </c>
      <c r="B12" s="102" t="inlineStr">
        <is>
          <t xml:space="preserve">Step 4: «Если ∣L∣=1, то … D = D ∪{Sᵢ}»</t>
        </is>
      </c>
      <c r="C12" s="102" t="inlineStr">
        <is>
          <t xml:space="preserve">Row “Step 4 · |L| = 1 → Sᵢ moves to D”</t>
        </is>
      </c>
      <c r="D12" s="102" t="inlineStr">
        <is>
          <t xml:space="preserve">|L| = 0 is not mentioned: literally Sᵢ is only blocked and stays in F (case 8, iteration 6 here).</t>
        </is>
      </c>
    </row>
    <row r="13" ht="62" customHeight="1">
      <c r="A13" s="77">
        <v>9</v>
      </c>
      <c r="B13" s="102" t="inlineStr">
        <is>
          <t xml:space="preserve">Step 5: «уменьшить счётчик … если после уменьшения g(Sⱼ)=1 … D = D ∪{Sⱼ}. Перейти к шагу 2.»</t>
        </is>
      </c>
      <c r="C13" s="102" t="inlineStr">
        <is>
          <t xml:space="preserve">Rows “counter decreased”, “g after”, “g fell to 1”</t>
        </is>
      </c>
      <c r="D13" s="102" t="inlineStr">
        <is>
          <t xml:space="preserve">The place of «Перейти к шагу 2» (inside the loop or after it) is open (reading C); the loop order over L is not given (ascending index here).</t>
        </is>
      </c>
    </row>
    <row r="14" ht="62" customHeight="1">
      <c r="A14" s="77">
        <v>10</v>
      </c>
      <c r="B14" s="102" t="inlineStr">
        <is>
          <t xml:space="preserve">Implicit property of Step 4</t>
        </is>
      </c>
      <c r="C14" s="102" t="inlineStr">
        <is>
          <t xml:space="preserve">Case Checklist, note</t>
        </is>
      </c>
      <c r="D14" s="102" t="inlineStr">
        <is>
          <t xml:space="preserve">For Sⱼ ≠ Sᵢ the condition g(Sⱼ) &gt; 1 is always true when Sⱼ covers Sᵢ (an object whose g falls to 1 leaves F at once); it only acts on Sᵢ itself.</t>
        </is>
      </c>
    </row>
    <row r="15" ht="62" customHeight="1">
      <c r="A15" s="77">
        <v>11</v>
      </c>
      <c r="B15" s="102" t="inlineStr">
        <is>
          <t xml:space="preserve">Termination</t>
        </is>
      </c>
      <c r="C15" s="102" t="inlineStr">
        <is>
          <t xml:space="preserve">At most N iterations (7 blocks)</t>
        </is>
      </c>
      <c r="D15" s="102" t="inlineStr">
        <is>
          <t xml:space="preserve">Every iteration blocks one object of the queue, so the algorithm stops after at most |E₀| iterations.</t>
        </is>
      </c>
    </row>
    <row r="16" ht="62" customHeight="1">
      <c r="A16" s="77">
        <v>12</v>
      </c>
      <c r="B16" s="102" t="inlineStr">
        <is>
          <t xml:space="preserve">Step 6: «D … F = E₀ \ D»</t>
        </is>
      </c>
      <c r="C16" s="102" t="inlineStr">
        <is>
          <t xml:space="preserve">Training &amp; Validation</t>
        </is>
      </c>
      <c r="D16" s="102" t="inlineStr">
        <is>
          <t xml:space="preserve">With the literal reading most objects end in D (here 5 of 7; on 270 objects 165–201), unlike Table 1.</t>
        </is>
      </c>
    </row>
    <row r="17" ht="62" customHeight="1">
      <c r="A17" s="77">
        <v>13</v>
      </c>
      <c r="B17" s="102" t="inlineStr">
        <is>
          <t xml:space="preserve">§3: k = 3, 5, 7, 13, 17 for z(Sᵢ,k)</t>
        </is>
      </c>
      <c r="C17" s="102" t="inlineStr">
        <is>
          <t xml:space="preserve">k from the k rule: k_min = 3, k_max = 2·min|Kᵢ| − 3 → k = 3 for 3 + 4 objects</t>
        </is>
      </c>
      <c r="D17" s="102" t="inlineStr">
        <is>
          <t xml:space="preserve">The article does not say how the k values were chosen.</t>
        </is>
      </c>
    </row>
    <row r="18" ht="62" customHeight="1">
      <c r="A18" s="77">
        <v>14</v>
      </c>
      <c r="B18" s="102" t="inlineStr">
        <is>
          <t xml:space="preserve">§3, Table 1 sizes 75 … 104</t>
        </is>
      </c>
      <c r="C18" s="102" t="inlineStr">
        <is>
          <t xml:space="preserve">Article Table 1 Check</t>
        </is>
      </c>
      <c r="D18" s="102" t="inlineStr">
        <is>
          <t xml:space="preserve">Not reproduced by any of 960 tested readings; closest: B = 2 with own-class z.</t>
        </is>
      </c>
    </row>
  </sheetData>
  <mergeCells count="2">
    <mergeCell ref="A1:D1"/>
    <mergeCell ref="A3:D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63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4.77734375" customWidth="1"/>
    <col min="2" max="3" width="36.77734375" customWidth="1"/>
    <col min="4" max="4" width="12.77734375" customWidth="1"/>
    <col min="5" max="5" width="9.77734375" customWidth="1"/>
  </cols>
  <sheetData>
    <row r="1" ht="22" customHeight="1">
      <c r="A1" s="57" t="inlineStr">
        <is>
          <t xml:space="preserve">Validation · workbook formulas against the independent Python reference engine (default settings)</t>
        </is>
      </c>
      <c r="B1" s="57"/>
      <c r="C1" s="57"/>
      <c r="D1" s="57"/>
      <c r="E1" s="57"/>
    </row>
    <row r="2"/>
    <row r="3">
      <c r="A3" s="97" t="str">
        <f>IF(AND('Dataset'!B5=1,'Dataset'!B6=10,'Dataset'!B7=73,'Dataset'!B8=143,'Dataset'!B9=224,'Dataset'!B10=226,'Dataset'!B11=239,'Parameters'!$B$24=1,'Parameters'!$B$25=1,'Parameters'!$B$26=1,'Parameters'!$B$12=3),"✓ default selection and settings — the engine reference below applies","⚠ selection or settings changed — the engine reference below is for the default (rows 1, 10, 73, 143, 224, 226, 239; k = 3; readings 1, 1, 1)")</f>
        <v>✓ default selection and settings — the engine reference below applies</v>
      </c>
      <c r="B3" s="97"/>
      <c r="C3" s="97"/>
      <c r="D3" s="97"/>
      <c r="E3" s="97"/>
    </row>
    <row r="4"/>
    <row r="5">
      <c r="A5" s="60" t="inlineStr">
        <is>
          <t xml:space="preserve">Check</t>
        </is>
      </c>
      <c r="B5" s="60" t="inlineStr">
        <is>
          <t xml:space="preserve">Engine (expected)</t>
        </is>
      </c>
      <c r="C5" s="60" t="inlineStr">
        <is>
          <t xml:space="preserve">Workbook</t>
        </is>
      </c>
      <c r="D5" s="60" t="inlineStr">
        <is>
          <t xml:space="preserve">Difference</t>
        </is>
      </c>
      <c r="E5" s="60" t="inlineStr">
        <is>
          <t xml:space="preserve">Pass</t>
        </is>
      </c>
    </row>
    <row r="6">
      <c r="A6" s="63" t="inlineStr">
        <is>
          <t xml:space="preserve">r(S₁)</t>
        </is>
      </c>
      <c r="B6" s="105">
        <v>5.60708061</v>
      </c>
      <c r="C6" s="73">
        <f>'ERDR Characteristics'!D5</f>
        <v>5.60708061</v>
      </c>
      <c r="D6" s="73">
        <f>ABS(C6-B6)</f>
        <v>0</v>
      </c>
      <c r="E6" s="95">
        <f>IF(D6&lt;0.000000001,1,0)</f>
        <v>1</v>
      </c>
    </row>
    <row r="7">
      <c r="A7" s="63" t="inlineStr">
        <is>
          <t xml:space="preserve">r(S₂)</t>
        </is>
      </c>
      <c r="B7" s="105">
        <v>7.4699698919</v>
      </c>
      <c r="C7" s="73">
        <f>'ERDR Characteristics'!D6</f>
        <v>7.4699698919</v>
      </c>
      <c r="D7" s="73">
        <f>ABS(C7-B7)</f>
        <v>0</v>
      </c>
      <c r="E7" s="95">
        <f>IF(D7&lt;0.000000001,1,0)</f>
        <v>1</v>
      </c>
    </row>
    <row r="8">
      <c r="A8" s="63" t="inlineStr">
        <is>
          <t xml:space="preserve">r(S₃)</t>
        </is>
      </c>
      <c r="B8" s="105">
        <v>5.60708061</v>
      </c>
      <c r="C8" s="73">
        <f>'ERDR Characteristics'!D7</f>
        <v>5.60708061</v>
      </c>
      <c r="D8" s="73">
        <f>ABS(C8-B8)</f>
        <v>0</v>
      </c>
      <c r="E8" s="95">
        <f>IF(D8&lt;0.000000001,1,0)</f>
        <v>1</v>
      </c>
    </row>
    <row r="9">
      <c r="A9" s="63" t="inlineStr">
        <is>
          <t xml:space="preserve">r(S₄)</t>
        </is>
      </c>
      <c r="B9" s="105">
        <v>3.7071187508</v>
      </c>
      <c r="C9" s="73">
        <f>'ERDR Characteristics'!D8</f>
        <v>3.7071187508</v>
      </c>
      <c r="D9" s="73">
        <f>ABS(C9-B9)</f>
        <v>0</v>
      </c>
      <c r="E9" s="95">
        <f>IF(D9&lt;0.000000001,1,0)</f>
        <v>1</v>
      </c>
    </row>
    <row r="10">
      <c r="A10" s="63" t="inlineStr">
        <is>
          <t xml:space="preserve">r(S₅)</t>
        </is>
      </c>
      <c r="B10" s="105">
        <v>7.1117040273</v>
      </c>
      <c r="C10" s="73">
        <f>'ERDR Characteristics'!D9</f>
        <v>7.1117040273</v>
      </c>
      <c r="D10" s="73">
        <f>ABS(C10-B10)</f>
        <v>0</v>
      </c>
      <c r="E10" s="95">
        <f>IF(D10&lt;0.000000001,1,0)</f>
        <v>1</v>
      </c>
    </row>
    <row r="11">
      <c r="A11" s="63" t="inlineStr">
        <is>
          <t xml:space="preserve">r(S₆)</t>
        </is>
      </c>
      <c r="B11" s="105">
        <v>3.7071187508</v>
      </c>
      <c r="C11" s="73">
        <f>'ERDR Characteristics'!D10</f>
        <v>3.7071187508</v>
      </c>
      <c r="D11" s="73">
        <f>ABS(C11-B11)</f>
        <v>0</v>
      </c>
      <c r="E11" s="95">
        <f>IF(D11&lt;0.000000001,1,0)</f>
        <v>1</v>
      </c>
    </row>
    <row r="12">
      <c r="A12" s="63" t="inlineStr">
        <is>
          <t xml:space="preserve">r(S₇)</t>
        </is>
      </c>
      <c r="B12" s="105">
        <v>3.9109813746</v>
      </c>
      <c r="C12" s="73">
        <f>'ERDR Characteristics'!D11</f>
        <v>3.9109813746</v>
      </c>
      <c r="D12" s="73">
        <f>ABS(C12-B12)</f>
        <v>0</v>
      </c>
      <c r="E12" s="95">
        <f>IF(D12&lt;0.000000001,1,0)</f>
        <v>1</v>
      </c>
    </row>
    <row r="13">
      <c r="A13" s="63" t="inlineStr">
        <is>
          <t xml:space="preserve">g(S₁)</t>
        </is>
      </c>
      <c r="B13" s="104">
        <v>3</v>
      </c>
      <c r="C13" s="76">
        <f>'ERDR Characteristics'!E5</f>
        <v>3</v>
      </c>
      <c r="D13" s="76">
        <f>ABS(C13-B13)</f>
        <v>0</v>
      </c>
      <c r="E13" s="95">
        <f>IF(D13&lt;0.000000001,1,0)</f>
        <v>1</v>
      </c>
    </row>
    <row r="14">
      <c r="A14" s="63" t="inlineStr">
        <is>
          <t xml:space="preserve">g(S₂)</t>
        </is>
      </c>
      <c r="B14" s="104">
        <v>4</v>
      </c>
      <c r="C14" s="76">
        <f>'ERDR Characteristics'!E6</f>
        <v>4</v>
      </c>
      <c r="D14" s="76">
        <f>ABS(C14-B14)</f>
        <v>0</v>
      </c>
      <c r="E14" s="95">
        <f>IF(D14&lt;0.000000001,1,0)</f>
        <v>1</v>
      </c>
    </row>
    <row r="15">
      <c r="A15" s="63" t="inlineStr">
        <is>
          <t xml:space="preserve">g(S₃)</t>
        </is>
      </c>
      <c r="B15" s="104">
        <v>3</v>
      </c>
      <c r="C15" s="76">
        <f>'ERDR Characteristics'!E7</f>
        <v>3</v>
      </c>
      <c r="D15" s="76">
        <f>ABS(C15-B15)</f>
        <v>0</v>
      </c>
      <c r="E15" s="95">
        <f>IF(D15&lt;0.000000001,1,0)</f>
        <v>1</v>
      </c>
    </row>
    <row r="16">
      <c r="A16" s="63" t="inlineStr">
        <is>
          <t xml:space="preserve">g(S₄)</t>
        </is>
      </c>
      <c r="B16" s="104">
        <v>1</v>
      </c>
      <c r="C16" s="76">
        <f>'ERDR Characteristics'!E8</f>
        <v>1</v>
      </c>
      <c r="D16" s="76">
        <f>ABS(C16-B16)</f>
        <v>0</v>
      </c>
      <c r="E16" s="95">
        <f>IF(D16&lt;0.000000001,1,0)</f>
        <v>1</v>
      </c>
    </row>
    <row r="17">
      <c r="A17" s="63" t="inlineStr">
        <is>
          <t xml:space="preserve">g(S₅)</t>
        </is>
      </c>
      <c r="B17" s="104">
        <v>3</v>
      </c>
      <c r="C17" s="76">
        <f>'ERDR Characteristics'!E9</f>
        <v>3</v>
      </c>
      <c r="D17" s="76">
        <f>ABS(C17-B17)</f>
        <v>0</v>
      </c>
      <c r="E17" s="95">
        <f>IF(D17&lt;0.000000001,1,0)</f>
        <v>1</v>
      </c>
    </row>
    <row r="18">
      <c r="A18" s="63" t="inlineStr">
        <is>
          <t xml:space="preserve">g(S₆)</t>
        </is>
      </c>
      <c r="B18" s="104">
        <v>1</v>
      </c>
      <c r="C18" s="76">
        <f>'ERDR Characteristics'!E10</f>
        <v>1</v>
      </c>
      <c r="D18" s="76">
        <f>ABS(C18-B18)</f>
        <v>0</v>
      </c>
      <c r="E18" s="95">
        <f>IF(D18&lt;0.000000001,1,0)</f>
        <v>1</v>
      </c>
    </row>
    <row r="19">
      <c r="A19" s="63" t="inlineStr">
        <is>
          <t xml:space="preserve">g(S₇)</t>
        </is>
      </c>
      <c r="B19" s="104">
        <v>2</v>
      </c>
      <c r="C19" s="76">
        <f>'ERDR Characteristics'!E11</f>
        <v>2</v>
      </c>
      <c r="D19" s="76">
        <f>ABS(C19-B19)</f>
        <v>0</v>
      </c>
      <c r="E19" s="95">
        <f>IF(D19&lt;0.000000001,1,0)</f>
        <v>1</v>
      </c>
    </row>
    <row r="20">
      <c r="A20" s="63" t="inlineStr">
        <is>
          <t xml:space="preserve">z(S₁, 3)</t>
        </is>
      </c>
      <c r="B20" s="105">
        <v>5.60708061</v>
      </c>
      <c r="C20" s="73">
        <f>'ERDR Characteristics'!H5</f>
        <v>5.60708061</v>
      </c>
      <c r="D20" s="73">
        <f>ABS(C20-B20)</f>
        <v>0</v>
      </c>
      <c r="E20" s="95">
        <f>IF(D20&lt;0.000000001,1,0)</f>
        <v>1</v>
      </c>
    </row>
    <row r="21">
      <c r="A21" s="63" t="inlineStr">
        <is>
          <t xml:space="preserve">z(S₂, 3)</t>
        </is>
      </c>
      <c r="B21" s="105">
        <v>6.3691657565</v>
      </c>
      <c r="C21" s="73">
        <f>'ERDR Characteristics'!H6</f>
        <v>6.3691657565</v>
      </c>
      <c r="D21" s="73">
        <f>ABS(C21-B21)</f>
        <v>0</v>
      </c>
      <c r="E21" s="95">
        <f>IF(D21&lt;0.000000001,1,0)</f>
        <v>1</v>
      </c>
    </row>
    <row r="22">
      <c r="A22" s="63" t="inlineStr">
        <is>
          <t xml:space="preserve">z(S₃, 3)</t>
        </is>
      </c>
      <c r="B22" s="105">
        <v>5.60708061</v>
      </c>
      <c r="C22" s="73">
        <f>'ERDR Characteristics'!H7</f>
        <v>5.60708061</v>
      </c>
      <c r="D22" s="73">
        <f>ABS(C22-B22)</f>
        <v>0</v>
      </c>
      <c r="E22" s="95">
        <f>IF(D22&lt;0.000000001,1,0)</f>
        <v>1</v>
      </c>
    </row>
    <row r="23">
      <c r="A23" s="63" t="inlineStr">
        <is>
          <t xml:space="preserve">z(S₄, 3)</t>
        </is>
      </c>
      <c r="B23" s="105">
        <v>6.2175670209</v>
      </c>
      <c r="C23" s="73">
        <f>'ERDR Characteristics'!H8</f>
        <v>6.2175670209</v>
      </c>
      <c r="D23" s="73">
        <f>ABS(C23-B23)</f>
        <v>0</v>
      </c>
      <c r="E23" s="95">
        <f>IF(D23&lt;0.000000001,1,0)</f>
        <v>1</v>
      </c>
    </row>
    <row r="24">
      <c r="A24" s="63" t="inlineStr">
        <is>
          <t xml:space="preserve">z(S₅, 3)</t>
        </is>
      </c>
      <c r="B24" s="105">
        <v>7.1117040273</v>
      </c>
      <c r="C24" s="73">
        <f>'ERDR Characteristics'!H9</f>
        <v>7.1117040273</v>
      </c>
      <c r="D24" s="73">
        <f>ABS(C24-B24)</f>
        <v>0</v>
      </c>
      <c r="E24" s="95">
        <f>IF(D24&lt;0.000000001,1,0)</f>
        <v>1</v>
      </c>
    </row>
    <row r="25">
      <c r="A25" s="63" t="inlineStr">
        <is>
          <t xml:space="preserve">z(S₆, 3)</t>
        </is>
      </c>
      <c r="B25" s="105">
        <v>5.2172783643</v>
      </c>
      <c r="C25" s="73">
        <f>'ERDR Characteristics'!H10</f>
        <v>5.2172783643</v>
      </c>
      <c r="D25" s="73">
        <f>ABS(C25-B25)</f>
        <v>0</v>
      </c>
      <c r="E25" s="95">
        <f>IF(D25&lt;0.000000001,1,0)</f>
        <v>1</v>
      </c>
    </row>
    <row r="26">
      <c r="A26" s="63" t="inlineStr">
        <is>
          <t xml:space="preserve">z(S₇, 3)</t>
        </is>
      </c>
      <c r="B26" s="105">
        <v>5.0314314939</v>
      </c>
      <c r="C26" s="73">
        <f>'ERDR Characteristics'!H11</f>
        <v>5.0314314939</v>
      </c>
      <c r="D26" s="73">
        <f>ABS(C26-B26)</f>
        <v>0</v>
      </c>
      <c r="E26" s="95">
        <f>IF(D26&lt;0.000000001,1,0)</f>
        <v>1</v>
      </c>
    </row>
    <row r="27">
      <c r="A27" s="63" t="inlineStr">
        <is>
          <t xml:space="preserve">d(S₁)</t>
        </is>
      </c>
      <c r="B27" s="105">
        <v>0.0</v>
      </c>
      <c r="C27" s="73">
        <f>'ERDR Characteristics'!J5</f>
        <v>0</v>
      </c>
      <c r="D27" s="73">
        <f>ABS(C27-B27)</f>
        <v>0</v>
      </c>
      <c r="E27" s="95">
        <f>IF(D27&lt;0.000000001,1,0)</f>
        <v>1</v>
      </c>
    </row>
    <row r="28">
      <c r="A28" s="63" t="inlineStr">
        <is>
          <t xml:space="preserve">d(S₂)</t>
        </is>
      </c>
      <c r="B28" s="105">
        <v>0.0795428388</v>
      </c>
      <c r="C28" s="73">
        <f>'ERDR Characteristics'!J6</f>
        <v>0.0795428388</v>
      </c>
      <c r="D28" s="73">
        <f>ABS(C28-B28)</f>
        <v>0</v>
      </c>
      <c r="E28" s="95">
        <f>IF(D28&lt;0.000000001,1,0)</f>
        <v>1</v>
      </c>
    </row>
    <row r="29">
      <c r="A29" s="63" t="inlineStr">
        <is>
          <t xml:space="preserve">d(S₃)</t>
        </is>
      </c>
      <c r="B29" s="105">
        <v>0.0</v>
      </c>
      <c r="C29" s="73">
        <f>'ERDR Characteristics'!J7</f>
        <v>0</v>
      </c>
      <c r="D29" s="73">
        <f>ABS(C29-B29)</f>
        <v>0</v>
      </c>
      <c r="E29" s="95">
        <f>IF(D29&lt;0.000000001,1,0)</f>
        <v>1</v>
      </c>
    </row>
    <row r="30">
      <c r="A30" s="63" t="inlineStr">
        <is>
          <t xml:space="preserve">d(S₄)</t>
        </is>
      </c>
      <c r="B30" s="105">
        <v>0.2529498997</v>
      </c>
      <c r="C30" s="73">
        <f>'ERDR Characteristics'!J8</f>
        <v>0.2529498997</v>
      </c>
      <c r="D30" s="73">
        <f>ABS(C30-B30)</f>
        <v>0</v>
      </c>
      <c r="E30" s="95">
        <f>IF(D30&lt;0.000000001,1,0)</f>
        <v>1</v>
      </c>
    </row>
    <row r="31">
      <c r="A31" s="63" t="inlineStr">
        <is>
          <t xml:space="preserve">d(S₅)</t>
        </is>
      </c>
      <c r="B31" s="105">
        <v>0.0</v>
      </c>
      <c r="C31" s="73">
        <f>'ERDR Characteristics'!J9</f>
        <v>0</v>
      </c>
      <c r="D31" s="73">
        <f>ABS(C31-B31)</f>
        <v>0</v>
      </c>
      <c r="E31" s="95">
        <f>IF(D31&lt;0.000000001,1,0)</f>
        <v>1</v>
      </c>
    </row>
    <row r="32">
      <c r="A32" s="63" t="inlineStr">
        <is>
          <t xml:space="preserve">d(S₆)</t>
        </is>
      </c>
      <c r="B32" s="105">
        <v>0.1692169896</v>
      </c>
      <c r="C32" s="73">
        <f>'ERDR Characteristics'!J10</f>
        <v>0.1692169896</v>
      </c>
      <c r="D32" s="73">
        <f>ABS(C32-B32)</f>
        <v>0</v>
      </c>
      <c r="E32" s="95">
        <f>IF(D32&lt;0.000000001,1,0)</f>
        <v>1</v>
      </c>
    </row>
    <row r="33">
      <c r="A33" s="63" t="inlineStr">
        <is>
          <t xml:space="preserve">d(S₇)</t>
        </is>
      </c>
      <c r="B33" s="105">
        <v>0.1252961741</v>
      </c>
      <c r="C33" s="73">
        <f>'ERDR Characteristics'!J11</f>
        <v>0.1252961741</v>
      </c>
      <c r="D33" s="73">
        <f>ABS(C33-B33)</f>
        <v>0</v>
      </c>
      <c r="E33" s="95">
        <f>IF(D33&lt;0.000000001,1,0)</f>
        <v>1</v>
      </c>
    </row>
    <row r="34">
      <c r="A34" s="63" t="inlineStr">
        <is>
          <t xml:space="preserve">Step 2 order</t>
        </is>
      </c>
      <c r="B34" s="106" t="inlineStr">
        <is>
          <t xml:space="preserve">S₁ → S₃ → S₅ → S₂ → S₇ → S₆ → S₄</t>
        </is>
      </c>
      <c r="C34" s="85" t="str">
        <f>'Priority Queue'!B5&amp;" → "&amp;'Priority Queue'!B6&amp;" → "&amp;'Priority Queue'!B7&amp;" → "&amp;'Priority Queue'!B8&amp;" → "&amp;'Priority Queue'!B9&amp;" → "&amp;'Priority Queue'!B10&amp;" → "&amp;'Priority Queue'!B11</f>
        <v>S₁ → S₃ → S₅ → S₂ → S₇ → S₆ → S₄</v>
      </c>
      <c r="D34" s="76" t="inlineStr">
        <is>
          <t xml:space="preserve">—</t>
        </is>
      </c>
      <c r="E34" s="95">
        <f>IF(C34=B34,1,0)</f>
        <v>1</v>
      </c>
    </row>
    <row r="35">
      <c r="A35" s="63" t="inlineStr">
        <is>
          <t xml:space="preserve">Iteration 1 · selected</t>
        </is>
      </c>
      <c r="B35" s="106" t="inlineStr">
        <is>
          <t xml:space="preserve">S₁</t>
        </is>
      </c>
      <c r="C35" s="85" t="str">
        <f>'ERDR Iterations'!K10</f>
        <v>S₁</v>
      </c>
      <c r="D35" s="76" t="inlineStr">
        <is>
          <t xml:space="preserve">—</t>
        </is>
      </c>
      <c r="E35" s="95">
        <f>IF(C35=B35,1,0)</f>
        <v>1</v>
      </c>
    </row>
    <row r="36">
      <c r="A36" s="63" t="inlineStr">
        <is>
          <t xml:space="preserve">Iteration 2 · selected</t>
        </is>
      </c>
      <c r="B36" s="106" t="inlineStr">
        <is>
          <t xml:space="preserve">S₃</t>
        </is>
      </c>
      <c r="C36" s="85" t="str">
        <f>'ERDR Iterations'!K36</f>
        <v>S₃</v>
      </c>
      <c r="D36" s="76" t="inlineStr">
        <is>
          <t xml:space="preserve">—</t>
        </is>
      </c>
      <c r="E36" s="95">
        <f>IF(C36=B36,1,0)</f>
        <v>1</v>
      </c>
    </row>
    <row r="37">
      <c r="A37" s="63" t="inlineStr">
        <is>
          <t xml:space="preserve">Iteration 3 · selected</t>
        </is>
      </c>
      <c r="B37" s="106" t="inlineStr">
        <is>
          <t xml:space="preserve">S₅</t>
        </is>
      </c>
      <c r="C37" s="85" t="str">
        <f>'ERDR Iterations'!K62</f>
        <v>S₅</v>
      </c>
      <c r="D37" s="76" t="inlineStr">
        <is>
          <t xml:space="preserve">—</t>
        </is>
      </c>
      <c r="E37" s="95">
        <f>IF(C37=B37,1,0)</f>
        <v>1</v>
      </c>
    </row>
    <row r="38">
      <c r="A38" s="63" t="inlineStr">
        <is>
          <t xml:space="preserve">Iteration 4 · selected</t>
        </is>
      </c>
      <c r="B38" s="106" t="inlineStr">
        <is>
          <t xml:space="preserve">S₂</t>
        </is>
      </c>
      <c r="C38" s="85" t="str">
        <f>'ERDR Iterations'!K88</f>
        <v>S₂</v>
      </c>
      <c r="D38" s="76" t="inlineStr">
        <is>
          <t xml:space="preserve">—</t>
        </is>
      </c>
      <c r="E38" s="95">
        <f>IF(C38=B38,1,0)</f>
        <v>1</v>
      </c>
    </row>
    <row r="39">
      <c r="A39" s="63" t="inlineStr">
        <is>
          <t xml:space="preserve">Iteration 5 · selected</t>
        </is>
      </c>
      <c r="B39" s="106" t="inlineStr">
        <is>
          <t xml:space="preserve">S₆</t>
        </is>
      </c>
      <c r="C39" s="85" t="str">
        <f>'ERDR Iterations'!K114</f>
        <v>S₆</v>
      </c>
      <c r="D39" s="76" t="inlineStr">
        <is>
          <t xml:space="preserve">—</t>
        </is>
      </c>
      <c r="E39" s="95">
        <f>IF(C39=B39,1,0)</f>
        <v>1</v>
      </c>
    </row>
    <row r="40">
      <c r="A40" s="63" t="inlineStr">
        <is>
          <t xml:space="preserve">Iteration 6 · selected</t>
        </is>
      </c>
      <c r="B40" s="106" t="inlineStr">
        <is>
          <t xml:space="preserve">S₄</t>
        </is>
      </c>
      <c r="C40" s="85" t="str">
        <f>'ERDR Iterations'!K140</f>
        <v>S₄</v>
      </c>
      <c r="D40" s="76" t="inlineStr">
        <is>
          <t xml:space="preserve">—</t>
        </is>
      </c>
      <c r="E40" s="95">
        <f>IF(C40=B40,1,0)</f>
        <v>1</v>
      </c>
    </row>
    <row r="41">
      <c r="A41" s="63" t="inlineStr">
        <is>
          <t xml:space="preserve">Iteration 7 · selected</t>
        </is>
      </c>
      <c r="B41" s="106" t="inlineStr">
        <is>
          <t xml:space="preserve">— (queue empty → Step 6)</t>
        </is>
      </c>
      <c r="C41" s="85" t="str">
        <f>'ERDR Iterations'!K166</f>
        <v>— (queue empty → Step 6)</v>
      </c>
      <c r="D41" s="76" t="inlineStr">
        <is>
          <t xml:space="preserve">—</t>
        </is>
      </c>
      <c r="E41" s="95">
        <f>IF(C41=B41,1,0)</f>
        <v>1</v>
      </c>
    </row>
    <row r="42">
      <c r="A42" s="63" t="inlineStr">
        <is>
          <t xml:space="preserve">Iteration 1 · |L|</t>
        </is>
      </c>
      <c r="B42" s="104">
        <v>3</v>
      </c>
      <c r="C42" s="76">
        <f>'ERDR Iterations'!K14</f>
        <v>3</v>
      </c>
      <c r="D42" s="76">
        <f>ABS(C42-B42)</f>
        <v>0</v>
      </c>
      <c r="E42" s="95">
        <f>IF(D42&lt;0.000000001,1,0)</f>
        <v>1</v>
      </c>
    </row>
    <row r="43">
      <c r="A43" s="63" t="inlineStr">
        <is>
          <t xml:space="preserve">Iteration 2 · |L|</t>
        </is>
      </c>
      <c r="B43" s="104">
        <v>2</v>
      </c>
      <c r="C43" s="76">
        <f>'ERDR Iterations'!K40</f>
        <v>2</v>
      </c>
      <c r="D43" s="76">
        <f>ABS(C43-B43)</f>
        <v>0</v>
      </c>
      <c r="E43" s="95">
        <f>IF(D43&lt;0.000000001,1,0)</f>
        <v>1</v>
      </c>
    </row>
    <row r="44">
      <c r="A44" s="63" t="inlineStr">
        <is>
          <t xml:space="preserve">Iteration 3 · |L|</t>
        </is>
      </c>
      <c r="B44" s="104">
        <v>3</v>
      </c>
      <c r="C44" s="76">
        <f>'ERDR Iterations'!K66</f>
        <v>3</v>
      </c>
      <c r="D44" s="76">
        <f>ABS(C44-B44)</f>
        <v>0</v>
      </c>
      <c r="E44" s="95">
        <f>IF(D44&lt;0.000000001,1,0)</f>
        <v>1</v>
      </c>
    </row>
    <row r="45">
      <c r="A45" s="63" t="inlineStr">
        <is>
          <t xml:space="preserve">Iteration 4 · |L|</t>
        </is>
      </c>
      <c r="B45" s="104">
        <v>1</v>
      </c>
      <c r="C45" s="76">
        <f>'ERDR Iterations'!K92</f>
        <v>1</v>
      </c>
      <c r="D45" s="76">
        <f>ABS(C45-B45)</f>
        <v>0</v>
      </c>
      <c r="E45" s="95">
        <f>IF(D45&lt;0.000000001,1,0)</f>
        <v>1</v>
      </c>
    </row>
    <row r="46">
      <c r="A46" s="63" t="inlineStr">
        <is>
          <t xml:space="preserve">Iteration 5 · |L|</t>
        </is>
      </c>
      <c r="B46" s="104">
        <v>1</v>
      </c>
      <c r="C46" s="76">
        <f>'ERDR Iterations'!K118</f>
        <v>1</v>
      </c>
      <c r="D46" s="76">
        <f>ABS(C46-B46)</f>
        <v>0</v>
      </c>
      <c r="E46" s="95">
        <f>IF(D46&lt;0.000000001,1,0)</f>
        <v>1</v>
      </c>
    </row>
    <row r="47">
      <c r="A47" s="63" t="inlineStr">
        <is>
          <t xml:space="preserve">Iteration 6 · |L|</t>
        </is>
      </c>
      <c r="B47" s="104">
        <v>0</v>
      </c>
      <c r="C47" s="76">
        <f>'ERDR Iterations'!K144</f>
        <v>0</v>
      </c>
      <c r="D47" s="76">
        <f>ABS(C47-B47)</f>
        <v>0</v>
      </c>
      <c r="E47" s="95">
        <f>IF(D47&lt;0.000000001,1,0)</f>
        <v>1</v>
      </c>
    </row>
    <row r="48">
      <c r="A48" s="63" t="inlineStr">
        <is>
          <t xml:space="preserve">Iteration 7 · |L|</t>
        </is>
      </c>
      <c r="B48" s="104">
        <v>0</v>
      </c>
      <c r="C48" s="76">
        <f>'ERDR Iterations'!K170</f>
        <v>0</v>
      </c>
      <c r="D48" s="76">
        <f>ABS(C48-B48)</f>
        <v>0</v>
      </c>
      <c r="E48" s="95">
        <f>IF(D48&lt;0.000000001,1,0)</f>
        <v>1</v>
      </c>
    </row>
    <row r="49">
      <c r="A49" s="63" t="inlineStr">
        <is>
          <t xml:space="preserve">Iteration 1 · moved to D</t>
        </is>
      </c>
      <c r="B49" s="106" t="inlineStr">
        <is>
          <t xml:space="preserve">—</t>
        </is>
      </c>
      <c r="C49" s="85" t="str">
        <f>'ERDR Iterations'!K17</f>
        <v>—</v>
      </c>
      <c r="D49" s="76" t="inlineStr">
        <is>
          <t xml:space="preserve">—</t>
        </is>
      </c>
      <c r="E49" s="95">
        <f>IF(C49=B49,1,0)</f>
        <v>1</v>
      </c>
    </row>
    <row r="50">
      <c r="A50" s="63" t="inlineStr">
        <is>
          <t xml:space="preserve">Iteration 2 · moved to D</t>
        </is>
      </c>
      <c r="B50" s="106" t="inlineStr">
        <is>
          <t xml:space="preserve">S₇ (Step 5)</t>
        </is>
      </c>
      <c r="C50" s="85" t="str">
        <f>'ERDR Iterations'!K43</f>
        <v>S₇ (Step 5)</v>
      </c>
      <c r="D50" s="76" t="inlineStr">
        <is>
          <t xml:space="preserve">—</t>
        </is>
      </c>
      <c r="E50" s="95">
        <f>IF(C50=B50,1,0)</f>
        <v>1</v>
      </c>
    </row>
    <row r="51">
      <c r="A51" s="63" t="inlineStr">
        <is>
          <t xml:space="preserve">Iteration 3 · moved to D</t>
        </is>
      </c>
      <c r="B51" s="106" t="inlineStr">
        <is>
          <t xml:space="preserve">S₁ (Step 5), S₅ (Step 5)</t>
        </is>
      </c>
      <c r="C51" s="85" t="str">
        <f>'ERDR Iterations'!K69</f>
        <v>S₁ (Step 5), S₅ (Step 5)</v>
      </c>
      <c r="D51" s="76" t="inlineStr">
        <is>
          <t xml:space="preserve">—</t>
        </is>
      </c>
      <c r="E51" s="95">
        <f>IF(C51=B51,1,0)</f>
        <v>1</v>
      </c>
    </row>
    <row r="52">
      <c r="A52" s="63" t="inlineStr">
        <is>
          <t xml:space="preserve">Iteration 4 · moved to D</t>
        </is>
      </c>
      <c r="B52" s="106" t="inlineStr">
        <is>
          <t xml:space="preserve">S₂ (Step 4)</t>
        </is>
      </c>
      <c r="C52" s="85" t="str">
        <f>'ERDR Iterations'!K95</f>
        <v>S₂ (Step 4)</v>
      </c>
      <c r="D52" s="76" t="inlineStr">
        <is>
          <t xml:space="preserve">—</t>
        </is>
      </c>
      <c r="E52" s="95">
        <f>IF(C52=B52,1,0)</f>
        <v>1</v>
      </c>
    </row>
    <row r="53">
      <c r="A53" s="63" t="inlineStr">
        <is>
          <t xml:space="preserve">Iteration 5 · moved to D</t>
        </is>
      </c>
      <c r="B53" s="106" t="inlineStr">
        <is>
          <t xml:space="preserve">S₆ (Step 4)</t>
        </is>
      </c>
      <c r="C53" s="85" t="str">
        <f>'ERDR Iterations'!K121</f>
        <v>S₆ (Step 4)</v>
      </c>
      <c r="D53" s="76" t="inlineStr">
        <is>
          <t xml:space="preserve">—</t>
        </is>
      </c>
      <c r="E53" s="95">
        <f>IF(C53=B53,1,0)</f>
        <v>1</v>
      </c>
    </row>
    <row r="54">
      <c r="A54" s="63" t="inlineStr">
        <is>
          <t xml:space="preserve">Iteration 6 · moved to D</t>
        </is>
      </c>
      <c r="B54" s="106" t="inlineStr">
        <is>
          <t xml:space="preserve">—</t>
        </is>
      </c>
      <c r="C54" s="85" t="str">
        <f>'ERDR Iterations'!K147</f>
        <v>—</v>
      </c>
      <c r="D54" s="76" t="inlineStr">
        <is>
          <t xml:space="preserve">—</t>
        </is>
      </c>
      <c r="E54" s="95">
        <f>IF(C54=B54,1,0)</f>
        <v>1</v>
      </c>
    </row>
    <row r="55">
      <c r="A55" s="63" t="inlineStr">
        <is>
          <t xml:space="preserve">Iteration 7 · moved to D</t>
        </is>
      </c>
      <c r="B55" s="106" t="inlineStr">
        <is>
          <t xml:space="preserve">—</t>
        </is>
      </c>
      <c r="C55" s="85" t="str">
        <f>'ERDR Iterations'!K173</f>
        <v>—</v>
      </c>
      <c r="D55" s="76" t="inlineStr">
        <is>
          <t xml:space="preserve">—</t>
        </is>
      </c>
      <c r="E55" s="95">
        <f>IF(C55=B55,1,0)</f>
        <v>1</v>
      </c>
    </row>
    <row r="56">
      <c r="A56" s="63" t="inlineStr">
        <is>
          <t xml:space="preserve">D · training sample</t>
        </is>
      </c>
      <c r="B56" s="106" t="inlineStr">
        <is>
          <t xml:space="preserve">{S₁, S₂, S₅, S₆, S₇}</t>
        </is>
      </c>
      <c r="C56" s="85" t="str">
        <f>'Training &amp; Validation'!B19</f>
        <v>{S₁, S₂, S₅, S₆, S₇}</v>
      </c>
      <c r="D56" s="76" t="inlineStr">
        <is>
          <t xml:space="preserve">—</t>
        </is>
      </c>
      <c r="E56" s="95">
        <f>IF(C56=B56,1,0)</f>
        <v>1</v>
      </c>
    </row>
    <row r="57">
      <c r="A57" s="63" t="inlineStr">
        <is>
          <t xml:space="preserve">F · validation sample</t>
        </is>
      </c>
      <c r="B57" s="106" t="inlineStr">
        <is>
          <t xml:space="preserve">{S₃, S₄}</t>
        </is>
      </c>
      <c r="C57" s="85" t="str">
        <f>'Training &amp; Validation'!B20</f>
        <v>{S₃, S₄}</v>
      </c>
      <c r="D57" s="76" t="inlineStr">
        <is>
          <t xml:space="preserve">—</t>
        </is>
      </c>
      <c r="E57" s="95">
        <f>IF(C57=B57,1,0)</f>
        <v>1</v>
      </c>
    </row>
    <row r="58">
      <c r="A58" s="63" t="inlineStr">
        <is>
          <t xml:space="preserve">Cases that occur (of 17)</t>
        </is>
      </c>
      <c r="B58" s="104">
        <v>17</v>
      </c>
      <c r="C58" s="76">
        <f>SUM('Case Checklist'!D5:D21)</f>
        <v>17</v>
      </c>
      <c r="D58" s="76">
        <f>ABS(C58-B58)</f>
        <v>0</v>
      </c>
      <c r="E58" s="95">
        <f>IF(D58&lt;0.000000001,1,0)</f>
        <v>1</v>
      </c>
    </row>
    <row r="59">
      <c r="A59" s="90" t="inlineStr">
        <is>
          <t xml:space="preserve">All checks</t>
        </is>
      </c>
      <c r="B59" s="92" t="str">
        <f>SUM(E6:E58)&amp;" of 53 checks pass"&amp;IF(SUM(E6:E58)=53,"  ✓","  ⚠")</f>
        <v>53 of 53 checks pass  ✓</v>
      </c>
      <c r="C59" s="92"/>
      <c r="D59" s="92"/>
      <c r="E59" s="92"/>
    </row>
    <row r="60"/>
    <row r="61">
      <c r="A61" s="100" t="inlineStr">
        <is>
          <t xml:space="preserve">LibreOffice full recalculation of this file: all 3,631 formulas evaluate without errors, and every check above agrees with the engine (tolerance 1e-9).</t>
        </is>
      </c>
    </row>
    <row r="62">
      <c r="A62" s="100" t="inlineStr">
        <is>
          <t xml:space="preserve">Engine: erdrlab (Python) — data.load_csv, metric.distance_matrix (Zhuravlev, min–max over the selected objects, 10-decimal rounding), erdr.characteristics, erdr.run(D, y, k, ε, self_in_L, blocked_cover, step5), cases.detect.</t>
        </is>
      </c>
    </row>
    <row r="63">
      <c r="A63" s="100" t="inlineStr">
        <is>
          <t xml:space="preserve">The engine values on Object Selection, Readings (Switches), Article Table 1 Check and the 2-D map come from the same engine; they are the golden values for tests of the Python project.</t>
        </is>
      </c>
    </row>
  </sheetData>
  <mergeCells count="3">
    <mergeCell ref="A1:E1"/>
    <mergeCell ref="A3:E3"/>
    <mergeCell ref="B59:E59"/>
  </mergeCells>
  <conditionalFormatting sqref="E6:E58">
    <cfRule type="cellIs" dxfId="0" priority="1" operator="equal">
      <formula>1</formula>
    </cfRule>
  </conditionalFormatting>
  <conditionalFormatting sqref="E6:E58">
    <cfRule type="cellIs" dxfId="2" priority="2" operator="equal">
      <formula>0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Parameters</vt:lpstr>
      <vt:lpstr>Object Selection</vt:lpstr>
      <vt:lpstr>Source Dataset (270)</vt:lpstr>
      <vt:lpstr>Dataset</vt:lpstr>
      <vt:lpstr>Normalized Dataset</vt:lpstr>
      <vt:lpstr>Zhuravlev Distances</vt:lpstr>
      <vt:lpstr>Sorted Neighbors</vt:lpstr>
      <vt:lpstr>ERDR Characteristics</vt:lpstr>
      <vt:lpstr>Priority Queue</vt:lpstr>
      <vt:lpstr>ERDR Iterations</vt:lpstr>
      <vt:lpstr>ERDR Trace</vt:lpstr>
      <vt:lpstr>Case Checklist</vt:lpstr>
      <vt:lpstr>Training &amp; Validation</vt:lpstr>
      <vt:lpstr>Charts</vt:lpstr>
      <vt:lpstr>Readings (Switches)</vt:lpstr>
      <vt:lpstr>Article Table 1 Check</vt:lpstr>
      <vt:lpstr>Article Notes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ERDR Algorithm — Heart-Disease (7, 13, 2) selected from Heart-Disease (270, 13, 2)</dc:title>
  <dc:subject>ERDR (Enemy-Radius Density Reduction) training / validation split with the Zhuravlev metric — article §1.1</dc:subject>
  <dc:creator>Claude</dc:creator>
  <dcterms:created xsi:type="dcterms:W3CDTF">2026-10-10T08:00:00Z</dcterms:created>
  <dcterms:modified xsi:type="dcterms:W3CDTF">2026-10-10T08:00:00Z</dcterms:modified>
</cp:coreProperties>
</file>