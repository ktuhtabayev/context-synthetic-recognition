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8AEE141-5397-4319-A64C-77E6FFF9DBC7}" xr6:coauthVersionLast="47" xr6:coauthVersionMax="47" xr10:uidLastSave="{00000000-0000-0000-0000-000000000000}"/>
  <bookViews>
    <workbookView xWindow="-108" yWindow="-108" windowWidth="23256" windowHeight="13176" activeTab="0" xr2:uid="{00000000-000D-0000-FFFF-FFFF00000000}"/>
  </bookViews>
  <sheets>
    <sheet name="Overview" sheetId="25" r:id="rId15"/>
    <sheet name="Dataset" sheetId="1" r:id="rId1"/>
    <sheet name="Quantitative" sheetId="3" r:id="rId2"/>
    <sheet name="Nominal" sheetId="17" r:id="rId3"/>
    <sheet name="Dataset (Contribution &amp; Weight)" sheetId="4" r:id="rId4"/>
    <sheet name="Greedy upon Weight (1-Latent)" sheetId="20" r:id="rId5"/>
    <sheet name="Greedy upon Weight (2-Latent)" sheetId="21" r:id="rId6"/>
    <sheet name="Greedy upon Weight (3-Latent)" sheetId="22" r:id="rId7"/>
    <sheet name="Greedy upon Weight (4-Latent)" sheetId="23" r:id="rId8"/>
    <sheet name="Dataset for Meta-algorithm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0" i="17" l="1"/>
  <c r="I222" i="20"/>
  <c r="H47" i="20"/>
  <c r="B35" i="3"/>
  <c r="B83" i="3" s="1"/>
  <c r="H32" i="23"/>
  <c r="C77" i="3"/>
  <c r="C84" i="3"/>
  <c r="F71" i="20"/>
  <c r="H71" i="20" s="1"/>
  <c r="H222" i="20"/>
  <c r="I32" i="20"/>
  <c r="L35" i="20"/>
  <c r="M32" i="20"/>
  <c r="H34" i="20"/>
  <c r="H33" i="20"/>
  <c r="H32" i="20"/>
  <c r="J32" i="20" s="1"/>
  <c r="B55" i="17"/>
  <c r="B54" i="17"/>
  <c r="B47" i="17"/>
  <c r="B44" i="17"/>
  <c r="B48" i="17" s="1"/>
  <c r="I184" i="23"/>
  <c r="I177" i="23"/>
  <c r="I185" i="23"/>
  <c r="H180" i="23"/>
  <c r="O183" i="22"/>
  <c r="F156" i="23"/>
  <c r="F143" i="23"/>
  <c r="K122" i="23"/>
  <c r="J122" i="23"/>
  <c r="H127" i="23"/>
  <c r="F126" i="23"/>
  <c r="H126" i="23" s="1"/>
  <c r="I107" i="23"/>
  <c r="K107" i="23" s="1"/>
  <c r="F111" i="23"/>
  <c r="F112" i="23"/>
  <c r="H112" i="23" s="1"/>
  <c r="O41" i="21"/>
  <c r="O195" i="21"/>
  <c r="I92" i="23"/>
  <c r="K92" i="23" s="1"/>
  <c r="H92" i="23"/>
  <c r="F95" i="23"/>
  <c r="H95" i="23" s="1"/>
  <c r="N77" i="23"/>
  <c r="K77" i="23"/>
  <c r="I77" i="23"/>
  <c r="H78" i="23"/>
  <c r="F81" i="23"/>
  <c r="F63" i="23"/>
  <c r="H63" i="23" s="1"/>
  <c r="I32" i="23"/>
  <c r="K32" i="23" s="1"/>
  <c r="H38" i="23"/>
  <c r="F34" i="23"/>
  <c r="B19" i="23"/>
  <c r="D19" i="23"/>
  <c r="F186" i="23"/>
  <c r="H186" i="23" s="1"/>
  <c r="I186" i="23" s="1"/>
  <c r="F185" i="23"/>
  <c r="H185" i="23" s="1"/>
  <c r="F184" i="23"/>
  <c r="H184" i="23" s="1"/>
  <c r="F183" i="23"/>
  <c r="H183" i="23" s="1"/>
  <c r="I183" i="23" s="1"/>
  <c r="F182" i="23"/>
  <c r="H182" i="23" s="1"/>
  <c r="I182" i="23" s="1"/>
  <c r="F181" i="23"/>
  <c r="H181" i="23" s="1"/>
  <c r="I181" i="23" s="1"/>
  <c r="F180" i="23"/>
  <c r="I180" i="23" s="1"/>
  <c r="F179" i="23"/>
  <c r="H179" i="23" s="1"/>
  <c r="I179" i="23" s="1"/>
  <c r="F178" i="23"/>
  <c r="H178" i="23" s="1"/>
  <c r="I178" i="23" s="1"/>
  <c r="F177" i="23"/>
  <c r="H177" i="23" s="1"/>
  <c r="F161" i="23"/>
  <c r="H161" i="23" s="1"/>
  <c r="F160" i="23"/>
  <c r="H160" i="23" s="1"/>
  <c r="F159" i="23"/>
  <c r="H159" i="23" s="1"/>
  <c r="F158" i="23"/>
  <c r="H158" i="23" s="1"/>
  <c r="F157" i="23"/>
  <c r="H157" i="23" s="1"/>
  <c r="H156" i="23"/>
  <c r="F155" i="23"/>
  <c r="H155" i="23" s="1"/>
  <c r="F154" i="23"/>
  <c r="H154" i="23" s="1"/>
  <c r="F153" i="23"/>
  <c r="H153" i="23" s="1"/>
  <c r="I152" i="23"/>
  <c r="K152" i="23" s="1"/>
  <c r="F152" i="23"/>
  <c r="F146" i="23"/>
  <c r="H146" i="23" s="1"/>
  <c r="F145" i="23"/>
  <c r="H145" i="23" s="1"/>
  <c r="F144" i="23"/>
  <c r="H144" i="23" s="1"/>
  <c r="H143" i="23"/>
  <c r="F142" i="23"/>
  <c r="H142" i="23" s="1"/>
  <c r="F141" i="23"/>
  <c r="H141" i="23" s="1"/>
  <c r="F140" i="23"/>
  <c r="H140" i="23" s="1"/>
  <c r="F139" i="23"/>
  <c r="H139" i="23" s="1"/>
  <c r="F138" i="23"/>
  <c r="H138" i="23" s="1"/>
  <c r="I137" i="23"/>
  <c r="K137" i="23" s="1"/>
  <c r="F137" i="23"/>
  <c r="H137" i="23" s="1"/>
  <c r="F131" i="23"/>
  <c r="H131" i="23" s="1"/>
  <c r="F130" i="23"/>
  <c r="H130" i="23" s="1"/>
  <c r="F129" i="23"/>
  <c r="H129" i="23" s="1"/>
  <c r="F128" i="23"/>
  <c r="H128" i="23" s="1"/>
  <c r="F127" i="23"/>
  <c r="F125" i="23"/>
  <c r="H125" i="23" s="1"/>
  <c r="F124" i="23"/>
  <c r="H124" i="23" s="1"/>
  <c r="F123" i="23"/>
  <c r="H123" i="23" s="1"/>
  <c r="I122" i="23"/>
  <c r="F122" i="23"/>
  <c r="H122" i="23" s="1"/>
  <c r="N122" i="23" s="1"/>
  <c r="F116" i="23"/>
  <c r="H116" i="23" s="1"/>
  <c r="F115" i="23"/>
  <c r="H115" i="23" s="1"/>
  <c r="F114" i="23"/>
  <c r="H114" i="23" s="1"/>
  <c r="F113" i="23"/>
  <c r="H113" i="23" s="1"/>
  <c r="H111" i="23"/>
  <c r="F110" i="23"/>
  <c r="H110" i="23" s="1"/>
  <c r="F109" i="23"/>
  <c r="H109" i="23" s="1"/>
  <c r="F108" i="23"/>
  <c r="H108" i="23" s="1"/>
  <c r="F107" i="23"/>
  <c r="H107" i="23" s="1"/>
  <c r="F101" i="23"/>
  <c r="H101" i="23" s="1"/>
  <c r="F100" i="23"/>
  <c r="H100" i="23" s="1"/>
  <c r="F99" i="23"/>
  <c r="H99" i="23" s="1"/>
  <c r="F98" i="23"/>
  <c r="H98" i="23" s="1"/>
  <c r="F97" i="23"/>
  <c r="H97" i="23" s="1"/>
  <c r="F96" i="23"/>
  <c r="H96" i="23" s="1"/>
  <c r="F94" i="23"/>
  <c r="H94" i="23" s="1"/>
  <c r="F93" i="23"/>
  <c r="H93" i="23" s="1"/>
  <c r="F92" i="23"/>
  <c r="F86" i="23"/>
  <c r="H86" i="23" s="1"/>
  <c r="F85" i="23"/>
  <c r="H85" i="23" s="1"/>
  <c r="F84" i="23"/>
  <c r="H84" i="23" s="1"/>
  <c r="F83" i="23"/>
  <c r="H83" i="23" s="1"/>
  <c r="F82" i="23"/>
  <c r="H82" i="23" s="1"/>
  <c r="H81" i="23"/>
  <c r="F80" i="23"/>
  <c r="H80" i="23" s="1"/>
  <c r="F79" i="23"/>
  <c r="H79" i="23" s="1"/>
  <c r="F78" i="23"/>
  <c r="F77" i="23"/>
  <c r="H77" i="23" s="1"/>
  <c r="F71" i="23"/>
  <c r="H71" i="23" s="1"/>
  <c r="F70" i="23"/>
  <c r="H70" i="23" s="1"/>
  <c r="F69" i="23"/>
  <c r="H69" i="23" s="1"/>
  <c r="F68" i="23"/>
  <c r="H68" i="23" s="1"/>
  <c r="F67" i="23"/>
  <c r="H67" i="23" s="1"/>
  <c r="F66" i="23"/>
  <c r="H66" i="23" s="1"/>
  <c r="F65" i="23"/>
  <c r="H65" i="23" s="1"/>
  <c r="F64" i="23"/>
  <c r="H64" i="23" s="1"/>
  <c r="I62" i="23"/>
  <c r="K62" i="23" s="1"/>
  <c r="F62" i="23"/>
  <c r="H62" i="23" s="1"/>
  <c r="N62" i="23" s="1"/>
  <c r="F56" i="23"/>
  <c r="H56" i="23" s="1"/>
  <c r="F55" i="23"/>
  <c r="H55" i="23" s="1"/>
  <c r="F54" i="23"/>
  <c r="H54" i="23" s="1"/>
  <c r="F53" i="23"/>
  <c r="H53" i="23" s="1"/>
  <c r="F52" i="23"/>
  <c r="H52" i="23" s="1"/>
  <c r="F51" i="23"/>
  <c r="H51" i="23" s="1"/>
  <c r="F50" i="23"/>
  <c r="H50" i="23" s="1"/>
  <c r="F49" i="23"/>
  <c r="H49" i="23" s="1"/>
  <c r="F48" i="23"/>
  <c r="H48" i="23" s="1"/>
  <c r="I47" i="23"/>
  <c r="K47" i="23" s="1"/>
  <c r="F47" i="23"/>
  <c r="H47" i="23" s="1"/>
  <c r="F41" i="23"/>
  <c r="H41" i="23" s="1"/>
  <c r="F40" i="23"/>
  <c r="H40" i="23" s="1"/>
  <c r="F39" i="23"/>
  <c r="H39" i="23" s="1"/>
  <c r="F38" i="23"/>
  <c r="F37" i="23"/>
  <c r="H37" i="23" s="1"/>
  <c r="F36" i="23"/>
  <c r="H36" i="23" s="1"/>
  <c r="F35" i="23"/>
  <c r="H35" i="23" s="1"/>
  <c r="H34" i="23"/>
  <c r="F33" i="23"/>
  <c r="H33" i="23" s="1"/>
  <c r="F32" i="23"/>
  <c r="N19" i="23"/>
  <c r="M19" i="23"/>
  <c r="L19" i="23"/>
  <c r="K19" i="23"/>
  <c r="J19" i="23"/>
  <c r="I19" i="23"/>
  <c r="H19" i="23"/>
  <c r="G19" i="23"/>
  <c r="F19" i="23"/>
  <c r="E19" i="23"/>
  <c r="C19" i="23"/>
  <c r="N204" i="22"/>
  <c r="I192" i="22"/>
  <c r="I197" i="22"/>
  <c r="H194" i="22"/>
  <c r="F193" i="22"/>
  <c r="O192" i="22"/>
  <c r="O180" i="22"/>
  <c r="N175" i="22"/>
  <c r="M173" i="22"/>
  <c r="M167" i="22"/>
  <c r="L169" i="22"/>
  <c r="K172" i="22"/>
  <c r="J168" i="22"/>
  <c r="I173" i="22"/>
  <c r="H172" i="22"/>
  <c r="F170" i="22"/>
  <c r="H170" i="22" s="1"/>
  <c r="N161" i="22"/>
  <c r="M152" i="22"/>
  <c r="L159" i="22"/>
  <c r="K152" i="22"/>
  <c r="J157" i="22"/>
  <c r="I154" i="22"/>
  <c r="H155" i="22"/>
  <c r="N145" i="22"/>
  <c r="M139" i="22"/>
  <c r="K144" i="22"/>
  <c r="L140" i="22"/>
  <c r="J139" i="22"/>
  <c r="I143" i="22"/>
  <c r="H138" i="22"/>
  <c r="M122" i="22"/>
  <c r="M123" i="22" s="1"/>
  <c r="N122" i="22"/>
  <c r="L126" i="22"/>
  <c r="K122" i="22"/>
  <c r="J126" i="22"/>
  <c r="I128" i="22"/>
  <c r="H124" i="22"/>
  <c r="N113" i="22"/>
  <c r="M109" i="22"/>
  <c r="L116" i="22"/>
  <c r="K109" i="22"/>
  <c r="J114" i="22"/>
  <c r="I109" i="22"/>
  <c r="H112" i="22"/>
  <c r="F109" i="22"/>
  <c r="N100" i="22"/>
  <c r="M96" i="22"/>
  <c r="L92" i="22"/>
  <c r="K98" i="22"/>
  <c r="I97" i="22"/>
  <c r="H94" i="22"/>
  <c r="N82" i="22"/>
  <c r="M79" i="22"/>
  <c r="L83" i="22"/>
  <c r="K79" i="22"/>
  <c r="H84" i="22"/>
  <c r="I80" i="22"/>
  <c r="S49" i="22"/>
  <c r="S47" i="22"/>
  <c r="N49" i="22"/>
  <c r="M50" i="22"/>
  <c r="L51" i="22"/>
  <c r="K47" i="22"/>
  <c r="J52" i="22"/>
  <c r="I49" i="22"/>
  <c r="H47" i="22"/>
  <c r="F51" i="22"/>
  <c r="N34" i="22"/>
  <c r="M37" i="22"/>
  <c r="N32" i="22"/>
  <c r="M32" i="22"/>
  <c r="L35" i="22"/>
  <c r="K32" i="22"/>
  <c r="J37" i="22"/>
  <c r="I32" i="22"/>
  <c r="H35" i="22"/>
  <c r="F35" i="22"/>
  <c r="F201" i="22"/>
  <c r="H201" i="22" s="1"/>
  <c r="I201" i="22" s="1"/>
  <c r="F200" i="22"/>
  <c r="H200" i="22" s="1"/>
  <c r="I200" i="22" s="1"/>
  <c r="F199" i="22"/>
  <c r="H199" i="22" s="1"/>
  <c r="I199" i="22" s="1"/>
  <c r="F198" i="22"/>
  <c r="H198" i="22" s="1"/>
  <c r="I198" i="22" s="1"/>
  <c r="F197" i="22"/>
  <c r="H197" i="22" s="1"/>
  <c r="F196" i="22"/>
  <c r="H196" i="22" s="1"/>
  <c r="I196" i="22" s="1"/>
  <c r="F195" i="22"/>
  <c r="H195" i="22" s="1"/>
  <c r="I195" i="22" s="1"/>
  <c r="F194" i="22"/>
  <c r="I194" i="22" s="1"/>
  <c r="H193" i="22"/>
  <c r="I193" i="22" s="1"/>
  <c r="F192" i="22"/>
  <c r="H192" i="22" s="1"/>
  <c r="F176" i="22"/>
  <c r="H176" i="22" s="1"/>
  <c r="F175" i="22"/>
  <c r="H175" i="22" s="1"/>
  <c r="F174" i="22"/>
  <c r="H174" i="22" s="1"/>
  <c r="F173" i="22"/>
  <c r="H173" i="22" s="1"/>
  <c r="F172" i="22"/>
  <c r="F171" i="22"/>
  <c r="H171" i="22" s="1"/>
  <c r="F169" i="22"/>
  <c r="H169" i="22" s="1"/>
  <c r="F168" i="22"/>
  <c r="H168" i="22" s="1"/>
  <c r="I167" i="22"/>
  <c r="K167" i="22" s="1"/>
  <c r="F167" i="22"/>
  <c r="H167" i="22" s="1"/>
  <c r="F161" i="22"/>
  <c r="H161" i="22" s="1"/>
  <c r="F160" i="22"/>
  <c r="H160" i="22" s="1"/>
  <c r="F159" i="22"/>
  <c r="H159" i="22" s="1"/>
  <c r="F158" i="22"/>
  <c r="H158" i="22" s="1"/>
  <c r="F157" i="22"/>
  <c r="H157" i="22" s="1"/>
  <c r="F156" i="22"/>
  <c r="H156" i="22" s="1"/>
  <c r="F155" i="22"/>
  <c r="F154" i="22"/>
  <c r="H154" i="22" s="1"/>
  <c r="F153" i="22"/>
  <c r="H153" i="22" s="1"/>
  <c r="I152" i="22"/>
  <c r="F152" i="22"/>
  <c r="H152" i="22" s="1"/>
  <c r="F146" i="22"/>
  <c r="H146" i="22" s="1"/>
  <c r="F145" i="22"/>
  <c r="H145" i="22" s="1"/>
  <c r="F144" i="22"/>
  <c r="H144" i="22" s="1"/>
  <c r="F143" i="22"/>
  <c r="H143" i="22" s="1"/>
  <c r="F142" i="22"/>
  <c r="H142" i="22" s="1"/>
  <c r="F141" i="22"/>
  <c r="H141" i="22" s="1"/>
  <c r="F140" i="22"/>
  <c r="H140" i="22" s="1"/>
  <c r="F139" i="22"/>
  <c r="H139" i="22" s="1"/>
  <c r="F138" i="22"/>
  <c r="I137" i="22"/>
  <c r="K137" i="22" s="1"/>
  <c r="F137" i="22"/>
  <c r="H137" i="22" s="1"/>
  <c r="J137" i="22" s="1"/>
  <c r="L137" i="22" s="1"/>
  <c r="F131" i="22"/>
  <c r="H131" i="22" s="1"/>
  <c r="F130" i="22"/>
  <c r="H130" i="22" s="1"/>
  <c r="F129" i="22"/>
  <c r="H129" i="22" s="1"/>
  <c r="F128" i="22"/>
  <c r="H128" i="22" s="1"/>
  <c r="F127" i="22"/>
  <c r="H127" i="22" s="1"/>
  <c r="F126" i="22"/>
  <c r="H126" i="22" s="1"/>
  <c r="F125" i="22"/>
  <c r="H125" i="22" s="1"/>
  <c r="F124" i="22"/>
  <c r="F123" i="22"/>
  <c r="H123" i="22" s="1"/>
  <c r="I122" i="22"/>
  <c r="F122" i="22"/>
  <c r="H122" i="22" s="1"/>
  <c r="J122" i="22" s="1"/>
  <c r="J123" i="22" s="1"/>
  <c r="L123" i="22" s="1"/>
  <c r="F116" i="22"/>
  <c r="H116" i="22" s="1"/>
  <c r="F115" i="22"/>
  <c r="H115" i="22" s="1"/>
  <c r="F114" i="22"/>
  <c r="H114" i="22" s="1"/>
  <c r="F113" i="22"/>
  <c r="H113" i="22" s="1"/>
  <c r="F112" i="22"/>
  <c r="F111" i="22"/>
  <c r="H111" i="22" s="1"/>
  <c r="F110" i="22"/>
  <c r="H110" i="22" s="1"/>
  <c r="H109" i="22"/>
  <c r="F108" i="22"/>
  <c r="H108" i="22" s="1"/>
  <c r="I107" i="22"/>
  <c r="K107" i="22" s="1"/>
  <c r="F107" i="22"/>
  <c r="H107" i="22" s="1"/>
  <c r="F101" i="22"/>
  <c r="H101" i="22" s="1"/>
  <c r="F100" i="22"/>
  <c r="H100" i="22" s="1"/>
  <c r="F99" i="22"/>
  <c r="H99" i="22" s="1"/>
  <c r="F98" i="22"/>
  <c r="H98" i="22" s="1"/>
  <c r="F97" i="22"/>
  <c r="H97" i="22" s="1"/>
  <c r="F96" i="22"/>
  <c r="H96" i="22" s="1"/>
  <c r="F95" i="22"/>
  <c r="H95" i="22" s="1"/>
  <c r="F94" i="22"/>
  <c r="F93" i="22"/>
  <c r="H93" i="22" s="1"/>
  <c r="I92" i="22"/>
  <c r="K92" i="22" s="1"/>
  <c r="F92" i="22"/>
  <c r="H92" i="22" s="1"/>
  <c r="J92" i="22" s="1"/>
  <c r="F86" i="22"/>
  <c r="H86" i="22" s="1"/>
  <c r="F85" i="22"/>
  <c r="H85" i="22" s="1"/>
  <c r="F84" i="22"/>
  <c r="F83" i="22"/>
  <c r="H83" i="22" s="1"/>
  <c r="F82" i="22"/>
  <c r="H82" i="22" s="1"/>
  <c r="F81" i="22"/>
  <c r="H81" i="22" s="1"/>
  <c r="F80" i="22"/>
  <c r="H80" i="22" s="1"/>
  <c r="F79" i="22"/>
  <c r="H79" i="22" s="1"/>
  <c r="F78" i="22"/>
  <c r="H78" i="22" s="1"/>
  <c r="I77" i="22"/>
  <c r="K77" i="22" s="1"/>
  <c r="F77" i="22"/>
  <c r="H77" i="22" s="1"/>
  <c r="F71" i="22"/>
  <c r="H71" i="22" s="1"/>
  <c r="F70" i="22"/>
  <c r="H70" i="22" s="1"/>
  <c r="F69" i="22"/>
  <c r="H69" i="22" s="1"/>
  <c r="F68" i="22"/>
  <c r="H68" i="22" s="1"/>
  <c r="F67" i="22"/>
  <c r="H67" i="22" s="1"/>
  <c r="F66" i="22"/>
  <c r="H66" i="22" s="1"/>
  <c r="F65" i="22"/>
  <c r="H65" i="22" s="1"/>
  <c r="F64" i="22"/>
  <c r="H64" i="22" s="1"/>
  <c r="F63" i="22"/>
  <c r="H63" i="22" s="1"/>
  <c r="I62" i="22"/>
  <c r="K62" i="22" s="1"/>
  <c r="F62" i="22"/>
  <c r="H62" i="22" s="1"/>
  <c r="F56" i="22"/>
  <c r="H56" i="22" s="1"/>
  <c r="F55" i="22"/>
  <c r="H55" i="22" s="1"/>
  <c r="F54" i="22"/>
  <c r="H54" i="22" s="1"/>
  <c r="F53" i="22"/>
  <c r="H53" i="22" s="1"/>
  <c r="F52" i="22"/>
  <c r="H52" i="22" s="1"/>
  <c r="H51" i="22"/>
  <c r="F50" i="22"/>
  <c r="H50" i="22" s="1"/>
  <c r="F49" i="22"/>
  <c r="H49" i="22" s="1"/>
  <c r="F48" i="22"/>
  <c r="H48" i="22" s="1"/>
  <c r="I47" i="22"/>
  <c r="F47" i="22"/>
  <c r="J47" i="22" s="1"/>
  <c r="L47" i="22" s="1"/>
  <c r="F41" i="22"/>
  <c r="H41" i="22" s="1"/>
  <c r="F40" i="22"/>
  <c r="H40" i="22" s="1"/>
  <c r="F39" i="22"/>
  <c r="H39" i="22" s="1"/>
  <c r="F38" i="22"/>
  <c r="H38" i="22" s="1"/>
  <c r="F37" i="22"/>
  <c r="H37" i="22" s="1"/>
  <c r="F36" i="22"/>
  <c r="H36" i="22" s="1"/>
  <c r="H34" i="22"/>
  <c r="F34" i="22"/>
  <c r="F33" i="22"/>
  <c r="H33" i="22" s="1"/>
  <c r="F32" i="22"/>
  <c r="H32" i="22" s="1"/>
  <c r="J32" i="22" s="1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I215" i="21"/>
  <c r="I211" i="21"/>
  <c r="H213" i="21"/>
  <c r="F211" i="21"/>
  <c r="I227" i="20"/>
  <c r="H229" i="20"/>
  <c r="H225" i="20"/>
  <c r="F224" i="20"/>
  <c r="I207" i="21"/>
  <c r="I214" i="21"/>
  <c r="H207" i="21"/>
  <c r="F212" i="21"/>
  <c r="F216" i="21"/>
  <c r="H216" i="21" s="1"/>
  <c r="I216" i="21" s="1"/>
  <c r="F215" i="21"/>
  <c r="H215" i="21" s="1"/>
  <c r="F214" i="21"/>
  <c r="H214" i="21" s="1"/>
  <c r="F213" i="21"/>
  <c r="I213" i="21" s="1"/>
  <c r="H212" i="21"/>
  <c r="I212" i="21" s="1"/>
  <c r="H211" i="21"/>
  <c r="F210" i="21"/>
  <c r="H210" i="21" s="1"/>
  <c r="I210" i="21" s="1"/>
  <c r="F209" i="21"/>
  <c r="H209" i="21" s="1"/>
  <c r="I209" i="21" s="1"/>
  <c r="F208" i="21"/>
  <c r="H208" i="21" s="1"/>
  <c r="I208" i="21" s="1"/>
  <c r="F207" i="21"/>
  <c r="H182" i="21"/>
  <c r="F187" i="21"/>
  <c r="F191" i="21"/>
  <c r="H191" i="21" s="1"/>
  <c r="F190" i="21"/>
  <c r="H190" i="21" s="1"/>
  <c r="F189" i="21"/>
  <c r="H189" i="21" s="1"/>
  <c r="F188" i="21"/>
  <c r="H188" i="21" s="1"/>
  <c r="H187" i="21"/>
  <c r="F186" i="21"/>
  <c r="H186" i="21" s="1"/>
  <c r="F185" i="21"/>
  <c r="H185" i="21" s="1"/>
  <c r="F184" i="21"/>
  <c r="H184" i="21" s="1"/>
  <c r="F183" i="21"/>
  <c r="H183" i="21" s="1"/>
  <c r="I182" i="21"/>
  <c r="K182" i="21" s="1"/>
  <c r="N182" i="21" s="1"/>
  <c r="F182" i="21"/>
  <c r="N173" i="21"/>
  <c r="N168" i="21"/>
  <c r="N169" i="21"/>
  <c r="N170" i="21" s="1"/>
  <c r="N171" i="21" s="1"/>
  <c r="N172" i="21" s="1"/>
  <c r="N174" i="21" s="1"/>
  <c r="N175" i="21" s="1"/>
  <c r="N176" i="21" s="1"/>
  <c r="M168" i="21"/>
  <c r="M169" i="21"/>
  <c r="M170" i="21"/>
  <c r="M171" i="21"/>
  <c r="M172" i="21" s="1"/>
  <c r="M173" i="21" s="1"/>
  <c r="M174" i="21" s="1"/>
  <c r="M175" i="21" s="1"/>
  <c r="M176" i="21" s="1"/>
  <c r="N167" i="21"/>
  <c r="M167" i="21"/>
  <c r="L168" i="21"/>
  <c r="L169" i="21"/>
  <c r="L170" i="21"/>
  <c r="L171" i="21"/>
  <c r="L172" i="21"/>
  <c r="L173" i="21"/>
  <c r="L174" i="21"/>
  <c r="L175" i="21"/>
  <c r="L176" i="21"/>
  <c r="K168" i="21"/>
  <c r="K169" i="21"/>
  <c r="K170" i="21"/>
  <c r="K171" i="21"/>
  <c r="K172" i="21"/>
  <c r="K173" i="21"/>
  <c r="K174" i="21"/>
  <c r="K175" i="21"/>
  <c r="K176" i="21"/>
  <c r="L167" i="21"/>
  <c r="K167" i="21"/>
  <c r="J174" i="21"/>
  <c r="I169" i="21"/>
  <c r="H174" i="21"/>
  <c r="F169" i="21"/>
  <c r="F176" i="21"/>
  <c r="H176" i="21" s="1"/>
  <c r="F175" i="21"/>
  <c r="H175" i="21" s="1"/>
  <c r="F174" i="21"/>
  <c r="F173" i="21"/>
  <c r="H173" i="21" s="1"/>
  <c r="F172" i="21"/>
  <c r="H172" i="21" s="1"/>
  <c r="F171" i="21"/>
  <c r="H171" i="21" s="1"/>
  <c r="F170" i="21"/>
  <c r="H170" i="21" s="1"/>
  <c r="H169" i="21"/>
  <c r="F168" i="21"/>
  <c r="H168" i="21" s="1"/>
  <c r="I167" i="21"/>
  <c r="F167" i="21"/>
  <c r="H167" i="21" s="1"/>
  <c r="N153" i="21"/>
  <c r="N154" i="21"/>
  <c r="N155" i="21"/>
  <c r="N156" i="21"/>
  <c r="N157" i="21" s="1"/>
  <c r="N158" i="21" s="1"/>
  <c r="N159" i="21" s="1"/>
  <c r="N160" i="21" s="1"/>
  <c r="N161" i="21" s="1"/>
  <c r="M153" i="21"/>
  <c r="M154" i="21" s="1"/>
  <c r="M155" i="21" s="1"/>
  <c r="M156" i="21" s="1"/>
  <c r="M157" i="21" s="1"/>
  <c r="M158" i="21" s="1"/>
  <c r="M159" i="21" s="1"/>
  <c r="M160" i="21" s="1"/>
  <c r="M161" i="21" s="1"/>
  <c r="N152" i="21"/>
  <c r="M152" i="21"/>
  <c r="L153" i="21"/>
  <c r="L154" i="21"/>
  <c r="L155" i="21"/>
  <c r="L156" i="21"/>
  <c r="L157" i="21"/>
  <c r="L158" i="21"/>
  <c r="L159" i="21"/>
  <c r="L160" i="21"/>
  <c r="L161" i="21"/>
  <c r="K153" i="21"/>
  <c r="K154" i="21"/>
  <c r="K155" i="21"/>
  <c r="K156" i="21"/>
  <c r="K157" i="21"/>
  <c r="K158" i="21"/>
  <c r="K159" i="21"/>
  <c r="K160" i="21"/>
  <c r="K161" i="21"/>
  <c r="L152" i="21"/>
  <c r="K152" i="21"/>
  <c r="J159" i="21"/>
  <c r="I155" i="21"/>
  <c r="H156" i="21"/>
  <c r="F155" i="21"/>
  <c r="F161" i="21"/>
  <c r="H161" i="21" s="1"/>
  <c r="F160" i="21"/>
  <c r="H160" i="21" s="1"/>
  <c r="F159" i="21"/>
  <c r="H159" i="21" s="1"/>
  <c r="F158" i="21"/>
  <c r="H158" i="21" s="1"/>
  <c r="F157" i="21"/>
  <c r="H157" i="21" s="1"/>
  <c r="F156" i="21"/>
  <c r="H155" i="21"/>
  <c r="F154" i="21"/>
  <c r="H154" i="21" s="1"/>
  <c r="F153" i="21"/>
  <c r="H153" i="21" s="1"/>
  <c r="I152" i="21"/>
  <c r="F152" i="21"/>
  <c r="H152" i="21" s="1"/>
  <c r="N138" i="21"/>
  <c r="N139" i="21" s="1"/>
  <c r="N140" i="21" s="1"/>
  <c r="N141" i="21" s="1"/>
  <c r="N142" i="21" s="1"/>
  <c r="N143" i="21" s="1"/>
  <c r="N144" i="21" s="1"/>
  <c r="N145" i="21" s="1"/>
  <c r="N146" i="21" s="1"/>
  <c r="M138" i="21"/>
  <c r="M139" i="21"/>
  <c r="M140" i="21"/>
  <c r="M141" i="21"/>
  <c r="M142" i="21" s="1"/>
  <c r="M143" i="21" s="1"/>
  <c r="M144" i="21" s="1"/>
  <c r="M145" i="21" s="1"/>
  <c r="M146" i="21" s="1"/>
  <c r="N137" i="21"/>
  <c r="M137" i="21"/>
  <c r="L138" i="21"/>
  <c r="L139" i="21"/>
  <c r="L140" i="21"/>
  <c r="L141" i="21"/>
  <c r="L142" i="21"/>
  <c r="L143" i="21"/>
  <c r="L144" i="21"/>
  <c r="L145" i="21"/>
  <c r="L146" i="21"/>
  <c r="K138" i="21"/>
  <c r="K139" i="21"/>
  <c r="K140" i="21"/>
  <c r="K141" i="21"/>
  <c r="K142" i="21"/>
  <c r="K143" i="21"/>
  <c r="K144" i="21"/>
  <c r="K145" i="21"/>
  <c r="K146" i="21"/>
  <c r="L137" i="21"/>
  <c r="K137" i="21"/>
  <c r="J140" i="21"/>
  <c r="I143" i="21"/>
  <c r="H139" i="21"/>
  <c r="F140" i="21"/>
  <c r="F146" i="21"/>
  <c r="H146" i="21" s="1"/>
  <c r="F145" i="21"/>
  <c r="H145" i="21" s="1"/>
  <c r="F144" i="21"/>
  <c r="H144" i="21" s="1"/>
  <c r="F143" i="21"/>
  <c r="H143" i="21" s="1"/>
  <c r="F142" i="21"/>
  <c r="H142" i="21" s="1"/>
  <c r="F141" i="21"/>
  <c r="H141" i="21" s="1"/>
  <c r="H140" i="21"/>
  <c r="F139" i="21"/>
  <c r="F138" i="21"/>
  <c r="H138" i="21" s="1"/>
  <c r="I137" i="21"/>
  <c r="F137" i="21"/>
  <c r="H137" i="21" s="1"/>
  <c r="N128" i="21"/>
  <c r="M130" i="21"/>
  <c r="N123" i="21"/>
  <c r="N124" i="21"/>
  <c r="N125" i="21" s="1"/>
  <c r="N126" i="21" s="1"/>
  <c r="N127" i="21" s="1"/>
  <c r="N129" i="21" s="1"/>
  <c r="N130" i="21" s="1"/>
  <c r="N131" i="21" s="1"/>
  <c r="M123" i="21"/>
  <c r="M124" i="21"/>
  <c r="M125" i="21"/>
  <c r="M126" i="21" s="1"/>
  <c r="M127" i="21" s="1"/>
  <c r="M128" i="21" s="1"/>
  <c r="M129" i="21" s="1"/>
  <c r="M131" i="21" s="1"/>
  <c r="N122" i="21"/>
  <c r="M122" i="21"/>
  <c r="L127" i="21"/>
  <c r="L123" i="21"/>
  <c r="L124" i="21"/>
  <c r="L125" i="21"/>
  <c r="L126" i="21"/>
  <c r="L128" i="21"/>
  <c r="L129" i="21"/>
  <c r="L130" i="21"/>
  <c r="L131" i="21"/>
  <c r="K123" i="21"/>
  <c r="K124" i="21"/>
  <c r="K125" i="21"/>
  <c r="K126" i="21"/>
  <c r="K127" i="21"/>
  <c r="K128" i="21"/>
  <c r="K129" i="21"/>
  <c r="K130" i="21"/>
  <c r="K131" i="21"/>
  <c r="L122" i="21"/>
  <c r="K122" i="21"/>
  <c r="J129" i="21"/>
  <c r="I126" i="21"/>
  <c r="H122" i="21"/>
  <c r="F127" i="21"/>
  <c r="F131" i="21"/>
  <c r="H131" i="21" s="1"/>
  <c r="F130" i="21"/>
  <c r="H130" i="21" s="1"/>
  <c r="F129" i="21"/>
  <c r="H129" i="21" s="1"/>
  <c r="F128" i="21"/>
  <c r="H128" i="21" s="1"/>
  <c r="H127" i="21"/>
  <c r="F126" i="21"/>
  <c r="H126" i="21" s="1"/>
  <c r="F125" i="21"/>
  <c r="H125" i="21" s="1"/>
  <c r="F124" i="21"/>
  <c r="H124" i="21" s="1"/>
  <c r="F123" i="21"/>
  <c r="H123" i="21" s="1"/>
  <c r="I122" i="21"/>
  <c r="F122" i="21"/>
  <c r="N108" i="21"/>
  <c r="N109" i="21" s="1"/>
  <c r="N110" i="21" s="1"/>
  <c r="N111" i="21" s="1"/>
  <c r="N112" i="21" s="1"/>
  <c r="N113" i="21" s="1"/>
  <c r="N114" i="21" s="1"/>
  <c r="N115" i="21" s="1"/>
  <c r="N116" i="21" s="1"/>
  <c r="M108" i="21"/>
  <c r="M109" i="21"/>
  <c r="M110" i="21" s="1"/>
  <c r="M111" i="21" s="1"/>
  <c r="M112" i="21" s="1"/>
  <c r="M113" i="21" s="1"/>
  <c r="M114" i="21" s="1"/>
  <c r="M115" i="21" s="1"/>
  <c r="M116" i="21" s="1"/>
  <c r="N107" i="21"/>
  <c r="M107" i="21"/>
  <c r="L114" i="21"/>
  <c r="L115" i="21"/>
  <c r="L108" i="21"/>
  <c r="L109" i="21"/>
  <c r="L110" i="21"/>
  <c r="L111" i="21"/>
  <c r="L112" i="21"/>
  <c r="L113" i="21"/>
  <c r="L116" i="21"/>
  <c r="K108" i="21"/>
  <c r="K109" i="21"/>
  <c r="K110" i="21"/>
  <c r="K111" i="21"/>
  <c r="K112" i="21"/>
  <c r="K113" i="21"/>
  <c r="K114" i="21"/>
  <c r="K115" i="21"/>
  <c r="K116" i="21"/>
  <c r="L107" i="21"/>
  <c r="K107" i="21"/>
  <c r="J113" i="21"/>
  <c r="I107" i="21"/>
  <c r="H112" i="21"/>
  <c r="F110" i="21"/>
  <c r="F116" i="21"/>
  <c r="H116" i="21" s="1"/>
  <c r="F115" i="21"/>
  <c r="H115" i="21" s="1"/>
  <c r="F114" i="21"/>
  <c r="H114" i="21" s="1"/>
  <c r="F113" i="21"/>
  <c r="H113" i="21" s="1"/>
  <c r="F112" i="21"/>
  <c r="F111" i="21"/>
  <c r="H111" i="21" s="1"/>
  <c r="H110" i="21"/>
  <c r="F109" i="21"/>
  <c r="H109" i="21" s="1"/>
  <c r="F108" i="21"/>
  <c r="H108" i="21" s="1"/>
  <c r="F107" i="21"/>
  <c r="H107" i="21" s="1"/>
  <c r="S94" i="21"/>
  <c r="O101" i="21"/>
  <c r="M97" i="21"/>
  <c r="N100" i="21"/>
  <c r="N93" i="21"/>
  <c r="N94" i="21"/>
  <c r="N95" i="21"/>
  <c r="N96" i="21"/>
  <c r="N97" i="21" s="1"/>
  <c r="N98" i="21" s="1"/>
  <c r="N99" i="21" s="1"/>
  <c r="N101" i="21" s="1"/>
  <c r="M93" i="21"/>
  <c r="M94" i="21"/>
  <c r="M95" i="21"/>
  <c r="M96" i="21"/>
  <c r="M98" i="21" s="1"/>
  <c r="M99" i="21" s="1"/>
  <c r="M100" i="21" s="1"/>
  <c r="M101" i="21" s="1"/>
  <c r="N92" i="21"/>
  <c r="M92" i="21"/>
  <c r="L93" i="21"/>
  <c r="L94" i="21"/>
  <c r="L95" i="21"/>
  <c r="L96" i="21"/>
  <c r="L97" i="21"/>
  <c r="L98" i="21"/>
  <c r="L99" i="21"/>
  <c r="L100" i="21"/>
  <c r="L101" i="21"/>
  <c r="L92" i="21"/>
  <c r="K93" i="21"/>
  <c r="K94" i="21"/>
  <c r="K95" i="21"/>
  <c r="K96" i="21"/>
  <c r="K97" i="21"/>
  <c r="K98" i="21"/>
  <c r="K99" i="21"/>
  <c r="K100" i="21"/>
  <c r="K101" i="21"/>
  <c r="K92" i="21"/>
  <c r="J96" i="21"/>
  <c r="I92" i="21"/>
  <c r="H94" i="21"/>
  <c r="F93" i="21"/>
  <c r="F101" i="21"/>
  <c r="H101" i="21" s="1"/>
  <c r="F100" i="21"/>
  <c r="H100" i="21" s="1"/>
  <c r="F99" i="21"/>
  <c r="H99" i="21" s="1"/>
  <c r="F98" i="21"/>
  <c r="H98" i="21" s="1"/>
  <c r="F97" i="21"/>
  <c r="H97" i="21" s="1"/>
  <c r="F96" i="21"/>
  <c r="H96" i="21" s="1"/>
  <c r="F95" i="21"/>
  <c r="H95" i="21" s="1"/>
  <c r="F94" i="21"/>
  <c r="H93" i="21"/>
  <c r="F92" i="21"/>
  <c r="H92" i="21" s="1"/>
  <c r="N86" i="21"/>
  <c r="S49" i="21"/>
  <c r="S47" i="21"/>
  <c r="M38" i="21"/>
  <c r="I37" i="21"/>
  <c r="I38" i="21" s="1"/>
  <c r="K38" i="21" s="1"/>
  <c r="N81" i="21"/>
  <c r="N78" i="21"/>
  <c r="N79" i="21" s="1"/>
  <c r="N80" i="21" s="1"/>
  <c r="N77" i="21"/>
  <c r="M78" i="21"/>
  <c r="M79" i="21"/>
  <c r="M80" i="21" s="1"/>
  <c r="M81" i="21" s="1"/>
  <c r="M82" i="21" s="1"/>
  <c r="M83" i="21" s="1"/>
  <c r="M84" i="21" s="1"/>
  <c r="M85" i="21" s="1"/>
  <c r="M86" i="21" s="1"/>
  <c r="M77" i="21"/>
  <c r="L81" i="21"/>
  <c r="K77" i="21"/>
  <c r="J80" i="21"/>
  <c r="I77" i="21"/>
  <c r="H78" i="21"/>
  <c r="F80" i="21"/>
  <c r="N63" i="21"/>
  <c r="N64" i="21" s="1"/>
  <c r="N65" i="21" s="1"/>
  <c r="N66" i="21" s="1"/>
  <c r="N67" i="21" s="1"/>
  <c r="N68" i="21" s="1"/>
  <c r="N69" i="21" s="1"/>
  <c r="N70" i="21" s="1"/>
  <c r="N71" i="21" s="1"/>
  <c r="N62" i="21"/>
  <c r="M63" i="21"/>
  <c r="M64" i="21"/>
  <c r="M65" i="21" s="1"/>
  <c r="M66" i="21" s="1"/>
  <c r="M67" i="21" s="1"/>
  <c r="M68" i="21" s="1"/>
  <c r="M69" i="21" s="1"/>
  <c r="M70" i="21" s="1"/>
  <c r="M71" i="21" s="1"/>
  <c r="M62" i="21"/>
  <c r="L66" i="21"/>
  <c r="K62" i="21"/>
  <c r="J70" i="21"/>
  <c r="I64" i="21"/>
  <c r="H67" i="21"/>
  <c r="F52" i="21"/>
  <c r="H52" i="21"/>
  <c r="N48" i="21"/>
  <c r="N49" i="21" s="1"/>
  <c r="N50" i="21" s="1"/>
  <c r="N51" i="21" s="1"/>
  <c r="N47" i="21"/>
  <c r="M48" i="21"/>
  <c r="M49" i="21"/>
  <c r="M50" i="21" s="1"/>
  <c r="M51" i="21" s="1"/>
  <c r="M47" i="21"/>
  <c r="K47" i="21"/>
  <c r="I47" i="21"/>
  <c r="N35" i="21"/>
  <c r="N33" i="21"/>
  <c r="N34" i="21"/>
  <c r="N36" i="21" s="1"/>
  <c r="N37" i="21" s="1"/>
  <c r="N32" i="21"/>
  <c r="M33" i="21"/>
  <c r="M34" i="21" s="1"/>
  <c r="M35" i="21" s="1"/>
  <c r="M36" i="21" s="1"/>
  <c r="M32" i="21"/>
  <c r="K33" i="21"/>
  <c r="L39" i="21"/>
  <c r="L32" i="21"/>
  <c r="K32" i="21"/>
  <c r="J40" i="21"/>
  <c r="I32" i="21"/>
  <c r="L19" i="21"/>
  <c r="H19" i="21"/>
  <c r="B19" i="21"/>
  <c r="H86" i="21"/>
  <c r="F86" i="21"/>
  <c r="F85" i="21"/>
  <c r="H85" i="21" s="1"/>
  <c r="F84" i="21"/>
  <c r="H84" i="21" s="1"/>
  <c r="F83" i="21"/>
  <c r="H83" i="21" s="1"/>
  <c r="F82" i="21"/>
  <c r="H82" i="21" s="1"/>
  <c r="F81" i="21"/>
  <c r="H81" i="21" s="1"/>
  <c r="H80" i="21"/>
  <c r="F79" i="21"/>
  <c r="H79" i="21" s="1"/>
  <c r="F78" i="21"/>
  <c r="F77" i="21"/>
  <c r="H77" i="21" s="1"/>
  <c r="F71" i="21"/>
  <c r="H71" i="21" s="1"/>
  <c r="F70" i="21"/>
  <c r="H70" i="21" s="1"/>
  <c r="F69" i="21"/>
  <c r="H69" i="21" s="1"/>
  <c r="F68" i="21"/>
  <c r="H68" i="21" s="1"/>
  <c r="F67" i="21"/>
  <c r="F66" i="21"/>
  <c r="H66" i="21" s="1"/>
  <c r="F65" i="21"/>
  <c r="H65" i="21" s="1"/>
  <c r="F64" i="21"/>
  <c r="H64" i="21" s="1"/>
  <c r="F63" i="21"/>
  <c r="H63" i="21" s="1"/>
  <c r="I62" i="21"/>
  <c r="F62" i="21"/>
  <c r="H62" i="21" s="1"/>
  <c r="F56" i="21"/>
  <c r="H56" i="21" s="1"/>
  <c r="F55" i="21"/>
  <c r="H55" i="21" s="1"/>
  <c r="F54" i="21"/>
  <c r="H54" i="21" s="1"/>
  <c r="F53" i="21"/>
  <c r="H53" i="21" s="1"/>
  <c r="F51" i="21"/>
  <c r="H51" i="21" s="1"/>
  <c r="F50" i="21"/>
  <c r="H50" i="21" s="1"/>
  <c r="F49" i="21"/>
  <c r="H49" i="21" s="1"/>
  <c r="F48" i="21"/>
  <c r="H48" i="21" s="1"/>
  <c r="F47" i="21"/>
  <c r="H47" i="21" s="1"/>
  <c r="F41" i="21"/>
  <c r="H41" i="21" s="1"/>
  <c r="F40" i="21"/>
  <c r="H40" i="21" s="1"/>
  <c r="F39" i="21"/>
  <c r="H39" i="21" s="1"/>
  <c r="F38" i="21"/>
  <c r="H38" i="21" s="1"/>
  <c r="F37" i="21"/>
  <c r="H37" i="21" s="1"/>
  <c r="F36" i="21"/>
  <c r="H36" i="21" s="1"/>
  <c r="F35" i="21"/>
  <c r="H35" i="21" s="1"/>
  <c r="F34" i="21"/>
  <c r="H34" i="21" s="1"/>
  <c r="F33" i="21"/>
  <c r="H33" i="21" s="1"/>
  <c r="F32" i="21"/>
  <c r="H32" i="21" s="1"/>
  <c r="N19" i="21"/>
  <c r="M19" i="21"/>
  <c r="K19" i="21"/>
  <c r="J19" i="21"/>
  <c r="I19" i="21"/>
  <c r="G19" i="21"/>
  <c r="F19" i="21"/>
  <c r="E19" i="21"/>
  <c r="D19" i="21"/>
  <c r="C19" i="21"/>
  <c r="J197" i="20"/>
  <c r="I197" i="20"/>
  <c r="K197" i="20" s="1"/>
  <c r="N197" i="20" s="1"/>
  <c r="F230" i="20"/>
  <c r="H230" i="20" s="1"/>
  <c r="I230" i="20" s="1"/>
  <c r="N167" i="20"/>
  <c r="N122" i="20"/>
  <c r="K182" i="20"/>
  <c r="K184" i="20"/>
  <c r="K185" i="20"/>
  <c r="K152" i="20"/>
  <c r="N152" i="20" s="1"/>
  <c r="K137" i="20"/>
  <c r="K92" i="20"/>
  <c r="N92" i="20" s="1"/>
  <c r="I182" i="20"/>
  <c r="I183" i="20" s="1"/>
  <c r="I184" i="20" s="1"/>
  <c r="I185" i="20" s="1"/>
  <c r="I167" i="20"/>
  <c r="K167" i="20" s="1"/>
  <c r="I152" i="20"/>
  <c r="I137" i="20"/>
  <c r="J122" i="20"/>
  <c r="L122" i="20" s="1"/>
  <c r="M122" i="20" s="1"/>
  <c r="I122" i="20"/>
  <c r="K122" i="20" s="1"/>
  <c r="H141" i="20"/>
  <c r="J123" i="20"/>
  <c r="J107" i="20"/>
  <c r="J108" i="20" s="1"/>
  <c r="I123" i="20"/>
  <c r="I107" i="20"/>
  <c r="I92" i="20"/>
  <c r="I77" i="20"/>
  <c r="K77" i="20" s="1"/>
  <c r="E62" i="17"/>
  <c r="I78" i="20"/>
  <c r="I62" i="20"/>
  <c r="K62" i="20" s="1"/>
  <c r="I47" i="20"/>
  <c r="K47" i="20" s="1"/>
  <c r="K32" i="20"/>
  <c r="H51" i="20"/>
  <c r="F50" i="20"/>
  <c r="H50" i="20" s="1"/>
  <c r="F231" i="20"/>
  <c r="H231" i="20" s="1"/>
  <c r="I231" i="20" s="1"/>
  <c r="F229" i="20"/>
  <c r="I229" i="20" s="1"/>
  <c r="F228" i="20"/>
  <c r="H228" i="20" s="1"/>
  <c r="F227" i="20"/>
  <c r="H227" i="20" s="1"/>
  <c r="F226" i="20"/>
  <c r="H226" i="20" s="1"/>
  <c r="I226" i="20" s="1"/>
  <c r="F225" i="20"/>
  <c r="I225" i="20" s="1"/>
  <c r="H224" i="20"/>
  <c r="I224" i="20" s="1"/>
  <c r="F223" i="20"/>
  <c r="H223" i="20" s="1"/>
  <c r="I223" i="20" s="1"/>
  <c r="F222" i="20"/>
  <c r="F206" i="20"/>
  <c r="H206" i="20" s="1"/>
  <c r="F205" i="20"/>
  <c r="H205" i="20" s="1"/>
  <c r="F204" i="20"/>
  <c r="H204" i="20" s="1"/>
  <c r="F203" i="20"/>
  <c r="H203" i="20" s="1"/>
  <c r="F202" i="20"/>
  <c r="H202" i="20" s="1"/>
  <c r="F201" i="20"/>
  <c r="H201" i="20" s="1"/>
  <c r="F200" i="20"/>
  <c r="H200" i="20" s="1"/>
  <c r="F199" i="20"/>
  <c r="H199" i="20" s="1"/>
  <c r="F198" i="20"/>
  <c r="H198" i="20" s="1"/>
  <c r="I198" i="20" s="1"/>
  <c r="H197" i="20"/>
  <c r="F197" i="20"/>
  <c r="F191" i="20"/>
  <c r="H191" i="20" s="1"/>
  <c r="F190" i="20"/>
  <c r="H190" i="20" s="1"/>
  <c r="H189" i="20"/>
  <c r="F189" i="20"/>
  <c r="F188" i="20"/>
  <c r="H188" i="20" s="1"/>
  <c r="F187" i="20"/>
  <c r="H187" i="20" s="1"/>
  <c r="F186" i="20"/>
  <c r="H186" i="20" s="1"/>
  <c r="H185" i="20"/>
  <c r="F185" i="20"/>
  <c r="F184" i="20"/>
  <c r="H184" i="20" s="1"/>
  <c r="F183" i="20"/>
  <c r="H183" i="20" s="1"/>
  <c r="F182" i="20"/>
  <c r="H182" i="20" s="1"/>
  <c r="F176" i="20"/>
  <c r="H176" i="20" s="1"/>
  <c r="F175" i="20"/>
  <c r="H175" i="20" s="1"/>
  <c r="H174" i="20"/>
  <c r="F174" i="20"/>
  <c r="F173" i="20"/>
  <c r="H173" i="20" s="1"/>
  <c r="F172" i="20"/>
  <c r="H172" i="20" s="1"/>
  <c r="H171" i="20"/>
  <c r="F171" i="20"/>
  <c r="F170" i="20"/>
  <c r="H170" i="20" s="1"/>
  <c r="F169" i="20"/>
  <c r="H169" i="20" s="1"/>
  <c r="F168" i="20"/>
  <c r="H168" i="20" s="1"/>
  <c r="F167" i="20"/>
  <c r="H167" i="20" s="1"/>
  <c r="J167" i="20" s="1"/>
  <c r="F161" i="20"/>
  <c r="H161" i="20" s="1"/>
  <c r="F160" i="20"/>
  <c r="H160" i="20" s="1"/>
  <c r="F159" i="20"/>
  <c r="H159" i="20" s="1"/>
  <c r="H158" i="20"/>
  <c r="F158" i="20"/>
  <c r="F157" i="20"/>
  <c r="H157" i="20" s="1"/>
  <c r="F156" i="20"/>
  <c r="H156" i="20" s="1"/>
  <c r="F155" i="20"/>
  <c r="H155" i="20" s="1"/>
  <c r="F154" i="20"/>
  <c r="H154" i="20" s="1"/>
  <c r="F153" i="20"/>
  <c r="H153" i="20" s="1"/>
  <c r="F152" i="20"/>
  <c r="H152" i="20" s="1"/>
  <c r="J152" i="20" s="1"/>
  <c r="J153" i="20" s="1"/>
  <c r="F146" i="20"/>
  <c r="H146" i="20" s="1"/>
  <c r="F145" i="20"/>
  <c r="H145" i="20" s="1"/>
  <c r="F144" i="20"/>
  <c r="H144" i="20" s="1"/>
  <c r="F143" i="20"/>
  <c r="H143" i="20" s="1"/>
  <c r="F142" i="20"/>
  <c r="H142" i="20" s="1"/>
  <c r="F141" i="20"/>
  <c r="F140" i="20"/>
  <c r="H140" i="20" s="1"/>
  <c r="F139" i="20"/>
  <c r="H139" i="20" s="1"/>
  <c r="F138" i="20"/>
  <c r="H138" i="20" s="1"/>
  <c r="F137" i="20"/>
  <c r="H137" i="20" s="1"/>
  <c r="F131" i="20"/>
  <c r="H131" i="20" s="1"/>
  <c r="F130" i="20"/>
  <c r="H130" i="20" s="1"/>
  <c r="F129" i="20"/>
  <c r="H129" i="20" s="1"/>
  <c r="F128" i="20"/>
  <c r="H128" i="20" s="1"/>
  <c r="F127" i="20"/>
  <c r="H127" i="20" s="1"/>
  <c r="F126" i="20"/>
  <c r="H126" i="20" s="1"/>
  <c r="F125" i="20"/>
  <c r="H125" i="20" s="1"/>
  <c r="F124" i="20"/>
  <c r="H124" i="20" s="1"/>
  <c r="F123" i="20"/>
  <c r="H123" i="20" s="1"/>
  <c r="F122" i="20"/>
  <c r="H122" i="20" s="1"/>
  <c r="F116" i="20"/>
  <c r="H116" i="20" s="1"/>
  <c r="F115" i="20"/>
  <c r="H115" i="20" s="1"/>
  <c r="F114" i="20"/>
  <c r="H114" i="20" s="1"/>
  <c r="F113" i="20"/>
  <c r="H113" i="20" s="1"/>
  <c r="F112" i="20"/>
  <c r="H112" i="20" s="1"/>
  <c r="F111" i="20"/>
  <c r="H111" i="20" s="1"/>
  <c r="F110" i="20"/>
  <c r="H110" i="20" s="1"/>
  <c r="H109" i="20"/>
  <c r="F109" i="20"/>
  <c r="F108" i="20"/>
  <c r="H108" i="20" s="1"/>
  <c r="F107" i="20"/>
  <c r="H107" i="20" s="1"/>
  <c r="F101" i="20"/>
  <c r="H101" i="20" s="1"/>
  <c r="F100" i="20"/>
  <c r="H100" i="20" s="1"/>
  <c r="F99" i="20"/>
  <c r="H99" i="20" s="1"/>
  <c r="H98" i="20"/>
  <c r="F98" i="20"/>
  <c r="F97" i="20"/>
  <c r="H97" i="20" s="1"/>
  <c r="F96" i="20"/>
  <c r="H96" i="20" s="1"/>
  <c r="F95" i="20"/>
  <c r="H95" i="20" s="1"/>
  <c r="F94" i="20"/>
  <c r="H94" i="20" s="1"/>
  <c r="F93" i="20"/>
  <c r="H93" i="20" s="1"/>
  <c r="I93" i="20" s="1"/>
  <c r="I94" i="20" s="1"/>
  <c r="F92" i="20"/>
  <c r="H92" i="20" s="1"/>
  <c r="J92" i="20" s="1"/>
  <c r="J93" i="20" s="1"/>
  <c r="F86" i="20"/>
  <c r="H86" i="20" s="1"/>
  <c r="F85" i="20"/>
  <c r="H85" i="20" s="1"/>
  <c r="F84" i="20"/>
  <c r="H84" i="20" s="1"/>
  <c r="F83" i="20"/>
  <c r="H83" i="20" s="1"/>
  <c r="F82" i="20"/>
  <c r="H82" i="20" s="1"/>
  <c r="H81" i="20"/>
  <c r="F81" i="20"/>
  <c r="F80" i="20"/>
  <c r="H80" i="20" s="1"/>
  <c r="F79" i="20"/>
  <c r="H79" i="20" s="1"/>
  <c r="F78" i="20"/>
  <c r="H78" i="20" s="1"/>
  <c r="F77" i="20"/>
  <c r="H77" i="20" s="1"/>
  <c r="F70" i="20"/>
  <c r="H70" i="20" s="1"/>
  <c r="F69" i="20"/>
  <c r="H69" i="20" s="1"/>
  <c r="H68" i="20"/>
  <c r="F68" i="20"/>
  <c r="F67" i="20"/>
  <c r="H67" i="20" s="1"/>
  <c r="F66" i="20"/>
  <c r="H66" i="20" s="1"/>
  <c r="F65" i="20"/>
  <c r="H65" i="20" s="1"/>
  <c r="F64" i="20"/>
  <c r="H64" i="20" s="1"/>
  <c r="F63" i="20"/>
  <c r="H63" i="20" s="1"/>
  <c r="F62" i="20"/>
  <c r="H62" i="20" s="1"/>
  <c r="F56" i="20"/>
  <c r="H56" i="20" s="1"/>
  <c r="F55" i="20"/>
  <c r="H55" i="20" s="1"/>
  <c r="F54" i="20"/>
  <c r="H54" i="20" s="1"/>
  <c r="F53" i="20"/>
  <c r="H53" i="20" s="1"/>
  <c r="F52" i="20"/>
  <c r="H52" i="20" s="1"/>
  <c r="F51" i="20"/>
  <c r="F49" i="20"/>
  <c r="H49" i="20" s="1"/>
  <c r="F48" i="20"/>
  <c r="H48" i="20" s="1"/>
  <c r="I48" i="20" s="1"/>
  <c r="I49" i="20" s="1"/>
  <c r="F47" i="20"/>
  <c r="F41" i="20"/>
  <c r="H41" i="20" s="1"/>
  <c r="F40" i="20"/>
  <c r="H40" i="20" s="1"/>
  <c r="F39" i="20"/>
  <c r="H39" i="20" s="1"/>
  <c r="F38" i="20"/>
  <c r="H38" i="20" s="1"/>
  <c r="F37" i="20"/>
  <c r="H37" i="20" s="1"/>
  <c r="F36" i="20"/>
  <c r="H36" i="20" s="1"/>
  <c r="F35" i="20"/>
  <c r="H35" i="20" s="1"/>
  <c r="F34" i="20"/>
  <c r="F33" i="20"/>
  <c r="F32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V4" i="20"/>
  <c r="K26" i="20" s="1"/>
  <c r="C19" i="4"/>
  <c r="D19" i="4"/>
  <c r="E19" i="4"/>
  <c r="F19" i="4"/>
  <c r="G19" i="4"/>
  <c r="H19" i="4"/>
  <c r="I19" i="4"/>
  <c r="J19" i="4"/>
  <c r="K19" i="4"/>
  <c r="L19" i="4"/>
  <c r="M19" i="4"/>
  <c r="N19" i="4"/>
  <c r="B19" i="4"/>
  <c r="H71" i="17"/>
  <c r="H72" i="17"/>
  <c r="H73" i="17"/>
  <c r="H74" i="17"/>
  <c r="H75" i="17"/>
  <c r="H76" i="17"/>
  <c r="H77" i="17"/>
  <c r="H78" i="17"/>
  <c r="H79" i="17"/>
  <c r="H70" i="17"/>
  <c r="G71" i="17"/>
  <c r="G72" i="17"/>
  <c r="G73" i="17"/>
  <c r="G74" i="17"/>
  <c r="G75" i="17"/>
  <c r="G76" i="17"/>
  <c r="G77" i="17"/>
  <c r="G78" i="17"/>
  <c r="G79" i="17"/>
  <c r="G70" i="17"/>
  <c r="F71" i="17"/>
  <c r="F72" i="17"/>
  <c r="F73" i="17"/>
  <c r="F74" i="17"/>
  <c r="F75" i="17"/>
  <c r="F76" i="17"/>
  <c r="F77" i="17"/>
  <c r="F78" i="17"/>
  <c r="F79" i="17"/>
  <c r="F70" i="17"/>
  <c r="E71" i="17"/>
  <c r="E72" i="17"/>
  <c r="E73" i="17"/>
  <c r="E74" i="17"/>
  <c r="E75" i="17"/>
  <c r="E76" i="17"/>
  <c r="E77" i="17"/>
  <c r="E78" i="17"/>
  <c r="E79" i="17"/>
  <c r="E70" i="17"/>
  <c r="D71" i="17"/>
  <c r="D72" i="17"/>
  <c r="D73" i="17"/>
  <c r="D74" i="17"/>
  <c r="D75" i="17"/>
  <c r="D76" i="17"/>
  <c r="D77" i="17"/>
  <c r="D78" i="17"/>
  <c r="D79" i="17"/>
  <c r="D70" i="17"/>
  <c r="C63" i="17"/>
  <c r="C71" i="17" s="1"/>
  <c r="C62" i="17"/>
  <c r="C72" i="17" s="1"/>
  <c r="C73" i="17"/>
  <c r="C75" i="17"/>
  <c r="C77" i="17"/>
  <c r="C78" i="17"/>
  <c r="C79" i="17"/>
  <c r="G84" i="3"/>
  <c r="G85" i="3"/>
  <c r="G86" i="3"/>
  <c r="G87" i="3"/>
  <c r="G88" i="3"/>
  <c r="G89" i="3"/>
  <c r="G90" i="3"/>
  <c r="G91" i="3"/>
  <c r="G92" i="3"/>
  <c r="F84" i="3"/>
  <c r="F85" i="3"/>
  <c r="F86" i="3"/>
  <c r="F87" i="3"/>
  <c r="F88" i="3"/>
  <c r="F89" i="3"/>
  <c r="F90" i="3"/>
  <c r="F91" i="3"/>
  <c r="F92" i="3"/>
  <c r="E84" i="3"/>
  <c r="E85" i="3"/>
  <c r="E86" i="3"/>
  <c r="E87" i="3"/>
  <c r="E88" i="3"/>
  <c r="E89" i="3"/>
  <c r="E90" i="3"/>
  <c r="E91" i="3"/>
  <c r="E92" i="3"/>
  <c r="D84" i="3"/>
  <c r="D85" i="3"/>
  <c r="D86" i="3"/>
  <c r="D87" i="3"/>
  <c r="D88" i="3"/>
  <c r="D89" i="3"/>
  <c r="D90" i="3"/>
  <c r="D91" i="3"/>
  <c r="D92" i="3"/>
  <c r="C85" i="3"/>
  <c r="C86" i="3"/>
  <c r="C87" i="3"/>
  <c r="C88" i="3"/>
  <c r="C89" i="3"/>
  <c r="C90" i="3"/>
  <c r="C91" i="3"/>
  <c r="C92" i="3"/>
  <c r="C83" i="3"/>
  <c r="D83" i="3"/>
  <c r="E83" i="3"/>
  <c r="F83" i="3"/>
  <c r="G83" i="3"/>
  <c r="B84" i="3"/>
  <c r="B85" i="3"/>
  <c r="B86" i="3"/>
  <c r="B87" i="3"/>
  <c r="B88" i="3"/>
  <c r="B89" i="3"/>
  <c r="B90" i="3"/>
  <c r="B91" i="3"/>
  <c r="B92" i="3"/>
  <c r="H64" i="17"/>
  <c r="C64" i="17"/>
  <c r="D63" i="17"/>
  <c r="E63" i="17"/>
  <c r="F63" i="17"/>
  <c r="G63" i="17"/>
  <c r="H63" i="17"/>
  <c r="H62" i="17"/>
  <c r="D62" i="17"/>
  <c r="F62" i="17"/>
  <c r="G62" i="17"/>
  <c r="B76" i="3"/>
  <c r="H56" i="17"/>
  <c r="G56" i="17"/>
  <c r="C56" i="17"/>
  <c r="D56" i="17"/>
  <c r="E56" i="17"/>
  <c r="F56" i="17"/>
  <c r="C55" i="17"/>
  <c r="D55" i="17"/>
  <c r="E55" i="17"/>
  <c r="F55" i="17"/>
  <c r="G55" i="17"/>
  <c r="H55" i="17"/>
  <c r="F54" i="17"/>
  <c r="H54" i="17"/>
  <c r="C54" i="17"/>
  <c r="H48" i="17"/>
  <c r="C47" i="17"/>
  <c r="B46" i="17"/>
  <c r="B45" i="17"/>
  <c r="C44" i="17"/>
  <c r="D48" i="17"/>
  <c r="E48" i="17"/>
  <c r="F48" i="17"/>
  <c r="G48" i="17"/>
  <c r="D47" i="17"/>
  <c r="E47" i="17"/>
  <c r="F47" i="17"/>
  <c r="G47" i="17"/>
  <c r="H47" i="17"/>
  <c r="C46" i="17"/>
  <c r="D46" i="17"/>
  <c r="E46" i="17"/>
  <c r="F46" i="17"/>
  <c r="G46" i="17"/>
  <c r="H46" i="17"/>
  <c r="H45" i="17"/>
  <c r="D45" i="17"/>
  <c r="C45" i="17"/>
  <c r="E45" i="17"/>
  <c r="F45" i="17"/>
  <c r="G45" i="17"/>
  <c r="D44" i="17"/>
  <c r="E44" i="17"/>
  <c r="F44" i="17"/>
  <c r="G44" i="17"/>
  <c r="H44" i="17"/>
  <c r="B35" i="17" a="1"/>
  <c r="B35" i="17" s="1"/>
  <c r="G54" i="17"/>
  <c r="E54" i="17"/>
  <c r="D54" i="17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34" i="17" a="1"/>
  <c r="H34" i="17" s="1"/>
  <c r="G34" i="17" a="1"/>
  <c r="G34" i="17" s="1"/>
  <c r="G35" i="17" a="1"/>
  <c r="G35" i="17" s="1"/>
  <c r="G36" i="17" a="1"/>
  <c r="G36" i="17"/>
  <c r="G37" i="17" a="1"/>
  <c r="G37" i="17"/>
  <c r="F34" i="17" a="1"/>
  <c r="F34" i="17" s="1"/>
  <c r="F35" i="17" a="1"/>
  <c r="F35" i="17"/>
  <c r="F36" i="17" a="1"/>
  <c r="F36" i="17" s="1"/>
  <c r="F37" i="17" a="1"/>
  <c r="F37" i="17" s="1"/>
  <c r="E34" i="17" a="1"/>
  <c r="E34" i="17" s="1"/>
  <c r="E35" i="17" a="1"/>
  <c r="E35" i="17" s="1"/>
  <c r="E36" i="17" a="1"/>
  <c r="E36" i="17" s="1"/>
  <c r="E37" i="17" a="1"/>
  <c r="E37" i="17" s="1"/>
  <c r="D34" i="17" a="1"/>
  <c r="D34" i="17" s="1"/>
  <c r="D35" i="17" a="1"/>
  <c r="D35" i="17" s="1"/>
  <c r="D36" i="17" a="1"/>
  <c r="D36" i="17"/>
  <c r="D37" i="17" a="1"/>
  <c r="D37" i="17"/>
  <c r="C34" i="17" a="1"/>
  <c r="C34" i="17" s="1"/>
  <c r="C35" i="17" a="1"/>
  <c r="C35" i="17" s="1"/>
  <c r="C38" i="17" a="1"/>
  <c r="C38" i="17" s="1"/>
  <c r="C39" i="17" a="1"/>
  <c r="C39" i="17" s="1"/>
  <c r="C36" i="17" a="1"/>
  <c r="C36" i="17" s="1"/>
  <c r="C37" i="17" a="1"/>
  <c r="C37" i="17" s="1"/>
  <c r="B36" i="17" a="1"/>
  <c r="B36" i="17" s="1"/>
  <c r="B37" i="17" a="1"/>
  <c r="B37" i="17" s="1"/>
  <c r="B34" i="17" a="1"/>
  <c r="B34" i="17" s="1"/>
  <c r="B64" i="3"/>
  <c r="D51" i="3"/>
  <c r="D67" i="3"/>
  <c r="N29" i="3"/>
  <c r="E54" i="3" s="1"/>
  <c r="B29" i="3"/>
  <c r="B58" i="3" s="1"/>
  <c r="J29" i="3"/>
  <c r="D55" i="3" s="1"/>
  <c r="D54" i="3"/>
  <c r="D37" i="3"/>
  <c r="D53" i="3"/>
  <c r="D35" i="3"/>
  <c r="D36" i="3"/>
  <c r="V29" i="3"/>
  <c r="G55" i="3" s="1"/>
  <c r="R29" i="3"/>
  <c r="F53" i="3" s="1"/>
  <c r="F29" i="3"/>
  <c r="C53" i="3" s="1"/>
  <c r="K48" i="20" l="1"/>
  <c r="N32" i="20"/>
  <c r="N33" i="20" s="1"/>
  <c r="I33" i="20"/>
  <c r="K33" i="20" s="1"/>
  <c r="B56" i="17"/>
  <c r="B62" i="17" s="1"/>
  <c r="N32" i="23"/>
  <c r="J32" i="23"/>
  <c r="I48" i="23"/>
  <c r="I49" i="23" s="1"/>
  <c r="N47" i="23"/>
  <c r="H152" i="23"/>
  <c r="J152" i="23" s="1"/>
  <c r="N92" i="23"/>
  <c r="J92" i="23"/>
  <c r="J93" i="23" s="1"/>
  <c r="J94" i="23" s="1"/>
  <c r="I78" i="23"/>
  <c r="K78" i="23" s="1"/>
  <c r="L122" i="23"/>
  <c r="M122" i="23" s="1"/>
  <c r="J123" i="23"/>
  <c r="L123" i="23" s="1"/>
  <c r="N123" i="23" s="1"/>
  <c r="K48" i="23"/>
  <c r="I123" i="23"/>
  <c r="I63" i="23"/>
  <c r="I93" i="23"/>
  <c r="N152" i="23"/>
  <c r="I153" i="23"/>
  <c r="I33" i="23"/>
  <c r="I34" i="23" s="1"/>
  <c r="J62" i="23"/>
  <c r="J137" i="23"/>
  <c r="N137" i="23"/>
  <c r="J107" i="23"/>
  <c r="N107" i="23"/>
  <c r="J47" i="23"/>
  <c r="J77" i="23"/>
  <c r="I138" i="23"/>
  <c r="I108" i="23"/>
  <c r="L92" i="20"/>
  <c r="M92" i="20" s="1"/>
  <c r="I123" i="22"/>
  <c r="I78" i="22"/>
  <c r="I63" i="22"/>
  <c r="I64" i="22" s="1"/>
  <c r="K64" i="22" s="1"/>
  <c r="N137" i="22"/>
  <c r="M137" i="22"/>
  <c r="J107" i="22"/>
  <c r="N107" i="22"/>
  <c r="N92" i="22"/>
  <c r="N77" i="22"/>
  <c r="I65" i="22"/>
  <c r="K65" i="22" s="1"/>
  <c r="N62" i="22"/>
  <c r="J48" i="22"/>
  <c r="L48" i="22" s="1"/>
  <c r="J33" i="22"/>
  <c r="L33" i="22" s="1"/>
  <c r="L32" i="22"/>
  <c r="K123" i="22"/>
  <c r="I124" i="22"/>
  <c r="K124" i="22" s="1"/>
  <c r="I138" i="22"/>
  <c r="I153" i="22"/>
  <c r="J124" i="22"/>
  <c r="I93" i="22"/>
  <c r="N167" i="22"/>
  <c r="J167" i="22"/>
  <c r="I108" i="22"/>
  <c r="J93" i="22"/>
  <c r="L93" i="22" s="1"/>
  <c r="N93" i="22" s="1"/>
  <c r="M92" i="22"/>
  <c r="K78" i="22"/>
  <c r="I79" i="22"/>
  <c r="M47" i="22"/>
  <c r="J152" i="22"/>
  <c r="N152" i="22"/>
  <c r="I33" i="22"/>
  <c r="K63" i="22"/>
  <c r="I168" i="22"/>
  <c r="N47" i="22"/>
  <c r="I48" i="22"/>
  <c r="J62" i="22"/>
  <c r="J138" i="22"/>
  <c r="J77" i="22"/>
  <c r="L122" i="22"/>
  <c r="N33" i="22"/>
  <c r="N123" i="22"/>
  <c r="I168" i="20"/>
  <c r="J169" i="20"/>
  <c r="N62" i="20"/>
  <c r="J62" i="20"/>
  <c r="L167" i="20"/>
  <c r="M167" i="20" s="1"/>
  <c r="J168" i="20"/>
  <c r="L168" i="20" s="1"/>
  <c r="N168" i="20" s="1"/>
  <c r="I124" i="20"/>
  <c r="K123" i="20"/>
  <c r="M123" i="20" s="1"/>
  <c r="J109" i="20"/>
  <c r="L108" i="20"/>
  <c r="J137" i="20"/>
  <c r="N137" i="20"/>
  <c r="J94" i="20"/>
  <c r="L93" i="20"/>
  <c r="N93" i="20" s="1"/>
  <c r="L107" i="20"/>
  <c r="J198" i="20"/>
  <c r="J199" i="20" s="1"/>
  <c r="J200" i="20" s="1"/>
  <c r="J201" i="20" s="1"/>
  <c r="J202" i="20" s="1"/>
  <c r="J203" i="20" s="1"/>
  <c r="L197" i="20"/>
  <c r="M197" i="20" s="1"/>
  <c r="I79" i="20"/>
  <c r="K78" i="20"/>
  <c r="J154" i="20"/>
  <c r="L153" i="20"/>
  <c r="N153" i="20" s="1"/>
  <c r="J124" i="20"/>
  <c r="L123" i="20"/>
  <c r="N123" i="20" s="1"/>
  <c r="N182" i="20"/>
  <c r="J182" i="20"/>
  <c r="I138" i="20"/>
  <c r="I95" i="20"/>
  <c r="K94" i="20"/>
  <c r="N47" i="20"/>
  <c r="J47" i="20"/>
  <c r="I50" i="20"/>
  <c r="K49" i="20"/>
  <c r="L152" i="20"/>
  <c r="M152" i="20" s="1"/>
  <c r="I108" i="20"/>
  <c r="K107" i="20"/>
  <c r="N107" i="20" s="1"/>
  <c r="N108" i="20" s="1"/>
  <c r="I63" i="20"/>
  <c r="K183" i="20"/>
  <c r="M107" i="20"/>
  <c r="I153" i="20"/>
  <c r="J33" i="20"/>
  <c r="L33" i="20" s="1"/>
  <c r="L32" i="20"/>
  <c r="K93" i="20"/>
  <c r="I186" i="20"/>
  <c r="J77" i="20"/>
  <c r="N77" i="20"/>
  <c r="I183" i="21"/>
  <c r="K183" i="21" s="1"/>
  <c r="J182" i="21"/>
  <c r="L182" i="21" s="1"/>
  <c r="M182" i="21" s="1"/>
  <c r="M183" i="21" s="1"/>
  <c r="J167" i="21"/>
  <c r="I168" i="21"/>
  <c r="I153" i="21"/>
  <c r="J152" i="21"/>
  <c r="J137" i="21"/>
  <c r="I138" i="21"/>
  <c r="I123" i="21"/>
  <c r="J122" i="21"/>
  <c r="J107" i="21"/>
  <c r="I108" i="21"/>
  <c r="J92" i="21"/>
  <c r="I93" i="21"/>
  <c r="N38" i="21"/>
  <c r="N82" i="21"/>
  <c r="N83" i="21" s="1"/>
  <c r="N84" i="21" s="1"/>
  <c r="N85" i="21" s="1"/>
  <c r="I78" i="21"/>
  <c r="I48" i="21"/>
  <c r="J62" i="21"/>
  <c r="I63" i="21"/>
  <c r="I33" i="21"/>
  <c r="J77" i="21"/>
  <c r="J47" i="21"/>
  <c r="J32" i="21"/>
  <c r="L201" i="20"/>
  <c r="L200" i="20"/>
  <c r="L199" i="20"/>
  <c r="L198" i="20"/>
  <c r="N198" i="20" s="1"/>
  <c r="J204" i="20"/>
  <c r="L204" i="20" s="1"/>
  <c r="L203" i="20"/>
  <c r="I199" i="20"/>
  <c r="K198" i="20"/>
  <c r="I228" i="20"/>
  <c r="C76" i="17"/>
  <c r="C74" i="17"/>
  <c r="C48" i="17"/>
  <c r="E40" i="3"/>
  <c r="E58" i="3"/>
  <c r="E43" i="3"/>
  <c r="G36" i="3"/>
  <c r="G43" i="3"/>
  <c r="D41" i="3"/>
  <c r="D42" i="3"/>
  <c r="E49" i="3"/>
  <c r="E38" i="3"/>
  <c r="E50" i="3"/>
  <c r="D38" i="3"/>
  <c r="D56" i="3"/>
  <c r="E53" i="3"/>
  <c r="D43" i="3"/>
  <c r="E37" i="3"/>
  <c r="D39" i="3"/>
  <c r="D57" i="3"/>
  <c r="E41" i="3"/>
  <c r="D44" i="3"/>
  <c r="E55" i="3"/>
  <c r="D40" i="3"/>
  <c r="D58" i="3"/>
  <c r="E42" i="3"/>
  <c r="E52" i="3"/>
  <c r="G57" i="3"/>
  <c r="E35" i="3"/>
  <c r="D50" i="3"/>
  <c r="D52" i="3"/>
  <c r="E36" i="3"/>
  <c r="E56" i="3"/>
  <c r="C37" i="3"/>
  <c r="E39" i="3"/>
  <c r="E57" i="3"/>
  <c r="D49" i="3"/>
  <c r="E51" i="3"/>
  <c r="E44" i="3"/>
  <c r="G44" i="3"/>
  <c r="C35" i="3"/>
  <c r="F54" i="3"/>
  <c r="F41" i="3"/>
  <c r="F55" i="3"/>
  <c r="C54" i="3"/>
  <c r="C41" i="3"/>
  <c r="G38" i="3"/>
  <c r="B39" i="3"/>
  <c r="G50" i="3"/>
  <c r="B40" i="3"/>
  <c r="G39" i="3"/>
  <c r="B52" i="3"/>
  <c r="G51" i="3"/>
  <c r="B43" i="3"/>
  <c r="F36" i="3"/>
  <c r="G40" i="3"/>
  <c r="B44" i="3"/>
  <c r="F49" i="3"/>
  <c r="G41" i="3"/>
  <c r="F35" i="3"/>
  <c r="G42" i="3"/>
  <c r="C36" i="3"/>
  <c r="F37" i="3"/>
  <c r="G56" i="3"/>
  <c r="B53" i="3"/>
  <c r="C49" i="3"/>
  <c r="C55" i="3"/>
  <c r="B37" i="3"/>
  <c r="C38" i="3"/>
  <c r="C42" i="3"/>
  <c r="F38" i="3"/>
  <c r="F42" i="3"/>
  <c r="B54" i="3"/>
  <c r="C50" i="3"/>
  <c r="C56" i="3"/>
  <c r="F50" i="3"/>
  <c r="F56" i="3"/>
  <c r="G52" i="3"/>
  <c r="G58" i="3"/>
  <c r="B36" i="3"/>
  <c r="B41" i="3"/>
  <c r="C39" i="3"/>
  <c r="C43" i="3"/>
  <c r="F39" i="3"/>
  <c r="F43" i="3"/>
  <c r="G35" i="3"/>
  <c r="B49" i="3"/>
  <c r="B55" i="3"/>
  <c r="C51" i="3"/>
  <c r="C57" i="3"/>
  <c r="F51" i="3"/>
  <c r="F57" i="3"/>
  <c r="G53" i="3"/>
  <c r="B38" i="3"/>
  <c r="B42" i="3"/>
  <c r="C40" i="3"/>
  <c r="C44" i="3"/>
  <c r="F40" i="3"/>
  <c r="F44" i="3"/>
  <c r="G37" i="3"/>
  <c r="B50" i="3"/>
  <c r="B56" i="3"/>
  <c r="C52" i="3"/>
  <c r="C58" i="3"/>
  <c r="F52" i="3"/>
  <c r="F58" i="3"/>
  <c r="G54" i="3"/>
  <c r="B51" i="3"/>
  <c r="B57" i="3"/>
  <c r="G49" i="3"/>
  <c r="B63" i="17" l="1"/>
  <c r="L152" i="23"/>
  <c r="M152" i="23" s="1"/>
  <c r="J153" i="23"/>
  <c r="K49" i="23"/>
  <c r="I50" i="23"/>
  <c r="L92" i="23"/>
  <c r="M92" i="23" s="1"/>
  <c r="J124" i="23"/>
  <c r="J125" i="23" s="1"/>
  <c r="I79" i="23"/>
  <c r="K50" i="23"/>
  <c r="I51" i="23"/>
  <c r="L93" i="23"/>
  <c r="N93" i="23" s="1"/>
  <c r="L153" i="23"/>
  <c r="N153" i="23" s="1"/>
  <c r="J154" i="23"/>
  <c r="L137" i="23"/>
  <c r="M137" i="23" s="1"/>
  <c r="J138" i="23"/>
  <c r="K33" i="23"/>
  <c r="I154" i="23"/>
  <c r="K153" i="23"/>
  <c r="K138" i="23"/>
  <c r="I139" i="23"/>
  <c r="L62" i="23"/>
  <c r="M62" i="23" s="1"/>
  <c r="J63" i="23"/>
  <c r="K93" i="23"/>
  <c r="M93" i="23" s="1"/>
  <c r="I94" i="23"/>
  <c r="L107" i="23"/>
  <c r="M107" i="23" s="1"/>
  <c r="J108" i="23"/>
  <c r="K63" i="23"/>
  <c r="I64" i="23"/>
  <c r="K108" i="23"/>
  <c r="I109" i="23"/>
  <c r="L32" i="23"/>
  <c r="M32" i="23" s="1"/>
  <c r="M33" i="23" s="1"/>
  <c r="J33" i="23"/>
  <c r="J48" i="23"/>
  <c r="L47" i="23"/>
  <c r="J78" i="23"/>
  <c r="L77" i="23"/>
  <c r="K123" i="23"/>
  <c r="M123" i="23" s="1"/>
  <c r="I124" i="23"/>
  <c r="M93" i="20"/>
  <c r="I66" i="22"/>
  <c r="N48" i="22"/>
  <c r="J49" i="22"/>
  <c r="L49" i="22" s="1"/>
  <c r="N124" i="22"/>
  <c r="I125" i="22"/>
  <c r="K125" i="22" s="1"/>
  <c r="J108" i="22"/>
  <c r="L107" i="22"/>
  <c r="M107" i="22" s="1"/>
  <c r="J34" i="22"/>
  <c r="J35" i="22" s="1"/>
  <c r="K48" i="22"/>
  <c r="M48" i="22" s="1"/>
  <c r="I126" i="22"/>
  <c r="L167" i="22"/>
  <c r="J78" i="22"/>
  <c r="L77" i="22"/>
  <c r="M77" i="22" s="1"/>
  <c r="M78" i="22" s="1"/>
  <c r="J94" i="22"/>
  <c r="K138" i="22"/>
  <c r="M138" i="22" s="1"/>
  <c r="I139" i="22"/>
  <c r="K93" i="22"/>
  <c r="M93" i="22" s="1"/>
  <c r="I94" i="22"/>
  <c r="J63" i="22"/>
  <c r="L62" i="22"/>
  <c r="M62" i="22" s="1"/>
  <c r="M63" i="22" s="1"/>
  <c r="J125" i="22"/>
  <c r="L124" i="22"/>
  <c r="I34" i="22"/>
  <c r="K33" i="22"/>
  <c r="M33" i="22" s="1"/>
  <c r="L34" i="22"/>
  <c r="L138" i="22"/>
  <c r="N138" i="22" s="1"/>
  <c r="I169" i="22"/>
  <c r="K168" i="22"/>
  <c r="K108" i="22"/>
  <c r="L152" i="22"/>
  <c r="J153" i="22"/>
  <c r="K153" i="22"/>
  <c r="M33" i="20"/>
  <c r="L77" i="20"/>
  <c r="M77" i="20" s="1"/>
  <c r="M78" i="20" s="1"/>
  <c r="J78" i="20"/>
  <c r="I64" i="20"/>
  <c r="K63" i="20"/>
  <c r="J155" i="20"/>
  <c r="L154" i="20"/>
  <c r="I187" i="20"/>
  <c r="K186" i="20"/>
  <c r="I96" i="20"/>
  <c r="K95" i="20"/>
  <c r="I109" i="20"/>
  <c r="K108" i="20"/>
  <c r="M108" i="20" s="1"/>
  <c r="M109" i="20" s="1"/>
  <c r="J138" i="20"/>
  <c r="L137" i="20"/>
  <c r="M137" i="20" s="1"/>
  <c r="J110" i="20"/>
  <c r="L109" i="20"/>
  <c r="I34" i="20"/>
  <c r="I80" i="20"/>
  <c r="K79" i="20"/>
  <c r="J170" i="20"/>
  <c r="L169" i="20"/>
  <c r="J183" i="20"/>
  <c r="L182" i="20"/>
  <c r="M182" i="20" s="1"/>
  <c r="M183" i="20" s="1"/>
  <c r="I125" i="20"/>
  <c r="K124" i="20"/>
  <c r="N124" i="20" s="1"/>
  <c r="M198" i="20"/>
  <c r="M199" i="20" s="1"/>
  <c r="I51" i="20"/>
  <c r="K50" i="20"/>
  <c r="J34" i="20"/>
  <c r="L62" i="20"/>
  <c r="M62" i="20" s="1"/>
  <c r="M63" i="20" s="1"/>
  <c r="J63" i="20"/>
  <c r="I139" i="20"/>
  <c r="K138" i="20"/>
  <c r="N94" i="20"/>
  <c r="I154" i="20"/>
  <c r="K153" i="20"/>
  <c r="M153" i="20" s="1"/>
  <c r="M154" i="20" s="1"/>
  <c r="L202" i="20"/>
  <c r="J48" i="20"/>
  <c r="L47" i="20"/>
  <c r="M47" i="20" s="1"/>
  <c r="M48" i="20" s="1"/>
  <c r="J125" i="20"/>
  <c r="L124" i="20"/>
  <c r="M124" i="20" s="1"/>
  <c r="J95" i="20"/>
  <c r="L94" i="20"/>
  <c r="M94" i="20" s="1"/>
  <c r="M95" i="20" s="1"/>
  <c r="I169" i="20"/>
  <c r="K168" i="20"/>
  <c r="M168" i="20" s="1"/>
  <c r="M169" i="20" s="1"/>
  <c r="I184" i="21"/>
  <c r="K184" i="21" s="1"/>
  <c r="J183" i="21"/>
  <c r="L183" i="21" s="1"/>
  <c r="N183" i="21" s="1"/>
  <c r="N184" i="21" s="1"/>
  <c r="J168" i="21"/>
  <c r="I154" i="21"/>
  <c r="J153" i="21"/>
  <c r="I139" i="21"/>
  <c r="J138" i="21"/>
  <c r="I124" i="21"/>
  <c r="J123" i="21"/>
  <c r="J108" i="21"/>
  <c r="I109" i="21"/>
  <c r="I94" i="21"/>
  <c r="J93" i="21"/>
  <c r="I79" i="21"/>
  <c r="K78" i="21"/>
  <c r="L47" i="21"/>
  <c r="J48" i="21"/>
  <c r="I49" i="21"/>
  <c r="K48" i="21"/>
  <c r="L77" i="21"/>
  <c r="J78" i="21"/>
  <c r="I34" i="21"/>
  <c r="L62" i="21"/>
  <c r="J63" i="21"/>
  <c r="J33" i="21"/>
  <c r="K63" i="21"/>
  <c r="J205" i="20"/>
  <c r="J206" i="20" s="1"/>
  <c r="L206" i="20" s="1"/>
  <c r="L205" i="20"/>
  <c r="I200" i="20"/>
  <c r="K199" i="20"/>
  <c r="N199" i="20" s="1"/>
  <c r="N200" i="20" s="1"/>
  <c r="N201" i="20" s="1"/>
  <c r="E64" i="3"/>
  <c r="D64" i="3"/>
  <c r="E66" i="3"/>
  <c r="E65" i="3"/>
  <c r="E67" i="3"/>
  <c r="D66" i="3"/>
  <c r="D77" i="3" s="1"/>
  <c r="D65" i="3"/>
  <c r="B66" i="3"/>
  <c r="B65" i="3"/>
  <c r="B67" i="3"/>
  <c r="B77" i="3" s="1"/>
  <c r="G67" i="3"/>
  <c r="G65" i="3"/>
  <c r="G66" i="3"/>
  <c r="G64" i="3"/>
  <c r="F65" i="3"/>
  <c r="F66" i="3"/>
  <c r="F64" i="3"/>
  <c r="F67" i="3"/>
  <c r="C66" i="3"/>
  <c r="C64" i="3"/>
  <c r="C67" i="3"/>
  <c r="C65" i="3"/>
  <c r="B74" i="17" l="1"/>
  <c r="B79" i="17"/>
  <c r="B71" i="17"/>
  <c r="B73" i="17"/>
  <c r="B70" i="17"/>
  <c r="B76" i="17"/>
  <c r="B77" i="17"/>
  <c r="B78" i="17"/>
  <c r="B75" i="17"/>
  <c r="B72" i="17"/>
  <c r="M77" i="23"/>
  <c r="M78" i="23" s="1"/>
  <c r="M47" i="23"/>
  <c r="M48" i="23" s="1"/>
  <c r="M153" i="23"/>
  <c r="M138" i="23"/>
  <c r="L124" i="23"/>
  <c r="M124" i="23"/>
  <c r="M108" i="23"/>
  <c r="K79" i="23"/>
  <c r="I80" i="23"/>
  <c r="L78" i="23"/>
  <c r="N78" i="23" s="1"/>
  <c r="J79" i="23"/>
  <c r="L108" i="23"/>
  <c r="N108" i="23" s="1"/>
  <c r="J109" i="23"/>
  <c r="J155" i="23"/>
  <c r="L154" i="23"/>
  <c r="M154" i="23" s="1"/>
  <c r="L94" i="23"/>
  <c r="M94" i="23" s="1"/>
  <c r="J95" i="23"/>
  <c r="L95" i="23" s="1"/>
  <c r="K109" i="23"/>
  <c r="I110" i="23"/>
  <c r="K154" i="23"/>
  <c r="N154" i="23" s="1"/>
  <c r="I155" i="23"/>
  <c r="I156" i="23" s="1"/>
  <c r="K156" i="23" s="1"/>
  <c r="K34" i="23"/>
  <c r="I35" i="23"/>
  <c r="K124" i="23"/>
  <c r="N124" i="23" s="1"/>
  <c r="I125" i="23"/>
  <c r="K64" i="23"/>
  <c r="I65" i="23"/>
  <c r="L63" i="23"/>
  <c r="N63" i="23" s="1"/>
  <c r="N64" i="23" s="1"/>
  <c r="J64" i="23"/>
  <c r="M63" i="23"/>
  <c r="K139" i="23"/>
  <c r="I140" i="23"/>
  <c r="I141" i="23" s="1"/>
  <c r="J49" i="23"/>
  <c r="L48" i="23"/>
  <c r="N48" i="23" s="1"/>
  <c r="N49" i="23" s="1"/>
  <c r="L33" i="23"/>
  <c r="N33" i="23" s="1"/>
  <c r="J34" i="23"/>
  <c r="J126" i="23"/>
  <c r="L125" i="23"/>
  <c r="K51" i="23"/>
  <c r="I52" i="23"/>
  <c r="K94" i="23"/>
  <c r="N94" i="23" s="1"/>
  <c r="I95" i="23"/>
  <c r="L138" i="23"/>
  <c r="N138" i="23" s="1"/>
  <c r="J139" i="23"/>
  <c r="M168" i="22"/>
  <c r="M124" i="22"/>
  <c r="M125" i="22" s="1"/>
  <c r="K66" i="22"/>
  <c r="I67" i="22"/>
  <c r="J50" i="22"/>
  <c r="J51" i="22" s="1"/>
  <c r="M153" i="22"/>
  <c r="M108" i="22"/>
  <c r="L108" i="22"/>
  <c r="N108" i="22" s="1"/>
  <c r="J109" i="22"/>
  <c r="M49" i="22"/>
  <c r="K80" i="22"/>
  <c r="I81" i="22"/>
  <c r="K139" i="22"/>
  <c r="N139" i="22" s="1"/>
  <c r="I140" i="22"/>
  <c r="J95" i="22"/>
  <c r="L94" i="22"/>
  <c r="M94" i="22" s="1"/>
  <c r="L78" i="22"/>
  <c r="N78" i="22" s="1"/>
  <c r="N79" i="22" s="1"/>
  <c r="J79" i="22"/>
  <c r="J64" i="22"/>
  <c r="L64" i="22" s="1"/>
  <c r="L63" i="22"/>
  <c r="N63" i="22" s="1"/>
  <c r="N64" i="22" s="1"/>
  <c r="K154" i="22"/>
  <c r="I155" i="22"/>
  <c r="L168" i="22"/>
  <c r="N168" i="22" s="1"/>
  <c r="J169" i="22"/>
  <c r="L50" i="22"/>
  <c r="K126" i="22"/>
  <c r="I127" i="22"/>
  <c r="L153" i="22"/>
  <c r="N153" i="22" s="1"/>
  <c r="J154" i="22"/>
  <c r="J36" i="22"/>
  <c r="M34" i="22"/>
  <c r="I110" i="22"/>
  <c r="K34" i="22"/>
  <c r="I35" i="22"/>
  <c r="K49" i="22"/>
  <c r="I50" i="22"/>
  <c r="L125" i="22"/>
  <c r="N125" i="22" s="1"/>
  <c r="K169" i="22"/>
  <c r="I170" i="22"/>
  <c r="J140" i="22"/>
  <c r="L139" i="22"/>
  <c r="K94" i="22"/>
  <c r="N94" i="22" s="1"/>
  <c r="I95" i="22"/>
  <c r="J111" i="20"/>
  <c r="L110" i="20"/>
  <c r="M138" i="20"/>
  <c r="J64" i="20"/>
  <c r="L63" i="20"/>
  <c r="N63" i="20" s="1"/>
  <c r="N64" i="20" s="1"/>
  <c r="J96" i="20"/>
  <c r="L95" i="20"/>
  <c r="N95" i="20" s="1"/>
  <c r="I110" i="20"/>
  <c r="K109" i="20"/>
  <c r="N109" i="20" s="1"/>
  <c r="J126" i="20"/>
  <c r="L125" i="20"/>
  <c r="N125" i="20" s="1"/>
  <c r="N202" i="20"/>
  <c r="J171" i="20"/>
  <c r="L170" i="20"/>
  <c r="I97" i="20"/>
  <c r="K96" i="20"/>
  <c r="M96" i="20" s="1"/>
  <c r="J49" i="20"/>
  <c r="L48" i="20"/>
  <c r="N48" i="20" s="1"/>
  <c r="N49" i="20" s="1"/>
  <c r="I65" i="20"/>
  <c r="K64" i="20"/>
  <c r="I170" i="20"/>
  <c r="K169" i="20"/>
  <c r="N169" i="20" s="1"/>
  <c r="I140" i="20"/>
  <c r="K139" i="20"/>
  <c r="I126" i="20"/>
  <c r="K125" i="20"/>
  <c r="M125" i="20" s="1"/>
  <c r="J79" i="20"/>
  <c r="L78" i="20"/>
  <c r="N78" i="20" s="1"/>
  <c r="N79" i="20" s="1"/>
  <c r="J139" i="20"/>
  <c r="L138" i="20"/>
  <c r="N138" i="20" s="1"/>
  <c r="J184" i="20"/>
  <c r="L183" i="20"/>
  <c r="N183" i="20" s="1"/>
  <c r="N184" i="20" s="1"/>
  <c r="L34" i="20"/>
  <c r="M34" i="20" s="1"/>
  <c r="J35" i="20"/>
  <c r="I81" i="20"/>
  <c r="K80" i="20"/>
  <c r="I188" i="20"/>
  <c r="K187" i="20"/>
  <c r="I155" i="20"/>
  <c r="K154" i="20"/>
  <c r="N154" i="20" s="1"/>
  <c r="I52" i="20"/>
  <c r="K51" i="20"/>
  <c r="I35" i="20"/>
  <c r="K34" i="20"/>
  <c r="N34" i="20" s="1"/>
  <c r="J156" i="20"/>
  <c r="L155" i="20"/>
  <c r="J184" i="21"/>
  <c r="L184" i="21" s="1"/>
  <c r="M184" i="21" s="1"/>
  <c r="I185" i="21"/>
  <c r="I170" i="21"/>
  <c r="J169" i="21"/>
  <c r="J154" i="21"/>
  <c r="J139" i="21"/>
  <c r="I140" i="21"/>
  <c r="J124" i="21"/>
  <c r="I125" i="21"/>
  <c r="J109" i="21"/>
  <c r="I110" i="21"/>
  <c r="I95" i="21"/>
  <c r="J94" i="21"/>
  <c r="L78" i="21"/>
  <c r="J79" i="21"/>
  <c r="L48" i="21"/>
  <c r="J49" i="21"/>
  <c r="K79" i="21"/>
  <c r="I80" i="21"/>
  <c r="K49" i="21"/>
  <c r="I50" i="21"/>
  <c r="K64" i="21"/>
  <c r="I65" i="21"/>
  <c r="L63" i="21"/>
  <c r="J64" i="21"/>
  <c r="I35" i="21"/>
  <c r="K34" i="21"/>
  <c r="L33" i="21"/>
  <c r="J34" i="21"/>
  <c r="I201" i="20"/>
  <c r="K200" i="20"/>
  <c r="M200" i="20" s="1"/>
  <c r="F76" i="3"/>
  <c r="G76" i="3"/>
  <c r="G77" i="3"/>
  <c r="D76" i="3"/>
  <c r="E76" i="3"/>
  <c r="E77" i="3"/>
  <c r="F77" i="3"/>
  <c r="C76" i="3"/>
  <c r="N79" i="23" l="1"/>
  <c r="K80" i="23"/>
  <c r="I81" i="23"/>
  <c r="K95" i="23"/>
  <c r="M95" i="23" s="1"/>
  <c r="I96" i="23"/>
  <c r="K155" i="23"/>
  <c r="M155" i="23" s="1"/>
  <c r="L109" i="23"/>
  <c r="M109" i="23" s="1"/>
  <c r="J110" i="23"/>
  <c r="L64" i="23"/>
  <c r="M64" i="23" s="1"/>
  <c r="M65" i="23" s="1"/>
  <c r="J65" i="23"/>
  <c r="L79" i="23"/>
  <c r="M79" i="23" s="1"/>
  <c r="J80" i="23"/>
  <c r="J96" i="23"/>
  <c r="N95" i="23"/>
  <c r="K65" i="23"/>
  <c r="I66" i="23"/>
  <c r="J35" i="23"/>
  <c r="L34" i="23"/>
  <c r="M34" i="23" s="1"/>
  <c r="K125" i="23"/>
  <c r="M125" i="23" s="1"/>
  <c r="I126" i="23"/>
  <c r="K35" i="23"/>
  <c r="I36" i="23"/>
  <c r="L155" i="23"/>
  <c r="N155" i="23" s="1"/>
  <c r="J156" i="23"/>
  <c r="K52" i="23"/>
  <c r="I53" i="23"/>
  <c r="L49" i="23"/>
  <c r="M49" i="23" s="1"/>
  <c r="M50" i="23" s="1"/>
  <c r="M51" i="23" s="1"/>
  <c r="J50" i="23"/>
  <c r="K140" i="23"/>
  <c r="K110" i="23"/>
  <c r="I111" i="23"/>
  <c r="N109" i="23"/>
  <c r="J140" i="23"/>
  <c r="L139" i="23"/>
  <c r="M139" i="23" s="1"/>
  <c r="M140" i="23" s="1"/>
  <c r="N139" i="23"/>
  <c r="L126" i="23"/>
  <c r="J127" i="23"/>
  <c r="N34" i="23"/>
  <c r="N125" i="23"/>
  <c r="N126" i="23" s="1"/>
  <c r="I186" i="21"/>
  <c r="K186" i="21" s="1"/>
  <c r="K185" i="21"/>
  <c r="M185" i="21"/>
  <c r="M186" i="21" s="1"/>
  <c r="N169" i="22"/>
  <c r="M126" i="22"/>
  <c r="N109" i="22"/>
  <c r="K67" i="22"/>
  <c r="I68" i="22"/>
  <c r="N50" i="22"/>
  <c r="N154" i="22"/>
  <c r="L109" i="22"/>
  <c r="J110" i="22"/>
  <c r="M64" i="22"/>
  <c r="M65" i="22" s="1"/>
  <c r="M66" i="22" s="1"/>
  <c r="M67" i="22" s="1"/>
  <c r="J65" i="22"/>
  <c r="J96" i="22"/>
  <c r="L95" i="22"/>
  <c r="N95" i="22" s="1"/>
  <c r="J155" i="22"/>
  <c r="L154" i="22"/>
  <c r="M154" i="22" s="1"/>
  <c r="K127" i="22"/>
  <c r="K95" i="22"/>
  <c r="M95" i="22" s="1"/>
  <c r="I96" i="22"/>
  <c r="K110" i="22"/>
  <c r="I111" i="22"/>
  <c r="K155" i="22"/>
  <c r="I156" i="22"/>
  <c r="I36" i="22"/>
  <c r="K35" i="22"/>
  <c r="M35" i="22" s="1"/>
  <c r="N35" i="22"/>
  <c r="J170" i="22"/>
  <c r="M169" i="22"/>
  <c r="K170" i="22"/>
  <c r="I171" i="22"/>
  <c r="L79" i="22"/>
  <c r="M80" i="22" s="1"/>
  <c r="M81" i="22" s="1"/>
  <c r="J80" i="22"/>
  <c r="N126" i="22"/>
  <c r="J127" i="22"/>
  <c r="K140" i="22"/>
  <c r="M140" i="22" s="1"/>
  <c r="I141" i="22"/>
  <c r="K50" i="22"/>
  <c r="I51" i="22"/>
  <c r="K81" i="22"/>
  <c r="I82" i="22"/>
  <c r="J141" i="22"/>
  <c r="N140" i="22"/>
  <c r="L36" i="22"/>
  <c r="J157" i="20"/>
  <c r="L156" i="20"/>
  <c r="I127" i="20"/>
  <c r="K126" i="20"/>
  <c r="M126" i="20" s="1"/>
  <c r="N35" i="20"/>
  <c r="J36" i="20"/>
  <c r="I36" i="20"/>
  <c r="K35" i="20"/>
  <c r="M35" i="20" s="1"/>
  <c r="I141" i="20"/>
  <c r="K140" i="20"/>
  <c r="J112" i="20"/>
  <c r="L111" i="20"/>
  <c r="N170" i="20"/>
  <c r="I53" i="20"/>
  <c r="K52" i="20"/>
  <c r="J185" i="20"/>
  <c r="L184" i="20"/>
  <c r="M184" i="20" s="1"/>
  <c r="M185" i="20" s="1"/>
  <c r="M186" i="20" s="1"/>
  <c r="M187" i="20" s="1"/>
  <c r="I171" i="20"/>
  <c r="K170" i="20"/>
  <c r="M170" i="20" s="1"/>
  <c r="J127" i="20"/>
  <c r="L126" i="20"/>
  <c r="N126" i="20" s="1"/>
  <c r="I189" i="20"/>
  <c r="K188" i="20"/>
  <c r="I98" i="20"/>
  <c r="K97" i="20"/>
  <c r="M97" i="20" s="1"/>
  <c r="M139" i="20"/>
  <c r="M140" i="20" s="1"/>
  <c r="I156" i="20"/>
  <c r="K155" i="20"/>
  <c r="M155" i="20" s="1"/>
  <c r="J80" i="20"/>
  <c r="L79" i="20"/>
  <c r="M79" i="20" s="1"/>
  <c r="M80" i="20" s="1"/>
  <c r="M81" i="20" s="1"/>
  <c r="J65" i="20"/>
  <c r="L64" i="20"/>
  <c r="M64" i="20" s="1"/>
  <c r="K81" i="20"/>
  <c r="I82" i="20"/>
  <c r="L171" i="20"/>
  <c r="J172" i="20"/>
  <c r="N155" i="20"/>
  <c r="N156" i="20" s="1"/>
  <c r="N110" i="20"/>
  <c r="N111" i="20" s="1"/>
  <c r="N139" i="20"/>
  <c r="I66" i="20"/>
  <c r="K65" i="20"/>
  <c r="I111" i="20"/>
  <c r="K110" i="20"/>
  <c r="M110" i="20" s="1"/>
  <c r="J140" i="20"/>
  <c r="L139" i="20"/>
  <c r="J50" i="20"/>
  <c r="L49" i="20"/>
  <c r="M49" i="20" s="1"/>
  <c r="M50" i="20" s="1"/>
  <c r="M51" i="20" s="1"/>
  <c r="J97" i="20"/>
  <c r="L96" i="20"/>
  <c r="N96" i="20" s="1"/>
  <c r="J185" i="21"/>
  <c r="J170" i="21"/>
  <c r="I171" i="21"/>
  <c r="I156" i="21"/>
  <c r="J155" i="21"/>
  <c r="I141" i="21"/>
  <c r="J125" i="21"/>
  <c r="I111" i="21"/>
  <c r="J110" i="21"/>
  <c r="J95" i="21"/>
  <c r="I96" i="21"/>
  <c r="L79" i="21"/>
  <c r="K80" i="21"/>
  <c r="I81" i="21"/>
  <c r="K35" i="21"/>
  <c r="I36" i="21"/>
  <c r="J65" i="21"/>
  <c r="L64" i="21"/>
  <c r="K65" i="21"/>
  <c r="I66" i="21"/>
  <c r="J35" i="21"/>
  <c r="L34" i="21"/>
  <c r="K50" i="21"/>
  <c r="I51" i="21"/>
  <c r="J50" i="21"/>
  <c r="L49" i="21"/>
  <c r="I202" i="20"/>
  <c r="K201" i="20"/>
  <c r="M201" i="20" s="1"/>
  <c r="L65" i="23" l="1"/>
  <c r="J66" i="23"/>
  <c r="N127" i="23"/>
  <c r="M110" i="23"/>
  <c r="M80" i="23"/>
  <c r="K81" i="23"/>
  <c r="M81" i="23" s="1"/>
  <c r="I82" i="23"/>
  <c r="M35" i="23"/>
  <c r="K141" i="23"/>
  <c r="I142" i="23"/>
  <c r="L80" i="23"/>
  <c r="N80" i="23" s="1"/>
  <c r="J81" i="23"/>
  <c r="L127" i="23"/>
  <c r="J128" i="23"/>
  <c r="L50" i="23"/>
  <c r="N50" i="23" s="1"/>
  <c r="J51" i="23"/>
  <c r="K126" i="23"/>
  <c r="M126" i="23" s="1"/>
  <c r="I127" i="23"/>
  <c r="K127" i="23" s="1"/>
  <c r="I54" i="23"/>
  <c r="K53" i="23"/>
  <c r="L35" i="23"/>
  <c r="N35" i="23" s="1"/>
  <c r="J36" i="23"/>
  <c r="J37" i="23" s="1"/>
  <c r="L37" i="23" s="1"/>
  <c r="J141" i="23"/>
  <c r="L140" i="23"/>
  <c r="N140" i="23" s="1"/>
  <c r="L156" i="23"/>
  <c r="N156" i="23" s="1"/>
  <c r="J157" i="23"/>
  <c r="J111" i="23"/>
  <c r="L110" i="23"/>
  <c r="N110" i="23" s="1"/>
  <c r="K66" i="23"/>
  <c r="M66" i="23" s="1"/>
  <c r="I67" i="23"/>
  <c r="I68" i="23" s="1"/>
  <c r="K68" i="23" s="1"/>
  <c r="K36" i="23"/>
  <c r="I37" i="23"/>
  <c r="I38" i="23" s="1"/>
  <c r="M156" i="23"/>
  <c r="I157" i="23"/>
  <c r="K111" i="23"/>
  <c r="I112" i="23"/>
  <c r="L96" i="23"/>
  <c r="N96" i="23" s="1"/>
  <c r="J97" i="23"/>
  <c r="K96" i="23"/>
  <c r="M96" i="23" s="1"/>
  <c r="I97" i="23"/>
  <c r="M52" i="23"/>
  <c r="N65" i="23"/>
  <c r="L185" i="21"/>
  <c r="N185" i="21" s="1"/>
  <c r="J186" i="21"/>
  <c r="L186" i="21" s="1"/>
  <c r="M127" i="22"/>
  <c r="M110" i="22"/>
  <c r="I69" i="22"/>
  <c r="K68" i="22"/>
  <c r="N51" i="22"/>
  <c r="M170" i="22"/>
  <c r="J111" i="22"/>
  <c r="L110" i="22"/>
  <c r="N110" i="22" s="1"/>
  <c r="J38" i="22"/>
  <c r="L37" i="22"/>
  <c r="K96" i="22"/>
  <c r="J66" i="22"/>
  <c r="L65" i="22"/>
  <c r="N65" i="22" s="1"/>
  <c r="L127" i="22"/>
  <c r="N127" i="22" s="1"/>
  <c r="J128" i="22"/>
  <c r="I129" i="22"/>
  <c r="K128" i="22"/>
  <c r="K51" i="22"/>
  <c r="M51" i="22" s="1"/>
  <c r="I52" i="22"/>
  <c r="K171" i="22"/>
  <c r="M171" i="22" s="1"/>
  <c r="I172" i="22"/>
  <c r="M155" i="22"/>
  <c r="L170" i="22"/>
  <c r="N170" i="22" s="1"/>
  <c r="J171" i="22"/>
  <c r="N36" i="22"/>
  <c r="K36" i="22"/>
  <c r="M36" i="22" s="1"/>
  <c r="I37" i="22"/>
  <c r="L141" i="22"/>
  <c r="N141" i="22" s="1"/>
  <c r="J142" i="22"/>
  <c r="L96" i="22"/>
  <c r="N96" i="22" s="1"/>
  <c r="J97" i="22"/>
  <c r="K82" i="22"/>
  <c r="M82" i="22" s="1"/>
  <c r="I83" i="22"/>
  <c r="K156" i="22"/>
  <c r="I157" i="22"/>
  <c r="J156" i="22"/>
  <c r="L155" i="22"/>
  <c r="N155" i="22" s="1"/>
  <c r="K111" i="22"/>
  <c r="I112" i="22"/>
  <c r="L52" i="22"/>
  <c r="J53" i="22"/>
  <c r="J81" i="22"/>
  <c r="L80" i="22"/>
  <c r="N80" i="22" s="1"/>
  <c r="K141" i="22"/>
  <c r="M141" i="22" s="1"/>
  <c r="I142" i="22"/>
  <c r="M127" i="20"/>
  <c r="L36" i="20"/>
  <c r="N36" i="20" s="1"/>
  <c r="J37" i="20"/>
  <c r="I157" i="20"/>
  <c r="K156" i="20"/>
  <c r="M156" i="20" s="1"/>
  <c r="J186" i="20"/>
  <c r="L185" i="20"/>
  <c r="N185" i="20" s="1"/>
  <c r="J98" i="20"/>
  <c r="L97" i="20"/>
  <c r="N97" i="20" s="1"/>
  <c r="M52" i="20"/>
  <c r="I54" i="20"/>
  <c r="K53" i="20"/>
  <c r="N171" i="20"/>
  <c r="I83" i="20"/>
  <c r="K82" i="20"/>
  <c r="M82" i="20" s="1"/>
  <c r="J158" i="20"/>
  <c r="L157" i="20"/>
  <c r="N157" i="20" s="1"/>
  <c r="I190" i="20"/>
  <c r="K189" i="20"/>
  <c r="J141" i="20"/>
  <c r="L140" i="20"/>
  <c r="M65" i="20"/>
  <c r="J113" i="20"/>
  <c r="L112" i="20"/>
  <c r="N140" i="20"/>
  <c r="N112" i="20"/>
  <c r="M141" i="20"/>
  <c r="L172" i="20"/>
  <c r="J173" i="20"/>
  <c r="I128" i="20"/>
  <c r="K127" i="20"/>
  <c r="J51" i="20"/>
  <c r="L50" i="20"/>
  <c r="N50" i="20" s="1"/>
  <c r="I99" i="20"/>
  <c r="K98" i="20"/>
  <c r="J66" i="20"/>
  <c r="L65" i="20"/>
  <c r="N65" i="20" s="1"/>
  <c r="I112" i="20"/>
  <c r="K111" i="20"/>
  <c r="M111" i="20" s="1"/>
  <c r="J128" i="20"/>
  <c r="L127" i="20"/>
  <c r="N127" i="20" s="1"/>
  <c r="I142" i="20"/>
  <c r="K141" i="20"/>
  <c r="J81" i="20"/>
  <c r="L80" i="20"/>
  <c r="N80" i="20" s="1"/>
  <c r="K66" i="20"/>
  <c r="I67" i="20"/>
  <c r="I172" i="20"/>
  <c r="K171" i="20"/>
  <c r="M171" i="20" s="1"/>
  <c r="I37" i="20"/>
  <c r="K36" i="20"/>
  <c r="M36" i="20" s="1"/>
  <c r="I187" i="21"/>
  <c r="K187" i="21" s="1"/>
  <c r="M187" i="21" s="1"/>
  <c r="I172" i="21"/>
  <c r="J171" i="21"/>
  <c r="J156" i="21"/>
  <c r="I157" i="21"/>
  <c r="J141" i="21"/>
  <c r="I142" i="21"/>
  <c r="J126" i="21"/>
  <c r="I127" i="21"/>
  <c r="I112" i="21"/>
  <c r="J111" i="21"/>
  <c r="I97" i="21"/>
  <c r="L65" i="21"/>
  <c r="J66" i="21"/>
  <c r="K36" i="21"/>
  <c r="L50" i="21"/>
  <c r="J51" i="21"/>
  <c r="K51" i="21"/>
  <c r="I52" i="21"/>
  <c r="K66" i="21"/>
  <c r="I67" i="21"/>
  <c r="L80" i="21"/>
  <c r="J81" i="21"/>
  <c r="L35" i="21"/>
  <c r="J36" i="21"/>
  <c r="K81" i="21"/>
  <c r="I82" i="21"/>
  <c r="I203" i="20"/>
  <c r="K202" i="20"/>
  <c r="M202" i="20" s="1"/>
  <c r="M203" i="20" s="1"/>
  <c r="M204" i="20" s="1"/>
  <c r="M205" i="20" s="1"/>
  <c r="M206" i="20" s="1"/>
  <c r="M141" i="23" l="1"/>
  <c r="M111" i="23"/>
  <c r="K82" i="23"/>
  <c r="M82" i="23" s="1"/>
  <c r="I83" i="23"/>
  <c r="M36" i="23"/>
  <c r="I128" i="23"/>
  <c r="M127" i="23"/>
  <c r="M128" i="23" s="1"/>
  <c r="J52" i="23"/>
  <c r="L52" i="23" s="1"/>
  <c r="L51" i="23"/>
  <c r="N51" i="23" s="1"/>
  <c r="I113" i="23"/>
  <c r="K112" i="23"/>
  <c r="I143" i="23"/>
  <c r="K142" i="23"/>
  <c r="L157" i="23"/>
  <c r="N157" i="23" s="1"/>
  <c r="J158" i="23"/>
  <c r="J159" i="23" s="1"/>
  <c r="I158" i="23"/>
  <c r="K157" i="23"/>
  <c r="M157" i="23" s="1"/>
  <c r="J67" i="23"/>
  <c r="L66" i="23"/>
  <c r="N66" i="23" s="1"/>
  <c r="K37" i="23"/>
  <c r="L141" i="23"/>
  <c r="N141" i="23" s="1"/>
  <c r="J142" i="23"/>
  <c r="J129" i="23"/>
  <c r="L128" i="23"/>
  <c r="L36" i="23"/>
  <c r="N36" i="23" s="1"/>
  <c r="N37" i="23" s="1"/>
  <c r="K67" i="23"/>
  <c r="M67" i="23" s="1"/>
  <c r="J82" i="23"/>
  <c r="J83" i="23" s="1"/>
  <c r="L83" i="23" s="1"/>
  <c r="L81" i="23"/>
  <c r="K97" i="23"/>
  <c r="M97" i="23" s="1"/>
  <c r="I98" i="23"/>
  <c r="K98" i="23" s="1"/>
  <c r="N81" i="23"/>
  <c r="L97" i="23"/>
  <c r="N97" i="23" s="1"/>
  <c r="J98" i="23"/>
  <c r="I55" i="23"/>
  <c r="K54" i="23"/>
  <c r="L111" i="23"/>
  <c r="N111" i="23" s="1"/>
  <c r="J112" i="23"/>
  <c r="J113" i="23" s="1"/>
  <c r="L113" i="23" s="1"/>
  <c r="N98" i="20"/>
  <c r="N186" i="21"/>
  <c r="M111" i="22"/>
  <c r="I70" i="22"/>
  <c r="K69" i="22"/>
  <c r="N52" i="22"/>
  <c r="L111" i="22"/>
  <c r="N111" i="22" s="1"/>
  <c r="J112" i="22"/>
  <c r="L38" i="22"/>
  <c r="J39" i="22"/>
  <c r="L156" i="22"/>
  <c r="N156" i="22" s="1"/>
  <c r="K129" i="22"/>
  <c r="I130" i="22"/>
  <c r="I158" i="22"/>
  <c r="K157" i="22"/>
  <c r="L171" i="22"/>
  <c r="N171" i="22" s="1"/>
  <c r="J172" i="22"/>
  <c r="L128" i="22"/>
  <c r="M128" i="22" s="1"/>
  <c r="J129" i="22"/>
  <c r="M156" i="22"/>
  <c r="I84" i="22"/>
  <c r="K83" i="22"/>
  <c r="N128" i="22"/>
  <c r="K37" i="22"/>
  <c r="I38" i="22"/>
  <c r="K142" i="22"/>
  <c r="M142" i="22" s="1"/>
  <c r="N37" i="22"/>
  <c r="L81" i="22"/>
  <c r="N81" i="22" s="1"/>
  <c r="J82" i="22"/>
  <c r="L97" i="22"/>
  <c r="N97" i="22" s="1"/>
  <c r="J98" i="22"/>
  <c r="M172" i="22"/>
  <c r="J67" i="22"/>
  <c r="L66" i="22"/>
  <c r="N66" i="22" s="1"/>
  <c r="L53" i="22"/>
  <c r="J54" i="22"/>
  <c r="I98" i="22"/>
  <c r="K97" i="22"/>
  <c r="M97" i="22" s="1"/>
  <c r="K112" i="22"/>
  <c r="I113" i="22"/>
  <c r="L142" i="22"/>
  <c r="N142" i="22" s="1"/>
  <c r="J143" i="22"/>
  <c r="K52" i="22"/>
  <c r="M52" i="22" s="1"/>
  <c r="I53" i="22"/>
  <c r="N37" i="20"/>
  <c r="M172" i="20"/>
  <c r="M173" i="20" s="1"/>
  <c r="I129" i="20"/>
  <c r="K128" i="20"/>
  <c r="N128" i="20" s="1"/>
  <c r="J174" i="20"/>
  <c r="L173" i="20"/>
  <c r="I158" i="20"/>
  <c r="K157" i="20"/>
  <c r="M157" i="20" s="1"/>
  <c r="M158" i="20" s="1"/>
  <c r="L37" i="20"/>
  <c r="J38" i="20"/>
  <c r="I113" i="20"/>
  <c r="K112" i="20"/>
  <c r="M112" i="20" s="1"/>
  <c r="M113" i="20" s="1"/>
  <c r="I84" i="20"/>
  <c r="K83" i="20"/>
  <c r="N66" i="20"/>
  <c r="N141" i="20"/>
  <c r="N172" i="20"/>
  <c r="L66" i="20"/>
  <c r="J67" i="20"/>
  <c r="J114" i="20"/>
  <c r="L113" i="20"/>
  <c r="K54" i="20"/>
  <c r="I55" i="20"/>
  <c r="J187" i="20"/>
  <c r="L186" i="20"/>
  <c r="N186" i="20" s="1"/>
  <c r="J129" i="20"/>
  <c r="L128" i="20"/>
  <c r="M128" i="20" s="1"/>
  <c r="M66" i="20"/>
  <c r="J82" i="20"/>
  <c r="L81" i="20"/>
  <c r="N81" i="20" s="1"/>
  <c r="J52" i="20"/>
  <c r="L51" i="20"/>
  <c r="N51" i="20" s="1"/>
  <c r="J142" i="20"/>
  <c r="L141" i="20"/>
  <c r="J99" i="20"/>
  <c r="L98" i="20"/>
  <c r="M98" i="20" s="1"/>
  <c r="I143" i="20"/>
  <c r="K142" i="20"/>
  <c r="M142" i="20" s="1"/>
  <c r="I191" i="20"/>
  <c r="K191" i="20" s="1"/>
  <c r="K190" i="20"/>
  <c r="I173" i="20"/>
  <c r="K172" i="20"/>
  <c r="I68" i="20"/>
  <c r="K67" i="20"/>
  <c r="J159" i="20"/>
  <c r="L158" i="20"/>
  <c r="I100" i="20"/>
  <c r="K99" i="20"/>
  <c r="N99" i="20" s="1"/>
  <c r="K37" i="20"/>
  <c r="M37" i="20" s="1"/>
  <c r="I38" i="20"/>
  <c r="I188" i="21"/>
  <c r="K188" i="21" s="1"/>
  <c r="J187" i="21"/>
  <c r="L187" i="21" s="1"/>
  <c r="J172" i="21"/>
  <c r="I173" i="21"/>
  <c r="I158" i="21"/>
  <c r="J157" i="21"/>
  <c r="J142" i="21"/>
  <c r="I128" i="21"/>
  <c r="J127" i="21"/>
  <c r="J112" i="21"/>
  <c r="I113" i="21"/>
  <c r="J97" i="21"/>
  <c r="I98" i="21"/>
  <c r="K82" i="21"/>
  <c r="I83" i="21"/>
  <c r="L36" i="21"/>
  <c r="J37" i="21"/>
  <c r="K37" i="21"/>
  <c r="M37" i="21" s="1"/>
  <c r="I53" i="21"/>
  <c r="K52" i="21"/>
  <c r="M52" i="21" s="1"/>
  <c r="I68" i="21"/>
  <c r="K67" i="21"/>
  <c r="L51" i="21"/>
  <c r="J52" i="21"/>
  <c r="J53" i="21" s="1"/>
  <c r="J82" i="21"/>
  <c r="J67" i="21"/>
  <c r="I204" i="20"/>
  <c r="K203" i="20"/>
  <c r="N203" i="20" s="1"/>
  <c r="M112" i="23" l="1"/>
  <c r="M142" i="23"/>
  <c r="I84" i="23"/>
  <c r="K83" i="23"/>
  <c r="M37" i="23"/>
  <c r="J38" i="23"/>
  <c r="K158" i="23"/>
  <c r="I159" i="23"/>
  <c r="L112" i="23"/>
  <c r="N112" i="23" s="1"/>
  <c r="N158" i="23"/>
  <c r="L142" i="23"/>
  <c r="N142" i="23" s="1"/>
  <c r="J143" i="23"/>
  <c r="J144" i="23" s="1"/>
  <c r="L144" i="23" s="1"/>
  <c r="K143" i="23"/>
  <c r="I144" i="23"/>
  <c r="L98" i="23"/>
  <c r="M98" i="23" s="1"/>
  <c r="J99" i="23"/>
  <c r="L67" i="23"/>
  <c r="J68" i="23"/>
  <c r="N67" i="23"/>
  <c r="I129" i="23"/>
  <c r="I130" i="23" s="1"/>
  <c r="K128" i="23"/>
  <c r="N128" i="23" s="1"/>
  <c r="I99" i="23"/>
  <c r="N98" i="23"/>
  <c r="L129" i="23"/>
  <c r="J130" i="23"/>
  <c r="L130" i="23" s="1"/>
  <c r="L158" i="23"/>
  <c r="M158" i="23" s="1"/>
  <c r="K55" i="23"/>
  <c r="I56" i="23"/>
  <c r="K56" i="23" s="1"/>
  <c r="L82" i="23"/>
  <c r="N82" i="23" s="1"/>
  <c r="N83" i="23" s="1"/>
  <c r="I69" i="23"/>
  <c r="K38" i="23"/>
  <c r="N38" i="23" s="1"/>
  <c r="I39" i="23"/>
  <c r="I114" i="23"/>
  <c r="K113" i="23"/>
  <c r="N52" i="23"/>
  <c r="N53" i="23" s="1"/>
  <c r="N54" i="23" s="1"/>
  <c r="J53" i="23"/>
  <c r="J54" i="23" s="1"/>
  <c r="N187" i="21"/>
  <c r="N188" i="21" s="1"/>
  <c r="N189" i="21" s="1"/>
  <c r="M112" i="22"/>
  <c r="K70" i="22"/>
  <c r="I71" i="22"/>
  <c r="K71" i="22" s="1"/>
  <c r="M53" i="22"/>
  <c r="M157" i="22"/>
  <c r="L112" i="22"/>
  <c r="N112" i="22" s="1"/>
  <c r="J113" i="22"/>
  <c r="L98" i="22"/>
  <c r="M98" i="22" s="1"/>
  <c r="J99" i="22"/>
  <c r="L129" i="22"/>
  <c r="M129" i="22" s="1"/>
  <c r="J130" i="22"/>
  <c r="M38" i="22"/>
  <c r="K38" i="22"/>
  <c r="N38" i="22" s="1"/>
  <c r="I39" i="22"/>
  <c r="L172" i="22"/>
  <c r="N172" i="22" s="1"/>
  <c r="J173" i="22"/>
  <c r="I85" i="22"/>
  <c r="K84" i="22"/>
  <c r="K143" i="22"/>
  <c r="N143" i="22" s="1"/>
  <c r="I144" i="22"/>
  <c r="I114" i="22"/>
  <c r="K113" i="22"/>
  <c r="K53" i="22"/>
  <c r="N53" i="22" s="1"/>
  <c r="I54" i="22"/>
  <c r="I99" i="22"/>
  <c r="N98" i="22"/>
  <c r="K158" i="22"/>
  <c r="I159" i="22"/>
  <c r="L143" i="22"/>
  <c r="M143" i="22" s="1"/>
  <c r="J144" i="22"/>
  <c r="L157" i="22"/>
  <c r="N157" i="22" s="1"/>
  <c r="N158" i="22" s="1"/>
  <c r="J158" i="22"/>
  <c r="L67" i="22"/>
  <c r="N67" i="22" s="1"/>
  <c r="N68" i="22" s="1"/>
  <c r="N69" i="22" s="1"/>
  <c r="N70" i="22" s="1"/>
  <c r="J68" i="22"/>
  <c r="L39" i="22"/>
  <c r="J40" i="22"/>
  <c r="K173" i="22"/>
  <c r="I174" i="22"/>
  <c r="L82" i="22"/>
  <c r="N83" i="22" s="1"/>
  <c r="J83" i="22"/>
  <c r="L54" i="22"/>
  <c r="J55" i="22"/>
  <c r="N129" i="22"/>
  <c r="I131" i="22"/>
  <c r="K131" i="22" s="1"/>
  <c r="K130" i="22"/>
  <c r="N82" i="20"/>
  <c r="N83" i="20" s="1"/>
  <c r="N187" i="20"/>
  <c r="N188" i="20" s="1"/>
  <c r="N189" i="20" s="1"/>
  <c r="N190" i="20" s="1"/>
  <c r="N191" i="20" s="1"/>
  <c r="N100" i="20"/>
  <c r="N101" i="20" s="1"/>
  <c r="M114" i="20"/>
  <c r="J175" i="20"/>
  <c r="L174" i="20"/>
  <c r="M174" i="20" s="1"/>
  <c r="J130" i="20"/>
  <c r="L129" i="20"/>
  <c r="M129" i="20" s="1"/>
  <c r="I130" i="20"/>
  <c r="K129" i="20"/>
  <c r="N129" i="20" s="1"/>
  <c r="J188" i="20"/>
  <c r="L187" i="20"/>
  <c r="I85" i="20"/>
  <c r="K84" i="20"/>
  <c r="J160" i="20"/>
  <c r="L159" i="20"/>
  <c r="M159" i="20" s="1"/>
  <c r="I56" i="20"/>
  <c r="K56" i="20" s="1"/>
  <c r="K55" i="20"/>
  <c r="I69" i="20"/>
  <c r="K68" i="20"/>
  <c r="J53" i="20"/>
  <c r="L52" i="20"/>
  <c r="N52" i="20" s="1"/>
  <c r="N53" i="20" s="1"/>
  <c r="N54" i="20" s="1"/>
  <c r="N55" i="20" s="1"/>
  <c r="N56" i="20" s="1"/>
  <c r="I174" i="20"/>
  <c r="K173" i="20"/>
  <c r="N173" i="20" s="1"/>
  <c r="I159" i="20"/>
  <c r="K158" i="20"/>
  <c r="N158" i="20" s="1"/>
  <c r="K143" i="20"/>
  <c r="I144" i="20"/>
  <c r="I101" i="20"/>
  <c r="K101" i="20" s="1"/>
  <c r="K100" i="20"/>
  <c r="L99" i="20"/>
  <c r="M99" i="20" s="1"/>
  <c r="J100" i="20"/>
  <c r="J143" i="20"/>
  <c r="L142" i="20"/>
  <c r="N142" i="20" s="1"/>
  <c r="N143" i="20" s="1"/>
  <c r="I114" i="20"/>
  <c r="K113" i="20"/>
  <c r="N113" i="20" s="1"/>
  <c r="L38" i="20"/>
  <c r="M38" i="20" s="1"/>
  <c r="J39" i="20"/>
  <c r="K38" i="20"/>
  <c r="N38" i="20" s="1"/>
  <c r="I39" i="20"/>
  <c r="J115" i="20"/>
  <c r="L114" i="20"/>
  <c r="L82" i="20"/>
  <c r="J83" i="20"/>
  <c r="J68" i="20"/>
  <c r="L67" i="20"/>
  <c r="N67" i="20" s="1"/>
  <c r="N68" i="20" s="1"/>
  <c r="M67" i="20"/>
  <c r="J188" i="21"/>
  <c r="L188" i="21" s="1"/>
  <c r="M188" i="21" s="1"/>
  <c r="I189" i="21"/>
  <c r="K189" i="21" s="1"/>
  <c r="I174" i="21"/>
  <c r="J173" i="21"/>
  <c r="J158" i="21"/>
  <c r="I159" i="21"/>
  <c r="J143" i="21"/>
  <c r="I144" i="21"/>
  <c r="J128" i="21"/>
  <c r="I129" i="21"/>
  <c r="I114" i="21"/>
  <c r="I99" i="21"/>
  <c r="J98" i="21"/>
  <c r="M39" i="21"/>
  <c r="M40" i="21" s="1"/>
  <c r="M41" i="21" s="1"/>
  <c r="L52" i="21"/>
  <c r="N52" i="21" s="1"/>
  <c r="K68" i="21"/>
  <c r="I69" i="21"/>
  <c r="K83" i="21"/>
  <c r="I84" i="21"/>
  <c r="K53" i="21"/>
  <c r="I54" i="21"/>
  <c r="L67" i="21"/>
  <c r="J68" i="21"/>
  <c r="L82" i="21"/>
  <c r="J83" i="21"/>
  <c r="I39" i="21"/>
  <c r="L37" i="21"/>
  <c r="J38" i="21"/>
  <c r="I205" i="20"/>
  <c r="K204" i="20"/>
  <c r="N204" i="20" s="1"/>
  <c r="N113" i="23" l="1"/>
  <c r="N55" i="23"/>
  <c r="N56" i="23" s="1"/>
  <c r="N143" i="23"/>
  <c r="M129" i="23"/>
  <c r="K84" i="23"/>
  <c r="N84" i="23" s="1"/>
  <c r="I85" i="23"/>
  <c r="I100" i="23"/>
  <c r="K99" i="23"/>
  <c r="N99" i="23" s="1"/>
  <c r="K144" i="23"/>
  <c r="I145" i="23"/>
  <c r="L53" i="23"/>
  <c r="M53" i="23" s="1"/>
  <c r="L68" i="23"/>
  <c r="M68" i="23" s="1"/>
  <c r="J69" i="23"/>
  <c r="L99" i="23"/>
  <c r="M99" i="23" s="1"/>
  <c r="J100" i="23"/>
  <c r="L38" i="23"/>
  <c r="M38" i="23" s="1"/>
  <c r="J39" i="23"/>
  <c r="M83" i="23"/>
  <c r="J84" i="23"/>
  <c r="L143" i="23"/>
  <c r="M143" i="23" s="1"/>
  <c r="K129" i="23"/>
  <c r="N129" i="23" s="1"/>
  <c r="N68" i="23"/>
  <c r="L159" i="23"/>
  <c r="M159" i="23" s="1"/>
  <c r="J160" i="23"/>
  <c r="L160" i="23" s="1"/>
  <c r="M113" i="23"/>
  <c r="J114" i="23"/>
  <c r="K114" i="23"/>
  <c r="N114" i="23" s="1"/>
  <c r="I115" i="23"/>
  <c r="I40" i="23"/>
  <c r="K40" i="23" s="1"/>
  <c r="K39" i="23"/>
  <c r="J131" i="23"/>
  <c r="L131" i="23" s="1"/>
  <c r="K159" i="23"/>
  <c r="N159" i="23" s="1"/>
  <c r="I160" i="23"/>
  <c r="K69" i="23"/>
  <c r="I70" i="23"/>
  <c r="N173" i="22"/>
  <c r="N84" i="22"/>
  <c r="N71" i="22"/>
  <c r="M54" i="22"/>
  <c r="L113" i="22"/>
  <c r="M113" i="22" s="1"/>
  <c r="K99" i="22"/>
  <c r="I100" i="22"/>
  <c r="L158" i="22"/>
  <c r="M158" i="22" s="1"/>
  <c r="J159" i="22"/>
  <c r="N99" i="22"/>
  <c r="I55" i="22"/>
  <c r="K54" i="22"/>
  <c r="N54" i="22" s="1"/>
  <c r="L99" i="22"/>
  <c r="M99" i="22" s="1"/>
  <c r="J100" i="22"/>
  <c r="L144" i="22"/>
  <c r="M144" i="22" s="1"/>
  <c r="J145" i="22"/>
  <c r="K159" i="22"/>
  <c r="N159" i="22" s="1"/>
  <c r="I160" i="22"/>
  <c r="L55" i="22"/>
  <c r="J56" i="22"/>
  <c r="L56" i="22" s="1"/>
  <c r="L173" i="22"/>
  <c r="J174" i="22"/>
  <c r="M83" i="22"/>
  <c r="J84" i="22"/>
  <c r="K114" i="22"/>
  <c r="N114" i="22" s="1"/>
  <c r="I115" i="22"/>
  <c r="N144" i="22"/>
  <c r="I145" i="22"/>
  <c r="M39" i="22"/>
  <c r="K174" i="22"/>
  <c r="I175" i="22"/>
  <c r="L68" i="22"/>
  <c r="M68" i="22" s="1"/>
  <c r="J69" i="22"/>
  <c r="N130" i="22"/>
  <c r="N131" i="22" s="1"/>
  <c r="I40" i="22"/>
  <c r="K39" i="22"/>
  <c r="N39" i="22" s="1"/>
  <c r="L40" i="22"/>
  <c r="J41" i="22"/>
  <c r="L41" i="22" s="1"/>
  <c r="K85" i="22"/>
  <c r="I86" i="22"/>
  <c r="K86" i="22" s="1"/>
  <c r="L130" i="22"/>
  <c r="M130" i="22" s="1"/>
  <c r="J131" i="22"/>
  <c r="L131" i="22" s="1"/>
  <c r="N130" i="20"/>
  <c r="N131" i="20" s="1"/>
  <c r="I145" i="20"/>
  <c r="K144" i="20"/>
  <c r="N144" i="20" s="1"/>
  <c r="N114" i="20"/>
  <c r="I115" i="20"/>
  <c r="K114" i="20"/>
  <c r="L175" i="20"/>
  <c r="M175" i="20" s="1"/>
  <c r="M176" i="20" s="1"/>
  <c r="J176" i="20"/>
  <c r="L176" i="20" s="1"/>
  <c r="I160" i="20"/>
  <c r="K159" i="20"/>
  <c r="N159" i="20" s="1"/>
  <c r="J161" i="20"/>
  <c r="L161" i="20" s="1"/>
  <c r="L160" i="20"/>
  <c r="M160" i="20" s="1"/>
  <c r="M161" i="20" s="1"/>
  <c r="M115" i="20"/>
  <c r="J69" i="20"/>
  <c r="L68" i="20"/>
  <c r="M68" i="20" s="1"/>
  <c r="N174" i="20"/>
  <c r="J84" i="20"/>
  <c r="L83" i="20"/>
  <c r="M83" i="20" s="1"/>
  <c r="I175" i="20"/>
  <c r="K174" i="20"/>
  <c r="I86" i="20"/>
  <c r="K86" i="20" s="1"/>
  <c r="K85" i="20"/>
  <c r="J101" i="20"/>
  <c r="L101" i="20" s="1"/>
  <c r="L100" i="20"/>
  <c r="M100" i="20" s="1"/>
  <c r="M101" i="20" s="1"/>
  <c r="O101" i="20" s="1"/>
  <c r="J189" i="20"/>
  <c r="L188" i="20"/>
  <c r="M188" i="20" s="1"/>
  <c r="J54" i="20"/>
  <c r="L53" i="20"/>
  <c r="M53" i="20" s="1"/>
  <c r="K39" i="20"/>
  <c r="N39" i="20" s="1"/>
  <c r="I40" i="20"/>
  <c r="K130" i="20"/>
  <c r="I131" i="20"/>
  <c r="K131" i="20" s="1"/>
  <c r="K69" i="20"/>
  <c r="N69" i="20" s="1"/>
  <c r="I70" i="20"/>
  <c r="J144" i="20"/>
  <c r="L143" i="20"/>
  <c r="M143" i="20" s="1"/>
  <c r="J116" i="20"/>
  <c r="L116" i="20" s="1"/>
  <c r="L115" i="20"/>
  <c r="N84" i="20"/>
  <c r="N85" i="20" s="1"/>
  <c r="N86" i="20" s="1"/>
  <c r="L39" i="20"/>
  <c r="M39" i="20" s="1"/>
  <c r="J40" i="20"/>
  <c r="J131" i="20"/>
  <c r="L131" i="20" s="1"/>
  <c r="L130" i="20"/>
  <c r="M130" i="20" s="1"/>
  <c r="M131" i="20" s="1"/>
  <c r="O131" i="20" s="1"/>
  <c r="I190" i="21"/>
  <c r="K190" i="21" s="1"/>
  <c r="N190" i="21" s="1"/>
  <c r="J189" i="21"/>
  <c r="L189" i="21" s="1"/>
  <c r="M189" i="21" s="1"/>
  <c r="I175" i="21"/>
  <c r="I160" i="21"/>
  <c r="I145" i="21"/>
  <c r="J144" i="21"/>
  <c r="I130" i="21"/>
  <c r="I115" i="21"/>
  <c r="J114" i="21"/>
  <c r="J99" i="21"/>
  <c r="I100" i="21"/>
  <c r="N53" i="21"/>
  <c r="I85" i="21"/>
  <c r="K84" i="21"/>
  <c r="I70" i="21"/>
  <c r="K69" i="21"/>
  <c r="I55" i="21"/>
  <c r="K54" i="21"/>
  <c r="K39" i="21"/>
  <c r="N39" i="21" s="1"/>
  <c r="I40" i="21"/>
  <c r="L68" i="21"/>
  <c r="J69" i="21"/>
  <c r="L83" i="21"/>
  <c r="J84" i="21"/>
  <c r="L38" i="21"/>
  <c r="J39" i="21"/>
  <c r="L53" i="21"/>
  <c r="M53" i="21" s="1"/>
  <c r="J54" i="21"/>
  <c r="L54" i="21" s="1"/>
  <c r="I206" i="20"/>
  <c r="K206" i="20" s="1"/>
  <c r="K205" i="20"/>
  <c r="N205" i="20" s="1"/>
  <c r="N144" i="23" l="1"/>
  <c r="M130" i="23"/>
  <c r="M131" i="23" s="1"/>
  <c r="K85" i="23"/>
  <c r="N85" i="23" s="1"/>
  <c r="I86" i="23"/>
  <c r="K86" i="23" s="1"/>
  <c r="N39" i="23"/>
  <c r="M144" i="23"/>
  <c r="J145" i="23"/>
  <c r="L114" i="23"/>
  <c r="M114" i="23" s="1"/>
  <c r="J115" i="23"/>
  <c r="M160" i="23"/>
  <c r="J161" i="23"/>
  <c r="L161" i="23" s="1"/>
  <c r="L39" i="23"/>
  <c r="M39" i="23" s="1"/>
  <c r="J40" i="23"/>
  <c r="I116" i="23"/>
  <c r="K116" i="23" s="1"/>
  <c r="K115" i="23"/>
  <c r="N115" i="23" s="1"/>
  <c r="K70" i="23"/>
  <c r="I71" i="23"/>
  <c r="K71" i="23" s="1"/>
  <c r="L54" i="23"/>
  <c r="M54" i="23" s="1"/>
  <c r="J55" i="23"/>
  <c r="L84" i="23"/>
  <c r="M84" i="23" s="1"/>
  <c r="J85" i="23"/>
  <c r="I146" i="23"/>
  <c r="K146" i="23" s="1"/>
  <c r="K145" i="23"/>
  <c r="I161" i="23"/>
  <c r="K161" i="23" s="1"/>
  <c r="K160" i="23"/>
  <c r="N160" i="23" s="1"/>
  <c r="N69" i="23"/>
  <c r="L100" i="23"/>
  <c r="M100" i="23" s="1"/>
  <c r="J101" i="23"/>
  <c r="L101" i="23" s="1"/>
  <c r="K100" i="23"/>
  <c r="N100" i="23" s="1"/>
  <c r="I101" i="23"/>
  <c r="K101" i="23" s="1"/>
  <c r="I41" i="23"/>
  <c r="K41" i="23" s="1"/>
  <c r="I131" i="23"/>
  <c r="K131" i="23" s="1"/>
  <c r="K130" i="23"/>
  <c r="N130" i="23" s="1"/>
  <c r="J70" i="23"/>
  <c r="L69" i="23"/>
  <c r="M69" i="23" s="1"/>
  <c r="M190" i="21"/>
  <c r="N174" i="22"/>
  <c r="N85" i="22"/>
  <c r="N86" i="22" s="1"/>
  <c r="M55" i="22"/>
  <c r="M56" i="22" s="1"/>
  <c r="M131" i="22"/>
  <c r="O131" i="22" s="1"/>
  <c r="L114" i="22"/>
  <c r="M114" i="22" s="1"/>
  <c r="J115" i="22"/>
  <c r="I116" i="22"/>
  <c r="K116" i="22" s="1"/>
  <c r="K115" i="22"/>
  <c r="N115" i="22" s="1"/>
  <c r="N116" i="22" s="1"/>
  <c r="I161" i="22"/>
  <c r="K161" i="22" s="1"/>
  <c r="K160" i="22"/>
  <c r="N160" i="22" s="1"/>
  <c r="L174" i="22"/>
  <c r="M174" i="22" s="1"/>
  <c r="J175" i="22"/>
  <c r="L69" i="22"/>
  <c r="M69" i="22" s="1"/>
  <c r="J70" i="22"/>
  <c r="M159" i="22"/>
  <c r="J160" i="22"/>
  <c r="L84" i="22"/>
  <c r="M84" i="22" s="1"/>
  <c r="J85" i="22"/>
  <c r="L100" i="22"/>
  <c r="M100" i="22" s="1"/>
  <c r="J101" i="22"/>
  <c r="L101" i="22" s="1"/>
  <c r="L145" i="22"/>
  <c r="M145" i="22" s="1"/>
  <c r="J146" i="22"/>
  <c r="L146" i="22" s="1"/>
  <c r="K100" i="22"/>
  <c r="I101" i="22"/>
  <c r="K101" i="22" s="1"/>
  <c r="I176" i="22"/>
  <c r="K176" i="22" s="1"/>
  <c r="K175" i="22"/>
  <c r="M40" i="22"/>
  <c r="M41" i="22" s="1"/>
  <c r="K55" i="22"/>
  <c r="N55" i="22" s="1"/>
  <c r="I56" i="22"/>
  <c r="K56" i="22" s="1"/>
  <c r="K40" i="22"/>
  <c r="N40" i="22" s="1"/>
  <c r="I41" i="22"/>
  <c r="K41" i="22" s="1"/>
  <c r="I146" i="22"/>
  <c r="K146" i="22" s="1"/>
  <c r="K145" i="22"/>
  <c r="M69" i="20"/>
  <c r="N145" i="20"/>
  <c r="N146" i="20" s="1"/>
  <c r="M189" i="20"/>
  <c r="J70" i="20"/>
  <c r="L69" i="20"/>
  <c r="J145" i="20"/>
  <c r="L144" i="20"/>
  <c r="J190" i="20"/>
  <c r="L189" i="20"/>
  <c r="M116" i="20"/>
  <c r="K145" i="20"/>
  <c r="I146" i="20"/>
  <c r="K146" i="20" s="1"/>
  <c r="K70" i="20"/>
  <c r="N70" i="20" s="1"/>
  <c r="I71" i="20"/>
  <c r="K71" i="20" s="1"/>
  <c r="I161" i="20"/>
  <c r="K161" i="20" s="1"/>
  <c r="K160" i="20"/>
  <c r="N160" i="20" s="1"/>
  <c r="N161" i="20" s="1"/>
  <c r="O161" i="20" s="1"/>
  <c r="K40" i="20"/>
  <c r="N40" i="20" s="1"/>
  <c r="I41" i="20"/>
  <c r="K41" i="20" s="1"/>
  <c r="M144" i="20"/>
  <c r="J41" i="20"/>
  <c r="L41" i="20" s="1"/>
  <c r="L40" i="20"/>
  <c r="M40" i="20" s="1"/>
  <c r="M41" i="20" s="1"/>
  <c r="I176" i="20"/>
  <c r="K176" i="20" s="1"/>
  <c r="K175" i="20"/>
  <c r="M84" i="20"/>
  <c r="J55" i="20"/>
  <c r="L54" i="20"/>
  <c r="M54" i="20" s="1"/>
  <c r="J85" i="20"/>
  <c r="L84" i="20"/>
  <c r="I116" i="20"/>
  <c r="K116" i="20" s="1"/>
  <c r="K115" i="20"/>
  <c r="N115" i="20" s="1"/>
  <c r="N116" i="20" s="1"/>
  <c r="N175" i="20"/>
  <c r="N176" i="20" s="1"/>
  <c r="O176" i="20" s="1"/>
  <c r="I191" i="21"/>
  <c r="K191" i="21" s="1"/>
  <c r="N191" i="21" s="1"/>
  <c r="J190" i="21"/>
  <c r="L190" i="21" s="1"/>
  <c r="I176" i="21"/>
  <c r="J175" i="21"/>
  <c r="J160" i="21"/>
  <c r="I161" i="21"/>
  <c r="J145" i="21"/>
  <c r="I146" i="21"/>
  <c r="I131" i="21"/>
  <c r="J130" i="21"/>
  <c r="I116" i="21"/>
  <c r="J115" i="21"/>
  <c r="I101" i="21"/>
  <c r="J100" i="21"/>
  <c r="M54" i="21"/>
  <c r="N54" i="21"/>
  <c r="I41" i="21"/>
  <c r="K41" i="21" s="1"/>
  <c r="K40" i="21"/>
  <c r="N40" i="21" s="1"/>
  <c r="N41" i="21" s="1"/>
  <c r="L69" i="21"/>
  <c r="K85" i="21"/>
  <c r="I86" i="21"/>
  <c r="K86" i="21" s="1"/>
  <c r="I56" i="21"/>
  <c r="K56" i="21" s="1"/>
  <c r="K55" i="21"/>
  <c r="L84" i="21"/>
  <c r="J85" i="21"/>
  <c r="J55" i="21"/>
  <c r="I71" i="21"/>
  <c r="K71" i="21" s="1"/>
  <c r="K70" i="21"/>
  <c r="N206" i="20"/>
  <c r="O206" i="20" s="1"/>
  <c r="N71" i="20" l="1"/>
  <c r="N41" i="20"/>
  <c r="O41" i="20" s="1"/>
  <c r="N70" i="23"/>
  <c r="N161" i="23"/>
  <c r="N145" i="23"/>
  <c r="N146" i="23"/>
  <c r="M161" i="23"/>
  <c r="O161" i="23" s="1"/>
  <c r="N131" i="23"/>
  <c r="O131" i="23" s="1"/>
  <c r="N116" i="23"/>
  <c r="M101" i="23"/>
  <c r="N86" i="23"/>
  <c r="N71" i="23"/>
  <c r="N40" i="23"/>
  <c r="N41" i="23" s="1"/>
  <c r="N101" i="23"/>
  <c r="L40" i="23"/>
  <c r="M40" i="23" s="1"/>
  <c r="J41" i="23"/>
  <c r="L41" i="23" s="1"/>
  <c r="L55" i="23"/>
  <c r="M55" i="23" s="1"/>
  <c r="J56" i="23"/>
  <c r="L56" i="23" s="1"/>
  <c r="L70" i="23"/>
  <c r="M70" i="23" s="1"/>
  <c r="J71" i="23"/>
  <c r="L71" i="23" s="1"/>
  <c r="L85" i="23"/>
  <c r="M85" i="23" s="1"/>
  <c r="J86" i="23"/>
  <c r="L86" i="23" s="1"/>
  <c r="L145" i="23"/>
  <c r="M145" i="23" s="1"/>
  <c r="J146" i="23"/>
  <c r="L146" i="23" s="1"/>
  <c r="L115" i="23"/>
  <c r="M115" i="23" s="1"/>
  <c r="J116" i="23"/>
  <c r="L116" i="23" s="1"/>
  <c r="N176" i="22"/>
  <c r="M146" i="22"/>
  <c r="N101" i="22"/>
  <c r="M101" i="22"/>
  <c r="N146" i="22"/>
  <c r="J116" i="22"/>
  <c r="L115" i="22"/>
  <c r="M115" i="22" s="1"/>
  <c r="N56" i="22"/>
  <c r="O56" i="22" s="1"/>
  <c r="N41" i="22"/>
  <c r="O41" i="22" s="1"/>
  <c r="L175" i="22"/>
  <c r="M175" i="22" s="1"/>
  <c r="J176" i="22"/>
  <c r="L176" i="22" s="1"/>
  <c r="L85" i="22"/>
  <c r="M85" i="22" s="1"/>
  <c r="J86" i="22"/>
  <c r="L86" i="22" s="1"/>
  <c r="L160" i="22"/>
  <c r="M160" i="22" s="1"/>
  <c r="J161" i="22"/>
  <c r="L161" i="22" s="1"/>
  <c r="L70" i="22"/>
  <c r="M70" i="22" s="1"/>
  <c r="J71" i="22"/>
  <c r="L71" i="22" s="1"/>
  <c r="J71" i="20"/>
  <c r="L71" i="20" s="1"/>
  <c r="L70" i="20"/>
  <c r="J56" i="20"/>
  <c r="L56" i="20" s="1"/>
  <c r="L55" i="20"/>
  <c r="M55" i="20" s="1"/>
  <c r="M56" i="20" s="1"/>
  <c r="O56" i="20" s="1"/>
  <c r="M190" i="20"/>
  <c r="M191" i="20" s="1"/>
  <c r="O191" i="20" s="1"/>
  <c r="M85" i="20"/>
  <c r="M86" i="20" s="1"/>
  <c r="O86" i="20" s="1"/>
  <c r="M70" i="20"/>
  <c r="M71" i="20" s="1"/>
  <c r="O71" i="20" s="1"/>
  <c r="O116" i="20"/>
  <c r="M145" i="20"/>
  <c r="M146" i="20" s="1"/>
  <c r="O146" i="20" s="1"/>
  <c r="J191" i="20"/>
  <c r="L191" i="20" s="1"/>
  <c r="L190" i="20"/>
  <c r="J146" i="20"/>
  <c r="L146" i="20" s="1"/>
  <c r="L145" i="20"/>
  <c r="J86" i="20"/>
  <c r="L86" i="20" s="1"/>
  <c r="L85" i="20"/>
  <c r="J191" i="21"/>
  <c r="L191" i="21" s="1"/>
  <c r="M191" i="21" s="1"/>
  <c r="J176" i="21"/>
  <c r="J161" i="21"/>
  <c r="J146" i="21"/>
  <c r="J131" i="21"/>
  <c r="J116" i="21"/>
  <c r="J101" i="21"/>
  <c r="N55" i="21"/>
  <c r="N56" i="21" s="1"/>
  <c r="L85" i="21"/>
  <c r="J86" i="21"/>
  <c r="L86" i="21" s="1"/>
  <c r="L40" i="21"/>
  <c r="J41" i="21"/>
  <c r="L41" i="21" s="1"/>
  <c r="L70" i="21"/>
  <c r="J71" i="21"/>
  <c r="L71" i="21" s="1"/>
  <c r="L55" i="21"/>
  <c r="M55" i="21" s="1"/>
  <c r="J56" i="21"/>
  <c r="L56" i="21" s="1"/>
  <c r="O210" i="20" l="1"/>
  <c r="O222" i="20" s="1"/>
  <c r="N234" i="20" s="1"/>
  <c r="M146" i="23"/>
  <c r="O146" i="23" s="1"/>
  <c r="M116" i="23"/>
  <c r="O116" i="23" s="1"/>
  <c r="O101" i="23"/>
  <c r="M86" i="23"/>
  <c r="O86" i="23" s="1"/>
  <c r="M71" i="23"/>
  <c r="O71" i="23" s="1"/>
  <c r="M56" i="23"/>
  <c r="O56" i="23" s="1"/>
  <c r="M41" i="23"/>
  <c r="O41" i="23" s="1"/>
  <c r="O146" i="22"/>
  <c r="M116" i="22"/>
  <c r="O116" i="22" s="1"/>
  <c r="O101" i="22"/>
  <c r="M86" i="22"/>
  <c r="O86" i="22" s="1"/>
  <c r="M176" i="22"/>
  <c r="O176" i="22" s="1"/>
  <c r="M161" i="22"/>
  <c r="O161" i="22" s="1"/>
  <c r="M71" i="22"/>
  <c r="O71" i="22" s="1"/>
  <c r="S34" i="22"/>
  <c r="S32" i="22"/>
  <c r="S32" i="20"/>
  <c r="S47" i="20" s="1"/>
  <c r="S62" i="20" s="1"/>
  <c r="S79" i="20" s="1"/>
  <c r="S34" i="20"/>
  <c r="O191" i="21"/>
  <c r="O176" i="21"/>
  <c r="S167" i="21" s="1"/>
  <c r="O161" i="21"/>
  <c r="S154" i="21" s="1"/>
  <c r="O146" i="21"/>
  <c r="S139" i="21" s="1"/>
  <c r="O131" i="21"/>
  <c r="S122" i="21" s="1"/>
  <c r="O116" i="21"/>
  <c r="S107" i="21" s="1"/>
  <c r="S92" i="21"/>
  <c r="M56" i="21"/>
  <c r="O56" i="21" s="1"/>
  <c r="O86" i="21"/>
  <c r="O71" i="21"/>
  <c r="S77" i="20" l="1"/>
  <c r="O165" i="23"/>
  <c r="O177" i="23" s="1"/>
  <c r="N189" i="23" s="1"/>
  <c r="S34" i="23"/>
  <c r="S32" i="23"/>
  <c r="S49" i="23" s="1"/>
  <c r="S184" i="21"/>
  <c r="O207" i="21"/>
  <c r="N219" i="21" s="1"/>
  <c r="O198" i="21"/>
  <c r="S92" i="20"/>
  <c r="S107" i="20" s="1"/>
  <c r="S49" i="20"/>
  <c r="S64" i="20" s="1"/>
  <c r="S94" i="20" s="1"/>
  <c r="S109" i="20" s="1"/>
  <c r="S182" i="21"/>
  <c r="S169" i="21"/>
  <c r="S152" i="21"/>
  <c r="S137" i="21"/>
  <c r="S124" i="21"/>
  <c r="S109" i="21"/>
  <c r="S79" i="21"/>
  <c r="S77" i="21"/>
  <c r="S34" i="21"/>
  <c r="S32" i="21"/>
  <c r="S47" i="23" l="1"/>
  <c r="S64" i="22"/>
  <c r="S62" i="22"/>
  <c r="S124" i="20"/>
  <c r="S122" i="20"/>
  <c r="S64" i="23" l="1"/>
  <c r="S62" i="23"/>
  <c r="S79" i="22"/>
  <c r="S77" i="22"/>
  <c r="S137" i="20"/>
  <c r="S139" i="20"/>
  <c r="S62" i="21"/>
  <c r="S64" i="21"/>
  <c r="S79" i="23" l="1"/>
  <c r="S77" i="23"/>
  <c r="S92" i="22"/>
  <c r="S94" i="22"/>
  <c r="S154" i="20"/>
  <c r="S152" i="20"/>
  <c r="S94" i="23" l="1"/>
  <c r="S92" i="23"/>
  <c r="S107" i="22"/>
  <c r="S109" i="22"/>
  <c r="S167" i="20"/>
  <c r="S169" i="20"/>
  <c r="S109" i="23" l="1"/>
  <c r="S107" i="23"/>
  <c r="S124" i="22"/>
  <c r="S122" i="22"/>
  <c r="S182" i="20"/>
  <c r="S184" i="20"/>
  <c r="S124" i="23" l="1"/>
  <c r="S122" i="23"/>
  <c r="S139" i="22"/>
  <c r="S137" i="22"/>
  <c r="O213" i="20"/>
  <c r="S197" i="20"/>
  <c r="S199" i="20"/>
  <c r="S139" i="23" l="1"/>
  <c r="S137" i="23"/>
  <c r="S152" i="22"/>
  <c r="S154" i="22"/>
  <c r="O168" i="23" l="1"/>
  <c r="S154" i="23"/>
  <c r="S152" i="23"/>
  <c r="S167" i="22"/>
  <c r="S169" i="22"/>
  <c r="D19" i="25"/>
  <c r="D20" i="25"/>
  <c r="D21" i="25"/>
  <c r="D22" i="25"/>
  <c r="D23" i="25"/>
  <c r="D24" i="25"/>
  <c r="D25" i="25"/>
  <c r="D26" i="25"/>
  <c r="D27" i="25"/>
  <c r="D28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<sst xmlns="http://schemas.openxmlformats.org/spreadsheetml/2006/main" count="1566" uniqueCount="95">
  <si>
    <t>{0,1}</t>
  </si>
  <si>
    <t>{2,3,4}</t>
  </si>
  <si>
    <t>{0,2}</t>
  </si>
  <si>
    <t>{1,2}</t>
  </si>
  <si>
    <t>{3,6,7}</t>
  </si>
  <si>
    <t>+</t>
  </si>
  <si>
    <t>=</t>
  </si>
  <si>
    <t>№</t>
  </si>
  <si>
    <t>Classes</t>
  </si>
  <si>
    <t>STEPS</t>
  </si>
  <si>
    <t>Calculation of Generalized Assessment</t>
  </si>
  <si>
    <t>K1 =</t>
  </si>
  <si>
    <t>K2 =</t>
  </si>
  <si>
    <t xml:space="preserve">cr1 = </t>
  </si>
  <si>
    <t xml:space="preserve">crit = </t>
  </si>
  <si>
    <t xml:space="preserve">q = </t>
  </si>
  <si>
    <t xml:space="preserve">counter = </t>
  </si>
  <si>
    <t xml:space="preserve">u = </t>
  </si>
  <si>
    <t xml:space="preserve">t = </t>
  </si>
  <si>
    <t>STEP 1 — Initialization</t>
  </si>
  <si>
    <t>STEP 2 — Select initial feature (max weight)</t>
  </si>
  <si>
    <t>counter = 1</t>
  </si>
  <si>
    <t>STEP 3 — Try adding each remaining feature</t>
  </si>
  <si>
    <t>Candidate: add x1</t>
  </si>
  <si>
    <t>New temporary latent value:</t>
  </si>
  <si>
    <t>Candidate: add x2</t>
  </si>
  <si>
    <t xml:space="preserve">q = u = </t>
  </si>
  <si>
    <t>STEP 3</t>
  </si>
  <si>
    <t>STEP 4</t>
  </si>
  <si>
    <t>argmin {θ/γ}</t>
  </si>
  <si>
    <t>Class Mean (K1)</t>
  </si>
  <si>
    <t>Class Mean (K2)</t>
  </si>
  <si>
    <t>Inter-Class Difference (Separability)</t>
  </si>
  <si>
    <t>Intra-Class Similarity (Compactness)</t>
  </si>
  <si>
    <t>⇒</t>
  </si>
  <si>
    <t xml:space="preserve">SET = </t>
  </si>
  <si>
    <t xml:space="preserve">P = </t>
  </si>
  <si>
    <t>{x1, x2, …, x13}</t>
  </si>
  <si>
    <t xml:space="preserve">|P| = </t>
  </si>
  <si>
    <t>∅</t>
  </si>
  <si>
    <t>SET = {5}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</si>
  <si>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</si>
  <si>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</si>
  <si>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</si>
  <si>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</si>
  <si>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</si>
  <si>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</si>
  <si>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</si>
  <si>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</si>
  <si>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</si>
  <si>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</si>
  <si>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>Criterion 1</t>
  </si>
  <si>
    <t>Quantitative features on a Nominal scale</t>
  </si>
  <si>
    <t>Sorted by Classes of Quantitative features on a Nominal scale</t>
  </si>
  <si>
    <t>Gradations of Quantitative Features on a Nominal scale</t>
  </si>
  <si>
    <t>Gradations</t>
  </si>
  <si>
    <t>Contribution of Gradations of Quantitative Features on a Nominal scale</t>
  </si>
  <si>
    <t>Weight of Quantitative Features on a Nominal scale</t>
  </si>
  <si>
    <t xml:space="preserve">Color and Sign of Quantitative Features - </t>
  </si>
  <si>
    <t xml:space="preserve">Color and Sign of Nominal Features - </t>
  </si>
  <si>
    <t>Gradations of Nominal Features</t>
  </si>
  <si>
    <t>L31:L32</t>
  </si>
  <si>
    <t>M31:M33</t>
  </si>
  <si>
    <t>N31:N32</t>
  </si>
  <si>
    <t>O31:O32</t>
  </si>
  <si>
    <t>P31:P32</t>
  </si>
  <si>
    <t>Q31:Q32</t>
  </si>
  <si>
    <t>R31:R33</t>
  </si>
  <si>
    <t>Helper List Spreadsheet for Gradations of Nominal Features</t>
  </si>
  <si>
    <t>Lambda, Beta and Weight of Nominal Features</t>
  </si>
  <si>
    <t>Weight</t>
  </si>
  <si>
    <t xml:space="preserve">Contribution of Gradations of Nominal Features </t>
  </si>
  <si>
    <t>Quantitative Features with Contribution Values</t>
  </si>
  <si>
    <t>Contributions of Gradations</t>
  </si>
  <si>
    <t>Nominal Features with Contribution Values</t>
  </si>
  <si>
    <t>Heart + Disease with Contribution Values (10, 13, 2)</t>
  </si>
  <si>
    <t>Weight [Heart-Disease (10, 13, 2)]</t>
  </si>
  <si>
    <t xml:space="preserve">t = m = </t>
  </si>
  <si>
    <t>max(W)=0.7917 ⇒ x3</t>
  </si>
  <si>
    <t>Majorizing Function (Sigmoid || Logistic)</t>
  </si>
  <si>
    <t>x ∈ P \ {x3}</t>
  </si>
  <si>
    <t>Applying Majorizing Function</t>
  </si>
  <si>
    <t>Checking STEP 4 condition</t>
  </si>
  <si>
    <t>Latent (Additional) Feature 1</t>
  </si>
  <si>
    <t>Latent (Additional) Feature 2</t>
  </si>
  <si>
    <t>Latent (Additional) Feature 3</t>
  </si>
  <si>
    <t>The Organizer</t>
  </si>
  <si>
    <t>Latent (Additional) Feature 4</t>
  </si>
  <si>
    <t xml:space="preserve">Total Number of Initial Features - </t>
  </si>
  <si>
    <t xml:space="preserve">Total Number of Additional Features - </t>
  </si>
  <si>
    <t>Initial Features</t>
  </si>
  <si>
    <t>Additional (Latent) Features</t>
  </si>
  <si>
    <t>Dataset for Meta-algorithms [Heart + Disease (10, 13, 2)]</t>
  </si>
  <si>
    <t>Color of Additional Features</t>
  </si>
  <si>
    <t>Color of Initial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</si>
</sst>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rgb="FFFFFF0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rgb="FFFFF2CC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i/>
      <sz val="10"/>
      <color rgb="FF595959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10D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F72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6E0F8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DCEB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</fills>
  <borders count="2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/>
      <right/>
      <top/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447">
    <xf numFmtId="0" fontId="0" fillId="0" borderId="0" xfId="0"/>
    <xf numFmtId="0" fontId="1" fillId="0" borderId="0" xfId="0" applyFont="1"/>
    <xf numFmtId="0" fontId="0" fillId="0" borderId="0" xfId="0" applyBorder="1"/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3" fillId="0" borderId="0" xfId="0" applyFont="1"/>
    <xf numFmtId="0" fontId="2" fillId="17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/>
    </xf>
    <xf numFmtId="0" fontId="2" fillId="0" borderId="0" xfId="0" applyFont="1"/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6" fillId="8" borderId="5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3" fillId="27" borderId="6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5" xfId="0" applyFont="1" applyFill="1" applyBorder="1" applyAlignment="1">
      <alignment horizontal="center" vertical="center"/>
    </xf>
    <xf numFmtId="0" fontId="3" fillId="29" borderId="6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/>
    </xf>
    <xf numFmtId="0" fontId="0" fillId="0" borderId="17" xfId="0" applyBorder="1"/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10" fillId="3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/>
    </xf>
    <xf numFmtId="0" fontId="2" fillId="20" borderId="13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15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2" fillId="20" borderId="4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 textRotation="90"/>
    </xf>
    <xf numFmtId="0" fontId="6" fillId="16" borderId="10" xfId="0" applyFont="1" applyFill="1" applyBorder="1" applyAlignment="1">
      <alignment horizontal="center" vertical="center" textRotation="90"/>
    </xf>
    <xf numFmtId="0" fontId="6" fillId="16" borderId="6" xfId="0" applyFont="1" applyFill="1" applyBorder="1" applyAlignment="1">
      <alignment horizontal="center" vertical="center" textRotation="90"/>
    </xf>
    <xf numFmtId="0" fontId="10" fillId="32" borderId="4" xfId="0" applyFont="1" applyFill="1" applyBorder="1" applyAlignment="1">
      <alignment horizontal="center" vertical="center" wrapText="1"/>
    </xf>
    <xf numFmtId="0" fontId="10" fillId="32" borderId="6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center" vertical="center"/>
    </xf>
    <xf numFmtId="0" fontId="6" fillId="21" borderId="7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31" borderId="2" xfId="0" applyFont="1" applyFill="1" applyBorder="1" applyAlignment="1">
      <alignment horizontal="center" vertical="center"/>
    </xf>
    <xf numFmtId="0" fontId="6" fillId="31" borderId="8" xfId="0" applyFont="1" applyFill="1" applyBorder="1" applyAlignment="1">
      <alignment horizontal="center" vertical="center"/>
    </xf>
    <xf numFmtId="0" fontId="6" fillId="29" borderId="2" xfId="0" applyFont="1" applyFill="1" applyBorder="1" applyAlignment="1">
      <alignment horizontal="center" vertical="center"/>
    </xf>
    <xf numFmtId="0" fontId="6" fillId="29" borderId="8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31" borderId="7" xfId="0" applyFont="1" applyFill="1" applyBorder="1" applyAlignment="1">
      <alignment horizontal="center" vertical="center"/>
    </xf>
    <xf numFmtId="0" fontId="3" fillId="29" borderId="13" xfId="0" applyFont="1" applyFill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3" fillId="29" borderId="12" xfId="0" applyFont="1" applyFill="1" applyBorder="1" applyAlignment="1">
      <alignment horizontal="center" vertical="center"/>
    </xf>
    <xf numFmtId="0" fontId="3" fillId="29" borderId="14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3" fillId="29" borderId="15" xfId="0" applyFont="1" applyFill="1" applyBorder="1" applyAlignment="1">
      <alignment horizontal="center" vertical="center"/>
    </xf>
    <xf numFmtId="0" fontId="7" fillId="25" borderId="2" xfId="0" applyFont="1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12" fillId="33" borderId="1" xfId="0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0" fontId="13" fillId="34" borderId="6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/>
    </xf>
    <xf numFmtId="0" fontId="15" fillId="0" borderId="0" xfId="0" applyFont="1" applyFill="1" applyBorder="1"/>
    <xf numFmtId="0" fontId="16" fillId="0" borderId="0" xfId="0" applyFont="1" applyFill="1" applyBorder="1"/>
    <xf numFmtId="0" fontId="17" fillId="0" borderId="0" xfId="0" applyFont="1" applyFill="1" applyBorder="1"/>
    <xf numFmtId="0" fontId="13" fillId="36" borderId="1" xfId="0" applyFont="1" applyFill="1" applyBorder="1" applyAlignment="1">
      <alignment horizontal="center" vertical="center"/>
    </xf>
    <xf numFmtId="0" fontId="16" fillId="37" borderId="1" xfId="0" applyFont="1" applyFill="1" applyBorder="1" applyAlignment="1">
      <alignment horizontal="center" vertical="center"/>
    </xf>
    <xf numFmtId="0" fontId="16" fillId="38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19" fillId="40" borderId="1" xfId="0" applyFont="1" applyFill="1" applyBorder="1" applyAlignment="1">
      <alignment horizontal="center" vertical="center"/>
    </xf>
    <xf numFmtId="0" fontId="13" fillId="37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13" fillId="35" borderId="1" xfId="0" applyFont="1" applyFill="1" applyBorder="1" applyAlignment="1">
      <alignment horizontal="center" vertical="center"/>
    </xf>
    <xf numFmtId="0" fontId="12" fillId="41" borderId="1" xfId="0" applyFont="1" applyFill="1" applyBorder="1" applyAlignment="1">
      <alignment vertical="center" horizontal="center"/>
    </xf>
    <xf numFmtId="0" fontId="12" fillId="33" borderId="1" xfId="0" applyFont="1" applyFill="1" applyBorder="1" applyAlignment="1">
      <alignment vertical="center" horizontal="center"/>
    </xf>
    <xf numFmtId="0" fontId="12" fillId="41" borderId="2" xfId="0" applyFont="1" applyFill="1" applyBorder="1" applyAlignment="1">
      <alignment vertical="center" horizontal="center"/>
    </xf>
    <xf numFmtId="0" fontId="12" fillId="41" borderId="7" xfId="0" applyFont="1" applyFill="1" applyBorder="1" applyAlignment="1">
      <alignment vertical="center" horizontal="center"/>
    </xf>
    <xf numFmtId="0" fontId="12" fillId="41" borderId="8" xfId="0" applyFont="1" applyFill="1" applyBorder="1" applyAlignment="1">
      <alignment vertical="center" horizontal="center"/>
    </xf>
    <xf numFmtId="0" fontId="15" fillId="36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3" fillId="36" borderId="5" xfId="0" applyFont="1" applyFill="1" applyBorder="1" applyAlignment="1">
      <alignment horizontal="center" vertical="center"/>
    </xf>
    <xf numFmtId="0" fontId="16" fillId="37" borderId="5" xfId="0" applyFont="1" applyFill="1" applyBorder="1" applyAlignment="1">
      <alignment horizontal="center" vertical="center"/>
    </xf>
    <xf numFmtId="0" fontId="18" fillId="39" borderId="5" xfId="0" applyFont="1" applyFill="1" applyBorder="1" applyAlignment="1">
      <alignment horizontal="center" vertical="center"/>
    </xf>
    <xf numFmtId="0" fontId="16" fillId="37" borderId="6" xfId="0" applyFont="1" applyFill="1" applyBorder="1" applyAlignment="1">
      <alignment horizontal="center" vertical="center"/>
    </xf>
    <xf numFmtId="0" fontId="18" fillId="39" borderId="6" xfId="0" applyFont="1" applyFill="1" applyBorder="1" applyAlignment="1">
      <alignment horizontal="center" vertical="center"/>
    </xf>
    <xf numFmtId="0" fontId="13" fillId="36" borderId="6" xfId="0" applyFont="1" applyFill="1" applyBorder="1" applyAlignment="1">
      <alignment horizontal="center" vertical="center"/>
    </xf>
    <xf numFmtId="0" fontId="16" fillId="38" borderId="1" xfId="0" applyFont="1" applyFill="1" applyBorder="1"/>
    <xf numFmtId="0" fontId="13" fillId="42" borderId="1" xfId="0" applyFont="1" applyFill="1" applyBorder="1" applyAlignment="1">
      <alignment horizontal="center" vertical="center"/>
    </xf>
    <xf numFmtId="0" fontId="12" fillId="41" borderId="1" xfId="0" applyFont="1" applyFill="1" applyBorder="1" applyAlignment="1">
      <alignment horizontal="center" vertical="center"/>
    </xf>
    <xf numFmtId="0" fontId="16" fillId="42" borderId="1" xfId="0" applyFont="1" applyFill="1" applyBorder="1" applyAlignment="1">
      <alignment horizontal="center" vertical="center"/>
    </xf>
    <xf numFmtId="0" fontId="16" fillId="43" borderId="1" xfId="0" applyFont="1" applyFill="1" applyBorder="1" applyAlignment="1">
      <alignment horizontal="center" vertical="center"/>
    </xf>
    <xf numFmtId="0" fontId="16" fillId="43" borderId="5" xfId="0" applyFont="1" applyFill="1" applyBorder="1" applyAlignment="1">
      <alignment horizontal="center" vertical="center"/>
    </xf>
    <xf numFmtId="0" fontId="16" fillId="43" borderId="6" xfId="0" applyFont="1" applyFill="1" applyBorder="1" applyAlignment="1">
      <alignment horizontal="center" vertical="center"/>
    </xf>
    <xf numFmtId="0" fontId="13" fillId="38" borderId="4" xfId="0" applyFont="1" applyFill="1" applyBorder="1" applyAlignment="1">
      <alignment vertical="center"/>
    </xf>
    <xf numFmtId="0" fontId="16" fillId="44" borderId="1" xfId="0" applyFont="1" applyFill="1" applyBorder="1" applyAlignment="1">
      <alignment horizontal="center" vertical="center"/>
    </xf>
    <xf numFmtId="0" fontId="13" fillId="38" borderId="5" xfId="0" applyFont="1" applyFill="1" applyBorder="1" applyAlignment="1">
      <alignment vertical="center"/>
    </xf>
    <xf numFmtId="0" fontId="16" fillId="44" borderId="5" xfId="0" applyFont="1" applyFill="1" applyBorder="1" applyAlignment="1">
      <alignment horizontal="center" vertical="center"/>
    </xf>
    <xf numFmtId="0" fontId="13" fillId="38" borderId="10" xfId="0" applyFont="1" applyFill="1" applyBorder="1" applyAlignment="1">
      <alignment vertical="center"/>
    </xf>
    <xf numFmtId="0" fontId="16" fillId="44" borderId="6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vertical="center"/>
    </xf>
    <xf numFmtId="0" fontId="12" fillId="41" borderId="2" xfId="0" applyFont="1" applyFill="1" applyBorder="1" applyAlignment="1">
      <alignment horizontal="center" vertical="center"/>
    </xf>
    <xf numFmtId="0" fontId="12" fillId="41" borderId="7" xfId="0" applyFont="1" applyFill="1" applyBorder="1" applyAlignment="1">
      <alignment horizontal="center" vertical="center"/>
    </xf>
    <xf numFmtId="0" fontId="12" fillId="41" borderId="8" xfId="0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 wrapText="1"/>
    </xf>
    <xf numFmtId="0" fontId="16" fillId="36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45" borderId="1" xfId="0" applyFont="1" applyFill="1" applyBorder="1" applyAlignment="1">
      <alignment horizontal="center" vertical="center"/>
    </xf>
    <xf numFmtId="0" fontId="16" fillId="45" borderId="5" xfId="0" applyFont="1" applyFill="1" applyBorder="1" applyAlignment="1">
      <alignment horizontal="center" vertical="center"/>
    </xf>
    <xf numFmtId="0" fontId="16" fillId="45" borderId="6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3" fillId="47" borderId="1" xfId="0" applyFont="1" applyFill="1" applyBorder="1" applyAlignment="1">
      <alignment horizontal="center" vertical="center"/>
    </xf>
    <xf numFmtId="0" fontId="16" fillId="48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0" fontId="16" fillId="48" borderId="6" xfId="0" applyFont="1" applyFill="1" applyBorder="1" applyAlignment="1">
      <alignment horizontal="center" vertical="center"/>
    </xf>
    <xf numFmtId="0" fontId="16" fillId="49" borderId="1" xfId="0" applyFont="1" applyFill="1" applyBorder="1" applyAlignment="1">
      <alignment horizontal="center" vertical="center"/>
    </xf>
    <xf numFmtId="0" fontId="16" fillId="49" borderId="6" xfId="0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1" borderId="1" xfId="0" applyFont="1" applyFill="1" applyBorder="1" applyAlignment="1">
      <alignment horizontal="center" vertical="center"/>
    </xf>
    <xf numFmtId="0" fontId="22" fillId="35" borderId="1" xfId="0" applyFont="1" applyFill="1" applyBorder="1" applyAlignment="1">
      <alignment horizontal="center" vertical="center"/>
    </xf>
    <xf numFmtId="0" fontId="15" fillId="47" borderId="1" xfId="0" applyFont="1" applyFill="1" applyBorder="1" applyAlignment="1">
      <alignment horizontal="center" vertical="center"/>
    </xf>
    <xf numFmtId="0" fontId="15" fillId="36" borderId="13" xfId="0" applyFont="1" applyFill="1" applyBorder="1" applyAlignment="1">
      <alignment horizontal="center" vertical="center"/>
    </xf>
    <xf numFmtId="0" fontId="15" fillId="36" borderId="12" xfId="0" applyFont="1" applyFill="1" applyBorder="1" applyAlignment="1">
      <alignment horizontal="center" vertical="center"/>
    </xf>
    <xf numFmtId="0" fontId="16" fillId="52" borderId="1" xfId="0" applyFont="1" applyFill="1" applyBorder="1" applyAlignment="1">
      <alignment horizontal="center" vertical="center"/>
    </xf>
    <xf numFmtId="0" fontId="16" fillId="46" borderId="1" xfId="0" applyFont="1" applyFill="1" applyBorder="1" applyAlignment="1">
      <alignment horizontal="center" vertical="center"/>
    </xf>
    <xf numFmtId="0" fontId="15" fillId="53" borderId="1" xfId="0" applyFont="1" applyFill="1" applyBorder="1" applyAlignment="1">
      <alignment horizontal="center" vertical="center"/>
    </xf>
    <xf numFmtId="0" fontId="15" fillId="53" borderId="2" xfId="0" applyFont="1" applyFill="1" applyBorder="1" applyAlignment="1">
      <alignment horizontal="center" vertical="center"/>
    </xf>
    <xf numFmtId="0" fontId="15" fillId="53" borderId="8" xfId="0" applyFont="1" applyFill="1" applyBorder="1" applyAlignment="1">
      <alignment horizontal="center" vertical="center"/>
    </xf>
    <xf numFmtId="0" fontId="15" fillId="36" borderId="9" xfId="0" applyFont="1" applyFill="1" applyBorder="1" applyAlignment="1">
      <alignment horizontal="center" vertical="center"/>
    </xf>
    <xf numFmtId="0" fontId="15" fillId="36" borderId="16" xfId="0" applyFont="1" applyFill="1" applyBorder="1" applyAlignment="1">
      <alignment horizontal="center" vertical="center"/>
    </xf>
    <xf numFmtId="0" fontId="15" fillId="36" borderId="14" xfId="0" applyFont="1" applyFill="1" applyBorder="1" applyAlignment="1">
      <alignment horizontal="center" vertical="center"/>
    </xf>
    <xf numFmtId="0" fontId="15" fillId="36" borderId="15" xfId="0" applyFont="1" applyFill="1" applyBorder="1" applyAlignment="1">
      <alignment horizontal="center" vertical="center"/>
    </xf>
    <xf numFmtId="0" fontId="15" fillId="36" borderId="4" xfId="0" applyFont="1" applyFill="1" applyBorder="1" applyAlignment="1">
      <alignment horizontal="center" vertical="center"/>
    </xf>
    <xf numFmtId="0" fontId="15" fillId="47" borderId="13" xfId="0" applyFont="1" applyFill="1" applyBorder="1" applyAlignment="1">
      <alignment horizontal="center" vertical="center"/>
    </xf>
    <xf numFmtId="0" fontId="15" fillId="47" borderId="12" xfId="0" applyFont="1" applyFill="1" applyBorder="1" applyAlignment="1">
      <alignment horizontal="center" vertical="center"/>
    </xf>
    <xf numFmtId="0" fontId="15" fillId="36" borderId="6" xfId="0" applyFont="1" applyFill="1" applyBorder="1" applyAlignment="1">
      <alignment horizontal="center" vertical="center"/>
    </xf>
    <xf numFmtId="0" fontId="15" fillId="47" borderId="9" xfId="0" applyFont="1" applyFill="1" applyBorder="1" applyAlignment="1">
      <alignment horizontal="center" vertical="center"/>
    </xf>
    <xf numFmtId="0" fontId="15" fillId="47" borderId="16" xfId="0" applyFont="1" applyFill="1" applyBorder="1" applyAlignment="1">
      <alignment horizontal="center" vertical="center"/>
    </xf>
    <xf numFmtId="0" fontId="15" fillId="36" borderId="2" xfId="0" applyFont="1" applyFill="1" applyBorder="1" applyAlignment="1">
      <alignment horizontal="center" vertical="center"/>
    </xf>
    <xf numFmtId="0" fontId="15" fillId="47" borderId="2" xfId="0" applyFont="1" applyFill="1" applyBorder="1" applyAlignment="1">
      <alignment horizontal="center" vertical="center"/>
    </xf>
    <xf numFmtId="0" fontId="15" fillId="47" borderId="8" xfId="0" applyFont="1" applyFill="1" applyBorder="1" applyAlignment="1">
      <alignment horizontal="center" vertical="center"/>
    </xf>
    <xf numFmtId="0" fontId="15" fillId="47" borderId="14" xfId="0" applyFont="1" applyFill="1" applyBorder="1" applyAlignment="1">
      <alignment horizontal="center" vertical="center"/>
    </xf>
    <xf numFmtId="0" fontId="15" fillId="47" borderId="15" xfId="0" applyFont="1" applyFill="1" applyBorder="1" applyAlignment="1">
      <alignment horizontal="center" vertical="center"/>
    </xf>
    <xf numFmtId="0" fontId="15" fillId="47" borderId="6" xfId="0" applyFont="1" applyFill="1" applyBorder="1" applyAlignment="1">
      <alignment horizontal="center" vertical="center"/>
    </xf>
    <xf numFmtId="0" fontId="15" fillId="36" borderId="13" xfId="0" applyFont="1" applyFill="1" applyBorder="1" applyAlignment="1">
      <alignment horizontal="center" vertical="center" wrapText="1"/>
    </xf>
    <xf numFmtId="0" fontId="15" fillId="36" borderId="12" xfId="0" applyFont="1" applyFill="1" applyBorder="1" applyAlignment="1">
      <alignment horizontal="center" vertical="center" wrapText="1"/>
    </xf>
    <xf numFmtId="0" fontId="15" fillId="47" borderId="11" xfId="0" applyFont="1" applyFill="1" applyBorder="1" applyAlignment="1">
      <alignment horizontal="center" vertical="center"/>
    </xf>
    <xf numFmtId="0" fontId="15" fillId="36" borderId="9" xfId="0" applyFont="1" applyFill="1" applyBorder="1" applyAlignment="1">
      <alignment horizontal="center" vertical="center" wrapText="1"/>
    </xf>
    <xf numFmtId="0" fontId="15" fillId="36" borderId="16" xfId="0" applyFont="1" applyFill="1" applyBorder="1" applyAlignment="1">
      <alignment horizontal="center" vertical="center" wrapText="1"/>
    </xf>
    <xf numFmtId="0" fontId="15" fillId="47" borderId="0" xfId="0" applyFont="1" applyFill="1" applyBorder="1" applyAlignment="1">
      <alignment horizontal="center" vertical="center"/>
    </xf>
    <xf numFmtId="0" fontId="15" fillId="36" borderId="14" xfId="0" applyFont="1" applyFill="1" applyBorder="1" applyAlignment="1">
      <alignment horizontal="center" vertical="center" wrapText="1"/>
    </xf>
    <xf numFmtId="0" fontId="15" fillId="36" borderId="15" xfId="0" applyFont="1" applyFill="1" applyBorder="1" applyAlignment="1">
      <alignment horizontal="center" vertical="center" wrapText="1"/>
    </xf>
    <xf numFmtId="0" fontId="15" fillId="47" borderId="3" xfId="0" applyFont="1" applyFill="1" applyBorder="1" applyAlignment="1">
      <alignment horizontal="center" vertical="center"/>
    </xf>
    <xf numFmtId="0" fontId="15" fillId="53" borderId="6" xfId="0" applyFont="1" applyFill="1" applyBorder="1" applyAlignment="1">
      <alignment horizontal="center" vertical="center"/>
    </xf>
    <xf numFmtId="0" fontId="21" fillId="46" borderId="1" xfId="0" applyFont="1" applyFill="1" applyBorder="1" applyAlignment="1">
      <alignment horizontal="center" vertical="center"/>
    </xf>
    <xf numFmtId="0" fontId="15" fillId="53" borderId="4" xfId="0" applyFont="1" applyFill="1" applyBorder="1" applyAlignment="1">
      <alignment horizontal="center" vertical="center"/>
    </xf>
    <xf numFmtId="0" fontId="13" fillId="36" borderId="13" xfId="0" applyFont="1" applyFill="1" applyBorder="1" applyAlignment="1">
      <alignment horizontal="center" vertical="center" wrapText="1"/>
    </xf>
    <xf numFmtId="0" fontId="13" fillId="36" borderId="12" xfId="0" applyFont="1" applyFill="1" applyBorder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23" fillId="0" borderId="0" xfId="0" applyFont="1" applyFill="1" applyBorder="1"/>
    <xf numFmtId="0" fontId="13" fillId="36" borderId="9" xfId="0" applyFont="1" applyFill="1" applyBorder="1" applyAlignment="1">
      <alignment horizontal="center" vertical="center" wrapText="1"/>
    </xf>
    <xf numFmtId="0" fontId="13" fillId="36" borderId="16" xfId="0" applyFont="1" applyFill="1" applyBorder="1" applyAlignment="1">
      <alignment horizontal="center" vertical="center" wrapText="1"/>
    </xf>
    <xf numFmtId="0" fontId="13" fillId="36" borderId="14" xfId="0" applyFont="1" applyFill="1" applyBorder="1" applyAlignment="1">
      <alignment horizontal="center" vertical="center" wrapText="1"/>
    </xf>
    <xf numFmtId="0" fontId="13" fillId="36" borderId="15" xfId="0" applyFont="1" applyFill="1" applyBorder="1" applyAlignment="1">
      <alignment horizontal="center" vertical="center" wrapText="1"/>
    </xf>
    <xf numFmtId="0" fontId="15" fillId="36" borderId="1" xfId="0" applyFont="1" applyFill="1" applyBorder="1" applyAlignment="1">
      <alignment vertical="center"/>
    </xf>
    <xf numFmtId="0" fontId="15" fillId="54" borderId="1" xfId="0" applyFont="1" applyFill="1" applyBorder="1" applyAlignment="1">
      <alignment horizontal="center" vertical="center"/>
    </xf>
    <xf numFmtId="0" fontId="23" fillId="43" borderId="2" xfId="0" applyFont="1" applyFill="1" applyBorder="1" applyAlignment="1">
      <alignment horizontal="center"/>
    </xf>
    <xf numFmtId="0" fontId="23" fillId="43" borderId="8" xfId="0" applyFont="1" applyFill="1" applyBorder="1" applyAlignment="1">
      <alignment horizontal="center"/>
    </xf>
    <xf numFmtId="0" fontId="15" fillId="43" borderId="1" xfId="0" applyFont="1" applyFill="1" applyBorder="1" applyAlignment="1">
      <alignment horizontal="center" vertical="center"/>
    </xf>
    <xf numFmtId="0" fontId="16" fillId="0" borderId="6" xfId="0" applyFont="1" applyFill="1" applyBorder="1"/>
    <xf numFmtId="0" fontId="15" fillId="34" borderId="2" xfId="0" applyFont="1" applyFill="1" applyBorder="1" applyAlignment="1">
      <alignment horizontal="center" vertical="center"/>
    </xf>
    <xf numFmtId="0" fontId="15" fillId="34" borderId="8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5" fillId="34" borderId="6" xfId="0" applyFont="1" applyFill="1" applyBorder="1" applyAlignment="1">
      <alignment horizontal="center" vertical="center"/>
    </xf>
    <xf numFmtId="0" fontId="13" fillId="40" borderId="6" xfId="0" applyFont="1" applyFill="1" applyBorder="1" applyAlignment="1">
      <alignment horizontal="center" vertical="center"/>
    </xf>
    <xf numFmtId="0" fontId="13" fillId="46" borderId="6" xfId="0" applyFont="1" applyFill="1" applyBorder="1" applyAlignment="1">
      <alignment horizontal="center" vertical="center"/>
    </xf>
    <xf numFmtId="0" fontId="24" fillId="38" borderId="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38" borderId="13" xfId="0" applyFont="1" applyFill="1" applyBorder="1" applyAlignment="1">
      <alignment horizontal="center" vertical="center"/>
    </xf>
    <xf numFmtId="0" fontId="15" fillId="38" borderId="12" xfId="0" applyFont="1" applyFill="1" applyBorder="1" applyAlignment="1">
      <alignment horizontal="center" vertical="center"/>
    </xf>
    <xf numFmtId="0" fontId="15" fillId="46" borderId="6" xfId="0" applyFont="1" applyFill="1" applyBorder="1" applyAlignment="1">
      <alignment horizontal="center" vertical="center"/>
    </xf>
    <xf numFmtId="0" fontId="15" fillId="53" borderId="10" xfId="0" applyFont="1" applyFill="1" applyBorder="1" applyAlignment="1">
      <alignment horizontal="center" vertical="center"/>
    </xf>
    <xf numFmtId="0" fontId="15" fillId="38" borderId="9" xfId="0" applyFont="1" applyFill="1" applyBorder="1" applyAlignment="1">
      <alignment horizontal="center" vertical="center"/>
    </xf>
    <xf numFmtId="0" fontId="15" fillId="38" borderId="16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13" fillId="38" borderId="4" xfId="0" applyFont="1" applyFill="1" applyBorder="1" applyAlignment="1">
      <alignment horizontal="center" vertical="center"/>
    </xf>
    <xf numFmtId="0" fontId="15" fillId="38" borderId="14" xfId="0" applyFont="1" applyFill="1" applyBorder="1" applyAlignment="1">
      <alignment horizontal="center" vertical="center"/>
    </xf>
    <xf numFmtId="0" fontId="15" fillId="38" borderId="15" xfId="0" applyFont="1" applyFill="1" applyBorder="1" applyAlignment="1">
      <alignment horizontal="center" vertical="center"/>
    </xf>
    <xf numFmtId="0" fontId="13" fillId="53" borderId="2" xfId="0" applyFont="1" applyFill="1" applyBorder="1" applyAlignment="1">
      <alignment horizontal="center" vertical="center"/>
    </xf>
    <xf numFmtId="0" fontId="13" fillId="53" borderId="7" xfId="0" applyFont="1" applyFill="1" applyBorder="1" applyAlignment="1">
      <alignment horizontal="center" vertical="center"/>
    </xf>
    <xf numFmtId="0" fontId="13" fillId="53" borderId="8" xfId="0" applyFont="1" applyFill="1" applyBorder="1" applyAlignment="1">
      <alignment horizontal="center" vertical="center"/>
    </xf>
    <xf numFmtId="0" fontId="15" fillId="45" borderId="1" xfId="0" applyFont="1" applyFill="1" applyBorder="1" applyAlignment="1">
      <alignment horizontal="center" vertical="center"/>
    </xf>
    <xf numFmtId="0" fontId="15" fillId="53" borderId="7" xfId="0" applyFont="1" applyFill="1" applyBorder="1" applyAlignment="1">
      <alignment horizontal="center" vertical="center"/>
    </xf>
    <xf numFmtId="0" fontId="13" fillId="38" borderId="2" xfId="0" applyFont="1" applyFill="1" applyBorder="1" applyAlignment="1">
      <alignment horizontal="center" vertical="center"/>
    </xf>
    <xf numFmtId="0" fontId="13" fillId="38" borderId="7" xfId="0" applyFont="1" applyFill="1" applyBorder="1" applyAlignment="1">
      <alignment horizontal="center" vertical="center"/>
    </xf>
    <xf numFmtId="0" fontId="13" fillId="38" borderId="8" xfId="0" applyFont="1" applyFill="1" applyBorder="1" applyAlignment="1">
      <alignment horizontal="center" vertical="center"/>
    </xf>
    <xf numFmtId="0" fontId="15" fillId="53" borderId="13" xfId="0" applyFont="1" applyFill="1" applyBorder="1" applyAlignment="1">
      <alignment horizontal="center" vertical="center"/>
    </xf>
    <xf numFmtId="0" fontId="15" fillId="53" borderId="11" xfId="0" applyFont="1" applyFill="1" applyBorder="1" applyAlignment="1">
      <alignment horizontal="center" vertical="center"/>
    </xf>
    <xf numFmtId="0" fontId="15" fillId="53" borderId="12" xfId="0" applyFont="1" applyFill="1" applyBorder="1" applyAlignment="1">
      <alignment horizontal="center" vertical="center"/>
    </xf>
    <xf numFmtId="0" fontId="15" fillId="53" borderId="14" xfId="0" applyFont="1" applyFill="1" applyBorder="1" applyAlignment="1">
      <alignment horizontal="center" vertical="center"/>
    </xf>
    <xf numFmtId="0" fontId="15" fillId="53" borderId="3" xfId="0" applyFont="1" applyFill="1" applyBorder="1" applyAlignment="1">
      <alignment horizontal="center" vertical="center"/>
    </xf>
    <xf numFmtId="0" fontId="15" fillId="53" borderId="15" xfId="0" applyFont="1" applyFill="1" applyBorder="1" applyAlignment="1">
      <alignment horizontal="center" vertical="center"/>
    </xf>
    <xf numFmtId="0" fontId="13" fillId="38" borderId="13" xfId="0" applyFont="1" applyFill="1" applyBorder="1" applyAlignment="1">
      <alignment horizontal="center" vertical="center"/>
    </xf>
    <xf numFmtId="0" fontId="13" fillId="38" borderId="12" xfId="0" applyFont="1" applyFill="1" applyBorder="1" applyAlignment="1">
      <alignment horizontal="center" vertical="center"/>
    </xf>
    <xf numFmtId="0" fontId="13" fillId="38" borderId="9" xfId="0" applyFont="1" applyFill="1" applyBorder="1" applyAlignment="1">
      <alignment horizontal="center" vertical="center"/>
    </xf>
    <xf numFmtId="0" fontId="13" fillId="38" borderId="16" xfId="0" applyFont="1" applyFill="1" applyBorder="1" applyAlignment="1">
      <alignment horizontal="center" vertical="center"/>
    </xf>
    <xf numFmtId="0" fontId="13" fillId="38" borderId="14" xfId="0" applyFont="1" applyFill="1" applyBorder="1" applyAlignment="1">
      <alignment horizontal="center" vertical="center"/>
    </xf>
    <xf numFmtId="0" fontId="13" fillId="38" borderId="15" xfId="0" applyFont="1" applyFill="1" applyBorder="1" applyAlignment="1">
      <alignment horizontal="center" vertical="center"/>
    </xf>
    <xf numFmtId="0" fontId="25" fillId="39" borderId="13" xfId="0" applyFont="1" applyFill="1" applyBorder="1" applyAlignment="1">
      <alignment horizontal="center" vertical="center"/>
    </xf>
    <xf numFmtId="0" fontId="25" fillId="39" borderId="9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23" fillId="0" borderId="17" xfId="0" applyFont="1" applyFill="1" applyBorder="1"/>
    <xf numFmtId="0" fontId="26" fillId="43" borderId="1" xfId="0" applyFont="1" applyFill="1" applyBorder="1" applyAlignment="1">
      <alignment horizontal="center" vertical="center" wrapText="1"/>
    </xf>
    <xf numFmtId="0" fontId="15" fillId="38" borderId="1" xfId="0" applyFont="1" applyFill="1" applyBorder="1" applyAlignment="1">
      <alignment horizontal="center" vertical="center"/>
    </xf>
    <xf numFmtId="0" fontId="15" fillId="51" borderId="1" xfId="0" applyFont="1" applyFill="1" applyBorder="1" applyAlignment="1">
      <alignment vertical="center"/>
    </xf>
    <xf numFmtId="0" fontId="15" fillId="44" borderId="2" xfId="0" applyFont="1" applyFill="1" applyBorder="1" applyAlignment="1">
      <alignment horizontal="center" vertical="center"/>
    </xf>
    <xf numFmtId="0" fontId="15" fillId="44" borderId="8" xfId="0" applyFont="1" applyFill="1" applyBorder="1" applyAlignment="1">
      <alignment horizontal="center" vertical="center"/>
    </xf>
    <xf numFmtId="0" fontId="27" fillId="33" borderId="1" xfId="0" applyFont="1" applyFill="1" applyBorder="1" applyAlignment="1">
      <alignment horizontal="center"/>
    </xf>
    <xf numFmtId="0" fontId="13" fillId="46" borderId="4" xfId="0" applyFont="1" applyFill="1" applyBorder="1" applyAlignment="1">
      <alignment horizontal="center" vertical="center" textRotation="90"/>
    </xf>
    <xf numFmtId="0" fontId="13" fillId="46" borderId="10" xfId="0" applyFont="1" applyFill="1" applyBorder="1" applyAlignment="1">
      <alignment horizontal="center" vertical="center" textRotation="90"/>
    </xf>
    <xf numFmtId="0" fontId="13" fillId="46" borderId="6" xfId="0" applyFont="1" applyFill="1" applyBorder="1" applyAlignment="1">
      <alignment horizontal="center" vertical="center" textRotation="90"/>
    </xf>
    <xf numFmtId="0" fontId="26" fillId="43" borderId="4" xfId="0" applyFont="1" applyFill="1" applyBorder="1" applyAlignment="1">
      <alignment horizontal="center" vertical="center" wrapText="1"/>
    </xf>
    <xf numFmtId="0" fontId="26" fillId="43" borderId="6" xfId="0" applyFont="1" applyFill="1" applyBorder="1" applyAlignment="1">
      <alignment horizontal="center" vertical="center" wrapText="1"/>
    </xf>
    <xf numFmtId="0" fontId="12" fillId="33" borderId="2" xfId="0" applyFont="1" applyFill="1" applyBorder="1" applyAlignment="1">
      <alignment horizontal="center" vertical="center"/>
    </xf>
    <xf numFmtId="0" fontId="12" fillId="33" borderId="7" xfId="0" applyFont="1" applyFill="1" applyBorder="1" applyAlignment="1">
      <alignment horizontal="center" vertical="center"/>
    </xf>
    <xf numFmtId="0" fontId="12" fillId="33" borderId="8" xfId="0" applyFont="1" applyFill="1" applyBorder="1" applyAlignment="1">
      <alignment horizontal="center" vertical="center"/>
    </xf>
    <xf numFmtId="0" fontId="15" fillId="47" borderId="1" xfId="0" applyFont="1" applyFill="1" applyBorder="1" applyAlignment="1">
      <alignment vertical="center"/>
    </xf>
    <xf numFmtId="0" fontId="16" fillId="51" borderId="1" xfId="0" applyFont="1" applyFill="1" applyBorder="1" applyAlignment="1">
      <alignment horizontal="center" vertical="center"/>
    </xf>
    <xf numFmtId="0" fontId="13" fillId="45" borderId="1" xfId="0" applyFont="1" applyFill="1" applyBorder="1" applyAlignment="1">
      <alignment horizontal="center" vertical="center"/>
    </xf>
    <xf numFmtId="0" fontId="19" fillId="40" borderId="2" xfId="0" applyFont="1" applyFill="1" applyBorder="1" applyAlignment="1">
      <alignment horizontal="center" vertical="center"/>
    </xf>
    <xf numFmtId="0" fontId="19" fillId="40" borderId="7" xfId="0" applyFont="1" applyFill="1" applyBorder="1" applyAlignment="1">
      <alignment horizontal="center" vertical="center"/>
    </xf>
    <xf numFmtId="0" fontId="19" fillId="40" borderId="8" xfId="0" applyFont="1" applyFill="1" applyBorder="1" applyAlignment="1">
      <alignment horizontal="center" vertical="center"/>
    </xf>
    <xf numFmtId="0" fontId="13" fillId="51" borderId="1" xfId="0" applyFont="1" applyFill="1" applyBorder="1" applyAlignment="1">
      <alignment horizontal="center" vertical="center"/>
    </xf>
    <xf numFmtId="0" fontId="16" fillId="45" borderId="13" xfId="0" applyFont="1" applyFill="1" applyBorder="1" applyAlignment="1">
      <alignment horizontal="center" vertical="center"/>
    </xf>
    <xf numFmtId="0" fontId="16" fillId="45" borderId="11" xfId="0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center" vertical="center"/>
    </xf>
    <xf numFmtId="0" fontId="16" fillId="45" borderId="14" xfId="0" applyFont="1" applyFill="1" applyBorder="1" applyAlignment="1">
      <alignment horizontal="center" vertical="center"/>
    </xf>
    <xf numFmtId="0" fontId="16" fillId="45" borderId="3" xfId="0" applyFont="1" applyFill="1" applyBorder="1" applyAlignment="1">
      <alignment horizontal="center" vertical="center"/>
    </xf>
    <xf numFmtId="0" fontId="16" fillId="45" borderId="15" xfId="0" applyFont="1" applyFill="1" applyBorder="1" applyAlignment="1">
      <alignment horizontal="center" vertical="center"/>
    </xf>
    <xf numFmtId="0" fontId="13" fillId="45" borderId="2" xfId="0" applyFont="1" applyFill="1" applyBorder="1" applyAlignment="1">
      <alignment horizontal="center" vertical="center"/>
    </xf>
    <xf numFmtId="0" fontId="13" fillId="45" borderId="8" xfId="0" applyFont="1" applyFill="1" applyBorder="1" applyAlignment="1">
      <alignment horizontal="center" vertical="center"/>
    </xf>
    <xf numFmtId="0" fontId="13" fillId="51" borderId="2" xfId="0" applyFont="1" applyFill="1" applyBorder="1" applyAlignment="1">
      <alignment horizontal="center" vertical="center"/>
    </xf>
    <xf numFmtId="0" fontId="13" fillId="51" borderId="8" xfId="0" applyFont="1" applyFill="1" applyBorder="1" applyAlignment="1">
      <alignment horizontal="center" vertical="center"/>
    </xf>
    <xf numFmtId="0" fontId="28" fillId="33" borderId="0" xfId="0" applyFont="1" applyFill="1" applyBorder="1" applyAlignment="1">
      <alignment horizontal="left" vertical="center" indent="1"/>
    </xf>
    <xf numFmtId="0" fontId="29" fillId="0" borderId="0" xfId="0" applyFont="1" applyFill="1" applyBorder="1" applyAlignment="1">
      <alignment horizontal="left" vertical="center" indent="1"/>
    </xf>
    <xf numFmtId="0" fontId="30" fillId="0" borderId="19" xfId="0" applyFont="1" applyFill="1" applyBorder="1" applyAlignment="1">
      <alignment horizontal="left" vertical="center"/>
    </xf>
    <xf numFmtId="0" fontId="27" fillId="41" borderId="18" xfId="0" applyFont="1" applyFill="1" applyBorder="1" applyAlignment="1">
      <alignment horizontal="left" vertical="center" indent="1"/>
    </xf>
    <xf numFmtId="0" fontId="27" fillId="41" borderId="18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left" vertical="center" wrapText="1" indent="1"/>
    </xf>
    <xf numFmtId="0" fontId="17" fillId="0" borderId="18" xfId="0" applyFont="1" applyFill="1" applyBorder="1" applyAlignment="1">
      <alignment horizontal="left" vertical="center" wrapText="1" indent="1"/>
    </xf>
    <xf numFmtId="0" fontId="31" fillId="0" borderId="18" xfId="0" applyFont="1" applyFill="1" applyBorder="1" applyAlignment="1">
      <alignment horizontal="left" vertical="center" indent="1"/>
    </xf>
    <xf numFmtId="0" fontId="22" fillId="53" borderId="18" xfId="0" applyFont="1" applyFill="1" applyBorder="1" applyAlignment="1">
      <alignment horizontal="center" vertical="center"/>
    </xf>
    <xf numFmtId="0" fontId="33" fillId="0" borderId="18" xfId="0" applyFont="1" applyFill="1" applyBorder="1" applyAlignment="1">
      <alignment horizontal="left" vertical="center" indent="1"/>
    </xf>
    <xf numFmtId="0" fontId="32" fillId="0" borderId="0" xfId="0" applyFont="1" applyFill="1" applyBorder="1" applyAlignment="1">
      <alignment horizontal="left" vertical="center" wrapText="1" indent="1"/>
    </xf>
    <xf numFmtId="0" fontId="27" fillId="33" borderId="18" xfId="0" applyFont="1" applyFill="1" applyBorder="1" applyAlignment="1">
      <alignment horizontal="center" vertical="center"/>
    </xf>
    <xf numFmtId="0" fontId="23" fillId="34" borderId="18" xfId="0" applyFont="1" applyFill="1" applyBorder="1" applyAlignment="1">
      <alignment horizontal="center" vertical="center"/>
    </xf>
    <xf numFmtId="0" fontId="23" fillId="36" borderId="18" xfId="0" applyFont="1" applyFill="1" applyBorder="1" applyAlignment="1">
      <alignment horizontal="center" vertical="center"/>
    </xf>
    <xf numFmtId="0" fontId="23" fillId="37" borderId="18" xfId="0" applyFont="1" applyFill="1" applyBorder="1" applyAlignment="1">
      <alignment horizontal="center" vertical="center"/>
    </xf>
    <xf numFmtId="0" fontId="23" fillId="38" borderId="18" xfId="0" applyFont="1" applyFill="1" applyBorder="1" applyAlignment="1">
      <alignment horizontal="center" vertical="center"/>
    </xf>
    <xf numFmtId="0" fontId="23" fillId="39" borderId="18" xfId="0" applyFont="1" applyFill="1" applyBorder="1" applyAlignment="1">
      <alignment horizontal="center" vertical="center"/>
    </xf>
    <xf numFmtId="0" fontId="23" fillId="46" borderId="18" xfId="0" applyFont="1" applyFill="1" applyBorder="1" applyAlignment="1">
      <alignment horizontal="center" vertical="center"/>
    </xf>
    <xf numFmtId="0" fontId="23" fillId="45" borderId="18" xfId="0" applyFont="1" applyFill="1" applyBorder="1" applyAlignment="1">
      <alignment horizontal="center" vertical="center"/>
    </xf>
    <xf numFmtId="0" fontId="23" fillId="51" borderId="18" xfId="0" applyFont="1" applyFill="1" applyBorder="1" applyAlignment="1">
      <alignment horizontal="center" vertical="center"/>
    </xf>
    <xf numFmtId="0" fontId="23" fillId="40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4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9F720"/>
      <color rgb="FF8EF4B7"/>
      <color rgb="FF00CC00"/>
      <color rgb="FFE010D6"/>
      <color rgb="FF856EF8"/>
      <color rgb="FFFF6600"/>
      <color rgb="FF9F16BA"/>
      <color rgb="FFFFFFFF"/>
      <color rgb="FFCC009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Id15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274320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337E4A5-A2E6-4183-8ED2-A2D7E410FD68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8773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5B8B20-4E49-434E-A81F-95F5A91387D7}"/>
                </a:ext>
              </a:extLst>
            </xdr:cNvPr>
            <xdr:cNvSpPr txBox="1"/>
          </xdr:nvSpPr>
          <xdr:spPr>
            <a:xfrm>
              <a:off x="88773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94869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25C4767-2232-45E9-8AB4-6D853DFDA393}"/>
                </a:ext>
              </a:extLst>
            </xdr:cNvPr>
            <xdr:cNvSpPr txBox="1"/>
          </xdr:nvSpPr>
          <xdr:spPr>
            <a:xfrm>
              <a:off x="94869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205740</xdr:colOff>
      <xdr:row>6</xdr:row>
      <xdr:rowOff>0</xdr:rowOff>
    </xdr:from>
    <xdr:ext cx="21390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100965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214D3B9-8FE6-4C5E-8F80-2F9ABA9EB05A}"/>
                </a:ext>
              </a:extLst>
            </xdr:cNvPr>
            <xdr:cNvSpPr txBox="1"/>
          </xdr:nvSpPr>
          <xdr:spPr>
            <a:xfrm>
              <a:off x="10096500" y="396240"/>
              <a:ext cx="21390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𝝅_</a:t>
              </a:r>
              <a:r>
                <a:rPr lang="en-US" sz="1200" b="1" i="0">
                  <a:latin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274320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A0F4397-99C9-41D5-B6C4-35C3F4C9A7F7}"/>
                </a:ext>
              </a:extLst>
            </xdr:cNvPr>
            <xdr:cNvSpPr txBox="1"/>
          </xdr:nvSpPr>
          <xdr:spPr>
            <a:xfrm>
              <a:off x="2026920" y="556260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1792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2C7079-95FC-4D67-8D72-D1815676EA5F}"/>
                </a:ext>
              </a:extLst>
            </xdr:cNvPr>
            <xdr:cNvSpPr txBox="1"/>
          </xdr:nvSpPr>
          <xdr:spPr>
            <a:xfrm>
              <a:off x="621792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175260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66394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3A05516-8AF1-4510-94DF-9D2E22CF3E50}"/>
                </a:ext>
              </a:extLst>
            </xdr:cNvPr>
            <xdr:cNvSpPr txBox="1"/>
          </xdr:nvSpPr>
          <xdr:spPr>
            <a:xfrm>
              <a:off x="866394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2242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B7032E0-03D2-49F1-A7A3-631633768F00}"/>
                </a:ext>
              </a:extLst>
            </xdr:cNvPr>
            <xdr:cNvSpPr txBox="1"/>
          </xdr:nvSpPr>
          <xdr:spPr>
            <a:xfrm>
              <a:off x="112242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167640</xdr:colOff>
      <xdr:row>28</xdr:row>
      <xdr:rowOff>7620</xdr:rowOff>
    </xdr:from>
    <xdr:ext cx="3306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6626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Г</m:t>
                        </m:r>
                      </m:e>
                      <m:sub>
                        <m:r>
                          <a:rPr lang="ru-RU" sz="1200" b="1" i="1">
                            <a:latin typeface="Cambria Math" panose="02040503050406030204" pitchFamily="18" charset="0"/>
                          </a:rPr>
                          <m:t>с</m:t>
                        </m:r>
                      </m:sub>
                    </m:sSub>
                    <m:r>
                      <a:rPr lang="ru-RU" sz="12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BD60429-B3B0-4D0B-A9C6-1EE7C59CA174}"/>
                </a:ext>
              </a:extLst>
            </xdr:cNvPr>
            <xdr:cNvSpPr txBox="1"/>
          </xdr:nvSpPr>
          <xdr:spPr>
            <a:xfrm>
              <a:off x="13662660" y="5585460"/>
              <a:ext cx="3306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200" b="1" i="0">
                  <a:latin typeface="Cambria Math" panose="02040503050406030204" pitchFamily="18" charset="0"/>
                </a:rPr>
                <a:t>Г</a:t>
              </a:r>
              <a:r>
                <a:rPr lang="en-US" sz="1200" b="1" i="0">
                  <a:latin typeface="Cambria Math" panose="02040503050406030204" pitchFamily="18" charset="0"/>
                </a:rPr>
                <a:t>_</a:t>
              </a:r>
              <a:r>
                <a:rPr lang="ru-RU" sz="1200" b="1" i="0">
                  <a:latin typeface="Cambria Math" panose="02040503050406030204" pitchFamily="18" charset="0"/>
                </a:rPr>
                <a:t>с=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15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F00EED6-BCBE-45BF-9011-27608BAB4C20}"/>
                </a:ext>
              </a:extLst>
            </xdr:cNvPr>
            <xdr:cNvSpPr txBox="1"/>
          </xdr:nvSpPr>
          <xdr:spPr>
            <a:xfrm>
              <a:off x="1011766" y="3105574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131233</xdr:colOff>
      <xdr:row>15</xdr:row>
      <xdr:rowOff>184574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B481BC7-D40D-4474-ACF0-6652B41F3CCA}"/>
                </a:ext>
              </a:extLst>
            </xdr:cNvPr>
            <xdr:cNvSpPr txBox="1"/>
          </xdr:nvSpPr>
          <xdr:spPr>
            <a:xfrm>
              <a:off x="3958166" y="31055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62CAAE8A-65BE-45FF-96D5-D7C8C5951BAB}"/>
                </a:ext>
              </a:extLst>
            </xdr:cNvPr>
            <xdr:cNvSpPr txBox="1"/>
          </xdr:nvSpPr>
          <xdr:spPr>
            <a:xfrm>
              <a:off x="67267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80431</xdr:colOff>
      <xdr:row>15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923B9C9-9125-4772-BEBE-E754A1C6F9CA}"/>
                </a:ext>
              </a:extLst>
            </xdr:cNvPr>
            <xdr:cNvSpPr txBox="1"/>
          </xdr:nvSpPr>
          <xdr:spPr>
            <a:xfrm>
              <a:off x="9165164" y="3114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154313-50A4-48C8-BFB8-A1718151466A}"/>
                </a:ext>
              </a:extLst>
            </xdr:cNvPr>
            <xdr:cNvSpPr txBox="1"/>
          </xdr:nvSpPr>
          <xdr:spPr>
            <a:xfrm>
              <a:off x="116966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21</xdr:col>
      <xdr:colOff>46563</xdr:colOff>
      <xdr:row>15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8236390-39A4-44BE-B1B9-A6FEA57AFCBA}"/>
                </a:ext>
              </a:extLst>
            </xdr:cNvPr>
            <xdr:cNvSpPr txBox="1"/>
          </xdr:nvSpPr>
          <xdr:spPr>
            <a:xfrm>
              <a:off x="14135096" y="3114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32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59BEF3-F946-4BA1-89AF-998368236A4C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DDC571-E78A-4BE7-BA48-9379C3377997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AB17A8B-12F1-4461-B9BF-91C68BD91BE1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32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A46E061-68B9-44E4-BE96-AEE469AF0AA3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DCF0234-A50E-400F-92D9-B4982EB22788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32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C8652AA-DB7D-4E86-8405-0691012167F7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46</xdr:row>
      <xdr:rowOff>184574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58977C4-B310-4BB6-AAEC-539E9B8B940E}"/>
                </a:ext>
              </a:extLst>
            </xdr:cNvPr>
            <xdr:cNvSpPr txBox="1"/>
          </xdr:nvSpPr>
          <xdr:spPr>
            <a:xfrm>
              <a:off x="1011766" y="6424507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9872A858-0C84-4767-923B-6CDF7F7A60EE}"/>
                </a:ext>
              </a:extLst>
            </xdr:cNvPr>
            <xdr:cNvSpPr txBox="1"/>
          </xdr:nvSpPr>
          <xdr:spPr>
            <a:xfrm>
              <a:off x="17483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38166783-4D4A-47C0-B8FC-AE656EF4BF06}"/>
                </a:ext>
              </a:extLst>
            </xdr:cNvPr>
            <xdr:cNvSpPr txBox="1"/>
          </xdr:nvSpPr>
          <xdr:spPr>
            <a:xfrm>
              <a:off x="2484966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122766</xdr:colOff>
      <xdr:row>46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EA4DA7E-A4FA-4D16-A392-3078648F0899}"/>
                </a:ext>
              </a:extLst>
            </xdr:cNvPr>
            <xdr:cNvSpPr txBox="1"/>
          </xdr:nvSpPr>
          <xdr:spPr>
            <a:xfrm>
              <a:off x="3213099" y="6432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88898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172FE2D-212E-4208-B59B-6AD8798049C0}"/>
                </a:ext>
              </a:extLst>
            </xdr:cNvPr>
            <xdr:cNvSpPr txBox="1"/>
          </xdr:nvSpPr>
          <xdr:spPr>
            <a:xfrm>
              <a:off x="3915831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97365</xdr:colOff>
      <xdr:row>46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A43AB98-5FEE-49A6-9DD6-ABBD7ED358E1}"/>
                </a:ext>
              </a:extLst>
            </xdr:cNvPr>
            <xdr:cNvSpPr txBox="1"/>
          </xdr:nvSpPr>
          <xdr:spPr>
            <a:xfrm>
              <a:off x="4660898" y="64329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DDADA9A7-2FB1-4348-9D26-3150FAB3D959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202A903E-212E-4398-AB93-DF49F3A2F43D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EC46658A-8CDC-43C9-801C-B709530F6BD0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D3AE7D8-8C74-4556-9A1A-60801D29C754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21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A59CA3E-AB7E-4C05-9581-569F03E3880D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8D34135E-A560-45C2-8BAB-F858B41AA1A9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0B5640E-DD9A-4C9A-B62E-F230C1AAF631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436CA93A-D6C6-4149-A5A0-A083B3A71D88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2211684-76F6-4FAF-8566-C8B0417864DA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696D4934-1908-4961-805B-6217AF9643AA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C02FAE9-077D-401D-93CB-C0E69E59287E}"/>
                </a:ext>
              </a:extLst>
            </xdr:cNvPr>
            <xdr:cNvSpPr txBox="1"/>
          </xdr:nvSpPr>
          <xdr:spPr>
            <a:xfrm>
              <a:off x="325967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E1B19F32-982B-4732-A5A5-AB8CB81EBDC6}"/>
                </a:ext>
              </a:extLst>
            </xdr:cNvPr>
            <xdr:cNvSpPr txBox="1"/>
          </xdr:nvSpPr>
          <xdr:spPr>
            <a:xfrm>
              <a:off x="325967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89EB98E-723C-4CF4-8BB8-76BF3C9F044B}"/>
                </a:ext>
              </a:extLst>
            </xdr:cNvPr>
            <xdr:cNvSpPr txBox="1"/>
          </xdr:nvSpPr>
          <xdr:spPr>
            <a:xfrm>
              <a:off x="325967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CA4C32AB-9CF5-4CB2-A841-EF27A020E7EE}"/>
                </a:ext>
              </a:extLst>
            </xdr:cNvPr>
            <xdr:cNvSpPr txBox="1"/>
          </xdr:nvSpPr>
          <xdr:spPr>
            <a:xfrm>
              <a:off x="325967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87EFC5-E024-4BEC-A79C-2C1BE75404FC}"/>
                </a:ext>
              </a:extLst>
            </xdr:cNvPr>
            <xdr:cNvSpPr txBox="1"/>
          </xdr:nvSpPr>
          <xdr:spPr>
            <a:xfrm>
              <a:off x="325967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654A7CDA-828D-47C7-A4FD-4F551A72F080}"/>
                </a:ext>
              </a:extLst>
            </xdr:cNvPr>
            <xdr:cNvSpPr txBox="1"/>
          </xdr:nvSpPr>
          <xdr:spPr>
            <a:xfrm>
              <a:off x="325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8DEEA220-2B9D-46B3-A2E9-AB3F206D0A8D}"/>
                </a:ext>
              </a:extLst>
            </xdr:cNvPr>
            <xdr:cNvSpPr txBox="1"/>
          </xdr:nvSpPr>
          <xdr:spPr>
            <a:xfrm>
              <a:off x="325967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657E15-7201-43C2-BA1E-647D0DEA4992}"/>
                </a:ext>
              </a:extLst>
            </xdr:cNvPr>
            <xdr:cNvSpPr txBox="1"/>
          </xdr:nvSpPr>
          <xdr:spPr>
            <a:xfrm>
              <a:off x="325967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325967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7683304-3B49-4C68-8AD3-7AE1BDC33EDE}"/>
                </a:ext>
              </a:extLst>
            </xdr:cNvPr>
            <xdr:cNvSpPr txBox="1"/>
          </xdr:nvSpPr>
          <xdr:spPr>
            <a:xfrm>
              <a:off x="325967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292099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B0C79DE-6BC9-4DC1-96C6-8C45A3C2F16E}"/>
                </a:ext>
              </a:extLst>
            </xdr:cNvPr>
            <xdr:cNvSpPr txBox="1"/>
          </xdr:nvSpPr>
          <xdr:spPr>
            <a:xfrm>
              <a:off x="292099" y="41215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207432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CD43B33-1F9B-41B0-9FC9-861E48C978D0}"/>
                </a:ext>
              </a:extLst>
            </xdr:cNvPr>
            <xdr:cNvSpPr txBox="1"/>
          </xdr:nvSpPr>
          <xdr:spPr>
            <a:xfrm>
              <a:off x="6244165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198967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BFE447A0-7DC9-4E35-8466-B833194A5D5B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A1B6BDE-4B1E-488A-9859-25B097C2A8C1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207433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AF30F5F-08F4-4079-961B-1A58287C5A83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207429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EE46814-8DDC-4FBB-A3C8-C18DFC7812A8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218B43B8-FA13-497B-BC73-08EF2105A9AB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D12C480C-6E0C-4194-AACF-9D12F4E00C35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215897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8B48AFF9-0CA3-4754-A444-391AA1A16E12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190498</xdr:colOff>
      <xdr:row>25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C88F3431-75A7-46DA-B193-1696AE144D5B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224366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1D1E24B6-B963-4AB6-9586-CC0246CB47D9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57C9F643-9346-4D69-8E48-0E85913398B9}"/>
                </a:ext>
              </a:extLst>
            </xdr:cNvPr>
            <xdr:cNvSpPr txBox="1"/>
          </xdr:nvSpPr>
          <xdr:spPr>
            <a:xfrm>
              <a:off x="6244162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215897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8C4D1B9-6023-403C-9530-A557313D4136}"/>
                </a:ext>
              </a:extLst>
            </xdr:cNvPr>
            <xdr:cNvSpPr txBox="1"/>
          </xdr:nvSpPr>
          <xdr:spPr>
            <a:xfrm>
              <a:off x="6252630" y="4714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207431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67AA9C8-1931-461E-A157-2674CFB617FE}"/>
                </a:ext>
              </a:extLst>
            </xdr:cNvPr>
            <xdr:cNvSpPr txBox="1"/>
          </xdr:nvSpPr>
          <xdr:spPr>
            <a:xfrm>
              <a:off x="6244164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223031B-A500-4C15-87AE-B75B82D62B90}"/>
                </a:ext>
              </a:extLst>
            </xdr:cNvPr>
            <xdr:cNvSpPr txBox="1"/>
          </xdr:nvSpPr>
          <xdr:spPr>
            <a:xfrm>
              <a:off x="625263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D7A2B0FC-635B-459B-A18C-4D6040F32B72}"/>
                </a:ext>
              </a:extLst>
            </xdr:cNvPr>
            <xdr:cNvSpPr txBox="1"/>
          </xdr:nvSpPr>
          <xdr:spPr>
            <a:xfrm>
              <a:off x="6244166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207431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F3E6ACF-A9C5-4FEB-BDE8-93C17071393A}"/>
                </a:ext>
              </a:extLst>
            </xdr:cNvPr>
            <xdr:cNvSpPr txBox="1"/>
          </xdr:nvSpPr>
          <xdr:spPr>
            <a:xfrm>
              <a:off x="62441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198967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8FEBE49-0950-4B0B-99A0-CA455EF55B68}"/>
                </a:ext>
              </a:extLst>
            </xdr:cNvPr>
            <xdr:cNvSpPr txBox="1"/>
          </xdr:nvSpPr>
          <xdr:spPr>
            <a:xfrm>
              <a:off x="623570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190498</xdr:colOff>
      <xdr:row>24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A58DAA55-F193-43AD-B035-8EA2347D09A3}"/>
                </a:ext>
              </a:extLst>
            </xdr:cNvPr>
            <xdr:cNvSpPr txBox="1"/>
          </xdr:nvSpPr>
          <xdr:spPr>
            <a:xfrm>
              <a:off x="6227231" y="49089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224366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3FA8E7C0-A34A-408B-90CD-4D22FE8315E4}"/>
                </a:ext>
              </a:extLst>
            </xdr:cNvPr>
            <xdr:cNvSpPr txBox="1"/>
          </xdr:nvSpPr>
          <xdr:spPr>
            <a:xfrm>
              <a:off x="6261099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215899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AC5973CA-D562-41CE-AB28-D8C3BCD58203}"/>
                </a:ext>
              </a:extLst>
            </xdr:cNvPr>
            <xdr:cNvSpPr txBox="1"/>
          </xdr:nvSpPr>
          <xdr:spPr>
            <a:xfrm>
              <a:off x="62526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207429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B081A48B-DE35-41DF-BF12-128CC950D166}"/>
                </a:ext>
              </a:extLst>
            </xdr:cNvPr>
            <xdr:cNvSpPr txBox="1"/>
          </xdr:nvSpPr>
          <xdr:spPr>
            <a:xfrm>
              <a:off x="86825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207431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E3BECC25-681D-438C-9860-345EC7277163}"/>
                </a:ext>
              </a:extLst>
            </xdr:cNvPr>
            <xdr:cNvSpPr txBox="1"/>
          </xdr:nvSpPr>
          <xdr:spPr>
            <a:xfrm>
              <a:off x="8682564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207433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2948498-B668-4213-9CAF-AEEAE5C772F0}"/>
                </a:ext>
              </a:extLst>
            </xdr:cNvPr>
            <xdr:cNvSpPr txBox="1"/>
          </xdr:nvSpPr>
          <xdr:spPr>
            <a:xfrm>
              <a:off x="8682566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71FB4517-3AC4-434B-AE5C-429F3939B764}"/>
                </a:ext>
              </a:extLst>
            </xdr:cNvPr>
            <xdr:cNvSpPr txBox="1"/>
          </xdr:nvSpPr>
          <xdr:spPr>
            <a:xfrm>
              <a:off x="86910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215898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686DA273-B026-4146-BFB3-FEFE11975C8D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207434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D386797-C41B-4202-BD78-1310D07E74AE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215899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28D74DA-EBC4-42A1-B68F-A07769646AF4}"/>
                </a:ext>
              </a:extLst>
            </xdr:cNvPr>
            <xdr:cNvSpPr txBox="1"/>
          </xdr:nvSpPr>
          <xdr:spPr>
            <a:xfrm>
              <a:off x="8691032" y="5103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224366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BB72CF7-AF11-4E37-80E5-EEF0C30646C1}"/>
                </a:ext>
              </a:extLst>
            </xdr:cNvPr>
            <xdr:cNvSpPr txBox="1"/>
          </xdr:nvSpPr>
          <xdr:spPr>
            <a:xfrm>
              <a:off x="8699499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9A749FBE-C114-49D2-A24E-F49363D380BB}"/>
                </a:ext>
              </a:extLst>
            </xdr:cNvPr>
            <xdr:cNvSpPr txBox="1"/>
          </xdr:nvSpPr>
          <xdr:spPr>
            <a:xfrm>
              <a:off x="8691030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C5D79A9B-A179-42E3-8B6F-F5E25DB09650}"/>
                </a:ext>
              </a:extLst>
            </xdr:cNvPr>
            <xdr:cNvSpPr txBox="1"/>
          </xdr:nvSpPr>
          <xdr:spPr>
            <a:xfrm>
              <a:off x="8665631" y="47142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198965</xdr:colOff>
      <xdr:row>17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FADAAAB-CB3A-4481-9FB3-2124CE726084}"/>
                </a:ext>
              </a:extLst>
            </xdr:cNvPr>
            <xdr:cNvSpPr txBox="1"/>
          </xdr:nvSpPr>
          <xdr:spPr>
            <a:xfrm>
              <a:off x="13677898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207433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1E5148CD-C7B7-4AE1-9210-0D2D50B52EF3}"/>
                </a:ext>
              </a:extLst>
            </xdr:cNvPr>
            <xdr:cNvSpPr txBox="1"/>
          </xdr:nvSpPr>
          <xdr:spPr>
            <a:xfrm>
              <a:off x="11247966" y="371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215899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23C9752-89E5-4326-8F38-7AB1FAC5953E}"/>
                </a:ext>
              </a:extLst>
            </xdr:cNvPr>
            <xdr:cNvSpPr txBox="1"/>
          </xdr:nvSpPr>
          <xdr:spPr>
            <a:xfrm>
              <a:off x="11256432" y="3918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207429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5FFD1EA-57E7-425F-A028-85E963634E72}"/>
                </a:ext>
              </a:extLst>
            </xdr:cNvPr>
            <xdr:cNvSpPr txBox="1"/>
          </xdr:nvSpPr>
          <xdr:spPr>
            <a:xfrm>
              <a:off x="11247962" y="3317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207431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E62046B-D98F-453E-AF58-A72F3E0D9F30}"/>
                </a:ext>
              </a:extLst>
            </xdr:cNvPr>
            <xdr:cNvSpPr txBox="1"/>
          </xdr:nvSpPr>
          <xdr:spPr>
            <a:xfrm>
              <a:off x="11247964" y="352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215898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418634C4-A685-4336-9BEC-FABC9665D375}"/>
                </a:ext>
              </a:extLst>
            </xdr:cNvPr>
            <xdr:cNvSpPr txBox="1"/>
          </xdr:nvSpPr>
          <xdr:spPr>
            <a:xfrm>
              <a:off x="11256431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207434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B3F094-5ABF-4DD7-9EB1-0F9F9918B3E9}"/>
                </a:ext>
              </a:extLst>
            </xdr:cNvPr>
            <xdr:cNvSpPr txBox="1"/>
          </xdr:nvSpPr>
          <xdr:spPr>
            <a:xfrm>
              <a:off x="11247967" y="4324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215899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80AE4104-5DE2-4503-B298-0409785AE2C8}"/>
                </a:ext>
              </a:extLst>
            </xdr:cNvPr>
            <xdr:cNvSpPr txBox="1"/>
          </xdr:nvSpPr>
          <xdr:spPr>
            <a:xfrm>
              <a:off x="11256432" y="4519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215897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7A4BDF2-D3BA-48BA-A0B7-10F63B193B1D}"/>
                </a:ext>
              </a:extLst>
            </xdr:cNvPr>
            <xdr:cNvSpPr txBox="1"/>
          </xdr:nvSpPr>
          <xdr:spPr>
            <a:xfrm>
              <a:off x="11256430" y="4908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20</xdr:col>
      <xdr:colOff>190498</xdr:colOff>
      <xdr:row>26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F0F7A6C-F363-4C18-804F-4ACF51D0ED2B}"/>
                </a:ext>
              </a:extLst>
            </xdr:cNvPr>
            <xdr:cNvSpPr txBox="1"/>
          </xdr:nvSpPr>
          <xdr:spPr>
            <a:xfrm>
              <a:off x="11231031" y="51037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6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344831" y="582508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E598DC5-70D1-4804-A2FE-39D0DB5951C3}"/>
                </a:ext>
              </a:extLst>
            </xdr:cNvPr>
            <xdr:cNvSpPr txBox="1"/>
          </xdr:nvSpPr>
          <xdr:spPr>
            <a:xfrm>
              <a:off x="7344831" y="582508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A192137-6408-42BA-9CCF-71EF2F4D58B5}"/>
                </a:ext>
              </a:extLst>
            </xdr:cNvPr>
            <xdr:cNvSpPr txBox="1"/>
          </xdr:nvSpPr>
          <xdr:spPr>
            <a:xfrm>
              <a:off x="7344831" y="7772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97720423-389B-4ED9-B904-7819D6990335}"/>
                </a:ext>
              </a:extLst>
            </xdr:cNvPr>
            <xdr:cNvSpPr txBox="1"/>
          </xdr:nvSpPr>
          <xdr:spPr>
            <a:xfrm>
              <a:off x="7344831" y="971974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88898</xdr:colOff>
      <xdr:row>9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232721E7-2465-4F4B-BDFF-232D449E120D}"/>
                </a:ext>
              </a:extLst>
            </xdr:cNvPr>
            <xdr:cNvSpPr txBox="1"/>
          </xdr:nvSpPr>
          <xdr:spPr>
            <a:xfrm>
              <a:off x="7344831" y="1166708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69937BD-0938-4F49-9B5D-2D826D7BBA67}"/>
                </a:ext>
              </a:extLst>
            </xdr:cNvPr>
            <xdr:cNvSpPr txBox="1"/>
          </xdr:nvSpPr>
          <xdr:spPr>
            <a:xfrm>
              <a:off x="7327897" y="13614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71964</xdr:colOff>
      <xdr:row>11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C1080CD2-70ED-45B0-AA4F-BA928BBA346E}"/>
                </a:ext>
              </a:extLst>
            </xdr:cNvPr>
            <xdr:cNvSpPr txBox="1"/>
          </xdr:nvSpPr>
          <xdr:spPr>
            <a:xfrm>
              <a:off x="7327897" y="1556174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084C659-D3CB-466A-B66B-C804DFC2EC56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A18D9A26-FBAC-4B99-8CE2-E52021DAD984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9208797-221E-4F2D-93C5-EBFDF3E0D532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49AB1C21-B99C-4200-9B74-B60534D9C026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9863FF3A-4722-46FB-AE04-243CE5273577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AB3599C1-7565-44AD-9ECF-A0B2333B26A0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D85C9310-33A6-4993-9206-CE2C6DC4801C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9915257D-7340-4C8D-82C5-15EB1639D765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C67F644-4A04-49A1-A3BA-4A9E355526E5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43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F763523D-D880-4961-8F7E-81D555F3C0A7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AFD3D079-BA30-4101-9EE3-F98053259464}"/>
                </a:ext>
              </a:extLst>
            </xdr:cNvPr>
            <xdr:cNvSpPr txBox="1"/>
          </xdr:nvSpPr>
          <xdr:spPr>
            <a:xfrm>
              <a:off x="325967" y="6830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26A9412D-08DD-49B1-8618-628501412417}"/>
                </a:ext>
              </a:extLst>
            </xdr:cNvPr>
            <xdr:cNvSpPr txBox="1"/>
          </xdr:nvSpPr>
          <xdr:spPr>
            <a:xfrm>
              <a:off x="325967" y="7220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C38CA1F9-EC11-4485-A655-507FD23FF5DB}"/>
                </a:ext>
              </a:extLst>
            </xdr:cNvPr>
            <xdr:cNvSpPr txBox="1"/>
          </xdr:nvSpPr>
          <xdr:spPr>
            <a:xfrm>
              <a:off x="325967" y="7415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C671B4DD-4271-42B7-89D8-FEC1022FA82A}"/>
                </a:ext>
              </a:extLst>
            </xdr:cNvPr>
            <xdr:cNvSpPr txBox="1"/>
          </xdr:nvSpPr>
          <xdr:spPr>
            <a:xfrm>
              <a:off x="325967" y="7609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09743DB1-360F-4DEA-A4E6-32C9CA2E8B09}"/>
                </a:ext>
              </a:extLst>
            </xdr:cNvPr>
            <xdr:cNvSpPr txBox="1"/>
          </xdr:nvSpPr>
          <xdr:spPr>
            <a:xfrm>
              <a:off x="325967" y="6636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91864D-8583-43A7-BE4A-1C7FC39A287A}"/>
                </a:ext>
              </a:extLst>
            </xdr:cNvPr>
            <xdr:cNvSpPr txBox="1"/>
          </xdr:nvSpPr>
          <xdr:spPr>
            <a:xfrm>
              <a:off x="325967" y="7025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55118778-ED76-41D8-A5AE-83D558B8B00A}"/>
                </a:ext>
              </a:extLst>
            </xdr:cNvPr>
            <xdr:cNvSpPr txBox="1"/>
          </xdr:nvSpPr>
          <xdr:spPr>
            <a:xfrm>
              <a:off x="325967" y="7804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3BD1F97-97F8-457E-B83C-5ACCE160C2AB}"/>
                </a:ext>
              </a:extLst>
            </xdr:cNvPr>
            <xdr:cNvSpPr txBox="1"/>
          </xdr:nvSpPr>
          <xdr:spPr>
            <a:xfrm>
              <a:off x="325967" y="7999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1AD40E97-8AD7-4C29-A937-7BDE8307305A}"/>
                </a:ext>
              </a:extLst>
            </xdr:cNvPr>
            <xdr:cNvSpPr txBox="1"/>
          </xdr:nvSpPr>
          <xdr:spPr>
            <a:xfrm>
              <a:off x="325967" y="8194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57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96291FF-3BED-4B4D-BE39-7F76AC18EEBB}"/>
                </a:ext>
              </a:extLst>
            </xdr:cNvPr>
            <xdr:cNvSpPr txBox="1"/>
          </xdr:nvSpPr>
          <xdr:spPr>
            <a:xfrm>
              <a:off x="292099" y="83887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75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20218C2C-5459-4732-9D4E-F3627155EE14}"/>
                </a:ext>
              </a:extLst>
            </xdr:cNvPr>
            <xdr:cNvSpPr txBox="1"/>
          </xdr:nvSpPr>
          <xdr:spPr>
            <a:xfrm>
              <a:off x="266698" y="15212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(𝟏)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256542</xdr:colOff>
      <xdr:row>6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9950875" y="3894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39BDB5F8-8265-4F20-87C7-90A233B55500}"/>
                </a:ext>
              </a:extLst>
            </xdr:cNvPr>
            <xdr:cNvSpPr txBox="1"/>
          </xdr:nvSpPr>
          <xdr:spPr>
            <a:xfrm>
              <a:off x="9950875" y="3894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76</xdr:row>
      <xdr:rowOff>32173</xdr:rowOff>
    </xdr:from>
    <xdr:ext cx="4103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7D07D2A-021D-4139-B60A-3E4F4BE8070E}"/>
                </a:ext>
              </a:extLst>
            </xdr:cNvPr>
            <xdr:cNvSpPr txBox="1"/>
          </xdr:nvSpPr>
          <xdr:spPr>
            <a:xfrm>
              <a:off x="266698" y="15466906"/>
              <a:ext cx="4103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(𝟐)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169334</xdr:colOff>
      <xdr:row>63</xdr:row>
      <xdr:rowOff>21168</xdr:rowOff>
    </xdr:from>
    <xdr:ext cx="596638" cy="218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EB6A9D1-7086-4FDE-A1AA-B16BBFCCC9DE}"/>
                </a:ext>
              </a:extLst>
            </xdr:cNvPr>
            <xdr:cNvSpPr txBox="1"/>
          </xdr:nvSpPr>
          <xdr:spPr>
            <a:xfrm>
              <a:off x="169334" y="12263968"/>
              <a:ext cx="596638" cy="218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</a:t>
              </a:r>
              <a:r>
                <a:rPr lang="en-US" sz="1200" b="1" i="0">
                  <a:latin typeface="Cambria Math" panose="02040503050406030204" pitchFamily="18" charset="0"/>
                </a:rPr>
                <a:t>𝐜𝟏^𝟏)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64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𝐜𝟏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50A63E91-3771-4C19-8C5E-696FA4DC0BF6}"/>
                </a:ext>
              </a:extLst>
            </xdr:cNvPr>
            <xdr:cNvSpPr txBox="1"/>
          </xdr:nvSpPr>
          <xdr:spPr>
            <a:xfrm>
              <a:off x="169334" y="12517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𝐜𝟏^𝟐)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65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3D34DBA-2FB6-40D1-9273-1AFE6051BF84}"/>
                </a:ext>
              </a:extLst>
            </xdr:cNvPr>
            <xdr:cNvSpPr txBox="1"/>
          </xdr:nvSpPr>
          <xdr:spPr>
            <a:xfrm>
              <a:off x="169334" y="12771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𝐜𝟐^𝟏)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169334</xdr:colOff>
      <xdr:row>66</xdr:row>
      <xdr:rowOff>21168</xdr:rowOff>
    </xdr:from>
    <xdr:ext cx="595484" cy="2114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𝐜𝟐</m:t>
                        </m:r>
                      </m:sub>
                      <m:sup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FDCF7972-2C45-4D30-A5EA-CB2542CD5299}"/>
                </a:ext>
              </a:extLst>
            </xdr:cNvPr>
            <xdr:cNvSpPr txBox="1"/>
          </xdr:nvSpPr>
          <xdr:spPr>
            <a:xfrm>
              <a:off x="169334" y="13025968"/>
              <a:ext cx="595484" cy="2114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</a:t>
              </a:r>
              <a:r>
                <a:rPr lang="en-US" sz="1200" b="1" i="0">
                  <a:latin typeface="Cambria Math" panose="02040503050406030204" pitchFamily="18" charset="0"/>
                </a:rPr>
                <a:t>𝐜𝟐^𝟐)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358146</xdr:colOff>
      <xdr:row>70</xdr:row>
      <xdr:rowOff>0</xdr:rowOff>
    </xdr:from>
    <xdr:ext cx="21922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𝒘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C3F44DC-94AD-4CB5-9C42-400087D08C13}"/>
                </a:ext>
              </a:extLst>
            </xdr:cNvPr>
            <xdr:cNvSpPr txBox="1"/>
          </xdr:nvSpPr>
          <xdr:spPr>
            <a:xfrm>
              <a:off x="358146" y="13826067"/>
              <a:ext cx="21922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𝒘_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131233</xdr:colOff>
      <xdr:row>80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F3545C9-2562-432F-9BBE-1FEF69626553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BAEA5C70-D7DC-4006-91FB-29AAD5054ED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45F1B765-788B-4132-8969-EF452B711F96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80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0EBCAE6A-4822-4886-8939-AC23E1C4BB9D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937A38C4-D1C3-48CA-AEDE-40209014BAD7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80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699963B9-395B-466B-8408-B83EEE06A5EC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1233BAAC-6A83-4CF3-A519-7AACD2C05EA8}"/>
                </a:ext>
              </a:extLst>
            </xdr:cNvPr>
            <xdr:cNvSpPr txBox="1"/>
          </xdr:nvSpPr>
          <xdr:spPr>
            <a:xfrm>
              <a:off x="368302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04EB407-D2B0-419F-AF03-CCB04FFB9E18}"/>
                </a:ext>
              </a:extLst>
            </xdr:cNvPr>
            <xdr:cNvSpPr txBox="1"/>
          </xdr:nvSpPr>
          <xdr:spPr>
            <a:xfrm>
              <a:off x="368302" y="16762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7144CFB-4066-4CFF-B7E6-CA2261DEBCD0}"/>
                </a:ext>
              </a:extLst>
            </xdr:cNvPr>
            <xdr:cNvSpPr txBox="1"/>
          </xdr:nvSpPr>
          <xdr:spPr>
            <a:xfrm>
              <a:off x="368302" y="16957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3F7757A-0AB9-4D06-BC07-AE5DFD0B7D07}"/>
                </a:ext>
              </a:extLst>
            </xdr:cNvPr>
            <xdr:cNvSpPr txBox="1"/>
          </xdr:nvSpPr>
          <xdr:spPr>
            <a:xfrm>
              <a:off x="368302" y="17151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A48B5E00-FAE1-4C08-9D3B-9B161352941D}"/>
                </a:ext>
              </a:extLst>
            </xdr:cNvPr>
            <xdr:cNvSpPr txBox="1"/>
          </xdr:nvSpPr>
          <xdr:spPr>
            <a:xfrm>
              <a:off x="368302" y="173465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4BC9C170-95E1-4056-9C4B-4CD4FB765B50}"/>
                </a:ext>
              </a:extLst>
            </xdr:cNvPr>
            <xdr:cNvSpPr txBox="1"/>
          </xdr:nvSpPr>
          <xdr:spPr>
            <a:xfrm>
              <a:off x="368302" y="17541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544A4-EC19-41C5-8239-E701D8AB2392}"/>
                </a:ext>
              </a:extLst>
            </xdr:cNvPr>
            <xdr:cNvSpPr txBox="1"/>
          </xdr:nvSpPr>
          <xdr:spPr>
            <a:xfrm>
              <a:off x="368302" y="17735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48AF1F3B-56D3-446D-BDEE-41D3C2BFCFC5}"/>
                </a:ext>
              </a:extLst>
            </xdr:cNvPr>
            <xdr:cNvSpPr txBox="1"/>
          </xdr:nvSpPr>
          <xdr:spPr>
            <a:xfrm>
              <a:off x="368302" y="17930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368302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D6077BD8-1765-4734-84ED-76E54493B896}"/>
                </a:ext>
              </a:extLst>
            </xdr:cNvPr>
            <xdr:cNvSpPr txBox="1"/>
          </xdr:nvSpPr>
          <xdr:spPr>
            <a:xfrm>
              <a:off x="368302" y="18125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334434</xdr:colOff>
      <xdr:row>91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03B32838-EC8B-4E71-80F7-DA4F54CFE91A}"/>
                </a:ext>
              </a:extLst>
            </xdr:cNvPr>
            <xdr:cNvSpPr txBox="1"/>
          </xdr:nvSpPr>
          <xdr:spPr>
            <a:xfrm>
              <a:off x="334434" y="183201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8ADFF50-FD77-480F-902D-7DA0EA31891C}"/>
                </a:ext>
              </a:extLst>
            </xdr:cNvPr>
            <xdr:cNvSpPr txBox="1"/>
          </xdr:nvSpPr>
          <xdr:spPr>
            <a:xfrm>
              <a:off x="857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3990F6C3-728F-4E97-B7D5-C98EA51944CD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1149616-554C-48BB-AC2C-A0593186A792}"/>
                </a:ext>
              </a:extLst>
            </xdr:cNvPr>
            <xdr:cNvSpPr txBox="1"/>
          </xdr:nvSpPr>
          <xdr:spPr>
            <a:xfrm>
              <a:off x="2330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DC23E02-F80C-490D-AE8E-915B29171958}"/>
                </a:ext>
              </a:extLst>
            </xdr:cNvPr>
            <xdr:cNvSpPr txBox="1"/>
          </xdr:nvSpPr>
          <xdr:spPr>
            <a:xfrm>
              <a:off x="3052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16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B1029FB-958F-46B7-AB83-F7ACE2FE4AE8}"/>
                </a:ext>
              </a:extLst>
            </xdr:cNvPr>
            <xdr:cNvSpPr txBox="1"/>
          </xdr:nvSpPr>
          <xdr:spPr>
            <a:xfrm>
              <a:off x="3781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D68C315-C364-4909-8610-B3F019145538}"/>
                </a:ext>
              </a:extLst>
            </xdr:cNvPr>
            <xdr:cNvSpPr txBox="1"/>
          </xdr:nvSpPr>
          <xdr:spPr>
            <a:xfrm>
              <a:off x="4487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16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8A4A44B-7746-4ED3-9338-315CCFAC1B7C}"/>
                </a:ext>
              </a:extLst>
            </xdr:cNvPr>
            <xdr:cNvSpPr txBox="1"/>
          </xdr:nvSpPr>
          <xdr:spPr>
            <a:xfrm>
              <a:off x="5223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A23B616-1D5C-4690-9448-D689D81BB53F}"/>
                </a:ext>
              </a:extLst>
            </xdr:cNvPr>
            <xdr:cNvSpPr txBox="1"/>
          </xdr:nvSpPr>
          <xdr:spPr>
            <a:xfrm>
              <a:off x="341210" y="4273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F8DD4F8-7A50-4F82-9CAD-46FCB00EE310}"/>
                </a:ext>
              </a:extLst>
            </xdr:cNvPr>
            <xdr:cNvSpPr txBox="1"/>
          </xdr:nvSpPr>
          <xdr:spPr>
            <a:xfrm>
              <a:off x="341210" y="3486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AD4D755-BE08-4F8C-AB79-09DCAA36DBBF}"/>
                </a:ext>
              </a:extLst>
            </xdr:cNvPr>
            <xdr:cNvSpPr txBox="1"/>
          </xdr:nvSpPr>
          <xdr:spPr>
            <a:xfrm>
              <a:off x="341208" y="4468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19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7BA666BF-AE9E-4FA9-AD33-979671174EE3}"/>
                </a:ext>
              </a:extLst>
            </xdr:cNvPr>
            <xdr:cNvSpPr txBox="1"/>
          </xdr:nvSpPr>
          <xdr:spPr>
            <a:xfrm>
              <a:off x="341210" y="36813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332742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E22BF5D-3719-4289-920F-35B36C5E9D56}"/>
                </a:ext>
              </a:extLst>
            </xdr:cNvPr>
            <xdr:cNvSpPr txBox="1"/>
          </xdr:nvSpPr>
          <xdr:spPr>
            <a:xfrm>
              <a:off x="332742" y="38760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333590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3781895B-E2EC-4CEC-A7F7-2C94B39ECA2A}"/>
                </a:ext>
              </a:extLst>
            </xdr:cNvPr>
            <xdr:cNvSpPr txBox="1"/>
          </xdr:nvSpPr>
          <xdr:spPr>
            <a:xfrm>
              <a:off x="333590" y="40707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8D320F14-128B-4037-AC5B-8CD711F66FAA}"/>
                </a:ext>
              </a:extLst>
            </xdr:cNvPr>
            <xdr:cNvSpPr txBox="1"/>
          </xdr:nvSpPr>
          <xdr:spPr>
            <a:xfrm>
              <a:off x="341210" y="4663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5C5D8AE-AE8D-4A10-883D-42BF44C4C3F7}"/>
                </a:ext>
              </a:extLst>
            </xdr:cNvPr>
            <xdr:cNvSpPr txBox="1"/>
          </xdr:nvSpPr>
          <xdr:spPr>
            <a:xfrm>
              <a:off x="341208" y="4858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341210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78D009A-C1C0-4B00-B368-775113588AEC}"/>
                </a:ext>
              </a:extLst>
            </xdr:cNvPr>
            <xdr:cNvSpPr txBox="1"/>
          </xdr:nvSpPr>
          <xdr:spPr>
            <a:xfrm>
              <a:off x="341210" y="5052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307342</xdr:colOff>
      <xdr:row>27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83B25B6-E7E9-428E-8207-D60F19FBCEA5}"/>
                </a:ext>
              </a:extLst>
            </xdr:cNvPr>
            <xdr:cNvSpPr txBox="1"/>
          </xdr:nvSpPr>
          <xdr:spPr>
            <a:xfrm>
              <a:off x="307342" y="52476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186267</xdr:colOff>
      <xdr:row>33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F3DA7A5-7724-4EF7-9453-89433DDC2709}"/>
                </a:ext>
              </a:extLst>
            </xdr:cNvPr>
            <xdr:cNvSpPr txBox="1"/>
          </xdr:nvSpPr>
          <xdr:spPr>
            <a:xfrm>
              <a:off x="186267" y="65320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_𝟏𝐜^𝒋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34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2630E03-6DE0-4F95-92C7-C6D1AECB4C01}"/>
                </a:ext>
              </a:extLst>
            </xdr:cNvPr>
            <xdr:cNvSpPr txBox="1"/>
          </xdr:nvSpPr>
          <xdr:spPr>
            <a:xfrm>
              <a:off x="186267" y="68199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35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64AAF2A7-4DF7-4997-8E32-A82B0AF6334D}"/>
                </a:ext>
              </a:extLst>
            </xdr:cNvPr>
            <xdr:cNvSpPr txBox="1"/>
          </xdr:nvSpPr>
          <xdr:spPr>
            <a:xfrm>
              <a:off x="186267" y="7107768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36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E6301DB-CE63-430D-A691-63F7E8EA5D6C}"/>
                </a:ext>
              </a:extLst>
            </xdr:cNvPr>
            <xdr:cNvSpPr txBox="1"/>
          </xdr:nvSpPr>
          <xdr:spPr>
            <a:xfrm>
              <a:off x="186267" y="7395635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37</xdr:row>
      <xdr:rowOff>29635</xdr:rowOff>
    </xdr:from>
    <xdr:ext cx="595484" cy="224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𝒈</m:t>
                        </m:r>
                      </m:e>
                      <m:sub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𝟐𝐜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𝒋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377C31E-1DE4-4633-B52D-841160DF787F}"/>
                </a:ext>
              </a:extLst>
            </xdr:cNvPr>
            <xdr:cNvSpPr txBox="1"/>
          </xdr:nvSpPr>
          <xdr:spPr>
            <a:xfrm>
              <a:off x="186267" y="7683502"/>
              <a:ext cx="595484" cy="224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𝛂_𝟏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0</xdr:col>
      <xdr:colOff>186267</xdr:colOff>
      <xdr:row>38</xdr:row>
      <xdr:rowOff>29635</xdr:rowOff>
    </xdr:from>
    <xdr:ext cx="596638" cy="230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𝒈</m:t>
                            </m:r>
                          </m:e>
                          <m:sub>
                            <m:r>
                              <a:rPr lang="en-US" sz="11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𝟐𝐜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𝒋</m:t>
                            </m:r>
                          </m:sup>
                        </m:sSubSup>
                        <m:r>
                          <a:rPr lang="en-US" sz="11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𝛂</m:t>
                        </m:r>
                      </m:e>
                      <m:sub>
                        <m:r>
                          <a:rPr lang="en-US" sz="1200" b="1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𝐜</m:t>
                        </m:r>
                      </m:sub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𝒋</m:t>
                        </m:r>
                      </m:sup>
                    </m:sSubSup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1" i="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9752AA3-3CB3-4913-9D3B-A3DD1527A3CF}"/>
                </a:ext>
              </a:extLst>
            </xdr:cNvPr>
            <xdr:cNvSpPr txBox="1"/>
          </xdr:nvSpPr>
          <xdr:spPr>
            <a:xfrm>
              <a:off x="186267" y="7971368"/>
              <a:ext cx="596638" cy="230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〖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𝒈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_𝟐𝐜^𝒋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𝛂〗_𝟐</a:t>
              </a:r>
              <a:r>
                <a:rPr lang="en-US" sz="1200" b="1" i="0">
                  <a:latin typeface="Cambria Math" panose="02040503050406030204" pitchFamily="18" charset="0"/>
                </a:rPr>
                <a:t>𝐜^𝒋)</a:t>
              </a:r>
              <a:endParaRPr lang="en-US" sz="1100" b="1" i="0"/>
            </a:p>
          </xdr:txBody>
        </xdr:sp>
      </mc:Fallback>
    </mc:AlternateContent>
    <xdr:clientData/>
  </xdr:oneCellAnchor>
  <xdr:oneCellAnchor>
    <xdr:from>
      <xdr:col>1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7DACE423-225C-428D-A121-ECD5E30B67F3}"/>
                </a:ext>
              </a:extLst>
            </xdr:cNvPr>
            <xdr:cNvSpPr txBox="1"/>
          </xdr:nvSpPr>
          <xdr:spPr>
            <a:xfrm>
              <a:off x="10270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139E1A48-269D-4BB8-A0DE-3987FF9569D6}"/>
                </a:ext>
              </a:extLst>
            </xdr:cNvPr>
            <xdr:cNvSpPr txBox="1"/>
          </xdr:nvSpPr>
          <xdr:spPr>
            <a:xfrm>
              <a:off x="17636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E9A57C76-A2FD-43C1-91E1-245AB144260C}"/>
                </a:ext>
              </a:extLst>
            </xdr:cNvPr>
            <xdr:cNvSpPr txBox="1"/>
          </xdr:nvSpPr>
          <xdr:spPr>
            <a:xfrm>
              <a:off x="250020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3EAE9A2-EFF7-4853-B0C6-E6BCC1D7DB61}"/>
                </a:ext>
              </a:extLst>
            </xdr:cNvPr>
            <xdr:cNvSpPr txBox="1"/>
          </xdr:nvSpPr>
          <xdr:spPr>
            <a:xfrm>
              <a:off x="322156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52</xdr:row>
      <xdr:rowOff>6776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B846E6AD-AAF4-446C-963C-794A4FBDE54F}"/>
                </a:ext>
              </a:extLst>
            </xdr:cNvPr>
            <xdr:cNvSpPr txBox="1"/>
          </xdr:nvSpPr>
          <xdr:spPr>
            <a:xfrm>
              <a:off x="3950546" y="11055776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21B2888F-AA05-42C8-9EBC-B6C2F6C5BAEB}"/>
                </a:ext>
              </a:extLst>
            </xdr:cNvPr>
            <xdr:cNvSpPr txBox="1"/>
          </xdr:nvSpPr>
          <xdr:spPr>
            <a:xfrm>
              <a:off x="46566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52</xdr:row>
      <xdr:rowOff>6776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2A2092B-FC9E-451D-9120-A189A53CA1FC}"/>
                </a:ext>
              </a:extLst>
            </xdr:cNvPr>
            <xdr:cNvSpPr txBox="1"/>
          </xdr:nvSpPr>
          <xdr:spPr>
            <a:xfrm>
              <a:off x="5393266" y="11055776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364067</xdr:colOff>
      <xdr:row>53</xdr:row>
      <xdr:rowOff>25400</xdr:rowOff>
    </xdr:from>
    <xdr:ext cx="21537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𝝀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8B8A2A0-0725-4B44-9EA3-AA561BF7538B}"/>
                </a:ext>
              </a:extLst>
            </xdr:cNvPr>
            <xdr:cNvSpPr txBox="1"/>
          </xdr:nvSpPr>
          <xdr:spPr>
            <a:xfrm>
              <a:off x="364067" y="11303000"/>
              <a:ext cx="21537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𝝀_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54</xdr:row>
      <xdr:rowOff>25401</xdr:rowOff>
    </xdr:from>
    <xdr:ext cx="23577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𝜷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E8D18DED-B472-44B2-81D8-CCACB85A5B14}"/>
                </a:ext>
              </a:extLst>
            </xdr:cNvPr>
            <xdr:cNvSpPr txBox="1"/>
          </xdr:nvSpPr>
          <xdr:spPr>
            <a:xfrm>
              <a:off x="355605" y="11557001"/>
              <a:ext cx="23577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𝜷_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0</xdr:col>
      <xdr:colOff>355605</xdr:colOff>
      <xdr:row>55</xdr:row>
      <xdr:rowOff>25401</xdr:rowOff>
    </xdr:from>
    <xdr:ext cx="257763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𝝎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47DB6E3-DBF5-4450-9600-6FD64E7D514E}"/>
                </a:ext>
              </a:extLst>
            </xdr:cNvPr>
            <xdr:cNvSpPr txBox="1"/>
          </xdr:nvSpPr>
          <xdr:spPr>
            <a:xfrm>
              <a:off x="355605" y="11811001"/>
              <a:ext cx="257763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𝝎_</a:t>
              </a:r>
              <a:r>
                <a:rPr lang="en-US" sz="1400" b="1" i="0">
                  <a:latin typeface="Cambria Math" panose="02040503050406030204" pitchFamily="18" charset="0"/>
                </a:rPr>
                <a:t>𝒄</a:t>
              </a:r>
              <a:endParaRPr lang="en-US" sz="14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216970A9-DD46-4C8A-A771-C8A9DA2CF334}"/>
                </a:ext>
              </a:extLst>
            </xdr:cNvPr>
            <xdr:cNvSpPr txBox="1"/>
          </xdr:nvSpPr>
          <xdr:spPr>
            <a:xfrm>
              <a:off x="10270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2D9DF9DA-53C3-4ED4-9484-C3789D1A5AC8}"/>
                </a:ext>
              </a:extLst>
            </xdr:cNvPr>
            <xdr:cNvSpPr txBox="1"/>
          </xdr:nvSpPr>
          <xdr:spPr>
            <a:xfrm>
              <a:off x="17636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7A47B0E8-3FFD-4E13-8E1B-B86B767DD9B1}"/>
                </a:ext>
              </a:extLst>
            </xdr:cNvPr>
            <xdr:cNvSpPr txBox="1"/>
          </xdr:nvSpPr>
          <xdr:spPr>
            <a:xfrm>
              <a:off x="250020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AF065436-D0B5-4D4C-8003-C5ACCC8C80F7}"/>
                </a:ext>
              </a:extLst>
            </xdr:cNvPr>
            <xdr:cNvSpPr txBox="1"/>
          </xdr:nvSpPr>
          <xdr:spPr>
            <a:xfrm>
              <a:off x="322156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42</xdr:row>
      <xdr:rowOff>7621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350E47F-AF49-49FF-AB65-3C85EC05EF72}"/>
                </a:ext>
              </a:extLst>
            </xdr:cNvPr>
            <xdr:cNvSpPr txBox="1"/>
          </xdr:nvSpPr>
          <xdr:spPr>
            <a:xfrm>
              <a:off x="3950546" y="879602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9D37933-98D8-4A8B-95C9-6FD2165A33B2}"/>
                </a:ext>
              </a:extLst>
            </xdr:cNvPr>
            <xdr:cNvSpPr txBox="1"/>
          </xdr:nvSpPr>
          <xdr:spPr>
            <a:xfrm>
              <a:off x="46566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42</xdr:row>
      <xdr:rowOff>7621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F1460B0A-E7A7-429F-9C7F-F53D0E5614D6}"/>
                </a:ext>
              </a:extLst>
            </xdr:cNvPr>
            <xdr:cNvSpPr txBox="1"/>
          </xdr:nvSpPr>
          <xdr:spPr>
            <a:xfrm>
              <a:off x="5393266" y="879602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304805</xdr:colOff>
      <xdr:row>42</xdr:row>
      <xdr:rowOff>224365</xdr:rowOff>
    </xdr:from>
    <xdr:ext cx="22563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9012765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D7B2FD1-D8F2-4B4D-8530-C4536BA41880}"/>
                </a:ext>
              </a:extLst>
            </xdr:cNvPr>
            <xdr:cNvSpPr txBox="1"/>
          </xdr:nvSpPr>
          <xdr:spPr>
            <a:xfrm>
              <a:off x="304805" y="9012765"/>
              <a:ext cx="22563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𝒑_𝒄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44</xdr:row>
      <xdr:rowOff>4231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9275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325CB83-06AE-41EE-8659-2999327C398C}"/>
                </a:ext>
              </a:extLst>
            </xdr:cNvPr>
            <xdr:cNvSpPr txBox="1"/>
          </xdr:nvSpPr>
          <xdr:spPr>
            <a:xfrm>
              <a:off x="296338" y="9275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𝒍_𝟏𝒄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46</xdr:row>
      <xdr:rowOff>4231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9783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9FD35938-5C58-4372-9B9A-E85B8291C33C}"/>
                </a:ext>
              </a:extLst>
            </xdr:cNvPr>
            <xdr:cNvSpPr txBox="1"/>
          </xdr:nvSpPr>
          <xdr:spPr>
            <a:xfrm>
              <a:off x="296338" y="9783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𝑫_𝟏𝒄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47</xdr:row>
      <xdr:rowOff>4231</xdr:rowOff>
    </xdr:from>
    <xdr:ext cx="32733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0037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𝑫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64741B12-DCE9-484F-A5B9-34A9E0C31743}"/>
                </a:ext>
              </a:extLst>
            </xdr:cNvPr>
            <xdr:cNvSpPr txBox="1"/>
          </xdr:nvSpPr>
          <xdr:spPr>
            <a:xfrm>
              <a:off x="296338" y="10037231"/>
              <a:ext cx="32733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𝑫_𝟐𝒄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330199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296338</xdr:colOff>
      <xdr:row>45</xdr:row>
      <xdr:rowOff>4231</xdr:rowOff>
    </xdr:from>
    <xdr:ext cx="25904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9529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EFA9B793-FB77-464C-8C90-1D3F8A72413E}"/>
                </a:ext>
              </a:extLst>
            </xdr:cNvPr>
            <xdr:cNvSpPr txBox="1"/>
          </xdr:nvSpPr>
          <xdr:spPr>
            <a:xfrm>
              <a:off x="296338" y="9529231"/>
              <a:ext cx="25904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𝒍_𝟐𝒄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0</xdr:col>
      <xdr:colOff>266698</xdr:colOff>
      <xdr:row>61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9AF55B-3AB3-4BA2-8DFB-AA9CAD339960}"/>
                </a:ext>
              </a:extLst>
            </xdr:cNvPr>
            <xdr:cNvSpPr txBox="1"/>
          </xdr:nvSpPr>
          <xdr:spPr>
            <a:xfrm>
              <a:off x="266698" y="13130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62</xdr:row>
      <xdr:rowOff>23706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5E615B79-4909-4533-BFAE-E02329D40DF9}"/>
                </a:ext>
              </a:extLst>
            </xdr:cNvPr>
            <xdr:cNvSpPr txBox="1"/>
          </xdr:nvSpPr>
          <xdr:spPr>
            <a:xfrm>
              <a:off x="266698" y="13384106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266698</xdr:colOff>
      <xdr:row>63</xdr:row>
      <xdr:rowOff>32173</xdr:rowOff>
    </xdr:from>
    <xdr:ext cx="37818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𝒄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𝒋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9A6076E3-67E2-4601-A90B-11BDD96DC54B}"/>
                </a:ext>
              </a:extLst>
            </xdr:cNvPr>
            <xdr:cNvSpPr txBox="1"/>
          </xdr:nvSpPr>
          <xdr:spPr>
            <a:xfrm>
              <a:off x="266698" y="13646573"/>
              <a:ext cx="37818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</a:t>
              </a:r>
              <a:r>
                <a:rPr lang="en-US" sz="1200" b="1" i="0">
                  <a:latin typeface="Cambria Math" panose="02040503050406030204" pitchFamily="18" charset="0"/>
                </a:rPr>
                <a:t>𝒄 (𝒋)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0CDD0C4A-4422-4185-984A-341C3F1B31AD}"/>
                </a:ext>
              </a:extLst>
            </xdr:cNvPr>
            <xdr:cNvSpPr txBox="1"/>
          </xdr:nvSpPr>
          <xdr:spPr>
            <a:xfrm>
              <a:off x="11116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B53901E1-CE81-4BE3-8291-120BCE3B0E06}"/>
                </a:ext>
              </a:extLst>
            </xdr:cNvPr>
            <xdr:cNvSpPr txBox="1"/>
          </xdr:nvSpPr>
          <xdr:spPr>
            <a:xfrm>
              <a:off x="1848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9D9F235B-15C1-456A-9D8B-43CFB3488C49}"/>
                </a:ext>
              </a:extLst>
            </xdr:cNvPr>
            <xdr:cNvSpPr txBox="1"/>
          </xdr:nvSpPr>
          <xdr:spPr>
            <a:xfrm>
              <a:off x="25848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0BCCCA7-40E9-4F72-B237-EEB04A6DA24A}"/>
                </a:ext>
              </a:extLst>
            </xdr:cNvPr>
            <xdr:cNvSpPr txBox="1"/>
          </xdr:nvSpPr>
          <xdr:spPr>
            <a:xfrm>
              <a:off x="33062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67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AFBD8A01-1507-4FE7-9874-873E04851B5C}"/>
                </a:ext>
              </a:extLst>
            </xdr:cNvPr>
            <xdr:cNvSpPr txBox="1"/>
          </xdr:nvSpPr>
          <xdr:spPr>
            <a:xfrm>
              <a:off x="40352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50B920-C126-4ED7-A8D2-4F05DC6227B2}"/>
                </a:ext>
              </a:extLst>
            </xdr:cNvPr>
            <xdr:cNvSpPr txBox="1"/>
          </xdr:nvSpPr>
          <xdr:spPr>
            <a:xfrm>
              <a:off x="47413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67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1448A0B-DBF1-4621-BDDE-046F92D0A9B1}"/>
                </a:ext>
              </a:extLst>
            </xdr:cNvPr>
            <xdr:cNvSpPr txBox="1"/>
          </xdr:nvSpPr>
          <xdr:spPr>
            <a:xfrm>
              <a:off x="5477933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69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9AE2716-0158-41FB-9BF8-72DE106112CC}"/>
                </a:ext>
              </a:extLst>
            </xdr:cNvPr>
            <xdr:cNvSpPr txBox="1"/>
          </xdr:nvSpPr>
          <xdr:spPr>
            <a:xfrm>
              <a:off x="383543" y="15009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F6125564-C191-4AE9-8760-D6A6848182DE}"/>
                </a:ext>
              </a:extLst>
            </xdr:cNvPr>
            <xdr:cNvSpPr txBox="1"/>
          </xdr:nvSpPr>
          <xdr:spPr>
            <a:xfrm>
              <a:off x="375078" y="15204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FA10C354-105C-4D30-85B4-875C7934B4CF}"/>
                </a:ext>
              </a:extLst>
            </xdr:cNvPr>
            <xdr:cNvSpPr txBox="1"/>
          </xdr:nvSpPr>
          <xdr:spPr>
            <a:xfrm>
              <a:off x="375078" y="15399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05AC0E5F-BB4B-43DC-9D26-5CDAE31A1428}"/>
                </a:ext>
              </a:extLst>
            </xdr:cNvPr>
            <xdr:cNvSpPr txBox="1"/>
          </xdr:nvSpPr>
          <xdr:spPr>
            <a:xfrm>
              <a:off x="375078" y="15593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383543</xdr:colOff>
      <xdr:row>73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0B380023-DC8E-4070-AD93-E79C1E970AB3}"/>
                </a:ext>
              </a:extLst>
            </xdr:cNvPr>
            <xdr:cNvSpPr txBox="1"/>
          </xdr:nvSpPr>
          <xdr:spPr>
            <a:xfrm>
              <a:off x="383543" y="15788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375923</xdr:colOff>
      <xdr:row>74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68195887-0092-4E58-B792-A72D44BFFC10}"/>
                </a:ext>
              </a:extLst>
            </xdr:cNvPr>
            <xdr:cNvSpPr txBox="1"/>
          </xdr:nvSpPr>
          <xdr:spPr>
            <a:xfrm>
              <a:off x="375923" y="15983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845B477F-BD97-4C69-8D74-91E34972589B}"/>
                </a:ext>
              </a:extLst>
            </xdr:cNvPr>
            <xdr:cNvSpPr txBox="1"/>
          </xdr:nvSpPr>
          <xdr:spPr>
            <a:xfrm>
              <a:off x="375078" y="16178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2CC94BD9-6545-4CA2-AE6B-3D013967FA33}"/>
                </a:ext>
              </a:extLst>
            </xdr:cNvPr>
            <xdr:cNvSpPr txBox="1"/>
          </xdr:nvSpPr>
          <xdr:spPr>
            <a:xfrm>
              <a:off x="375078" y="163728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375078</xdr:colOff>
      <xdr:row>77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5C46DFE6-00C5-4BA2-833C-9D97FCE2FF49}"/>
                </a:ext>
              </a:extLst>
            </xdr:cNvPr>
            <xdr:cNvSpPr txBox="1"/>
          </xdr:nvSpPr>
          <xdr:spPr>
            <a:xfrm>
              <a:off x="375078" y="16567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349675</xdr:colOff>
      <xdr:row>78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E6E25EDD-A694-40AC-ACC5-33BBFC2451E4}"/>
                </a:ext>
              </a:extLst>
            </xdr:cNvPr>
            <xdr:cNvSpPr txBox="1"/>
          </xdr:nvSpPr>
          <xdr:spPr>
            <a:xfrm>
              <a:off x="349675" y="16762305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359833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A77B4AD-82FC-4E6E-B925-A0CF57684D85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B87A17-E9C3-42D1-9C00-35E16695725A}"/>
                </a:ext>
              </a:extLst>
            </xdr:cNvPr>
            <xdr:cNvSpPr txBox="1"/>
          </xdr:nvSpPr>
          <xdr:spPr>
            <a:xfrm>
              <a:off x="18457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288391C-2506-4C40-82D0-23373CBBDAAE}"/>
                </a:ext>
              </a:extLst>
            </xdr:cNvPr>
            <xdr:cNvSpPr txBox="1"/>
          </xdr:nvSpPr>
          <xdr:spPr>
            <a:xfrm>
              <a:off x="2722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DB2B9DC-4B44-49D7-A82D-9285E8A619FD}"/>
                </a:ext>
              </a:extLst>
            </xdr:cNvPr>
            <xdr:cNvSpPr txBox="1"/>
          </xdr:nvSpPr>
          <xdr:spPr>
            <a:xfrm>
              <a:off x="35983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1A3C98-4495-430A-9428-D134B25DBC8D}"/>
                </a:ext>
              </a:extLst>
            </xdr:cNvPr>
            <xdr:cNvSpPr txBox="1"/>
          </xdr:nvSpPr>
          <xdr:spPr>
            <a:xfrm>
              <a:off x="4474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13208F-69DA-4F26-8C37-59869F580D85}"/>
                </a:ext>
              </a:extLst>
            </xdr:cNvPr>
            <xdr:cNvSpPr txBox="1"/>
          </xdr:nvSpPr>
          <xdr:spPr>
            <a:xfrm>
              <a:off x="53509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9E65BA-09AF-4367-8CE3-06EEC1A98313}"/>
                </a:ext>
              </a:extLst>
            </xdr:cNvPr>
            <xdr:cNvSpPr txBox="1"/>
          </xdr:nvSpPr>
          <xdr:spPr>
            <a:xfrm>
              <a:off x="62272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7B64245-94A4-48AA-A230-58D3543162D7}"/>
                </a:ext>
              </a:extLst>
            </xdr:cNvPr>
            <xdr:cNvSpPr txBox="1"/>
          </xdr:nvSpPr>
          <xdr:spPr>
            <a:xfrm>
              <a:off x="71035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3EA3B3-D537-425A-AE76-41135F538412}"/>
                </a:ext>
              </a:extLst>
            </xdr:cNvPr>
            <xdr:cNvSpPr txBox="1"/>
          </xdr:nvSpPr>
          <xdr:spPr>
            <a:xfrm>
              <a:off x="79798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AE44E9F-6E4A-4072-AC78-9C4CE492861A}"/>
                </a:ext>
              </a:extLst>
            </xdr:cNvPr>
            <xdr:cNvSpPr txBox="1"/>
          </xdr:nvSpPr>
          <xdr:spPr>
            <a:xfrm>
              <a:off x="88027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6A17A57-C3D3-43C2-8B7F-950D3F3637BF}"/>
                </a:ext>
              </a:extLst>
            </xdr:cNvPr>
            <xdr:cNvSpPr txBox="1"/>
          </xdr:nvSpPr>
          <xdr:spPr>
            <a:xfrm>
              <a:off x="9679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EA6C552-9F00-4667-B0F2-B58F3933B2A8}"/>
                </a:ext>
              </a:extLst>
            </xdr:cNvPr>
            <xdr:cNvSpPr txBox="1"/>
          </xdr:nvSpPr>
          <xdr:spPr>
            <a:xfrm>
              <a:off x="105553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A63F1C3-E56D-4F74-8B7A-4B794FE0A7E7}"/>
                </a:ext>
              </a:extLst>
            </xdr:cNvPr>
            <xdr:cNvSpPr txBox="1"/>
          </xdr:nvSpPr>
          <xdr:spPr>
            <a:xfrm>
              <a:off x="114316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554250F-35BC-4149-9148-C36522611419}"/>
                </a:ext>
              </a:extLst>
            </xdr:cNvPr>
            <xdr:cNvSpPr txBox="1"/>
          </xdr:nvSpPr>
          <xdr:spPr>
            <a:xfrm>
              <a:off x="173567" y="410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FDA76E7-C4CF-49BC-90C0-9C5A72C87E45}"/>
                </a:ext>
              </a:extLst>
            </xdr:cNvPr>
            <xdr:cNvSpPr txBox="1"/>
          </xdr:nvSpPr>
          <xdr:spPr>
            <a:xfrm>
              <a:off x="173567" y="639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8541AA-F70A-4600-8729-FC9A5FB19C83}"/>
                </a:ext>
              </a:extLst>
            </xdr:cNvPr>
            <xdr:cNvSpPr txBox="1"/>
          </xdr:nvSpPr>
          <xdr:spPr>
            <a:xfrm>
              <a:off x="173567" y="86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8CA4B0D-F4D6-44E8-93FE-E1AAD82726D9}"/>
                </a:ext>
              </a:extLst>
            </xdr:cNvPr>
            <xdr:cNvSpPr txBox="1"/>
          </xdr:nvSpPr>
          <xdr:spPr>
            <a:xfrm>
              <a:off x="173567" y="1096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2DAF77-D0FF-4043-993F-835B1C94A3E3}"/>
                </a:ext>
              </a:extLst>
            </xdr:cNvPr>
            <xdr:cNvSpPr txBox="1"/>
          </xdr:nvSpPr>
          <xdr:spPr>
            <a:xfrm>
              <a:off x="173567" y="1325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5A54379-99A6-4E75-B639-6737F49E303A}"/>
                </a:ext>
              </a:extLst>
            </xdr:cNvPr>
            <xdr:cNvSpPr txBox="1"/>
          </xdr:nvSpPr>
          <xdr:spPr>
            <a:xfrm>
              <a:off x="165947" y="1553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0D988F-1262-4074-B4E6-2B6A16336EC6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005AF73-B8DC-4A1D-9CA1-F05692666635}"/>
                </a:ext>
              </a:extLst>
            </xdr:cNvPr>
            <xdr:cNvSpPr txBox="1"/>
          </xdr:nvSpPr>
          <xdr:spPr>
            <a:xfrm>
              <a:off x="173567" y="201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7C9826-4F98-49A5-A76D-E2E62FF07442}"/>
                </a:ext>
              </a:extLst>
            </xdr:cNvPr>
            <xdr:cNvSpPr txBox="1"/>
          </xdr:nvSpPr>
          <xdr:spPr>
            <a:xfrm>
              <a:off x="173567" y="2239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43C7FC7-7EF1-4407-A3D3-538763C8DADE}"/>
                </a:ext>
              </a:extLst>
            </xdr:cNvPr>
            <xdr:cNvSpPr txBox="1"/>
          </xdr:nvSpPr>
          <xdr:spPr>
            <a:xfrm>
              <a:off x="147319" y="24680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359833</xdr:colOff>
      <xdr:row>15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356C175-6196-43A6-B5DC-898750833908}"/>
                </a:ext>
              </a:extLst>
            </xdr:cNvPr>
            <xdr:cNvSpPr txBox="1"/>
          </xdr:nvSpPr>
          <xdr:spPr>
            <a:xfrm>
              <a:off x="9694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1C3ECC1B-59F9-442F-AA38-904BB44EB10F}"/>
                </a:ext>
              </a:extLst>
            </xdr:cNvPr>
            <xdr:cNvSpPr txBox="1"/>
          </xdr:nvSpPr>
          <xdr:spPr>
            <a:xfrm>
              <a:off x="18499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DF3F343E-B7D1-401C-938A-829FACC46A4C}"/>
                </a:ext>
              </a:extLst>
            </xdr:cNvPr>
            <xdr:cNvSpPr txBox="1"/>
          </xdr:nvSpPr>
          <xdr:spPr>
            <a:xfrm>
              <a:off x="27305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2765ABA-8A06-42B1-9125-6A45DBD90678}"/>
                </a:ext>
              </a:extLst>
            </xdr:cNvPr>
            <xdr:cNvSpPr txBox="1"/>
          </xdr:nvSpPr>
          <xdr:spPr>
            <a:xfrm>
              <a:off x="36110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623D0C0-FC0D-4AA2-9ED5-DA4090CB514F}"/>
                </a:ext>
              </a:extLst>
            </xdr:cNvPr>
            <xdr:cNvSpPr txBox="1"/>
          </xdr:nvSpPr>
          <xdr:spPr>
            <a:xfrm>
              <a:off x="44915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EF8EC752-472A-4AD2-834C-12E117950F22}"/>
                </a:ext>
              </a:extLst>
            </xdr:cNvPr>
            <xdr:cNvSpPr txBox="1"/>
          </xdr:nvSpPr>
          <xdr:spPr>
            <a:xfrm>
              <a:off x="53721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3A5E529-1155-4266-BDBA-F24A9B730631}"/>
                </a:ext>
              </a:extLst>
            </xdr:cNvPr>
            <xdr:cNvSpPr txBox="1"/>
          </xdr:nvSpPr>
          <xdr:spPr>
            <a:xfrm>
              <a:off x="6252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4EFCF34-043C-4279-8C94-1A2FD259AB71}"/>
                </a:ext>
              </a:extLst>
            </xdr:cNvPr>
            <xdr:cNvSpPr txBox="1"/>
          </xdr:nvSpPr>
          <xdr:spPr>
            <a:xfrm>
              <a:off x="7133166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15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D5909AD0-0AEA-4384-B6B6-810EDF223755}"/>
                </a:ext>
              </a:extLst>
            </xdr:cNvPr>
            <xdr:cNvSpPr txBox="1"/>
          </xdr:nvSpPr>
          <xdr:spPr>
            <a:xfrm>
              <a:off x="8013700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00E4EE7-8213-41A1-A3B1-28242F9A22C3}"/>
                </a:ext>
              </a:extLst>
            </xdr:cNvPr>
            <xdr:cNvSpPr txBox="1"/>
          </xdr:nvSpPr>
          <xdr:spPr>
            <a:xfrm>
              <a:off x="88408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A738AE3-04C5-44BF-948E-AA110340CAB4}"/>
                </a:ext>
              </a:extLst>
            </xdr:cNvPr>
            <xdr:cNvSpPr txBox="1"/>
          </xdr:nvSpPr>
          <xdr:spPr>
            <a:xfrm>
              <a:off x="9721426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D0A2A25-FB34-494E-AFD8-BAC5757F8EC3}"/>
                </a:ext>
              </a:extLst>
            </xdr:cNvPr>
            <xdr:cNvSpPr txBox="1"/>
          </xdr:nvSpPr>
          <xdr:spPr>
            <a:xfrm>
              <a:off x="10601960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15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DED3328-266A-4FFE-B19B-03E9F8EE7F26}"/>
                </a:ext>
              </a:extLst>
            </xdr:cNvPr>
            <xdr:cNvSpPr txBox="1"/>
          </xdr:nvSpPr>
          <xdr:spPr>
            <a:xfrm>
              <a:off x="114824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497003</xdr:colOff>
      <xdr:row>34</xdr:row>
      <xdr:rowOff>72811</xdr:rowOff>
    </xdr:from>
    <xdr:ext cx="1498424" cy="2226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4B354A9-293E-4098-9487-3C50B58CA84A}"/>
                </a:ext>
              </a:extLst>
            </xdr:cNvPr>
            <xdr:cNvSpPr txBox="1"/>
          </xdr:nvSpPr>
          <xdr:spPr>
            <a:xfrm>
              <a:off x="18835803" y="7531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4B354A9-293E-4098-9487-3C50B58CA84A}"/>
                </a:ext>
              </a:extLst>
            </xdr:cNvPr>
            <xdr:cNvSpPr txBox="1"/>
          </xdr:nvSpPr>
          <xdr:spPr>
            <a:xfrm>
              <a:off x="18835803" y="7531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𝑺_𝒕^𝟑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𝒙_𝒕𝟏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712902</xdr:colOff>
      <xdr:row>34</xdr:row>
      <xdr:rowOff>88052</xdr:rowOff>
    </xdr:from>
    <xdr:ext cx="163153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9CE747-F568-44E8-ACC4-6191BB0D7C48}"/>
                </a:ext>
              </a:extLst>
            </xdr:cNvPr>
            <xdr:cNvSpPr txBox="1"/>
          </xdr:nvSpPr>
          <xdr:spPr>
            <a:xfrm>
              <a:off x="20852562" y="7563272"/>
              <a:ext cx="16315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𝒉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9CE747-F568-44E8-ACC4-6191BB0D7C48}"/>
                </a:ext>
              </a:extLst>
            </xdr:cNvPr>
            <xdr:cNvSpPr txBox="1"/>
          </xdr:nvSpPr>
          <xdr:spPr>
            <a:xfrm>
              <a:off x="20852562" y="7563272"/>
              <a:ext cx="163153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118533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216DE4-D78C-4543-A432-34E123D6C68F}"/>
                </a:ext>
              </a:extLst>
            </xdr:cNvPr>
            <xdr:cNvSpPr txBox="1"/>
          </xdr:nvSpPr>
          <xdr:spPr>
            <a:xfrm>
              <a:off x="16360139" y="1032933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2216DE4-D78C-4543-A432-34E123D6C68F}"/>
                </a:ext>
              </a:extLst>
            </xdr:cNvPr>
            <xdr:cNvSpPr txBox="1"/>
          </xdr:nvSpPr>
          <xdr:spPr>
            <a:xfrm>
              <a:off x="16360139" y="1032933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0694DC-34E5-4F27-BD30-72CFA8D359EB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30694DC-34E5-4F27-BD30-72CFA8D359EB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20</xdr:col>
      <xdr:colOff>50800</xdr:colOff>
      <xdr:row>20</xdr:row>
      <xdr:rowOff>12699</xdr:rowOff>
    </xdr:from>
    <xdr:ext cx="2217467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3900A-B227-4CE6-AF32-8E0B41EA3A15}"/>
                </a:ext>
              </a:extLst>
            </xdr:cNvPr>
            <xdr:cNvSpPr txBox="1"/>
          </xdr:nvSpPr>
          <xdr:spPr>
            <a:xfrm>
              <a:off x="18575020" y="4462779"/>
              <a:ext cx="221746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𝒕</m:t>
                            </m:r>
                          </m:sub>
                        </m:sSub>
                      </m:e>
                    </m:d>
                    <m:r>
                      <a:rPr lang="en-US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𝒖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𝒕𝒖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  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DB3900A-B227-4CE6-AF32-8E0B41EA3A15}"/>
                </a:ext>
              </a:extLst>
            </xdr:cNvPr>
            <xdr:cNvSpPr txBox="1"/>
          </xdr:nvSpPr>
          <xdr:spPr>
            <a:xfrm>
              <a:off x="18575020" y="4462779"/>
              <a:ext cx="2217467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𝑹(𝑺_𝒕 )=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𝜼_𝒖 "(" 𝒙_𝒕𝒖 "),   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𝑹(𝑺_𝒕 )=𝜼_𝟑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"(" 𝒂_𝒕𝟑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"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431806</xdr:colOff>
      <xdr:row>24</xdr:row>
      <xdr:rowOff>21166</xdr:rowOff>
    </xdr:from>
    <xdr:ext cx="1071255" cy="1975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370FD3-AD91-443E-AC84-90F5B8D66560}"/>
                </a:ext>
              </a:extLst>
            </xdr:cNvPr>
            <xdr:cNvSpPr txBox="1"/>
          </xdr:nvSpPr>
          <xdr:spPr>
            <a:xfrm>
              <a:off x="6375406" y="5324686"/>
              <a:ext cx="1071255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p>
                        </m:sSubSup>
                      </m:e>
                    </m:d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m:rPr>
                        <m:nor/>
                      </m:rPr>
                      <a:rPr lang="en-US" sz="1100" b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100" b="1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4370FD3-AD91-443E-AC84-90F5B8D66560}"/>
                </a:ext>
              </a:extLst>
            </xdr:cNvPr>
            <xdr:cNvSpPr txBox="1"/>
          </xdr:nvSpPr>
          <xdr:spPr>
            <a:xfrm>
              <a:off x="6375406" y="5324686"/>
              <a:ext cx="1071255" cy="1975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𝑺_𝒕^𝟑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"(" 𝒂_𝒕𝟑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")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30</xdr:row>
      <xdr:rowOff>29637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C5859F-FDCA-46AE-919A-CC0201815C40}"/>
                </a:ext>
              </a:extLst>
            </xdr:cNvPr>
            <xdr:cNvSpPr txBox="1"/>
          </xdr:nvSpPr>
          <xdr:spPr>
            <a:xfrm>
              <a:off x="3108968" y="6567597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7C5859F-FDCA-46AE-919A-CC0201815C40}"/>
                </a:ext>
              </a:extLst>
            </xdr:cNvPr>
            <xdr:cNvSpPr txBox="1"/>
          </xdr:nvSpPr>
          <xdr:spPr>
            <a:xfrm>
              <a:off x="3108968" y="6567597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30</xdr:row>
      <xdr:rowOff>38103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E71D02A-6F5A-437A-9E05-466A9A424481}"/>
                </a:ext>
              </a:extLst>
            </xdr:cNvPr>
            <xdr:cNvSpPr txBox="1"/>
          </xdr:nvSpPr>
          <xdr:spPr>
            <a:xfrm>
              <a:off x="5415282" y="6576063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E71D02A-6F5A-437A-9E05-466A9A424481}"/>
                </a:ext>
              </a:extLst>
            </xdr:cNvPr>
            <xdr:cNvSpPr txBox="1"/>
          </xdr:nvSpPr>
          <xdr:spPr>
            <a:xfrm>
              <a:off x="5415282" y="6576063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CA55AE4-8F9C-446B-9EAD-0BE504B89013}"/>
                </a:ext>
              </a:extLst>
            </xdr:cNvPr>
            <xdr:cNvSpPr txBox="1"/>
          </xdr:nvSpPr>
          <xdr:spPr>
            <a:xfrm>
              <a:off x="242993" y="6806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CA55AE4-8F9C-446B-9EAD-0BE504B89013}"/>
                </a:ext>
              </a:extLst>
            </xdr:cNvPr>
            <xdr:cNvSpPr txBox="1"/>
          </xdr:nvSpPr>
          <xdr:spPr>
            <a:xfrm>
              <a:off x="242993" y="6806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BF65701-5AB1-4302-B41C-50935DB8E8C1}"/>
                </a:ext>
              </a:extLst>
            </xdr:cNvPr>
            <xdr:cNvSpPr txBox="1"/>
          </xdr:nvSpPr>
          <xdr:spPr>
            <a:xfrm>
              <a:off x="243840" y="70366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BF65701-5AB1-4302-B41C-50935DB8E8C1}"/>
                </a:ext>
              </a:extLst>
            </xdr:cNvPr>
            <xdr:cNvSpPr txBox="1"/>
          </xdr:nvSpPr>
          <xdr:spPr>
            <a:xfrm>
              <a:off x="243840" y="70366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14B8B8D-FBCA-48B9-934B-39BF7892F3F4}"/>
                </a:ext>
              </a:extLst>
            </xdr:cNvPr>
            <xdr:cNvSpPr txBox="1"/>
          </xdr:nvSpPr>
          <xdr:spPr>
            <a:xfrm>
              <a:off x="243840" y="72644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14B8B8D-FBCA-48B9-934B-39BF7892F3F4}"/>
                </a:ext>
              </a:extLst>
            </xdr:cNvPr>
            <xdr:cNvSpPr txBox="1"/>
          </xdr:nvSpPr>
          <xdr:spPr>
            <a:xfrm>
              <a:off x="243840" y="72644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E907D8-643D-4113-839B-ACF3990ADC18}"/>
                </a:ext>
              </a:extLst>
            </xdr:cNvPr>
            <xdr:cNvSpPr txBox="1"/>
          </xdr:nvSpPr>
          <xdr:spPr>
            <a:xfrm>
              <a:off x="243840" y="7491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1E907D8-643D-4113-839B-ACF3990ADC18}"/>
                </a:ext>
              </a:extLst>
            </xdr:cNvPr>
            <xdr:cNvSpPr txBox="1"/>
          </xdr:nvSpPr>
          <xdr:spPr>
            <a:xfrm>
              <a:off x="243840" y="7491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8EF4942-2BFE-4FD0-8CB5-192A86B527B7}"/>
                </a:ext>
              </a:extLst>
            </xdr:cNvPr>
            <xdr:cNvSpPr txBox="1"/>
          </xdr:nvSpPr>
          <xdr:spPr>
            <a:xfrm>
              <a:off x="243840" y="7719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8EF4942-2BFE-4FD0-8CB5-192A86B527B7}"/>
                </a:ext>
              </a:extLst>
            </xdr:cNvPr>
            <xdr:cNvSpPr txBox="1"/>
          </xdr:nvSpPr>
          <xdr:spPr>
            <a:xfrm>
              <a:off x="243840" y="7719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31616C8-4111-451E-A3A4-07A32EB850E4}"/>
                </a:ext>
              </a:extLst>
            </xdr:cNvPr>
            <xdr:cNvSpPr txBox="1"/>
          </xdr:nvSpPr>
          <xdr:spPr>
            <a:xfrm>
              <a:off x="236220" y="8177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31616C8-4111-451E-A3A4-07A32EB850E4}"/>
                </a:ext>
              </a:extLst>
            </xdr:cNvPr>
            <xdr:cNvSpPr txBox="1"/>
          </xdr:nvSpPr>
          <xdr:spPr>
            <a:xfrm>
              <a:off x="236220" y="8177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0CFA7D9-2C52-46D7-8884-B0189CF69E99}"/>
                </a:ext>
              </a:extLst>
            </xdr:cNvPr>
            <xdr:cNvSpPr txBox="1"/>
          </xdr:nvSpPr>
          <xdr:spPr>
            <a:xfrm>
              <a:off x="228600" y="840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0CFA7D9-2C52-46D7-8884-B0189CF69E99}"/>
                </a:ext>
              </a:extLst>
            </xdr:cNvPr>
            <xdr:cNvSpPr txBox="1"/>
          </xdr:nvSpPr>
          <xdr:spPr>
            <a:xfrm>
              <a:off x="228600" y="840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F863CEE-4254-48EC-AF5A-463CCCF6197B}"/>
                </a:ext>
              </a:extLst>
            </xdr:cNvPr>
            <xdr:cNvSpPr txBox="1"/>
          </xdr:nvSpPr>
          <xdr:spPr>
            <a:xfrm>
              <a:off x="228600" y="86351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F863CEE-4254-48EC-AF5A-463CCCF6197B}"/>
                </a:ext>
              </a:extLst>
            </xdr:cNvPr>
            <xdr:cNvSpPr txBox="1"/>
          </xdr:nvSpPr>
          <xdr:spPr>
            <a:xfrm>
              <a:off x="228600" y="86351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120FB4-B8A9-42E6-8ABD-82FEEA5C0A0E}"/>
                </a:ext>
              </a:extLst>
            </xdr:cNvPr>
            <xdr:cNvSpPr txBox="1"/>
          </xdr:nvSpPr>
          <xdr:spPr>
            <a:xfrm>
              <a:off x="220980" y="88637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120FB4-B8A9-42E6-8ABD-82FEEA5C0A0E}"/>
                </a:ext>
              </a:extLst>
            </xdr:cNvPr>
            <xdr:cNvSpPr txBox="1"/>
          </xdr:nvSpPr>
          <xdr:spPr>
            <a:xfrm>
              <a:off x="220980" y="88637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3FF072D-A45B-4C51-906F-E668ABD0C09D}"/>
                </a:ext>
              </a:extLst>
            </xdr:cNvPr>
            <xdr:cNvSpPr txBox="1"/>
          </xdr:nvSpPr>
          <xdr:spPr>
            <a:xfrm>
              <a:off x="243840" y="7948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3FF072D-A45B-4C51-906F-E668ABD0C09D}"/>
                </a:ext>
              </a:extLst>
            </xdr:cNvPr>
            <xdr:cNvSpPr txBox="1"/>
          </xdr:nvSpPr>
          <xdr:spPr>
            <a:xfrm>
              <a:off x="243840" y="7948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78742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D710152-C192-41A6-9CB4-E007C0086D91}"/>
                </a:ext>
              </a:extLst>
            </xdr:cNvPr>
            <xdr:cNvSpPr txBox="1"/>
          </xdr:nvSpPr>
          <xdr:spPr>
            <a:xfrm>
              <a:off x="4359482" y="4925062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D710152-C192-41A6-9CB4-E007C0086D91}"/>
                </a:ext>
              </a:extLst>
            </xdr:cNvPr>
            <xdr:cNvSpPr txBox="1"/>
          </xdr:nvSpPr>
          <xdr:spPr>
            <a:xfrm>
              <a:off x="4359482" y="4925062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20</xdr:col>
      <xdr:colOff>530027</xdr:colOff>
      <xdr:row>49</xdr:row>
      <xdr:rowOff>72811</xdr:rowOff>
    </xdr:from>
    <xdr:ext cx="1498424" cy="2226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8770F6-3642-4150-AB6A-95918EC941D0}"/>
                </a:ext>
              </a:extLst>
            </xdr:cNvPr>
            <xdr:cNvSpPr txBox="1"/>
          </xdr:nvSpPr>
          <xdr:spPr>
            <a:xfrm>
              <a:off x="18868827" y="10833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bSupPr>
                    <m:e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𝒙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8770F6-3642-4150-AB6A-95918EC941D0}"/>
                </a:ext>
              </a:extLst>
            </xdr:cNvPr>
            <xdr:cNvSpPr txBox="1"/>
          </xdr:nvSpPr>
          <xdr:spPr>
            <a:xfrm>
              <a:off x="18868827" y="10833944"/>
              <a:ext cx="1498424" cy="222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𝑺_𝒕^𝟑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𝒙_𝒕𝟐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715446</xdr:colOff>
      <xdr:row>49</xdr:row>
      <xdr:rowOff>88052</xdr:rowOff>
    </xdr:from>
    <xdr:ext cx="159300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DCC6720-6A20-42D9-B290-687F979FE19C}"/>
                </a:ext>
              </a:extLst>
            </xdr:cNvPr>
            <xdr:cNvSpPr txBox="1"/>
          </xdr:nvSpPr>
          <xdr:spPr>
            <a:xfrm>
              <a:off x="20855106" y="10855112"/>
              <a:ext cx="15930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∈{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 …, 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𝒉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400" b="1"/>
                <a:t>  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DCC6720-6A20-42D9-B290-687F979FE19C}"/>
                </a:ext>
              </a:extLst>
            </xdr:cNvPr>
            <xdr:cNvSpPr txBox="1"/>
          </xdr:nvSpPr>
          <xdr:spPr>
            <a:xfrm>
              <a:off x="20855106" y="10855112"/>
              <a:ext cx="15930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r>
                <a:rPr lang="en-US" sz="1400" b="1"/>
                <a:t>  </a:t>
              </a:r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0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FCE56C2-9800-4080-A153-3A9754839E1F}"/>
                </a:ext>
              </a:extLst>
            </xdr:cNvPr>
            <xdr:cNvSpPr txBox="1"/>
          </xdr:nvSpPr>
          <xdr:spPr>
            <a:xfrm>
              <a:off x="16222980" y="3337560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FCE56C2-9800-4080-A153-3A9754839E1F}"/>
                </a:ext>
              </a:extLst>
            </xdr:cNvPr>
            <xdr:cNvSpPr txBox="1"/>
          </xdr:nvSpPr>
          <xdr:spPr>
            <a:xfrm>
              <a:off x="16222980" y="3337560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0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BB489D4-C42B-4FC9-8EBD-2830316D817E}"/>
                </a:ext>
              </a:extLst>
            </xdr:cNvPr>
            <xdr:cNvSpPr txBox="1"/>
          </xdr:nvSpPr>
          <xdr:spPr>
            <a:xfrm>
              <a:off x="15849600" y="2743200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BB489D4-C42B-4FC9-8EBD-2830316D817E}"/>
                </a:ext>
              </a:extLst>
            </xdr:cNvPr>
            <xdr:cNvSpPr txBox="1"/>
          </xdr:nvSpPr>
          <xdr:spPr>
            <a:xfrm>
              <a:off x="15849600" y="2743200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</xdr:row>
      <xdr:rowOff>76200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C93747-B5D7-4053-938C-5B0520E2E604}"/>
                </a:ext>
              </a:extLst>
            </xdr:cNvPr>
            <xdr:cNvSpPr txBox="1"/>
          </xdr:nvSpPr>
          <xdr:spPr>
            <a:xfrm>
              <a:off x="24163020" y="3048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C93747-B5D7-4053-938C-5B0520E2E604}"/>
                </a:ext>
              </a:extLst>
            </xdr:cNvPr>
            <xdr:cNvSpPr txBox="1"/>
          </xdr:nvSpPr>
          <xdr:spPr>
            <a:xfrm>
              <a:off x="24163020" y="3048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5</xdr:row>
      <xdr:rowOff>76200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1A160B6-95B1-4912-A05B-9E4C6F1C2D47}"/>
                </a:ext>
              </a:extLst>
            </xdr:cNvPr>
            <xdr:cNvSpPr txBox="1"/>
          </xdr:nvSpPr>
          <xdr:spPr>
            <a:xfrm>
              <a:off x="24163020" y="12192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1A160B6-95B1-4912-A05B-9E4C6F1C2D47}"/>
                </a:ext>
              </a:extLst>
            </xdr:cNvPr>
            <xdr:cNvSpPr txBox="1"/>
          </xdr:nvSpPr>
          <xdr:spPr>
            <a:xfrm>
              <a:off x="24163020" y="1219200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10</xdr:row>
      <xdr:rowOff>99060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B4258F7-39CF-4E8A-872D-F82ABE2C6B62}"/>
                </a:ext>
              </a:extLst>
            </xdr:cNvPr>
            <xdr:cNvSpPr txBox="1"/>
          </xdr:nvSpPr>
          <xdr:spPr>
            <a:xfrm>
              <a:off x="24163020" y="238506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B4258F7-39CF-4E8A-872D-F82ABE2C6B62}"/>
                </a:ext>
              </a:extLst>
            </xdr:cNvPr>
            <xdr:cNvSpPr txBox="1"/>
          </xdr:nvSpPr>
          <xdr:spPr>
            <a:xfrm>
              <a:off x="24163020" y="238506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15240</xdr:colOff>
      <xdr:row>14</xdr:row>
      <xdr:rowOff>99060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46757D2-EE18-47D4-A4AD-AD5156E927BE}"/>
                </a:ext>
              </a:extLst>
            </xdr:cNvPr>
            <xdr:cNvSpPr txBox="1"/>
          </xdr:nvSpPr>
          <xdr:spPr>
            <a:xfrm>
              <a:off x="24163020" y="325374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46757D2-EE18-47D4-A4AD-AD5156E927BE}"/>
                </a:ext>
              </a:extLst>
            </xdr:cNvPr>
            <xdr:cNvSpPr txBox="1"/>
          </xdr:nvSpPr>
          <xdr:spPr>
            <a:xfrm>
              <a:off x="24163020" y="3253740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46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9C93D17-F9EC-495A-A734-ABF44A9506B3}"/>
                </a:ext>
              </a:extLst>
            </xdr:cNvPr>
            <xdr:cNvSpPr txBox="1"/>
          </xdr:nvSpPr>
          <xdr:spPr>
            <a:xfrm>
              <a:off x="15165490" y="102294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29C93D17-F9EC-495A-A734-ABF44A9506B3}"/>
                </a:ext>
              </a:extLst>
            </xdr:cNvPr>
            <xdr:cNvSpPr txBox="1"/>
          </xdr:nvSpPr>
          <xdr:spPr>
            <a:xfrm>
              <a:off x="15165490" y="102294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540AD2D-F922-47C0-BE55-F089601E8B88}"/>
                </a:ext>
              </a:extLst>
            </xdr:cNvPr>
            <xdr:cNvSpPr txBox="1"/>
          </xdr:nvSpPr>
          <xdr:spPr>
            <a:xfrm>
              <a:off x="15063886" y="69121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A540AD2D-F922-47C0-BE55-F089601E8B88}"/>
                </a:ext>
              </a:extLst>
            </xdr:cNvPr>
            <xdr:cNvSpPr txBox="1"/>
          </xdr:nvSpPr>
          <xdr:spPr>
            <a:xfrm>
              <a:off x="15063886" y="69121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97D9900-ACA1-4895-9849-BA01656D8E69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297D9900-ACA1-4895-9849-BA01656D8E69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D4DC2B-F40C-40E7-8B5D-723C663B24D7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D4DC2B-F40C-40E7-8B5D-723C663B24D7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5D53DB7-E78B-4E34-9AA1-67933D227A78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5D53DB7-E78B-4E34-9AA1-67933D227A78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8ECE5B2-3F81-4284-BD7B-98FD2C95B538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E8ECE5B2-3F81-4284-BD7B-98FD2C95B538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58388D2-C5ED-427F-8A09-3BC527278BD6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C58388D2-C5ED-427F-8A09-3BC527278BD6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357BE97-4585-4112-BBFE-5F97156BDD5D}"/>
                </a:ext>
              </a:extLst>
            </xdr:cNvPr>
            <xdr:cNvSpPr txBox="1"/>
          </xdr:nvSpPr>
          <xdr:spPr>
            <a:xfrm>
              <a:off x="71797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4357BE97-4585-4112-BBFE-5F97156BDD5D}"/>
                </a:ext>
              </a:extLst>
            </xdr:cNvPr>
            <xdr:cNvSpPr txBox="1"/>
          </xdr:nvSpPr>
          <xdr:spPr>
            <a:xfrm>
              <a:off x="71797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CE45A9-D2CF-44D5-91A3-E19187D5A999}"/>
                </a:ext>
              </a:extLst>
            </xdr:cNvPr>
            <xdr:cNvSpPr txBox="1"/>
          </xdr:nvSpPr>
          <xdr:spPr>
            <a:xfrm>
              <a:off x="82617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CE45A9-D2CF-44D5-91A3-E19187D5A999}"/>
                </a:ext>
              </a:extLst>
            </xdr:cNvPr>
            <xdr:cNvSpPr txBox="1"/>
          </xdr:nvSpPr>
          <xdr:spPr>
            <a:xfrm>
              <a:off x="82617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C485DF2-F092-458E-9A2E-A7EB271C44B2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C485DF2-F092-458E-9A2E-A7EB271C44B2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6A44EC-9772-4984-BD03-32C3F1104BCC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076A44EC-9772-4984-BD03-32C3F1104BCC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BF4AAF4-53DC-4374-90F6-EC24B7D57513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CBF4AAF4-53DC-4374-90F6-EC24B7D57513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B2DF27A-D7BB-4AC3-AF59-5441A0E3A0B4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FB2DF27A-D7BB-4AC3-AF59-5441A0E3A0B4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1BFDC0F-F149-41B3-8CC2-C094504012A7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F1BFDC0F-F149-41B3-8CC2-C094504012A7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CCCFED3-0355-4ED6-8A9C-91156A34A52A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CCCFED3-0355-4ED6-8A9C-91156A34A52A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CF27503-58F7-42A6-B379-06C89BE21261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CF27503-58F7-42A6-B379-06C89BE21261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2C52DBE-ACA2-4F6B-A7F8-FC11FD1B87BD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2C52DBE-ACA2-4F6B-A7F8-FC11FD1B87BD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55B4A92-C162-4DE0-9B3C-97143999B928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55B4A92-C162-4DE0-9B3C-97143999B928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0FEC4D6-FADC-41A5-A126-9D6B6B2DC1D9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A0FEC4D6-FADC-41A5-A126-9D6B6B2DC1D9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ABEFBF4-7212-45C9-9AD4-0609EA614624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BABEFBF4-7212-45C9-9AD4-0609EA614624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D98F861-6D35-4DF1-84F2-3A1B343B4251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D98F861-6D35-4DF1-84F2-3A1B343B4251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833B839-38C3-4077-BA84-C5CE65CC81CD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833B839-38C3-4077-BA84-C5CE65CC81CD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0802655-8F4A-4B1D-B90E-3EC2FE4CF917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0802655-8F4A-4B1D-B90E-3EC2FE4CF917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1F21FA2-EDCC-43A4-88AE-B6FB9C00CF7E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1F21FA2-EDCC-43A4-88AE-B6FB9C00CF7E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80E2A8D-B2AD-4B81-A889-A093C585A006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80E2A8D-B2AD-4B81-A889-A093C585A006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64083916-D95C-4DCE-B7D5-A042F7B62506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64083916-D95C-4DCE-B7D5-A042F7B62506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90FCF8A-16E4-40EF-9B33-C8FF73C75B1C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90FCF8A-16E4-40EF-9B33-C8FF73C75B1C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9278EC8-10D2-4F43-932B-D4C7728E8832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9278EC8-10D2-4F43-932B-D4C7728E8832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5C4850B-1B8B-4B29-8A50-55B0E09B1C64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5C4850B-1B8B-4B29-8A50-55B0E09B1C64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C896666-9A70-4370-BAD1-659906755025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CC896666-9A70-4370-BAD1-659906755025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C6D6B79-272B-4742-9A35-7B8ACA3051A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9C6D6B79-272B-4742-9A35-7B8ACA3051A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6FEDB00-F81A-4FE3-A57D-B308E2461ABB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6FEDB00-F81A-4FE3-A57D-B308E2461ABB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1C1F512-69AB-4169-B3B4-56E955A22EF6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1C1F512-69AB-4169-B3B4-56E955A22EF6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F5FEAD3B-5802-41D8-BD24-26A99E686429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F5FEAD3B-5802-41D8-BD24-26A99E686429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F2B8101-47E6-4E84-A4E7-243059339168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F2B8101-47E6-4E84-A4E7-243059339168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9C536B3-179B-47EE-899B-E04CB19EC611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9C536B3-179B-47EE-899B-E04CB19EC611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55AF64E-1D9F-476F-8967-EF3C2C603FDA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A55AF64E-1D9F-476F-8967-EF3C2C603FDA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461090F-35B4-441A-8316-B693D858212A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A461090F-35B4-441A-8316-B693D858212A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27</xdr:col>
      <xdr:colOff>8466</xdr:colOff>
      <xdr:row>19</xdr:row>
      <xdr:rowOff>76203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2C6756-AAD9-44E5-A45E-0B40BA13A927}"/>
                </a:ext>
              </a:extLst>
            </xdr:cNvPr>
            <xdr:cNvSpPr txBox="1"/>
          </xdr:nvSpPr>
          <xdr:spPr>
            <a:xfrm>
              <a:off x="24156246" y="432816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2C6756-AAD9-44E5-A45E-0B40BA13A927}"/>
                </a:ext>
              </a:extLst>
            </xdr:cNvPr>
            <xdr:cNvSpPr txBox="1"/>
          </xdr:nvSpPr>
          <xdr:spPr>
            <a:xfrm>
              <a:off x="24156246" y="432816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30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0282F9-DFEC-4418-99FD-7620226BC680}"/>
                </a:ext>
              </a:extLst>
            </xdr:cNvPr>
            <xdr:cNvSpPr txBox="1"/>
          </xdr:nvSpPr>
          <xdr:spPr>
            <a:xfrm>
              <a:off x="6918107" y="655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0282F9-DFEC-4418-99FD-7620226BC680}"/>
                </a:ext>
              </a:extLst>
            </xdr:cNvPr>
            <xdr:cNvSpPr txBox="1"/>
          </xdr:nvSpPr>
          <xdr:spPr>
            <a:xfrm>
              <a:off x="6918107" y="655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30</xdr:row>
      <xdr:rowOff>38103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BE5A8078-6A84-4953-B214-9CEF87E68D90}"/>
                </a:ext>
              </a:extLst>
            </xdr:cNvPr>
            <xdr:cNvSpPr txBox="1"/>
          </xdr:nvSpPr>
          <xdr:spPr>
            <a:xfrm>
              <a:off x="8299884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BE5A8078-6A84-4953-B214-9CEF87E68D90}"/>
                </a:ext>
              </a:extLst>
            </xdr:cNvPr>
            <xdr:cNvSpPr txBox="1"/>
          </xdr:nvSpPr>
          <xdr:spPr>
            <a:xfrm>
              <a:off x="8299884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38103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52EE7D2-3F04-4008-8872-2F13F7ACAAFA}"/>
                </a:ext>
              </a:extLst>
            </xdr:cNvPr>
            <xdr:cNvSpPr txBox="1"/>
          </xdr:nvSpPr>
          <xdr:spPr>
            <a:xfrm>
              <a:off x="9401391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52EE7D2-3F04-4008-8872-2F13F7ACAAFA}"/>
                </a:ext>
              </a:extLst>
            </xdr:cNvPr>
            <xdr:cNvSpPr txBox="1"/>
          </xdr:nvSpPr>
          <xdr:spPr>
            <a:xfrm>
              <a:off x="9401391" y="6576063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30</xdr:row>
      <xdr:rowOff>38103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C564858-C3F0-4E2B-88FA-921017C335BF}"/>
                </a:ext>
              </a:extLst>
            </xdr:cNvPr>
            <xdr:cNvSpPr txBox="1"/>
          </xdr:nvSpPr>
          <xdr:spPr>
            <a:xfrm>
              <a:off x="10125290" y="6576063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6C564858-C3F0-4E2B-88FA-921017C335BF}"/>
                </a:ext>
              </a:extLst>
            </xdr:cNvPr>
            <xdr:cNvSpPr txBox="1"/>
          </xdr:nvSpPr>
          <xdr:spPr>
            <a:xfrm>
              <a:off x="10125290" y="6576063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30</xdr:row>
      <xdr:rowOff>38103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25E7697-CEC7-44D3-B2F2-8B208E300659}"/>
                </a:ext>
              </a:extLst>
            </xdr:cNvPr>
            <xdr:cNvSpPr txBox="1"/>
          </xdr:nvSpPr>
          <xdr:spPr>
            <a:xfrm>
              <a:off x="11070170" y="6576063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E25E7697-CEC7-44D3-B2F2-8B208E300659}"/>
                </a:ext>
              </a:extLst>
            </xdr:cNvPr>
            <xdr:cNvSpPr txBox="1"/>
          </xdr:nvSpPr>
          <xdr:spPr>
            <a:xfrm>
              <a:off x="11070170" y="6576063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30</xdr:row>
      <xdr:rowOff>29636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280C507D-CA9E-464A-BA2D-8506BFFD00A9}"/>
                </a:ext>
              </a:extLst>
            </xdr:cNvPr>
            <xdr:cNvSpPr txBox="1"/>
          </xdr:nvSpPr>
          <xdr:spPr>
            <a:xfrm>
              <a:off x="12336794" y="6567596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280C507D-CA9E-464A-BA2D-8506BFFD00A9}"/>
                </a:ext>
              </a:extLst>
            </xdr:cNvPr>
            <xdr:cNvSpPr txBox="1"/>
          </xdr:nvSpPr>
          <xdr:spPr>
            <a:xfrm>
              <a:off x="12336794" y="6567596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30</xdr:row>
      <xdr:rowOff>21169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1FBCDFC-9CB7-4D99-BA31-02D58EB600D8}"/>
                </a:ext>
              </a:extLst>
            </xdr:cNvPr>
            <xdr:cNvSpPr txBox="1"/>
          </xdr:nvSpPr>
          <xdr:spPr>
            <a:xfrm>
              <a:off x="13187693" y="6559129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1FBCDFC-9CB7-4D99-BA31-02D58EB600D8}"/>
                </a:ext>
              </a:extLst>
            </xdr:cNvPr>
            <xdr:cNvSpPr txBox="1"/>
          </xdr:nvSpPr>
          <xdr:spPr>
            <a:xfrm>
              <a:off x="13187693" y="6559129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8D74E26-5A81-4570-BF6C-DD1817756E70}"/>
                </a:ext>
              </a:extLst>
            </xdr:cNvPr>
            <xdr:cNvSpPr txBox="1"/>
          </xdr:nvSpPr>
          <xdr:spPr>
            <a:xfrm>
              <a:off x="14106323" y="86309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48D74E26-5A81-4570-BF6C-DD1817756E70}"/>
                </a:ext>
              </a:extLst>
            </xdr:cNvPr>
            <xdr:cNvSpPr txBox="1"/>
          </xdr:nvSpPr>
          <xdr:spPr>
            <a:xfrm>
              <a:off x="14106323" y="86309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38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779A715-0E7D-4807-8F5B-4002F079DA32}"/>
                </a:ext>
              </a:extLst>
            </xdr:cNvPr>
            <xdr:cNvSpPr txBox="1"/>
          </xdr:nvSpPr>
          <xdr:spPr>
            <a:xfrm>
              <a:off x="13759182" y="84065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779A715-0E7D-4807-8F5B-4002F079DA32}"/>
                </a:ext>
              </a:extLst>
            </xdr:cNvPr>
            <xdr:cNvSpPr txBox="1"/>
          </xdr:nvSpPr>
          <xdr:spPr>
            <a:xfrm>
              <a:off x="13759182" y="84065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3730543-0115-4996-869F-FF56DF23729B}"/>
                </a:ext>
              </a:extLst>
            </xdr:cNvPr>
            <xdr:cNvSpPr txBox="1"/>
          </xdr:nvSpPr>
          <xdr:spPr>
            <a:xfrm>
              <a:off x="16326287" y="68105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3730543-0115-4996-869F-FF56DF23729B}"/>
                </a:ext>
              </a:extLst>
            </xdr:cNvPr>
            <xdr:cNvSpPr txBox="1"/>
          </xdr:nvSpPr>
          <xdr:spPr>
            <a:xfrm>
              <a:off x="16326287" y="68105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E6AC554-4534-46D3-9D61-2F1D48C473DD}"/>
                </a:ext>
              </a:extLst>
            </xdr:cNvPr>
            <xdr:cNvSpPr txBox="1"/>
          </xdr:nvSpPr>
          <xdr:spPr>
            <a:xfrm>
              <a:off x="16410957" y="70307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E6AC554-4534-46D3-9D61-2F1D48C473DD}"/>
                </a:ext>
              </a:extLst>
            </xdr:cNvPr>
            <xdr:cNvSpPr txBox="1"/>
          </xdr:nvSpPr>
          <xdr:spPr>
            <a:xfrm>
              <a:off x="16410957" y="70307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59E6383-6686-48ED-8EFD-3CC43454F4ED}"/>
                </a:ext>
              </a:extLst>
            </xdr:cNvPr>
            <xdr:cNvSpPr txBox="1"/>
          </xdr:nvSpPr>
          <xdr:spPr>
            <a:xfrm>
              <a:off x="16410957" y="72593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59E6383-6686-48ED-8EFD-3CC43454F4ED}"/>
                </a:ext>
              </a:extLst>
            </xdr:cNvPr>
            <xdr:cNvSpPr txBox="1"/>
          </xdr:nvSpPr>
          <xdr:spPr>
            <a:xfrm>
              <a:off x="16410957" y="72593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25401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1C0FA4B7-DD80-4CA8-82EE-3F6F00635DA2}"/>
                </a:ext>
              </a:extLst>
            </xdr:cNvPr>
            <xdr:cNvSpPr txBox="1"/>
          </xdr:nvSpPr>
          <xdr:spPr>
            <a:xfrm>
              <a:off x="9452187" y="5557521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1C0FA4B7-DD80-4CA8-82EE-3F6F00635DA2}"/>
                </a:ext>
              </a:extLst>
            </xdr:cNvPr>
            <xdr:cNvSpPr txBox="1"/>
          </xdr:nvSpPr>
          <xdr:spPr>
            <a:xfrm>
              <a:off x="9452187" y="5557521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16934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DB3507C-0004-4B16-888C-7A9CA651C47A}"/>
                </a:ext>
              </a:extLst>
            </xdr:cNvPr>
            <xdr:cNvSpPr txBox="1"/>
          </xdr:nvSpPr>
          <xdr:spPr>
            <a:xfrm>
              <a:off x="9401385" y="4863254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DB3507C-0004-4B16-888C-7A9CA651C47A}"/>
                </a:ext>
              </a:extLst>
            </xdr:cNvPr>
            <xdr:cNvSpPr txBox="1"/>
          </xdr:nvSpPr>
          <xdr:spPr>
            <a:xfrm>
              <a:off x="9401385" y="4863254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087E0E3B-A731-4B16-ABA5-28A0366462A1}"/>
                </a:ext>
              </a:extLst>
            </xdr:cNvPr>
            <xdr:cNvSpPr txBox="1"/>
          </xdr:nvSpPr>
          <xdr:spPr>
            <a:xfrm>
              <a:off x="1070189" y="487172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087E0E3B-A731-4B16-ABA5-28A0366462A1}"/>
                </a:ext>
              </a:extLst>
            </xdr:cNvPr>
            <xdr:cNvSpPr txBox="1"/>
          </xdr:nvSpPr>
          <xdr:spPr>
            <a:xfrm>
              <a:off x="1070189" y="487172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8F62ADF-AC9D-4EAA-8A99-35233D3BBA5E}"/>
                </a:ext>
              </a:extLst>
            </xdr:cNvPr>
            <xdr:cNvSpPr txBox="1"/>
          </xdr:nvSpPr>
          <xdr:spPr>
            <a:xfrm>
              <a:off x="1053255" y="510032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C8F62ADF-AC9D-4EAA-8A99-35233D3BBA5E}"/>
                </a:ext>
              </a:extLst>
            </xdr:cNvPr>
            <xdr:cNvSpPr txBox="1"/>
          </xdr:nvSpPr>
          <xdr:spPr>
            <a:xfrm>
              <a:off x="1053255" y="510032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CC3EC25-D697-4BCB-9358-C29BF08ED601}"/>
                </a:ext>
              </a:extLst>
            </xdr:cNvPr>
            <xdr:cNvSpPr txBox="1"/>
          </xdr:nvSpPr>
          <xdr:spPr>
            <a:xfrm>
              <a:off x="3108968" y="98653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CC3EC25-D697-4BCB-9358-C29BF08ED601}"/>
                </a:ext>
              </a:extLst>
            </xdr:cNvPr>
            <xdr:cNvSpPr txBox="1"/>
          </xdr:nvSpPr>
          <xdr:spPr>
            <a:xfrm>
              <a:off x="3108968" y="98653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E75C71F-CFDE-4BC4-98B5-C59BC00A7F0D}"/>
                </a:ext>
              </a:extLst>
            </xdr:cNvPr>
            <xdr:cNvSpPr txBox="1"/>
          </xdr:nvSpPr>
          <xdr:spPr>
            <a:xfrm>
              <a:off x="5415282" y="98738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E75C71F-CFDE-4BC4-98B5-C59BC00A7F0D}"/>
                </a:ext>
              </a:extLst>
            </xdr:cNvPr>
            <xdr:cNvSpPr txBox="1"/>
          </xdr:nvSpPr>
          <xdr:spPr>
            <a:xfrm>
              <a:off x="5415282" y="98738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4B9E865-0329-4648-AC3D-F8B5BDEE07EC}"/>
                </a:ext>
              </a:extLst>
            </xdr:cNvPr>
            <xdr:cNvSpPr txBox="1"/>
          </xdr:nvSpPr>
          <xdr:spPr>
            <a:xfrm>
              <a:off x="242993" y="10098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B4B9E865-0329-4648-AC3D-F8B5BDEE07EC}"/>
                </a:ext>
              </a:extLst>
            </xdr:cNvPr>
            <xdr:cNvSpPr txBox="1"/>
          </xdr:nvSpPr>
          <xdr:spPr>
            <a:xfrm>
              <a:off x="242993" y="10098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11ED0555-E382-49C6-87AE-A639498CD9C6}"/>
                </a:ext>
              </a:extLst>
            </xdr:cNvPr>
            <xdr:cNvSpPr txBox="1"/>
          </xdr:nvSpPr>
          <xdr:spPr>
            <a:xfrm>
              <a:off x="243840" y="103284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11ED0555-E382-49C6-87AE-A639498CD9C6}"/>
                </a:ext>
              </a:extLst>
            </xdr:cNvPr>
            <xdr:cNvSpPr txBox="1"/>
          </xdr:nvSpPr>
          <xdr:spPr>
            <a:xfrm>
              <a:off x="243840" y="103284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D6F2927-512F-4732-9478-C72EA5596985}"/>
                </a:ext>
              </a:extLst>
            </xdr:cNvPr>
            <xdr:cNvSpPr txBox="1"/>
          </xdr:nvSpPr>
          <xdr:spPr>
            <a:xfrm>
              <a:off x="243840" y="105562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D6F2927-512F-4732-9478-C72EA5596985}"/>
                </a:ext>
              </a:extLst>
            </xdr:cNvPr>
            <xdr:cNvSpPr txBox="1"/>
          </xdr:nvSpPr>
          <xdr:spPr>
            <a:xfrm>
              <a:off x="243840" y="105562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F02244AF-12E4-4E2E-BD81-217D3687D2DC}"/>
                </a:ext>
              </a:extLst>
            </xdr:cNvPr>
            <xdr:cNvSpPr txBox="1"/>
          </xdr:nvSpPr>
          <xdr:spPr>
            <a:xfrm>
              <a:off x="243840" y="10783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F02244AF-12E4-4E2E-BD81-217D3687D2DC}"/>
                </a:ext>
              </a:extLst>
            </xdr:cNvPr>
            <xdr:cNvSpPr txBox="1"/>
          </xdr:nvSpPr>
          <xdr:spPr>
            <a:xfrm>
              <a:off x="243840" y="10783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1C655D6-F924-44A0-BAFE-D0E30BBDA6B1}"/>
                </a:ext>
              </a:extLst>
            </xdr:cNvPr>
            <xdr:cNvSpPr txBox="1"/>
          </xdr:nvSpPr>
          <xdr:spPr>
            <a:xfrm>
              <a:off x="243840" y="11011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1C655D6-F924-44A0-BAFE-D0E30BBDA6B1}"/>
                </a:ext>
              </a:extLst>
            </xdr:cNvPr>
            <xdr:cNvSpPr txBox="1"/>
          </xdr:nvSpPr>
          <xdr:spPr>
            <a:xfrm>
              <a:off x="243840" y="11011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9B7F7E6-9C2C-44BB-93DA-1751B1F87B15}"/>
                </a:ext>
              </a:extLst>
            </xdr:cNvPr>
            <xdr:cNvSpPr txBox="1"/>
          </xdr:nvSpPr>
          <xdr:spPr>
            <a:xfrm>
              <a:off x="236220" y="11468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9B7F7E6-9C2C-44BB-93DA-1751B1F87B15}"/>
                </a:ext>
              </a:extLst>
            </xdr:cNvPr>
            <xdr:cNvSpPr txBox="1"/>
          </xdr:nvSpPr>
          <xdr:spPr>
            <a:xfrm>
              <a:off x="236220" y="11468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0FBE42F-20B4-4E53-A9ED-405B256ACFE0}"/>
                </a:ext>
              </a:extLst>
            </xdr:cNvPr>
            <xdr:cNvSpPr txBox="1"/>
          </xdr:nvSpPr>
          <xdr:spPr>
            <a:xfrm>
              <a:off x="228600" y="11698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40FBE42F-20B4-4E53-A9ED-405B256ACFE0}"/>
                </a:ext>
              </a:extLst>
            </xdr:cNvPr>
            <xdr:cNvSpPr txBox="1"/>
          </xdr:nvSpPr>
          <xdr:spPr>
            <a:xfrm>
              <a:off x="228600" y="11698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92684BC-8C17-49A1-B970-4B67C1860397}"/>
                </a:ext>
              </a:extLst>
            </xdr:cNvPr>
            <xdr:cNvSpPr txBox="1"/>
          </xdr:nvSpPr>
          <xdr:spPr>
            <a:xfrm>
              <a:off x="228600" y="119269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592684BC-8C17-49A1-B970-4B67C1860397}"/>
                </a:ext>
              </a:extLst>
            </xdr:cNvPr>
            <xdr:cNvSpPr txBox="1"/>
          </xdr:nvSpPr>
          <xdr:spPr>
            <a:xfrm>
              <a:off x="228600" y="119269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3B67BCE-6585-4D0B-959B-09CB25727388}"/>
                </a:ext>
              </a:extLst>
            </xdr:cNvPr>
            <xdr:cNvSpPr txBox="1"/>
          </xdr:nvSpPr>
          <xdr:spPr>
            <a:xfrm>
              <a:off x="220980" y="121555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73B67BCE-6585-4D0B-959B-09CB25727388}"/>
                </a:ext>
              </a:extLst>
            </xdr:cNvPr>
            <xdr:cNvSpPr txBox="1"/>
          </xdr:nvSpPr>
          <xdr:spPr>
            <a:xfrm>
              <a:off x="220980" y="121555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E938B35D-952D-4975-A9E2-5A64812997FB}"/>
                </a:ext>
              </a:extLst>
            </xdr:cNvPr>
            <xdr:cNvSpPr txBox="1"/>
          </xdr:nvSpPr>
          <xdr:spPr>
            <a:xfrm>
              <a:off x="243840" y="11240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E938B35D-952D-4975-A9E2-5A64812997FB}"/>
                </a:ext>
              </a:extLst>
            </xdr:cNvPr>
            <xdr:cNvSpPr txBox="1"/>
          </xdr:nvSpPr>
          <xdr:spPr>
            <a:xfrm>
              <a:off x="243840" y="11240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127837</xdr:colOff>
      <xdr:row>45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919CC02-0720-4A33-B890-FDC1F715E738}"/>
                </a:ext>
              </a:extLst>
            </xdr:cNvPr>
            <xdr:cNvSpPr txBox="1"/>
          </xdr:nvSpPr>
          <xdr:spPr>
            <a:xfrm>
              <a:off x="6943504" y="985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1919CC02-0720-4A33-B890-FDC1F715E738}"/>
                </a:ext>
              </a:extLst>
            </xdr:cNvPr>
            <xdr:cNvSpPr txBox="1"/>
          </xdr:nvSpPr>
          <xdr:spPr>
            <a:xfrm>
              <a:off x="6943504" y="985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654B8A6-D994-448C-A621-99BF2AF013E8}"/>
                </a:ext>
              </a:extLst>
            </xdr:cNvPr>
            <xdr:cNvSpPr txBox="1"/>
          </xdr:nvSpPr>
          <xdr:spPr>
            <a:xfrm>
              <a:off x="8299884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654B8A6-D994-448C-A621-99BF2AF013E8}"/>
                </a:ext>
              </a:extLst>
            </xdr:cNvPr>
            <xdr:cNvSpPr txBox="1"/>
          </xdr:nvSpPr>
          <xdr:spPr>
            <a:xfrm>
              <a:off x="8299884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3D64A059-79E7-4E27-8176-808656EC14E6}"/>
                </a:ext>
              </a:extLst>
            </xdr:cNvPr>
            <xdr:cNvSpPr txBox="1"/>
          </xdr:nvSpPr>
          <xdr:spPr>
            <a:xfrm>
              <a:off x="9401391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3D64A059-79E7-4E27-8176-808656EC14E6}"/>
                </a:ext>
              </a:extLst>
            </xdr:cNvPr>
            <xdr:cNvSpPr txBox="1"/>
          </xdr:nvSpPr>
          <xdr:spPr>
            <a:xfrm>
              <a:off x="9401391" y="98738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50E37F4-50E8-4AFC-8616-AFFCF2D349F8}"/>
                </a:ext>
              </a:extLst>
            </xdr:cNvPr>
            <xdr:cNvSpPr txBox="1"/>
          </xdr:nvSpPr>
          <xdr:spPr>
            <a:xfrm>
              <a:off x="10125290" y="98738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350E37F4-50E8-4AFC-8616-AFFCF2D349F8}"/>
                </a:ext>
              </a:extLst>
            </xdr:cNvPr>
            <xdr:cNvSpPr txBox="1"/>
          </xdr:nvSpPr>
          <xdr:spPr>
            <a:xfrm>
              <a:off x="10125290" y="98738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D4E0146-6DAE-41F9-B1D2-FE6D98938819}"/>
                </a:ext>
              </a:extLst>
            </xdr:cNvPr>
            <xdr:cNvSpPr txBox="1"/>
          </xdr:nvSpPr>
          <xdr:spPr>
            <a:xfrm>
              <a:off x="11070170" y="98738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6D4E0146-6DAE-41F9-B1D2-FE6D98938819}"/>
                </a:ext>
              </a:extLst>
            </xdr:cNvPr>
            <xdr:cNvSpPr txBox="1"/>
          </xdr:nvSpPr>
          <xdr:spPr>
            <a:xfrm>
              <a:off x="11070170" y="98738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07B5402-9D96-4591-B3D9-280C689E60D3}"/>
                </a:ext>
              </a:extLst>
            </xdr:cNvPr>
            <xdr:cNvSpPr txBox="1"/>
          </xdr:nvSpPr>
          <xdr:spPr>
            <a:xfrm>
              <a:off x="12336794" y="98653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D07B5402-9D96-4591-B3D9-280C689E60D3}"/>
                </a:ext>
              </a:extLst>
            </xdr:cNvPr>
            <xdr:cNvSpPr txBox="1"/>
          </xdr:nvSpPr>
          <xdr:spPr>
            <a:xfrm>
              <a:off x="12336794" y="98653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E064454-0BEF-4310-B546-843DAA48049B}"/>
                </a:ext>
              </a:extLst>
            </xdr:cNvPr>
            <xdr:cNvSpPr txBox="1"/>
          </xdr:nvSpPr>
          <xdr:spPr>
            <a:xfrm>
              <a:off x="13187693" y="98568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7E064454-0BEF-4310-B546-843DAA48049B}"/>
                </a:ext>
              </a:extLst>
            </xdr:cNvPr>
            <xdr:cNvSpPr txBox="1"/>
          </xdr:nvSpPr>
          <xdr:spPr>
            <a:xfrm>
              <a:off x="13187693" y="98568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73839D36-5643-41DA-BCAF-B7E3FE887B68}"/>
                </a:ext>
              </a:extLst>
            </xdr:cNvPr>
            <xdr:cNvSpPr txBox="1"/>
          </xdr:nvSpPr>
          <xdr:spPr>
            <a:xfrm>
              <a:off x="14106323" y="119227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73839D36-5643-41DA-BCAF-B7E3FE887B68}"/>
                </a:ext>
              </a:extLst>
            </xdr:cNvPr>
            <xdr:cNvSpPr txBox="1"/>
          </xdr:nvSpPr>
          <xdr:spPr>
            <a:xfrm>
              <a:off x="14106323" y="119227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53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FB58D22-0A31-4B9A-8E03-6B68264AC63E}"/>
                </a:ext>
              </a:extLst>
            </xdr:cNvPr>
            <xdr:cNvSpPr txBox="1"/>
          </xdr:nvSpPr>
          <xdr:spPr>
            <a:xfrm>
              <a:off x="13750715" y="116983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1FB58D22-0A31-4B9A-8E03-6B68264AC63E}"/>
                </a:ext>
              </a:extLst>
            </xdr:cNvPr>
            <xdr:cNvSpPr txBox="1"/>
          </xdr:nvSpPr>
          <xdr:spPr>
            <a:xfrm>
              <a:off x="13750715" y="116983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61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906865B-1931-45A7-A46B-3201E5A38265}"/>
                </a:ext>
              </a:extLst>
            </xdr:cNvPr>
            <xdr:cNvSpPr txBox="1"/>
          </xdr:nvSpPr>
          <xdr:spPr>
            <a:xfrm>
              <a:off x="15165490" y="135212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906865B-1931-45A7-A46B-3201E5A38265}"/>
                </a:ext>
              </a:extLst>
            </xdr:cNvPr>
            <xdr:cNvSpPr txBox="1"/>
          </xdr:nvSpPr>
          <xdr:spPr>
            <a:xfrm>
              <a:off x="15165490" y="135212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551F7C4-F48C-4406-9115-A4663F2F7C54}"/>
                </a:ext>
              </a:extLst>
            </xdr:cNvPr>
            <xdr:cNvSpPr txBox="1"/>
          </xdr:nvSpPr>
          <xdr:spPr>
            <a:xfrm>
              <a:off x="3108968" y="131572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551F7C4-F48C-4406-9115-A4663F2F7C54}"/>
                </a:ext>
              </a:extLst>
            </xdr:cNvPr>
            <xdr:cNvSpPr txBox="1"/>
          </xdr:nvSpPr>
          <xdr:spPr>
            <a:xfrm>
              <a:off x="3108968" y="131572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2DF3AF9-EE7F-476D-8ED6-02C872B2F375}"/>
                </a:ext>
              </a:extLst>
            </xdr:cNvPr>
            <xdr:cNvSpPr txBox="1"/>
          </xdr:nvSpPr>
          <xdr:spPr>
            <a:xfrm>
              <a:off x="5415282" y="131656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F2DF3AF9-EE7F-476D-8ED6-02C872B2F375}"/>
                </a:ext>
              </a:extLst>
            </xdr:cNvPr>
            <xdr:cNvSpPr txBox="1"/>
          </xdr:nvSpPr>
          <xdr:spPr>
            <a:xfrm>
              <a:off x="5415282" y="131656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20DC2D1C-AE4D-4F69-8599-F2325FEB2443}"/>
                </a:ext>
              </a:extLst>
            </xdr:cNvPr>
            <xdr:cNvSpPr txBox="1"/>
          </xdr:nvSpPr>
          <xdr:spPr>
            <a:xfrm>
              <a:off x="242993" y="13390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20DC2D1C-AE4D-4F69-8599-F2325FEB2443}"/>
                </a:ext>
              </a:extLst>
            </xdr:cNvPr>
            <xdr:cNvSpPr txBox="1"/>
          </xdr:nvSpPr>
          <xdr:spPr>
            <a:xfrm>
              <a:off x="242993" y="13390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4C743F9-C71F-44C7-B4E0-4BBF4CA2A528}"/>
                </a:ext>
              </a:extLst>
            </xdr:cNvPr>
            <xdr:cNvSpPr txBox="1"/>
          </xdr:nvSpPr>
          <xdr:spPr>
            <a:xfrm>
              <a:off x="243840" y="136203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4C743F9-C71F-44C7-B4E0-4BBF4CA2A528}"/>
                </a:ext>
              </a:extLst>
            </xdr:cNvPr>
            <xdr:cNvSpPr txBox="1"/>
          </xdr:nvSpPr>
          <xdr:spPr>
            <a:xfrm>
              <a:off x="243840" y="136203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4E92A40-22CC-4B73-A2C5-18E2A3A6EA60}"/>
                </a:ext>
              </a:extLst>
            </xdr:cNvPr>
            <xdr:cNvSpPr txBox="1"/>
          </xdr:nvSpPr>
          <xdr:spPr>
            <a:xfrm>
              <a:off x="243840" y="138480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4E92A40-22CC-4B73-A2C5-18E2A3A6EA60}"/>
                </a:ext>
              </a:extLst>
            </xdr:cNvPr>
            <xdr:cNvSpPr txBox="1"/>
          </xdr:nvSpPr>
          <xdr:spPr>
            <a:xfrm>
              <a:off x="243840" y="138480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B723C638-6DBE-46E0-AAD5-649FD83925F4}"/>
                </a:ext>
              </a:extLst>
            </xdr:cNvPr>
            <xdr:cNvSpPr txBox="1"/>
          </xdr:nvSpPr>
          <xdr:spPr>
            <a:xfrm>
              <a:off x="243840" y="14074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B723C638-6DBE-46E0-AAD5-649FD83925F4}"/>
                </a:ext>
              </a:extLst>
            </xdr:cNvPr>
            <xdr:cNvSpPr txBox="1"/>
          </xdr:nvSpPr>
          <xdr:spPr>
            <a:xfrm>
              <a:off x="243840" y="14074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2657840-0B03-4F8B-A1A7-FCF7BD89BBEA}"/>
                </a:ext>
              </a:extLst>
            </xdr:cNvPr>
            <xdr:cNvSpPr txBox="1"/>
          </xdr:nvSpPr>
          <xdr:spPr>
            <a:xfrm>
              <a:off x="243840" y="14303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82657840-0B03-4F8B-A1A7-FCF7BD89BBEA}"/>
                </a:ext>
              </a:extLst>
            </xdr:cNvPr>
            <xdr:cNvSpPr txBox="1"/>
          </xdr:nvSpPr>
          <xdr:spPr>
            <a:xfrm>
              <a:off x="243840" y="14303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EFEA5C9-8E31-479E-BDCC-E170DA5936C3}"/>
                </a:ext>
              </a:extLst>
            </xdr:cNvPr>
            <xdr:cNvSpPr txBox="1"/>
          </xdr:nvSpPr>
          <xdr:spPr>
            <a:xfrm>
              <a:off x="236220" y="1476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EFEA5C9-8E31-479E-BDCC-E170DA5936C3}"/>
                </a:ext>
              </a:extLst>
            </xdr:cNvPr>
            <xdr:cNvSpPr txBox="1"/>
          </xdr:nvSpPr>
          <xdr:spPr>
            <a:xfrm>
              <a:off x="236220" y="1476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3410EDB-DA5C-4394-A13D-BEB810FC662C}"/>
                </a:ext>
              </a:extLst>
            </xdr:cNvPr>
            <xdr:cNvSpPr txBox="1"/>
          </xdr:nvSpPr>
          <xdr:spPr>
            <a:xfrm>
              <a:off x="228600" y="14990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3410EDB-DA5C-4394-A13D-BEB810FC662C}"/>
                </a:ext>
              </a:extLst>
            </xdr:cNvPr>
            <xdr:cNvSpPr txBox="1"/>
          </xdr:nvSpPr>
          <xdr:spPr>
            <a:xfrm>
              <a:off x="228600" y="14990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F01B1AA-D41D-4AA2-B9D9-3D3D14F1FE4A}"/>
                </a:ext>
              </a:extLst>
            </xdr:cNvPr>
            <xdr:cNvSpPr txBox="1"/>
          </xdr:nvSpPr>
          <xdr:spPr>
            <a:xfrm>
              <a:off x="228600" y="15218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F01B1AA-D41D-4AA2-B9D9-3D3D14F1FE4A}"/>
                </a:ext>
              </a:extLst>
            </xdr:cNvPr>
            <xdr:cNvSpPr txBox="1"/>
          </xdr:nvSpPr>
          <xdr:spPr>
            <a:xfrm>
              <a:off x="228600" y="15218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B754233-2DC0-42B2-BA42-8CC4C4517B8A}"/>
                </a:ext>
              </a:extLst>
            </xdr:cNvPr>
            <xdr:cNvSpPr txBox="1"/>
          </xdr:nvSpPr>
          <xdr:spPr>
            <a:xfrm>
              <a:off x="220980" y="154474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EB754233-2DC0-42B2-BA42-8CC4C4517B8A}"/>
                </a:ext>
              </a:extLst>
            </xdr:cNvPr>
            <xdr:cNvSpPr txBox="1"/>
          </xdr:nvSpPr>
          <xdr:spPr>
            <a:xfrm>
              <a:off x="220980" y="154474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6B5BBE4-669E-4A75-A559-97F219749253}"/>
                </a:ext>
              </a:extLst>
            </xdr:cNvPr>
            <xdr:cNvSpPr txBox="1"/>
          </xdr:nvSpPr>
          <xdr:spPr>
            <a:xfrm>
              <a:off x="243840" y="14532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86B5BBE4-669E-4A75-A559-97F219749253}"/>
                </a:ext>
              </a:extLst>
            </xdr:cNvPr>
            <xdr:cNvSpPr txBox="1"/>
          </xdr:nvSpPr>
          <xdr:spPr>
            <a:xfrm>
              <a:off x="243840" y="14532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60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B987E28A-80DC-4DAF-8598-1C933AEBAED7}"/>
                </a:ext>
              </a:extLst>
            </xdr:cNvPr>
            <xdr:cNvSpPr txBox="1"/>
          </xdr:nvSpPr>
          <xdr:spPr>
            <a:xfrm>
              <a:off x="6918107" y="1316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B987E28A-80DC-4DAF-8598-1C933AEBAED7}"/>
                </a:ext>
              </a:extLst>
            </xdr:cNvPr>
            <xdr:cNvSpPr txBox="1"/>
          </xdr:nvSpPr>
          <xdr:spPr>
            <a:xfrm>
              <a:off x="6918107" y="1316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30704430-02D5-4FF4-8DED-3DC26069B858}"/>
                </a:ext>
              </a:extLst>
            </xdr:cNvPr>
            <xdr:cNvSpPr txBox="1"/>
          </xdr:nvSpPr>
          <xdr:spPr>
            <a:xfrm>
              <a:off x="8299884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30704430-02D5-4FF4-8DED-3DC26069B858}"/>
                </a:ext>
              </a:extLst>
            </xdr:cNvPr>
            <xdr:cNvSpPr txBox="1"/>
          </xdr:nvSpPr>
          <xdr:spPr>
            <a:xfrm>
              <a:off x="8299884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9094477-E649-47BB-9E9E-0FD684E4AFB6}"/>
                </a:ext>
              </a:extLst>
            </xdr:cNvPr>
            <xdr:cNvSpPr txBox="1"/>
          </xdr:nvSpPr>
          <xdr:spPr>
            <a:xfrm>
              <a:off x="9401391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9094477-E649-47BB-9E9E-0FD684E4AFB6}"/>
                </a:ext>
              </a:extLst>
            </xdr:cNvPr>
            <xdr:cNvSpPr txBox="1"/>
          </xdr:nvSpPr>
          <xdr:spPr>
            <a:xfrm>
              <a:off x="9401391" y="131656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F424026-4BDC-4E43-B28C-1F9AD7FFCBA6}"/>
                </a:ext>
              </a:extLst>
            </xdr:cNvPr>
            <xdr:cNvSpPr txBox="1"/>
          </xdr:nvSpPr>
          <xdr:spPr>
            <a:xfrm>
              <a:off x="10125290" y="131656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5F424026-4BDC-4E43-B28C-1F9AD7FFCBA6}"/>
                </a:ext>
              </a:extLst>
            </xdr:cNvPr>
            <xdr:cNvSpPr txBox="1"/>
          </xdr:nvSpPr>
          <xdr:spPr>
            <a:xfrm>
              <a:off x="10125290" y="131656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8B178DD-9569-43E6-9E57-7C38DE32A3CD}"/>
                </a:ext>
              </a:extLst>
            </xdr:cNvPr>
            <xdr:cNvSpPr txBox="1"/>
          </xdr:nvSpPr>
          <xdr:spPr>
            <a:xfrm>
              <a:off x="11070170" y="131656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F8B178DD-9569-43E6-9E57-7C38DE32A3CD}"/>
                </a:ext>
              </a:extLst>
            </xdr:cNvPr>
            <xdr:cNvSpPr txBox="1"/>
          </xdr:nvSpPr>
          <xdr:spPr>
            <a:xfrm>
              <a:off x="11070170" y="131656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293AC21C-27D9-45B2-8F11-B19E24C90A74}"/>
                </a:ext>
              </a:extLst>
            </xdr:cNvPr>
            <xdr:cNvSpPr txBox="1"/>
          </xdr:nvSpPr>
          <xdr:spPr>
            <a:xfrm>
              <a:off x="12336794" y="131572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293AC21C-27D9-45B2-8F11-B19E24C90A74}"/>
                </a:ext>
              </a:extLst>
            </xdr:cNvPr>
            <xdr:cNvSpPr txBox="1"/>
          </xdr:nvSpPr>
          <xdr:spPr>
            <a:xfrm>
              <a:off x="12336794" y="131572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3D9E96B-AB13-4FE9-AC9D-904C79447817}"/>
                </a:ext>
              </a:extLst>
            </xdr:cNvPr>
            <xdr:cNvSpPr txBox="1"/>
          </xdr:nvSpPr>
          <xdr:spPr>
            <a:xfrm>
              <a:off x="13187693" y="131487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A3D9E96B-AB13-4FE9-AC9D-904C79447817}"/>
                </a:ext>
              </a:extLst>
            </xdr:cNvPr>
            <xdr:cNvSpPr txBox="1"/>
          </xdr:nvSpPr>
          <xdr:spPr>
            <a:xfrm>
              <a:off x="13187693" y="131487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F1DDC8E-63AA-41D6-8285-FD3E95A729BE}"/>
                </a:ext>
              </a:extLst>
            </xdr:cNvPr>
            <xdr:cNvSpPr txBox="1"/>
          </xdr:nvSpPr>
          <xdr:spPr>
            <a:xfrm>
              <a:off x="14106323" y="152146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F1DDC8E-63AA-41D6-8285-FD3E95A729BE}"/>
                </a:ext>
              </a:extLst>
            </xdr:cNvPr>
            <xdr:cNvSpPr txBox="1"/>
          </xdr:nvSpPr>
          <xdr:spPr>
            <a:xfrm>
              <a:off x="14106323" y="152146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59268</xdr:colOff>
      <xdr:row>68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B99A459-1C4F-4F6C-BDEE-890A110C9E77}"/>
                </a:ext>
              </a:extLst>
            </xdr:cNvPr>
            <xdr:cNvSpPr txBox="1"/>
          </xdr:nvSpPr>
          <xdr:spPr>
            <a:xfrm>
              <a:off x="13767648" y="149902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BB99A459-1C4F-4F6C-BDEE-890A110C9E77}"/>
                </a:ext>
              </a:extLst>
            </xdr:cNvPr>
            <xdr:cNvSpPr txBox="1"/>
          </xdr:nvSpPr>
          <xdr:spPr>
            <a:xfrm>
              <a:off x="13767648" y="149902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76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4AAEC8FE-F16F-491D-BF7B-08B12858957E}"/>
                </a:ext>
              </a:extLst>
            </xdr:cNvPr>
            <xdr:cNvSpPr txBox="1"/>
          </xdr:nvSpPr>
          <xdr:spPr>
            <a:xfrm>
              <a:off x="15165490" y="168131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4AAEC8FE-F16F-491D-BF7B-08B12858957E}"/>
                </a:ext>
              </a:extLst>
            </xdr:cNvPr>
            <xdr:cNvSpPr txBox="1"/>
          </xdr:nvSpPr>
          <xdr:spPr>
            <a:xfrm>
              <a:off x="15165490" y="168131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E9E3B0A-CF17-4894-8A19-066F6BC897F8}"/>
                </a:ext>
              </a:extLst>
            </xdr:cNvPr>
            <xdr:cNvSpPr txBox="1"/>
          </xdr:nvSpPr>
          <xdr:spPr>
            <a:xfrm>
              <a:off x="3108968" y="1644904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E9E3B0A-CF17-4894-8A19-066F6BC897F8}"/>
                </a:ext>
              </a:extLst>
            </xdr:cNvPr>
            <xdr:cNvSpPr txBox="1"/>
          </xdr:nvSpPr>
          <xdr:spPr>
            <a:xfrm>
              <a:off x="3108968" y="1644904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801AB82-6AD2-4528-B90B-3F0CBADF2842}"/>
                </a:ext>
              </a:extLst>
            </xdr:cNvPr>
            <xdr:cNvSpPr txBox="1"/>
          </xdr:nvSpPr>
          <xdr:spPr>
            <a:xfrm>
              <a:off x="5415282" y="164575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801AB82-6AD2-4528-B90B-3F0CBADF2842}"/>
                </a:ext>
              </a:extLst>
            </xdr:cNvPr>
            <xdr:cNvSpPr txBox="1"/>
          </xdr:nvSpPr>
          <xdr:spPr>
            <a:xfrm>
              <a:off x="5415282" y="164575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B85F4CB-A792-4BC8-A161-683AB27D5CC6}"/>
                </a:ext>
              </a:extLst>
            </xdr:cNvPr>
            <xdr:cNvSpPr txBox="1"/>
          </xdr:nvSpPr>
          <xdr:spPr>
            <a:xfrm>
              <a:off x="242993" y="16681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9B85F4CB-A792-4BC8-A161-683AB27D5CC6}"/>
                </a:ext>
              </a:extLst>
            </xdr:cNvPr>
            <xdr:cNvSpPr txBox="1"/>
          </xdr:nvSpPr>
          <xdr:spPr>
            <a:xfrm>
              <a:off x="242993" y="16681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D3E38ED-E1A7-473D-AB52-3E19E66FD507}"/>
                </a:ext>
              </a:extLst>
            </xdr:cNvPr>
            <xdr:cNvSpPr txBox="1"/>
          </xdr:nvSpPr>
          <xdr:spPr>
            <a:xfrm>
              <a:off x="243840" y="169121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AD3E38ED-E1A7-473D-AB52-3E19E66FD507}"/>
                </a:ext>
              </a:extLst>
            </xdr:cNvPr>
            <xdr:cNvSpPr txBox="1"/>
          </xdr:nvSpPr>
          <xdr:spPr>
            <a:xfrm>
              <a:off x="243840" y="169121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0F7FBF7-161E-4D01-ABE6-C4456AFCF6E9}"/>
                </a:ext>
              </a:extLst>
            </xdr:cNvPr>
            <xdr:cNvSpPr txBox="1"/>
          </xdr:nvSpPr>
          <xdr:spPr>
            <a:xfrm>
              <a:off x="243840" y="171399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10F7FBF7-161E-4D01-ABE6-C4456AFCF6E9}"/>
                </a:ext>
              </a:extLst>
            </xdr:cNvPr>
            <xdr:cNvSpPr txBox="1"/>
          </xdr:nvSpPr>
          <xdr:spPr>
            <a:xfrm>
              <a:off x="243840" y="171399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DFD9CA4-DA9B-4BC5-8B65-35D73B76659B}"/>
                </a:ext>
              </a:extLst>
            </xdr:cNvPr>
            <xdr:cNvSpPr txBox="1"/>
          </xdr:nvSpPr>
          <xdr:spPr>
            <a:xfrm>
              <a:off x="243840" y="17366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CDFD9CA4-DA9B-4BC5-8B65-35D73B76659B}"/>
                </a:ext>
              </a:extLst>
            </xdr:cNvPr>
            <xdr:cNvSpPr txBox="1"/>
          </xdr:nvSpPr>
          <xdr:spPr>
            <a:xfrm>
              <a:off x="243840" y="17366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24946A94-83A1-4917-AA4D-F9BBCD164589}"/>
                </a:ext>
              </a:extLst>
            </xdr:cNvPr>
            <xdr:cNvSpPr txBox="1"/>
          </xdr:nvSpPr>
          <xdr:spPr>
            <a:xfrm>
              <a:off x="243840" y="17595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24946A94-83A1-4917-AA4D-F9BBCD164589}"/>
                </a:ext>
              </a:extLst>
            </xdr:cNvPr>
            <xdr:cNvSpPr txBox="1"/>
          </xdr:nvSpPr>
          <xdr:spPr>
            <a:xfrm>
              <a:off x="243840" y="17595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EC17C86-C6CB-4BB0-877F-75ABB895E053}"/>
                </a:ext>
              </a:extLst>
            </xdr:cNvPr>
            <xdr:cNvSpPr txBox="1"/>
          </xdr:nvSpPr>
          <xdr:spPr>
            <a:xfrm>
              <a:off x="236220" y="18052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4EC17C86-C6CB-4BB0-877F-75ABB895E053}"/>
                </a:ext>
              </a:extLst>
            </xdr:cNvPr>
            <xdr:cNvSpPr txBox="1"/>
          </xdr:nvSpPr>
          <xdr:spPr>
            <a:xfrm>
              <a:off x="236220" y="18052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8AAF2F5-22C6-479D-B0FC-7FB0F4845FE0}"/>
                </a:ext>
              </a:extLst>
            </xdr:cNvPr>
            <xdr:cNvSpPr txBox="1"/>
          </xdr:nvSpPr>
          <xdr:spPr>
            <a:xfrm>
              <a:off x="228600" y="18282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8AAF2F5-22C6-479D-B0FC-7FB0F4845FE0}"/>
                </a:ext>
              </a:extLst>
            </xdr:cNvPr>
            <xdr:cNvSpPr txBox="1"/>
          </xdr:nvSpPr>
          <xdr:spPr>
            <a:xfrm>
              <a:off x="228600" y="18282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48A133D2-9897-44FB-A6CD-5BEACF0E332F}"/>
                </a:ext>
              </a:extLst>
            </xdr:cNvPr>
            <xdr:cNvSpPr txBox="1"/>
          </xdr:nvSpPr>
          <xdr:spPr>
            <a:xfrm>
              <a:off x="228600" y="18510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48A133D2-9897-44FB-A6CD-5BEACF0E332F}"/>
                </a:ext>
              </a:extLst>
            </xdr:cNvPr>
            <xdr:cNvSpPr txBox="1"/>
          </xdr:nvSpPr>
          <xdr:spPr>
            <a:xfrm>
              <a:off x="228600" y="18510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A7B9D-C509-4D69-A500-484BE4506E44}"/>
                </a:ext>
              </a:extLst>
            </xdr:cNvPr>
            <xdr:cNvSpPr txBox="1"/>
          </xdr:nvSpPr>
          <xdr:spPr>
            <a:xfrm>
              <a:off x="220980" y="187392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A7B9D-C509-4D69-A500-484BE4506E44}"/>
                </a:ext>
              </a:extLst>
            </xdr:cNvPr>
            <xdr:cNvSpPr txBox="1"/>
          </xdr:nvSpPr>
          <xdr:spPr>
            <a:xfrm>
              <a:off x="220980" y="187392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E5C7F82-4B32-4464-B2F6-6364C5F0E4CE}"/>
                </a:ext>
              </a:extLst>
            </xdr:cNvPr>
            <xdr:cNvSpPr txBox="1"/>
          </xdr:nvSpPr>
          <xdr:spPr>
            <a:xfrm>
              <a:off x="243840" y="17824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7E5C7F82-4B32-4464-B2F6-6364C5F0E4CE}"/>
                </a:ext>
              </a:extLst>
            </xdr:cNvPr>
            <xdr:cNvSpPr txBox="1"/>
          </xdr:nvSpPr>
          <xdr:spPr>
            <a:xfrm>
              <a:off x="243840" y="17824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110905</xdr:colOff>
      <xdr:row>75</xdr:row>
      <xdr:rowOff>12702</xdr:rowOff>
    </xdr:from>
    <xdr:ext cx="868892" cy="1937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7C89234D-1CE4-46DE-92CE-4612BCFE0370}"/>
                </a:ext>
              </a:extLst>
            </xdr:cNvPr>
            <xdr:cNvSpPr txBox="1"/>
          </xdr:nvSpPr>
          <xdr:spPr>
            <a:xfrm>
              <a:off x="6926572" y="16463435"/>
              <a:ext cx="868892" cy="193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7C89234D-1CE4-46DE-92CE-4612BCFE0370}"/>
                </a:ext>
              </a:extLst>
            </xdr:cNvPr>
            <xdr:cNvSpPr txBox="1"/>
          </xdr:nvSpPr>
          <xdr:spPr>
            <a:xfrm>
              <a:off x="6926572" y="16463435"/>
              <a:ext cx="868892" cy="1937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D01A0C4-35DF-43BD-9A21-2BC25988131F}"/>
                </a:ext>
              </a:extLst>
            </xdr:cNvPr>
            <xdr:cNvSpPr txBox="1"/>
          </xdr:nvSpPr>
          <xdr:spPr>
            <a:xfrm>
              <a:off x="8299884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DD01A0C4-35DF-43BD-9A21-2BC25988131F}"/>
                </a:ext>
              </a:extLst>
            </xdr:cNvPr>
            <xdr:cNvSpPr txBox="1"/>
          </xdr:nvSpPr>
          <xdr:spPr>
            <a:xfrm>
              <a:off x="8299884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5BE4A43-5D2B-4847-85A5-1512DBFA06B7}"/>
                </a:ext>
              </a:extLst>
            </xdr:cNvPr>
            <xdr:cNvSpPr txBox="1"/>
          </xdr:nvSpPr>
          <xdr:spPr>
            <a:xfrm>
              <a:off x="9401391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75BE4A43-5D2B-4847-85A5-1512DBFA06B7}"/>
                </a:ext>
              </a:extLst>
            </xdr:cNvPr>
            <xdr:cNvSpPr txBox="1"/>
          </xdr:nvSpPr>
          <xdr:spPr>
            <a:xfrm>
              <a:off x="9401391" y="164575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1EA8D214-F629-42FA-AACD-FD90D53B81A6}"/>
                </a:ext>
              </a:extLst>
            </xdr:cNvPr>
            <xdr:cNvSpPr txBox="1"/>
          </xdr:nvSpPr>
          <xdr:spPr>
            <a:xfrm>
              <a:off x="10125290" y="164575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1EA8D214-F629-42FA-AACD-FD90D53B81A6}"/>
                </a:ext>
              </a:extLst>
            </xdr:cNvPr>
            <xdr:cNvSpPr txBox="1"/>
          </xdr:nvSpPr>
          <xdr:spPr>
            <a:xfrm>
              <a:off x="10125290" y="164575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5216F79-1AF8-404E-8187-51753339080D}"/>
                </a:ext>
              </a:extLst>
            </xdr:cNvPr>
            <xdr:cNvSpPr txBox="1"/>
          </xdr:nvSpPr>
          <xdr:spPr>
            <a:xfrm>
              <a:off x="11070170" y="164575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D5216F79-1AF8-404E-8187-51753339080D}"/>
                </a:ext>
              </a:extLst>
            </xdr:cNvPr>
            <xdr:cNvSpPr txBox="1"/>
          </xdr:nvSpPr>
          <xdr:spPr>
            <a:xfrm>
              <a:off x="11070170" y="164575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E33402A0-6E98-4FAC-BCA7-96A2E1810C11}"/>
                </a:ext>
              </a:extLst>
            </xdr:cNvPr>
            <xdr:cNvSpPr txBox="1"/>
          </xdr:nvSpPr>
          <xdr:spPr>
            <a:xfrm>
              <a:off x="12336794" y="164490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E33402A0-6E98-4FAC-BCA7-96A2E1810C11}"/>
                </a:ext>
              </a:extLst>
            </xdr:cNvPr>
            <xdr:cNvSpPr txBox="1"/>
          </xdr:nvSpPr>
          <xdr:spPr>
            <a:xfrm>
              <a:off x="12336794" y="164490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2CBA0363-6B2C-4A0E-933C-CF2FC6829293}"/>
                </a:ext>
              </a:extLst>
            </xdr:cNvPr>
            <xdr:cNvSpPr txBox="1"/>
          </xdr:nvSpPr>
          <xdr:spPr>
            <a:xfrm>
              <a:off x="13187693" y="164405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2CBA0363-6B2C-4A0E-933C-CF2FC6829293}"/>
                </a:ext>
              </a:extLst>
            </xdr:cNvPr>
            <xdr:cNvSpPr txBox="1"/>
          </xdr:nvSpPr>
          <xdr:spPr>
            <a:xfrm>
              <a:off x="13187693" y="164405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0763D179-05B3-4747-A8DE-92BC25A35249}"/>
                </a:ext>
              </a:extLst>
            </xdr:cNvPr>
            <xdr:cNvSpPr txBox="1"/>
          </xdr:nvSpPr>
          <xdr:spPr>
            <a:xfrm>
              <a:off x="14106323" y="185064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0763D179-05B3-4747-A8DE-92BC25A35249}"/>
                </a:ext>
              </a:extLst>
            </xdr:cNvPr>
            <xdr:cNvSpPr txBox="1"/>
          </xdr:nvSpPr>
          <xdr:spPr>
            <a:xfrm>
              <a:off x="14106323" y="185064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83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9690200-CA9A-4028-BA43-3CC8AD912447}"/>
                </a:ext>
              </a:extLst>
            </xdr:cNvPr>
            <xdr:cNvSpPr txBox="1"/>
          </xdr:nvSpPr>
          <xdr:spPr>
            <a:xfrm>
              <a:off x="13759182" y="1828207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9690200-CA9A-4028-BA43-3CC8AD912447}"/>
                </a:ext>
              </a:extLst>
            </xdr:cNvPr>
            <xdr:cNvSpPr txBox="1"/>
          </xdr:nvSpPr>
          <xdr:spPr>
            <a:xfrm>
              <a:off x="13759182" y="1828207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91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EB4E594-CA5B-47F5-86C4-12DD79587CAB}"/>
                </a:ext>
              </a:extLst>
            </xdr:cNvPr>
            <xdr:cNvSpPr txBox="1"/>
          </xdr:nvSpPr>
          <xdr:spPr>
            <a:xfrm>
              <a:off x="15165490" y="201049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EB4E594-CA5B-47F5-86C4-12DD79587CAB}"/>
                </a:ext>
              </a:extLst>
            </xdr:cNvPr>
            <xdr:cNvSpPr txBox="1"/>
          </xdr:nvSpPr>
          <xdr:spPr>
            <a:xfrm>
              <a:off x="15165490" y="201049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A57A5CFE-F2D6-4E66-BFCB-E772AD0A900C}"/>
                </a:ext>
              </a:extLst>
            </xdr:cNvPr>
            <xdr:cNvSpPr txBox="1"/>
          </xdr:nvSpPr>
          <xdr:spPr>
            <a:xfrm>
              <a:off x="3108968" y="1974088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A57A5CFE-F2D6-4E66-BFCB-E772AD0A900C}"/>
                </a:ext>
              </a:extLst>
            </xdr:cNvPr>
            <xdr:cNvSpPr txBox="1"/>
          </xdr:nvSpPr>
          <xdr:spPr>
            <a:xfrm>
              <a:off x="3108968" y="1974088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"(" 𝒂_𝒕𝟔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F965A6D-3E87-4967-829C-A5BCC2654605}"/>
                </a:ext>
              </a:extLst>
            </xdr:cNvPr>
            <xdr:cNvSpPr txBox="1"/>
          </xdr:nvSpPr>
          <xdr:spPr>
            <a:xfrm>
              <a:off x="5415282" y="197493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8F965A6D-3E87-4967-829C-A5BCC2654605}"/>
                </a:ext>
              </a:extLst>
            </xdr:cNvPr>
            <xdr:cNvSpPr txBox="1"/>
          </xdr:nvSpPr>
          <xdr:spPr>
            <a:xfrm>
              <a:off x="5415282" y="197493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1B5C084-074C-4DAE-87B7-24A5796D026D}"/>
                </a:ext>
              </a:extLst>
            </xdr:cNvPr>
            <xdr:cNvSpPr txBox="1"/>
          </xdr:nvSpPr>
          <xdr:spPr>
            <a:xfrm>
              <a:off x="242993" y="19973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1B5C084-074C-4DAE-87B7-24A5796D026D}"/>
                </a:ext>
              </a:extLst>
            </xdr:cNvPr>
            <xdr:cNvSpPr txBox="1"/>
          </xdr:nvSpPr>
          <xdr:spPr>
            <a:xfrm>
              <a:off x="242993" y="19973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18098956-8421-433D-B45F-EC07713527FE}"/>
                </a:ext>
              </a:extLst>
            </xdr:cNvPr>
            <xdr:cNvSpPr txBox="1"/>
          </xdr:nvSpPr>
          <xdr:spPr>
            <a:xfrm>
              <a:off x="243840" y="202040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18098956-8421-433D-B45F-EC07713527FE}"/>
                </a:ext>
              </a:extLst>
            </xdr:cNvPr>
            <xdr:cNvSpPr txBox="1"/>
          </xdr:nvSpPr>
          <xdr:spPr>
            <a:xfrm>
              <a:off x="243840" y="202040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055DEC89-A79F-4AC0-A8EF-24C85D0248D1}"/>
                </a:ext>
              </a:extLst>
            </xdr:cNvPr>
            <xdr:cNvSpPr txBox="1"/>
          </xdr:nvSpPr>
          <xdr:spPr>
            <a:xfrm>
              <a:off x="243840" y="204317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055DEC89-A79F-4AC0-A8EF-24C85D0248D1}"/>
                </a:ext>
              </a:extLst>
            </xdr:cNvPr>
            <xdr:cNvSpPr txBox="1"/>
          </xdr:nvSpPr>
          <xdr:spPr>
            <a:xfrm>
              <a:off x="243840" y="204317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283A6BB-6F5D-4D6A-981A-1028C5EB2D65}"/>
                </a:ext>
              </a:extLst>
            </xdr:cNvPr>
            <xdr:cNvSpPr txBox="1"/>
          </xdr:nvSpPr>
          <xdr:spPr>
            <a:xfrm>
              <a:off x="243840" y="20658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6283A6BB-6F5D-4D6A-981A-1028C5EB2D65}"/>
                </a:ext>
              </a:extLst>
            </xdr:cNvPr>
            <xdr:cNvSpPr txBox="1"/>
          </xdr:nvSpPr>
          <xdr:spPr>
            <a:xfrm>
              <a:off x="243840" y="20658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9A9B2BE-E9A8-4085-BD14-1DBAB0E51177}"/>
                </a:ext>
              </a:extLst>
            </xdr:cNvPr>
            <xdr:cNvSpPr txBox="1"/>
          </xdr:nvSpPr>
          <xdr:spPr>
            <a:xfrm>
              <a:off x="243840" y="208872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39A9B2BE-E9A8-4085-BD14-1DBAB0E51177}"/>
                </a:ext>
              </a:extLst>
            </xdr:cNvPr>
            <xdr:cNvSpPr txBox="1"/>
          </xdr:nvSpPr>
          <xdr:spPr>
            <a:xfrm>
              <a:off x="243840" y="208872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32897AD-FAF9-40F3-B6A9-912118892A3A}"/>
                </a:ext>
              </a:extLst>
            </xdr:cNvPr>
            <xdr:cNvSpPr txBox="1"/>
          </xdr:nvSpPr>
          <xdr:spPr>
            <a:xfrm>
              <a:off x="236220" y="21344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32897AD-FAF9-40F3-B6A9-912118892A3A}"/>
                </a:ext>
              </a:extLst>
            </xdr:cNvPr>
            <xdr:cNvSpPr txBox="1"/>
          </xdr:nvSpPr>
          <xdr:spPr>
            <a:xfrm>
              <a:off x="236220" y="21344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1B59B985-A5B7-438F-B311-F727DFEB77B3}"/>
                </a:ext>
              </a:extLst>
            </xdr:cNvPr>
            <xdr:cNvSpPr txBox="1"/>
          </xdr:nvSpPr>
          <xdr:spPr>
            <a:xfrm>
              <a:off x="228600" y="21573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1B59B985-A5B7-438F-B311-F727DFEB77B3}"/>
                </a:ext>
              </a:extLst>
            </xdr:cNvPr>
            <xdr:cNvSpPr txBox="1"/>
          </xdr:nvSpPr>
          <xdr:spPr>
            <a:xfrm>
              <a:off x="228600" y="21573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0B11010-3B78-40EF-B7C7-1FEFD59B5801}"/>
                </a:ext>
              </a:extLst>
            </xdr:cNvPr>
            <xdr:cNvSpPr txBox="1"/>
          </xdr:nvSpPr>
          <xdr:spPr>
            <a:xfrm>
              <a:off x="228600" y="218025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00B11010-3B78-40EF-B7C7-1FEFD59B5801}"/>
                </a:ext>
              </a:extLst>
            </xdr:cNvPr>
            <xdr:cNvSpPr txBox="1"/>
          </xdr:nvSpPr>
          <xdr:spPr>
            <a:xfrm>
              <a:off x="228600" y="218025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B05206C-D95E-4F6A-9FC0-7B5EE7741F2C}"/>
                </a:ext>
              </a:extLst>
            </xdr:cNvPr>
            <xdr:cNvSpPr txBox="1"/>
          </xdr:nvSpPr>
          <xdr:spPr>
            <a:xfrm>
              <a:off x="220980" y="220311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B05206C-D95E-4F6A-9FC0-7B5EE7741F2C}"/>
                </a:ext>
              </a:extLst>
            </xdr:cNvPr>
            <xdr:cNvSpPr txBox="1"/>
          </xdr:nvSpPr>
          <xdr:spPr>
            <a:xfrm>
              <a:off x="220980" y="220311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EFC6F192-143B-4BF5-B050-DE2D81DCB247}"/>
                </a:ext>
              </a:extLst>
            </xdr:cNvPr>
            <xdr:cNvSpPr txBox="1"/>
          </xdr:nvSpPr>
          <xdr:spPr>
            <a:xfrm>
              <a:off x="243840" y="21115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EFC6F192-143B-4BF5-B050-DE2D81DCB247}"/>
                </a:ext>
              </a:extLst>
            </xdr:cNvPr>
            <xdr:cNvSpPr txBox="1"/>
          </xdr:nvSpPr>
          <xdr:spPr>
            <a:xfrm>
              <a:off x="243840" y="21115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102438</xdr:colOff>
      <xdr:row>90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C98ABCC-615B-4222-8236-EB178098E41D}"/>
                </a:ext>
              </a:extLst>
            </xdr:cNvPr>
            <xdr:cNvSpPr txBox="1"/>
          </xdr:nvSpPr>
          <xdr:spPr>
            <a:xfrm>
              <a:off x="6918105" y="19765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5C98ABCC-615B-4222-8236-EB178098E41D}"/>
                </a:ext>
              </a:extLst>
            </xdr:cNvPr>
            <xdr:cNvSpPr txBox="1"/>
          </xdr:nvSpPr>
          <xdr:spPr>
            <a:xfrm>
              <a:off x="6918105" y="19765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𝒃_𝒕^(𝟑+𝟔)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AB252E0-84BC-4E9F-9724-D3F445DDC8A1}"/>
                </a:ext>
              </a:extLst>
            </xdr:cNvPr>
            <xdr:cNvSpPr txBox="1"/>
          </xdr:nvSpPr>
          <xdr:spPr>
            <a:xfrm>
              <a:off x="8299884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DAB252E0-84BC-4E9F-9724-D3F445DDC8A1}"/>
                </a:ext>
              </a:extLst>
            </xdr:cNvPr>
            <xdr:cNvSpPr txBox="1"/>
          </xdr:nvSpPr>
          <xdr:spPr>
            <a:xfrm>
              <a:off x="8299884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AC98913-4FE7-48B3-B16E-C3E16ACDFC03}"/>
                </a:ext>
              </a:extLst>
            </xdr:cNvPr>
            <xdr:cNvSpPr txBox="1"/>
          </xdr:nvSpPr>
          <xdr:spPr>
            <a:xfrm>
              <a:off x="9401391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4AC98913-4FE7-48B3-B16E-C3E16ACDFC03}"/>
                </a:ext>
              </a:extLst>
            </xdr:cNvPr>
            <xdr:cNvSpPr txBox="1"/>
          </xdr:nvSpPr>
          <xdr:spPr>
            <a:xfrm>
              <a:off x="9401391" y="197493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4B516EE7-30AE-4859-A031-6808A30A5FA0}"/>
                </a:ext>
              </a:extLst>
            </xdr:cNvPr>
            <xdr:cNvSpPr txBox="1"/>
          </xdr:nvSpPr>
          <xdr:spPr>
            <a:xfrm>
              <a:off x="10125290" y="197493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4B516EE7-30AE-4859-A031-6808A30A5FA0}"/>
                </a:ext>
              </a:extLst>
            </xdr:cNvPr>
            <xdr:cNvSpPr txBox="1"/>
          </xdr:nvSpPr>
          <xdr:spPr>
            <a:xfrm>
              <a:off x="10125290" y="197493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8B489AE6-C20C-40ED-8815-2B97811E4CD4}"/>
                </a:ext>
              </a:extLst>
            </xdr:cNvPr>
            <xdr:cNvSpPr txBox="1"/>
          </xdr:nvSpPr>
          <xdr:spPr>
            <a:xfrm>
              <a:off x="11070170" y="197493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8B489AE6-C20C-40ED-8815-2B97811E4CD4}"/>
                </a:ext>
              </a:extLst>
            </xdr:cNvPr>
            <xdr:cNvSpPr txBox="1"/>
          </xdr:nvSpPr>
          <xdr:spPr>
            <a:xfrm>
              <a:off x="11070170" y="197493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8BA6383-C8FA-484C-B5BA-781EE973095F}"/>
                </a:ext>
              </a:extLst>
            </xdr:cNvPr>
            <xdr:cNvSpPr txBox="1"/>
          </xdr:nvSpPr>
          <xdr:spPr>
            <a:xfrm>
              <a:off x="12336794" y="197408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8BA6383-C8FA-484C-B5BA-781EE973095F}"/>
                </a:ext>
              </a:extLst>
            </xdr:cNvPr>
            <xdr:cNvSpPr txBox="1"/>
          </xdr:nvSpPr>
          <xdr:spPr>
            <a:xfrm>
              <a:off x="12336794" y="197408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D8CC8B5F-5B5E-4EEA-A4E7-26616E4BE5CA}"/>
                </a:ext>
              </a:extLst>
            </xdr:cNvPr>
            <xdr:cNvSpPr txBox="1"/>
          </xdr:nvSpPr>
          <xdr:spPr>
            <a:xfrm>
              <a:off x="13187693" y="197324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D8CC8B5F-5B5E-4EEA-A4E7-26616E4BE5CA}"/>
                </a:ext>
              </a:extLst>
            </xdr:cNvPr>
            <xdr:cNvSpPr txBox="1"/>
          </xdr:nvSpPr>
          <xdr:spPr>
            <a:xfrm>
              <a:off x="13187693" y="197324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83306B1-3827-4AB0-BB03-25F6F131F4C3}"/>
                </a:ext>
              </a:extLst>
            </xdr:cNvPr>
            <xdr:cNvSpPr txBox="1"/>
          </xdr:nvSpPr>
          <xdr:spPr>
            <a:xfrm>
              <a:off x="14106323" y="217982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83306B1-3827-4AB0-BB03-25F6F131F4C3}"/>
                </a:ext>
              </a:extLst>
            </xdr:cNvPr>
            <xdr:cNvSpPr txBox="1"/>
          </xdr:nvSpPr>
          <xdr:spPr>
            <a:xfrm>
              <a:off x="14106323" y="217982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98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3CB3BCE-7CAA-4E8D-9144-20338A105BCC}"/>
                </a:ext>
              </a:extLst>
            </xdr:cNvPr>
            <xdr:cNvSpPr txBox="1"/>
          </xdr:nvSpPr>
          <xdr:spPr>
            <a:xfrm>
              <a:off x="13759182" y="2157391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73CB3BCE-7CAA-4E8D-9144-20338A105BCC}"/>
                </a:ext>
              </a:extLst>
            </xdr:cNvPr>
            <xdr:cNvSpPr txBox="1"/>
          </xdr:nvSpPr>
          <xdr:spPr>
            <a:xfrm>
              <a:off x="13759182" y="2157391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(𝒂_𝒕𝟔)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106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81E371C-FC55-464A-AE60-466E3D2831A5}"/>
                </a:ext>
              </a:extLst>
            </xdr:cNvPr>
            <xdr:cNvSpPr txBox="1"/>
          </xdr:nvSpPr>
          <xdr:spPr>
            <a:xfrm>
              <a:off x="15165490" y="233967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81E371C-FC55-464A-AE60-466E3D2831A5}"/>
                </a:ext>
              </a:extLst>
            </xdr:cNvPr>
            <xdr:cNvSpPr txBox="1"/>
          </xdr:nvSpPr>
          <xdr:spPr>
            <a:xfrm>
              <a:off x="15165490" y="233967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E02F1A54-564A-432E-A7D0-EEC8F2D6FE89}"/>
                </a:ext>
              </a:extLst>
            </xdr:cNvPr>
            <xdr:cNvSpPr txBox="1"/>
          </xdr:nvSpPr>
          <xdr:spPr>
            <a:xfrm>
              <a:off x="3108968" y="2303272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E02F1A54-564A-432E-A7D0-EEC8F2D6FE89}"/>
                </a:ext>
              </a:extLst>
            </xdr:cNvPr>
            <xdr:cNvSpPr txBox="1"/>
          </xdr:nvSpPr>
          <xdr:spPr>
            <a:xfrm>
              <a:off x="3108968" y="2303272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56C780C-D30E-4859-B8E6-3322F82B3038}"/>
                </a:ext>
              </a:extLst>
            </xdr:cNvPr>
            <xdr:cNvSpPr txBox="1"/>
          </xdr:nvSpPr>
          <xdr:spPr>
            <a:xfrm>
              <a:off x="5415282" y="230411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56C780C-D30E-4859-B8E6-3322F82B3038}"/>
                </a:ext>
              </a:extLst>
            </xdr:cNvPr>
            <xdr:cNvSpPr txBox="1"/>
          </xdr:nvSpPr>
          <xdr:spPr>
            <a:xfrm>
              <a:off x="5415282" y="230411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702F3AD5-381F-42CB-8D20-9CDED436DFF9}"/>
                </a:ext>
              </a:extLst>
            </xdr:cNvPr>
            <xdr:cNvSpPr txBox="1"/>
          </xdr:nvSpPr>
          <xdr:spPr>
            <a:xfrm>
              <a:off x="242993" y="23265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702F3AD5-381F-42CB-8D20-9CDED436DFF9}"/>
                </a:ext>
              </a:extLst>
            </xdr:cNvPr>
            <xdr:cNvSpPr txBox="1"/>
          </xdr:nvSpPr>
          <xdr:spPr>
            <a:xfrm>
              <a:off x="242993" y="23265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D6F962E-B6C6-4F69-9DB1-8FAD5A51F2DD}"/>
                </a:ext>
              </a:extLst>
            </xdr:cNvPr>
            <xdr:cNvSpPr txBox="1"/>
          </xdr:nvSpPr>
          <xdr:spPr>
            <a:xfrm>
              <a:off x="243840" y="234958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D6F962E-B6C6-4F69-9DB1-8FAD5A51F2DD}"/>
                </a:ext>
              </a:extLst>
            </xdr:cNvPr>
            <xdr:cNvSpPr txBox="1"/>
          </xdr:nvSpPr>
          <xdr:spPr>
            <a:xfrm>
              <a:off x="243840" y="234958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649FE03F-2CC7-4A37-99AF-63325F1B2F79}"/>
                </a:ext>
              </a:extLst>
            </xdr:cNvPr>
            <xdr:cNvSpPr txBox="1"/>
          </xdr:nvSpPr>
          <xdr:spPr>
            <a:xfrm>
              <a:off x="243840" y="237236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649FE03F-2CC7-4A37-99AF-63325F1B2F79}"/>
                </a:ext>
              </a:extLst>
            </xdr:cNvPr>
            <xdr:cNvSpPr txBox="1"/>
          </xdr:nvSpPr>
          <xdr:spPr>
            <a:xfrm>
              <a:off x="243840" y="237236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79C2189-B29C-4D5E-9BB1-165D36CF866B}"/>
                </a:ext>
              </a:extLst>
            </xdr:cNvPr>
            <xdr:cNvSpPr txBox="1"/>
          </xdr:nvSpPr>
          <xdr:spPr>
            <a:xfrm>
              <a:off x="243840" y="23950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179C2189-B29C-4D5E-9BB1-165D36CF866B}"/>
                </a:ext>
              </a:extLst>
            </xdr:cNvPr>
            <xdr:cNvSpPr txBox="1"/>
          </xdr:nvSpPr>
          <xdr:spPr>
            <a:xfrm>
              <a:off x="243840" y="23950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48ACBF4-82F8-450F-8B0A-26CC28ACFA48}"/>
                </a:ext>
              </a:extLst>
            </xdr:cNvPr>
            <xdr:cNvSpPr txBox="1"/>
          </xdr:nvSpPr>
          <xdr:spPr>
            <a:xfrm>
              <a:off x="243840" y="24179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548ACBF4-82F8-450F-8B0A-26CC28ACFA48}"/>
                </a:ext>
              </a:extLst>
            </xdr:cNvPr>
            <xdr:cNvSpPr txBox="1"/>
          </xdr:nvSpPr>
          <xdr:spPr>
            <a:xfrm>
              <a:off x="243840" y="241791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7874FC4C-AF4E-4611-9A41-384F14B348CD}"/>
                </a:ext>
              </a:extLst>
            </xdr:cNvPr>
            <xdr:cNvSpPr txBox="1"/>
          </xdr:nvSpPr>
          <xdr:spPr>
            <a:xfrm>
              <a:off x="236220" y="24636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7874FC4C-AF4E-4611-9A41-384F14B348CD}"/>
                </a:ext>
              </a:extLst>
            </xdr:cNvPr>
            <xdr:cNvSpPr txBox="1"/>
          </xdr:nvSpPr>
          <xdr:spPr>
            <a:xfrm>
              <a:off x="236220" y="24636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6D4D8021-44DC-41A6-BD40-55D74C23E65C}"/>
                </a:ext>
              </a:extLst>
            </xdr:cNvPr>
            <xdr:cNvSpPr txBox="1"/>
          </xdr:nvSpPr>
          <xdr:spPr>
            <a:xfrm>
              <a:off x="228600" y="24865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6D4D8021-44DC-41A6-BD40-55D74C23E65C}"/>
                </a:ext>
              </a:extLst>
            </xdr:cNvPr>
            <xdr:cNvSpPr txBox="1"/>
          </xdr:nvSpPr>
          <xdr:spPr>
            <a:xfrm>
              <a:off x="228600" y="24865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0442305E-C45A-4DAC-A263-D69DEADAE788}"/>
                </a:ext>
              </a:extLst>
            </xdr:cNvPr>
            <xdr:cNvSpPr txBox="1"/>
          </xdr:nvSpPr>
          <xdr:spPr>
            <a:xfrm>
              <a:off x="228600" y="25094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0442305E-C45A-4DAC-A263-D69DEADAE788}"/>
                </a:ext>
              </a:extLst>
            </xdr:cNvPr>
            <xdr:cNvSpPr txBox="1"/>
          </xdr:nvSpPr>
          <xdr:spPr>
            <a:xfrm>
              <a:off x="228600" y="25094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EECA489-2FFA-4DBF-BA78-D9971E1199BD}"/>
                </a:ext>
              </a:extLst>
            </xdr:cNvPr>
            <xdr:cNvSpPr txBox="1"/>
          </xdr:nvSpPr>
          <xdr:spPr>
            <a:xfrm>
              <a:off x="220980" y="253229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3EECA489-2FFA-4DBF-BA78-D9971E1199BD}"/>
                </a:ext>
              </a:extLst>
            </xdr:cNvPr>
            <xdr:cNvSpPr txBox="1"/>
          </xdr:nvSpPr>
          <xdr:spPr>
            <a:xfrm>
              <a:off x="220980" y="253229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51BDE7-37A4-441F-8F2E-8DC7F11B10B6}"/>
                </a:ext>
              </a:extLst>
            </xdr:cNvPr>
            <xdr:cNvSpPr txBox="1"/>
          </xdr:nvSpPr>
          <xdr:spPr>
            <a:xfrm>
              <a:off x="243840" y="24407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EA51BDE7-37A4-441F-8F2E-8DC7F11B10B6}"/>
                </a:ext>
              </a:extLst>
            </xdr:cNvPr>
            <xdr:cNvSpPr txBox="1"/>
          </xdr:nvSpPr>
          <xdr:spPr>
            <a:xfrm>
              <a:off x="243840" y="24407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102436</xdr:colOff>
      <xdr:row>105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DBB8AF2-8E94-4989-9A51-27FA4029C6B0}"/>
                </a:ext>
              </a:extLst>
            </xdr:cNvPr>
            <xdr:cNvSpPr txBox="1"/>
          </xdr:nvSpPr>
          <xdr:spPr>
            <a:xfrm>
              <a:off x="6918103" y="2306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FDBB8AF2-8E94-4989-9A51-27FA4029C6B0}"/>
                </a:ext>
              </a:extLst>
            </xdr:cNvPr>
            <xdr:cNvSpPr txBox="1"/>
          </xdr:nvSpPr>
          <xdr:spPr>
            <a:xfrm>
              <a:off x="6918103" y="23067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2536163C-9E9B-4862-9FBC-9B2C002A796C}"/>
                </a:ext>
              </a:extLst>
            </xdr:cNvPr>
            <xdr:cNvSpPr txBox="1"/>
          </xdr:nvSpPr>
          <xdr:spPr>
            <a:xfrm>
              <a:off x="8299884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2536163C-9E9B-4862-9FBC-9B2C002A796C}"/>
                </a:ext>
              </a:extLst>
            </xdr:cNvPr>
            <xdr:cNvSpPr txBox="1"/>
          </xdr:nvSpPr>
          <xdr:spPr>
            <a:xfrm>
              <a:off x="8299884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19653334-A5F3-4455-A035-7DDC93D1225F}"/>
                </a:ext>
              </a:extLst>
            </xdr:cNvPr>
            <xdr:cNvSpPr txBox="1"/>
          </xdr:nvSpPr>
          <xdr:spPr>
            <a:xfrm>
              <a:off x="9401391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19653334-A5F3-4455-A035-7DDC93D1225F}"/>
                </a:ext>
              </a:extLst>
            </xdr:cNvPr>
            <xdr:cNvSpPr txBox="1"/>
          </xdr:nvSpPr>
          <xdr:spPr>
            <a:xfrm>
              <a:off x="9401391" y="230411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1BBBF8-BE7D-4FBD-B895-403F614E993D}"/>
                </a:ext>
              </a:extLst>
            </xdr:cNvPr>
            <xdr:cNvSpPr txBox="1"/>
          </xdr:nvSpPr>
          <xdr:spPr>
            <a:xfrm>
              <a:off x="10125290" y="230411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1BBBF8-BE7D-4FBD-B895-403F614E993D}"/>
                </a:ext>
              </a:extLst>
            </xdr:cNvPr>
            <xdr:cNvSpPr txBox="1"/>
          </xdr:nvSpPr>
          <xdr:spPr>
            <a:xfrm>
              <a:off x="10125290" y="230411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E3F0B1C8-ADF6-4256-A3FD-DD61FF166529}"/>
                </a:ext>
              </a:extLst>
            </xdr:cNvPr>
            <xdr:cNvSpPr txBox="1"/>
          </xdr:nvSpPr>
          <xdr:spPr>
            <a:xfrm>
              <a:off x="11070170" y="230411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E3F0B1C8-ADF6-4256-A3FD-DD61FF166529}"/>
                </a:ext>
              </a:extLst>
            </xdr:cNvPr>
            <xdr:cNvSpPr txBox="1"/>
          </xdr:nvSpPr>
          <xdr:spPr>
            <a:xfrm>
              <a:off x="11070170" y="230411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740C93D3-AFAD-476B-AC34-5FA9E4FF80E6}"/>
                </a:ext>
              </a:extLst>
            </xdr:cNvPr>
            <xdr:cNvSpPr txBox="1"/>
          </xdr:nvSpPr>
          <xdr:spPr>
            <a:xfrm>
              <a:off x="12336794" y="230327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740C93D3-AFAD-476B-AC34-5FA9E4FF80E6}"/>
                </a:ext>
              </a:extLst>
            </xdr:cNvPr>
            <xdr:cNvSpPr txBox="1"/>
          </xdr:nvSpPr>
          <xdr:spPr>
            <a:xfrm>
              <a:off x="12336794" y="230327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7796D383-FFDE-4414-A820-3578D46255B8}"/>
                </a:ext>
              </a:extLst>
            </xdr:cNvPr>
            <xdr:cNvSpPr txBox="1"/>
          </xdr:nvSpPr>
          <xdr:spPr>
            <a:xfrm>
              <a:off x="13187693" y="230242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7796D383-FFDE-4414-A820-3578D46255B8}"/>
                </a:ext>
              </a:extLst>
            </xdr:cNvPr>
            <xdr:cNvSpPr txBox="1"/>
          </xdr:nvSpPr>
          <xdr:spPr>
            <a:xfrm>
              <a:off x="13187693" y="230242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1A2E49DC-0A28-48FC-B9CD-E13D981B56F7}"/>
                </a:ext>
              </a:extLst>
            </xdr:cNvPr>
            <xdr:cNvSpPr txBox="1"/>
          </xdr:nvSpPr>
          <xdr:spPr>
            <a:xfrm>
              <a:off x="14106323" y="250901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1A2E49DC-0A28-48FC-B9CD-E13D981B56F7}"/>
                </a:ext>
              </a:extLst>
            </xdr:cNvPr>
            <xdr:cNvSpPr txBox="1"/>
          </xdr:nvSpPr>
          <xdr:spPr>
            <a:xfrm>
              <a:off x="14106323" y="250901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113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EA2B84DD-E681-49B8-827E-3C8FAB8AB23F}"/>
                </a:ext>
              </a:extLst>
            </xdr:cNvPr>
            <xdr:cNvSpPr txBox="1"/>
          </xdr:nvSpPr>
          <xdr:spPr>
            <a:xfrm>
              <a:off x="13759182" y="248657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EA2B84DD-E681-49B8-827E-3C8FAB8AB23F}"/>
                </a:ext>
              </a:extLst>
            </xdr:cNvPr>
            <xdr:cNvSpPr txBox="1"/>
          </xdr:nvSpPr>
          <xdr:spPr>
            <a:xfrm>
              <a:off x="13759182" y="2486575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121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45DB6740-31AB-4F60-AA51-361CAB1E0D3F}"/>
                </a:ext>
              </a:extLst>
            </xdr:cNvPr>
            <xdr:cNvSpPr txBox="1"/>
          </xdr:nvSpPr>
          <xdr:spPr>
            <a:xfrm>
              <a:off x="15165490" y="266886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45DB6740-31AB-4F60-AA51-361CAB1E0D3F}"/>
                </a:ext>
              </a:extLst>
            </xdr:cNvPr>
            <xdr:cNvSpPr txBox="1"/>
          </xdr:nvSpPr>
          <xdr:spPr>
            <a:xfrm>
              <a:off x="15165490" y="266886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3ABF6251-6AF0-4A6F-AA92-6ED3BA4FFAB8}"/>
                </a:ext>
              </a:extLst>
            </xdr:cNvPr>
            <xdr:cNvSpPr txBox="1"/>
          </xdr:nvSpPr>
          <xdr:spPr>
            <a:xfrm>
              <a:off x="3108968" y="2632456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3ABF6251-6AF0-4A6F-AA92-6ED3BA4FFAB8}"/>
                </a:ext>
              </a:extLst>
            </xdr:cNvPr>
            <xdr:cNvSpPr txBox="1"/>
          </xdr:nvSpPr>
          <xdr:spPr>
            <a:xfrm>
              <a:off x="3108968" y="2632456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A8BC3DC-FA97-41B9-9231-7A59C6A426F9}"/>
                </a:ext>
              </a:extLst>
            </xdr:cNvPr>
            <xdr:cNvSpPr txBox="1"/>
          </xdr:nvSpPr>
          <xdr:spPr>
            <a:xfrm>
              <a:off x="5415282" y="263330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A8BC3DC-FA97-41B9-9231-7A59C6A426F9}"/>
                </a:ext>
              </a:extLst>
            </xdr:cNvPr>
            <xdr:cNvSpPr txBox="1"/>
          </xdr:nvSpPr>
          <xdr:spPr>
            <a:xfrm>
              <a:off x="5415282" y="263330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A841D26F-DAB1-43AE-A8FF-691292648D70}"/>
                </a:ext>
              </a:extLst>
            </xdr:cNvPr>
            <xdr:cNvSpPr txBox="1"/>
          </xdr:nvSpPr>
          <xdr:spPr>
            <a:xfrm>
              <a:off x="242993" y="26557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A841D26F-DAB1-43AE-A8FF-691292648D70}"/>
                </a:ext>
              </a:extLst>
            </xdr:cNvPr>
            <xdr:cNvSpPr txBox="1"/>
          </xdr:nvSpPr>
          <xdr:spPr>
            <a:xfrm>
              <a:off x="242993" y="26557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10A1E4C9-106F-49E2-A030-4AD0AA44C76D}"/>
                </a:ext>
              </a:extLst>
            </xdr:cNvPr>
            <xdr:cNvSpPr txBox="1"/>
          </xdr:nvSpPr>
          <xdr:spPr>
            <a:xfrm>
              <a:off x="243840" y="267876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10A1E4C9-106F-49E2-A030-4AD0AA44C76D}"/>
                </a:ext>
              </a:extLst>
            </xdr:cNvPr>
            <xdr:cNvSpPr txBox="1"/>
          </xdr:nvSpPr>
          <xdr:spPr>
            <a:xfrm>
              <a:off x="243840" y="267876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444174-2A2D-42F8-AC78-BFDE0717D223}"/>
                </a:ext>
              </a:extLst>
            </xdr:cNvPr>
            <xdr:cNvSpPr txBox="1"/>
          </xdr:nvSpPr>
          <xdr:spPr>
            <a:xfrm>
              <a:off x="243840" y="270154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444174-2A2D-42F8-AC78-BFDE0717D223}"/>
                </a:ext>
              </a:extLst>
            </xdr:cNvPr>
            <xdr:cNvSpPr txBox="1"/>
          </xdr:nvSpPr>
          <xdr:spPr>
            <a:xfrm>
              <a:off x="243840" y="270154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7ADC38E-E260-4D39-BA3E-BDC672688B55}"/>
                </a:ext>
              </a:extLst>
            </xdr:cNvPr>
            <xdr:cNvSpPr txBox="1"/>
          </xdr:nvSpPr>
          <xdr:spPr>
            <a:xfrm>
              <a:off x="243840" y="27242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7ADC38E-E260-4D39-BA3E-BDC672688B55}"/>
                </a:ext>
              </a:extLst>
            </xdr:cNvPr>
            <xdr:cNvSpPr txBox="1"/>
          </xdr:nvSpPr>
          <xdr:spPr>
            <a:xfrm>
              <a:off x="243840" y="27242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16033D17-1245-496B-9F8B-9B414520C5EE}"/>
                </a:ext>
              </a:extLst>
            </xdr:cNvPr>
            <xdr:cNvSpPr txBox="1"/>
          </xdr:nvSpPr>
          <xdr:spPr>
            <a:xfrm>
              <a:off x="243840" y="27470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16033D17-1245-496B-9F8B-9B414520C5EE}"/>
                </a:ext>
              </a:extLst>
            </xdr:cNvPr>
            <xdr:cNvSpPr txBox="1"/>
          </xdr:nvSpPr>
          <xdr:spPr>
            <a:xfrm>
              <a:off x="243840" y="274709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6C09FB85-5E08-4204-85B4-58D0C3E662A3}"/>
                </a:ext>
              </a:extLst>
            </xdr:cNvPr>
            <xdr:cNvSpPr txBox="1"/>
          </xdr:nvSpPr>
          <xdr:spPr>
            <a:xfrm>
              <a:off x="236220" y="27928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6C09FB85-5E08-4204-85B4-58D0C3E662A3}"/>
                </a:ext>
              </a:extLst>
            </xdr:cNvPr>
            <xdr:cNvSpPr txBox="1"/>
          </xdr:nvSpPr>
          <xdr:spPr>
            <a:xfrm>
              <a:off x="236220" y="27928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AC2A1FD-F193-4420-BE1A-CF0D05E344A8}"/>
                </a:ext>
              </a:extLst>
            </xdr:cNvPr>
            <xdr:cNvSpPr txBox="1"/>
          </xdr:nvSpPr>
          <xdr:spPr>
            <a:xfrm>
              <a:off x="228600" y="28157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AC2A1FD-F193-4420-BE1A-CF0D05E344A8}"/>
                </a:ext>
              </a:extLst>
            </xdr:cNvPr>
            <xdr:cNvSpPr txBox="1"/>
          </xdr:nvSpPr>
          <xdr:spPr>
            <a:xfrm>
              <a:off x="228600" y="28157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FC7157F2-5B79-4B3C-AF53-B344C9FD1A05}"/>
                </a:ext>
              </a:extLst>
            </xdr:cNvPr>
            <xdr:cNvSpPr txBox="1"/>
          </xdr:nvSpPr>
          <xdr:spPr>
            <a:xfrm>
              <a:off x="228600" y="28386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FC7157F2-5B79-4B3C-AF53-B344C9FD1A05}"/>
                </a:ext>
              </a:extLst>
            </xdr:cNvPr>
            <xdr:cNvSpPr txBox="1"/>
          </xdr:nvSpPr>
          <xdr:spPr>
            <a:xfrm>
              <a:off x="228600" y="283861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E6B2E5C4-111F-4D64-A78A-838CAE35B9F7}"/>
                </a:ext>
              </a:extLst>
            </xdr:cNvPr>
            <xdr:cNvSpPr txBox="1"/>
          </xdr:nvSpPr>
          <xdr:spPr>
            <a:xfrm>
              <a:off x="220980" y="286147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E6B2E5C4-111F-4D64-A78A-838CAE35B9F7}"/>
                </a:ext>
              </a:extLst>
            </xdr:cNvPr>
            <xdr:cNvSpPr txBox="1"/>
          </xdr:nvSpPr>
          <xdr:spPr>
            <a:xfrm>
              <a:off x="220980" y="286147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DA17E266-9F5A-4DA2-A556-627F3D28C012}"/>
                </a:ext>
              </a:extLst>
            </xdr:cNvPr>
            <xdr:cNvSpPr txBox="1"/>
          </xdr:nvSpPr>
          <xdr:spPr>
            <a:xfrm>
              <a:off x="243840" y="27699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DA17E266-9F5A-4DA2-A556-627F3D28C012}"/>
                </a:ext>
              </a:extLst>
            </xdr:cNvPr>
            <xdr:cNvSpPr txBox="1"/>
          </xdr:nvSpPr>
          <xdr:spPr>
            <a:xfrm>
              <a:off x="243840" y="27699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93972</xdr:colOff>
      <xdr:row>120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1FEF09C9-7C33-47D7-98B4-1F87B468ED72}"/>
                </a:ext>
              </a:extLst>
            </xdr:cNvPr>
            <xdr:cNvSpPr txBox="1"/>
          </xdr:nvSpPr>
          <xdr:spPr>
            <a:xfrm>
              <a:off x="6909639" y="2636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1FEF09C9-7C33-47D7-98B4-1F87B468ED72}"/>
                </a:ext>
              </a:extLst>
            </xdr:cNvPr>
            <xdr:cNvSpPr txBox="1"/>
          </xdr:nvSpPr>
          <xdr:spPr>
            <a:xfrm>
              <a:off x="6909639" y="26369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085CA1B1-FE73-4C6D-AD62-F07389FC08C8}"/>
                </a:ext>
              </a:extLst>
            </xdr:cNvPr>
            <xdr:cNvSpPr txBox="1"/>
          </xdr:nvSpPr>
          <xdr:spPr>
            <a:xfrm>
              <a:off x="8299884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085CA1B1-FE73-4C6D-AD62-F07389FC08C8}"/>
                </a:ext>
              </a:extLst>
            </xdr:cNvPr>
            <xdr:cNvSpPr txBox="1"/>
          </xdr:nvSpPr>
          <xdr:spPr>
            <a:xfrm>
              <a:off x="8299884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E54A765F-CA82-4FFA-8DDF-F645B1548D28}"/>
                </a:ext>
              </a:extLst>
            </xdr:cNvPr>
            <xdr:cNvSpPr txBox="1"/>
          </xdr:nvSpPr>
          <xdr:spPr>
            <a:xfrm>
              <a:off x="9401391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E54A765F-CA82-4FFA-8DDF-F645B1548D28}"/>
                </a:ext>
              </a:extLst>
            </xdr:cNvPr>
            <xdr:cNvSpPr txBox="1"/>
          </xdr:nvSpPr>
          <xdr:spPr>
            <a:xfrm>
              <a:off x="9401391" y="263330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6EE26810-3DC4-4D76-966A-14BCDA1D94F9}"/>
                </a:ext>
              </a:extLst>
            </xdr:cNvPr>
            <xdr:cNvSpPr txBox="1"/>
          </xdr:nvSpPr>
          <xdr:spPr>
            <a:xfrm>
              <a:off x="10125290" y="263330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6EE26810-3DC4-4D76-966A-14BCDA1D94F9}"/>
                </a:ext>
              </a:extLst>
            </xdr:cNvPr>
            <xdr:cNvSpPr txBox="1"/>
          </xdr:nvSpPr>
          <xdr:spPr>
            <a:xfrm>
              <a:off x="10125290" y="263330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6457B6B-F3C2-4D3B-81B1-99BAF0A26E01}"/>
                </a:ext>
              </a:extLst>
            </xdr:cNvPr>
            <xdr:cNvSpPr txBox="1"/>
          </xdr:nvSpPr>
          <xdr:spPr>
            <a:xfrm>
              <a:off x="11070170" y="263330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6457B6B-F3C2-4D3B-81B1-99BAF0A26E01}"/>
                </a:ext>
              </a:extLst>
            </xdr:cNvPr>
            <xdr:cNvSpPr txBox="1"/>
          </xdr:nvSpPr>
          <xdr:spPr>
            <a:xfrm>
              <a:off x="11070170" y="263330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7DF03FF-0348-4F22-9264-040D3EDA6DFA}"/>
                </a:ext>
              </a:extLst>
            </xdr:cNvPr>
            <xdr:cNvSpPr txBox="1"/>
          </xdr:nvSpPr>
          <xdr:spPr>
            <a:xfrm>
              <a:off x="12336794" y="263245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87DF03FF-0348-4F22-9264-040D3EDA6DFA}"/>
                </a:ext>
              </a:extLst>
            </xdr:cNvPr>
            <xdr:cNvSpPr txBox="1"/>
          </xdr:nvSpPr>
          <xdr:spPr>
            <a:xfrm>
              <a:off x="12336794" y="263245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2B56ADF-2088-4300-8220-1121E63E3A4E}"/>
                </a:ext>
              </a:extLst>
            </xdr:cNvPr>
            <xdr:cNvSpPr txBox="1"/>
          </xdr:nvSpPr>
          <xdr:spPr>
            <a:xfrm>
              <a:off x="13187693" y="263160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2B56ADF-2088-4300-8220-1121E63E3A4E}"/>
                </a:ext>
              </a:extLst>
            </xdr:cNvPr>
            <xdr:cNvSpPr txBox="1"/>
          </xdr:nvSpPr>
          <xdr:spPr>
            <a:xfrm>
              <a:off x="13187693" y="263160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BD73566F-1EB2-4A8F-9B7C-52F6D48578B5}"/>
                </a:ext>
              </a:extLst>
            </xdr:cNvPr>
            <xdr:cNvSpPr txBox="1"/>
          </xdr:nvSpPr>
          <xdr:spPr>
            <a:xfrm>
              <a:off x="14106323" y="283819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BD73566F-1EB2-4A8F-9B7C-52F6D48578B5}"/>
                </a:ext>
              </a:extLst>
            </xdr:cNvPr>
            <xdr:cNvSpPr txBox="1"/>
          </xdr:nvSpPr>
          <xdr:spPr>
            <a:xfrm>
              <a:off x="14106323" y="283819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128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8A908CB3-9C41-449D-8F39-B68637DE447C}"/>
                </a:ext>
              </a:extLst>
            </xdr:cNvPr>
            <xdr:cNvSpPr txBox="1"/>
          </xdr:nvSpPr>
          <xdr:spPr>
            <a:xfrm>
              <a:off x="13759182" y="281575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8A908CB3-9C41-449D-8F39-B68637DE447C}"/>
                </a:ext>
              </a:extLst>
            </xdr:cNvPr>
            <xdr:cNvSpPr txBox="1"/>
          </xdr:nvSpPr>
          <xdr:spPr>
            <a:xfrm>
              <a:off x="13759182" y="2815759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136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09E111C3-C1B5-4F90-AC29-BB20DA832159}"/>
                </a:ext>
              </a:extLst>
            </xdr:cNvPr>
            <xdr:cNvSpPr txBox="1"/>
          </xdr:nvSpPr>
          <xdr:spPr>
            <a:xfrm>
              <a:off x="15165490" y="299804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09E111C3-C1B5-4F90-AC29-BB20DA832159}"/>
                </a:ext>
              </a:extLst>
            </xdr:cNvPr>
            <xdr:cNvSpPr txBox="1"/>
          </xdr:nvSpPr>
          <xdr:spPr>
            <a:xfrm>
              <a:off x="15165490" y="2998046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135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3414B50D-CAB7-41B0-8231-244EDC03258B}"/>
                </a:ext>
              </a:extLst>
            </xdr:cNvPr>
            <xdr:cNvSpPr txBox="1"/>
          </xdr:nvSpPr>
          <xdr:spPr>
            <a:xfrm>
              <a:off x="3108968" y="296164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3414B50D-CAB7-41B0-8231-244EDC03258B}"/>
                </a:ext>
              </a:extLst>
            </xdr:cNvPr>
            <xdr:cNvSpPr txBox="1"/>
          </xdr:nvSpPr>
          <xdr:spPr>
            <a:xfrm>
              <a:off x="3108968" y="296164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A3C357CD-F969-4ABF-AB43-017033E6F430}"/>
                </a:ext>
              </a:extLst>
            </xdr:cNvPr>
            <xdr:cNvSpPr txBox="1"/>
          </xdr:nvSpPr>
          <xdr:spPr>
            <a:xfrm>
              <a:off x="5415282" y="296248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A3C357CD-F969-4ABF-AB43-017033E6F430}"/>
                </a:ext>
              </a:extLst>
            </xdr:cNvPr>
            <xdr:cNvSpPr txBox="1"/>
          </xdr:nvSpPr>
          <xdr:spPr>
            <a:xfrm>
              <a:off x="5415282" y="296248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FF7404A1-ADF1-4453-8E67-EE651F7EF8BE}"/>
                </a:ext>
              </a:extLst>
            </xdr:cNvPr>
            <xdr:cNvSpPr txBox="1"/>
          </xdr:nvSpPr>
          <xdr:spPr>
            <a:xfrm>
              <a:off x="242993" y="29849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FF7404A1-ADF1-4453-8E67-EE651F7EF8BE}"/>
                </a:ext>
              </a:extLst>
            </xdr:cNvPr>
            <xdr:cNvSpPr txBox="1"/>
          </xdr:nvSpPr>
          <xdr:spPr>
            <a:xfrm>
              <a:off x="242993" y="298492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350E4A7F-1CF6-4EB2-9995-ADC992B7EABA}"/>
                </a:ext>
              </a:extLst>
            </xdr:cNvPr>
            <xdr:cNvSpPr txBox="1"/>
          </xdr:nvSpPr>
          <xdr:spPr>
            <a:xfrm>
              <a:off x="243840" y="300795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350E4A7F-1CF6-4EB2-9995-ADC992B7EABA}"/>
                </a:ext>
              </a:extLst>
            </xdr:cNvPr>
            <xdr:cNvSpPr txBox="1"/>
          </xdr:nvSpPr>
          <xdr:spPr>
            <a:xfrm>
              <a:off x="243840" y="300795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C05EE7C4-47C3-475D-84A0-E7750044CF46}"/>
                </a:ext>
              </a:extLst>
            </xdr:cNvPr>
            <xdr:cNvSpPr txBox="1"/>
          </xdr:nvSpPr>
          <xdr:spPr>
            <a:xfrm>
              <a:off x="243840" y="303072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C05EE7C4-47C3-475D-84A0-E7750044CF46}"/>
                </a:ext>
              </a:extLst>
            </xdr:cNvPr>
            <xdr:cNvSpPr txBox="1"/>
          </xdr:nvSpPr>
          <xdr:spPr>
            <a:xfrm>
              <a:off x="243840" y="303072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5A58C2B0-4C4D-40CA-8683-96FE03CC1C5F}"/>
                </a:ext>
              </a:extLst>
            </xdr:cNvPr>
            <xdr:cNvSpPr txBox="1"/>
          </xdr:nvSpPr>
          <xdr:spPr>
            <a:xfrm>
              <a:off x="243840" y="30534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5A58C2B0-4C4D-40CA-8683-96FE03CC1C5F}"/>
                </a:ext>
              </a:extLst>
            </xdr:cNvPr>
            <xdr:cNvSpPr txBox="1"/>
          </xdr:nvSpPr>
          <xdr:spPr>
            <a:xfrm>
              <a:off x="243840" y="305341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905DE55-7DBA-4A0C-BC24-B9C4A767FCB8}"/>
                </a:ext>
              </a:extLst>
            </xdr:cNvPr>
            <xdr:cNvSpPr txBox="1"/>
          </xdr:nvSpPr>
          <xdr:spPr>
            <a:xfrm>
              <a:off x="243840" y="30762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0905DE55-7DBA-4A0C-BC24-B9C4A767FCB8}"/>
                </a:ext>
              </a:extLst>
            </xdr:cNvPr>
            <xdr:cNvSpPr txBox="1"/>
          </xdr:nvSpPr>
          <xdr:spPr>
            <a:xfrm>
              <a:off x="243840" y="30762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B921584-E32D-4ECC-8DC6-F1CFD457461A}"/>
                </a:ext>
              </a:extLst>
            </xdr:cNvPr>
            <xdr:cNvSpPr txBox="1"/>
          </xdr:nvSpPr>
          <xdr:spPr>
            <a:xfrm>
              <a:off x="236220" y="31219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B921584-E32D-4ECC-8DC6-F1CFD457461A}"/>
                </a:ext>
              </a:extLst>
            </xdr:cNvPr>
            <xdr:cNvSpPr txBox="1"/>
          </xdr:nvSpPr>
          <xdr:spPr>
            <a:xfrm>
              <a:off x="236220" y="31219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EB32DB85-A03B-4FB9-A924-D20016B12DA6}"/>
                </a:ext>
              </a:extLst>
            </xdr:cNvPr>
            <xdr:cNvSpPr txBox="1"/>
          </xdr:nvSpPr>
          <xdr:spPr>
            <a:xfrm>
              <a:off x="228600" y="314494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EB32DB85-A03B-4FB9-A924-D20016B12DA6}"/>
                </a:ext>
              </a:extLst>
            </xdr:cNvPr>
            <xdr:cNvSpPr txBox="1"/>
          </xdr:nvSpPr>
          <xdr:spPr>
            <a:xfrm>
              <a:off x="228600" y="314494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C041DB67-829E-4C4F-8DCC-AF63A4F30995}"/>
                </a:ext>
              </a:extLst>
            </xdr:cNvPr>
            <xdr:cNvSpPr txBox="1"/>
          </xdr:nvSpPr>
          <xdr:spPr>
            <a:xfrm>
              <a:off x="228600" y="31678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C041DB67-829E-4C4F-8DCC-AF63A4F30995}"/>
                </a:ext>
              </a:extLst>
            </xdr:cNvPr>
            <xdr:cNvSpPr txBox="1"/>
          </xdr:nvSpPr>
          <xdr:spPr>
            <a:xfrm>
              <a:off x="228600" y="31678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9F85DE93-9889-4ED3-A1A8-F7288AAE6BCA}"/>
                </a:ext>
              </a:extLst>
            </xdr:cNvPr>
            <xdr:cNvSpPr txBox="1"/>
          </xdr:nvSpPr>
          <xdr:spPr>
            <a:xfrm>
              <a:off x="220980" y="319066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9F85DE93-9889-4ED3-A1A8-F7288AAE6BCA}"/>
                </a:ext>
              </a:extLst>
            </xdr:cNvPr>
            <xdr:cNvSpPr txBox="1"/>
          </xdr:nvSpPr>
          <xdr:spPr>
            <a:xfrm>
              <a:off x="220980" y="319066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3A433BD6-0FFD-4818-850E-96440E928384}"/>
                </a:ext>
              </a:extLst>
            </xdr:cNvPr>
            <xdr:cNvSpPr txBox="1"/>
          </xdr:nvSpPr>
          <xdr:spPr>
            <a:xfrm>
              <a:off x="243840" y="30991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3A433BD6-0FFD-4818-850E-96440E928384}"/>
                </a:ext>
              </a:extLst>
            </xdr:cNvPr>
            <xdr:cNvSpPr txBox="1"/>
          </xdr:nvSpPr>
          <xdr:spPr>
            <a:xfrm>
              <a:off x="243840" y="30991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102435</xdr:colOff>
      <xdr:row>135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D533EA9-40FA-40C7-B465-94D05BDF31A6}"/>
                </a:ext>
              </a:extLst>
            </xdr:cNvPr>
            <xdr:cNvSpPr txBox="1"/>
          </xdr:nvSpPr>
          <xdr:spPr>
            <a:xfrm>
              <a:off x="6918102" y="2967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D533EA9-40FA-40C7-B465-94D05BDF31A6}"/>
                </a:ext>
              </a:extLst>
            </xdr:cNvPr>
            <xdr:cNvSpPr txBox="1"/>
          </xdr:nvSpPr>
          <xdr:spPr>
            <a:xfrm>
              <a:off x="6918102" y="29671435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033F0589-C5F4-4399-9854-E2613B49E74F}"/>
                </a:ext>
              </a:extLst>
            </xdr:cNvPr>
            <xdr:cNvSpPr txBox="1"/>
          </xdr:nvSpPr>
          <xdr:spPr>
            <a:xfrm>
              <a:off x="8299884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033F0589-C5F4-4399-9854-E2613B49E74F}"/>
                </a:ext>
              </a:extLst>
            </xdr:cNvPr>
            <xdr:cNvSpPr txBox="1"/>
          </xdr:nvSpPr>
          <xdr:spPr>
            <a:xfrm>
              <a:off x="8299884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4C82864-663F-4182-BF5E-486BC8627D24}"/>
                </a:ext>
              </a:extLst>
            </xdr:cNvPr>
            <xdr:cNvSpPr txBox="1"/>
          </xdr:nvSpPr>
          <xdr:spPr>
            <a:xfrm>
              <a:off x="9401391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64C82864-663F-4182-BF5E-486BC8627D24}"/>
                </a:ext>
              </a:extLst>
            </xdr:cNvPr>
            <xdr:cNvSpPr txBox="1"/>
          </xdr:nvSpPr>
          <xdr:spPr>
            <a:xfrm>
              <a:off x="9401391" y="296248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509DA6B-E824-403F-BD53-D78F93F00CD2}"/>
                </a:ext>
              </a:extLst>
            </xdr:cNvPr>
            <xdr:cNvSpPr txBox="1"/>
          </xdr:nvSpPr>
          <xdr:spPr>
            <a:xfrm>
              <a:off x="10125290" y="296248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509DA6B-E824-403F-BD53-D78F93F00CD2}"/>
                </a:ext>
              </a:extLst>
            </xdr:cNvPr>
            <xdr:cNvSpPr txBox="1"/>
          </xdr:nvSpPr>
          <xdr:spPr>
            <a:xfrm>
              <a:off x="10125290" y="296248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C024A77-5C97-4541-A0AA-427A2A3CC7C8}"/>
                </a:ext>
              </a:extLst>
            </xdr:cNvPr>
            <xdr:cNvSpPr txBox="1"/>
          </xdr:nvSpPr>
          <xdr:spPr>
            <a:xfrm>
              <a:off x="11070170" y="296248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C024A77-5C97-4541-A0AA-427A2A3CC7C8}"/>
                </a:ext>
              </a:extLst>
            </xdr:cNvPr>
            <xdr:cNvSpPr txBox="1"/>
          </xdr:nvSpPr>
          <xdr:spPr>
            <a:xfrm>
              <a:off x="11070170" y="296248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7412323-435D-4912-A7A8-A24A24832F81}"/>
                </a:ext>
              </a:extLst>
            </xdr:cNvPr>
            <xdr:cNvSpPr txBox="1"/>
          </xdr:nvSpPr>
          <xdr:spPr>
            <a:xfrm>
              <a:off x="12336794" y="296164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57412323-435D-4912-A7A8-A24A24832F81}"/>
                </a:ext>
              </a:extLst>
            </xdr:cNvPr>
            <xdr:cNvSpPr txBox="1"/>
          </xdr:nvSpPr>
          <xdr:spPr>
            <a:xfrm>
              <a:off x="12336794" y="296164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7876E56-49AA-4A02-A109-3F99689705AE}"/>
                </a:ext>
              </a:extLst>
            </xdr:cNvPr>
            <xdr:cNvSpPr txBox="1"/>
          </xdr:nvSpPr>
          <xdr:spPr>
            <a:xfrm>
              <a:off x="13187693" y="296079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E7876E56-49AA-4A02-A109-3F99689705AE}"/>
                </a:ext>
              </a:extLst>
            </xdr:cNvPr>
            <xdr:cNvSpPr txBox="1"/>
          </xdr:nvSpPr>
          <xdr:spPr>
            <a:xfrm>
              <a:off x="13187693" y="296079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8A894605-9FA2-4371-8202-3596F0B16502}"/>
                </a:ext>
              </a:extLst>
            </xdr:cNvPr>
            <xdr:cNvSpPr txBox="1"/>
          </xdr:nvSpPr>
          <xdr:spPr>
            <a:xfrm>
              <a:off x="14106323" y="316738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8A894605-9FA2-4371-8202-3596F0B16502}"/>
                </a:ext>
              </a:extLst>
            </xdr:cNvPr>
            <xdr:cNvSpPr txBox="1"/>
          </xdr:nvSpPr>
          <xdr:spPr>
            <a:xfrm>
              <a:off x="14106323" y="316738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143</xdr:row>
      <xdr:rowOff>16934</xdr:rowOff>
    </xdr:from>
    <xdr:ext cx="108574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B66CD42D-A8A1-46F7-9BBF-36F2A582A397}"/>
                </a:ext>
              </a:extLst>
            </xdr:cNvPr>
            <xdr:cNvSpPr txBox="1"/>
          </xdr:nvSpPr>
          <xdr:spPr>
            <a:xfrm>
              <a:off x="13750715" y="314494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B66CD42D-A8A1-46F7-9BBF-36F2A582A397}"/>
                </a:ext>
              </a:extLst>
            </xdr:cNvPr>
            <xdr:cNvSpPr txBox="1"/>
          </xdr:nvSpPr>
          <xdr:spPr>
            <a:xfrm>
              <a:off x="13750715" y="31449434"/>
              <a:ext cx="108574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151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FBE735DF-958E-4816-95E9-E3A28BF8735E}"/>
                </a:ext>
              </a:extLst>
            </xdr:cNvPr>
            <xdr:cNvSpPr txBox="1"/>
          </xdr:nvSpPr>
          <xdr:spPr>
            <a:xfrm>
              <a:off x="15165490" y="332723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FBE735DF-958E-4816-95E9-E3A28BF8735E}"/>
                </a:ext>
              </a:extLst>
            </xdr:cNvPr>
            <xdr:cNvSpPr txBox="1"/>
          </xdr:nvSpPr>
          <xdr:spPr>
            <a:xfrm>
              <a:off x="15165490" y="3327230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150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436BB328-4C78-42E4-9659-D888D597FBCC}"/>
                </a:ext>
              </a:extLst>
            </xdr:cNvPr>
            <xdr:cNvSpPr txBox="1"/>
          </xdr:nvSpPr>
          <xdr:spPr>
            <a:xfrm>
              <a:off x="3032765" y="3290824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436BB328-4C78-42E4-9659-D888D597FBCC}"/>
                </a:ext>
              </a:extLst>
            </xdr:cNvPr>
            <xdr:cNvSpPr txBox="1"/>
          </xdr:nvSpPr>
          <xdr:spPr>
            <a:xfrm>
              <a:off x="3032765" y="3290824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5AB5A9FF-C65E-447E-BAC5-BBFD243B3FB8}"/>
                </a:ext>
              </a:extLst>
            </xdr:cNvPr>
            <xdr:cNvSpPr txBox="1"/>
          </xdr:nvSpPr>
          <xdr:spPr>
            <a:xfrm>
              <a:off x="5415282" y="329167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5AB5A9FF-C65E-447E-BAC5-BBFD243B3FB8}"/>
                </a:ext>
              </a:extLst>
            </xdr:cNvPr>
            <xdr:cNvSpPr txBox="1"/>
          </xdr:nvSpPr>
          <xdr:spPr>
            <a:xfrm>
              <a:off x="5415282" y="329167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D09FBB24-333B-4991-96FC-362A832D5DB8}"/>
                </a:ext>
              </a:extLst>
            </xdr:cNvPr>
            <xdr:cNvSpPr txBox="1"/>
          </xdr:nvSpPr>
          <xdr:spPr>
            <a:xfrm>
              <a:off x="242993" y="33141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D09FBB24-333B-4991-96FC-362A832D5DB8}"/>
                </a:ext>
              </a:extLst>
            </xdr:cNvPr>
            <xdr:cNvSpPr txBox="1"/>
          </xdr:nvSpPr>
          <xdr:spPr>
            <a:xfrm>
              <a:off x="242993" y="331410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5BF3AAEE-BE66-4275-B938-BDE467417777}"/>
                </a:ext>
              </a:extLst>
            </xdr:cNvPr>
            <xdr:cNvSpPr txBox="1"/>
          </xdr:nvSpPr>
          <xdr:spPr>
            <a:xfrm>
              <a:off x="243840" y="333713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5BF3AAEE-BE66-4275-B938-BDE467417777}"/>
                </a:ext>
              </a:extLst>
            </xdr:cNvPr>
            <xdr:cNvSpPr txBox="1"/>
          </xdr:nvSpPr>
          <xdr:spPr>
            <a:xfrm>
              <a:off x="243840" y="333713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61A037C-EA46-4087-ACB4-D30CC5217D73}"/>
                </a:ext>
              </a:extLst>
            </xdr:cNvPr>
            <xdr:cNvSpPr txBox="1"/>
          </xdr:nvSpPr>
          <xdr:spPr>
            <a:xfrm>
              <a:off x="243840" y="335991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61A037C-EA46-4087-ACB4-D30CC5217D73}"/>
                </a:ext>
              </a:extLst>
            </xdr:cNvPr>
            <xdr:cNvSpPr txBox="1"/>
          </xdr:nvSpPr>
          <xdr:spPr>
            <a:xfrm>
              <a:off x="243840" y="335991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F797A32-179E-4765-9F29-E3A7EE74094F}"/>
                </a:ext>
              </a:extLst>
            </xdr:cNvPr>
            <xdr:cNvSpPr txBox="1"/>
          </xdr:nvSpPr>
          <xdr:spPr>
            <a:xfrm>
              <a:off x="243840" y="33826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F797A32-179E-4765-9F29-E3A7EE74094F}"/>
                </a:ext>
              </a:extLst>
            </xdr:cNvPr>
            <xdr:cNvSpPr txBox="1"/>
          </xdr:nvSpPr>
          <xdr:spPr>
            <a:xfrm>
              <a:off x="243840" y="338260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1604EBF-CD0C-42F5-B4DA-E87738794D48}"/>
                </a:ext>
              </a:extLst>
            </xdr:cNvPr>
            <xdr:cNvSpPr txBox="1"/>
          </xdr:nvSpPr>
          <xdr:spPr>
            <a:xfrm>
              <a:off x="243840" y="34054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1604EBF-CD0C-42F5-B4DA-E87738794D48}"/>
                </a:ext>
              </a:extLst>
            </xdr:cNvPr>
            <xdr:cNvSpPr txBox="1"/>
          </xdr:nvSpPr>
          <xdr:spPr>
            <a:xfrm>
              <a:off x="243840" y="34054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39A7B242-58BB-4E26-9AEB-5E5A0B28812F}"/>
                </a:ext>
              </a:extLst>
            </xdr:cNvPr>
            <xdr:cNvSpPr txBox="1"/>
          </xdr:nvSpPr>
          <xdr:spPr>
            <a:xfrm>
              <a:off x="236220" y="34511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39A7B242-58BB-4E26-9AEB-5E5A0B28812F}"/>
                </a:ext>
              </a:extLst>
            </xdr:cNvPr>
            <xdr:cNvSpPr txBox="1"/>
          </xdr:nvSpPr>
          <xdr:spPr>
            <a:xfrm>
              <a:off x="236220" y="34511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BFA2802-ABBD-4684-B862-D714E9F1EA4D}"/>
                </a:ext>
              </a:extLst>
            </xdr:cNvPr>
            <xdr:cNvSpPr txBox="1"/>
          </xdr:nvSpPr>
          <xdr:spPr>
            <a:xfrm>
              <a:off x="228600" y="347412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BFA2802-ABBD-4684-B862-D714E9F1EA4D}"/>
                </a:ext>
              </a:extLst>
            </xdr:cNvPr>
            <xdr:cNvSpPr txBox="1"/>
          </xdr:nvSpPr>
          <xdr:spPr>
            <a:xfrm>
              <a:off x="228600" y="347412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7AAB9BC-C49C-4756-AA99-301D1A445DD1}"/>
                </a:ext>
              </a:extLst>
            </xdr:cNvPr>
            <xdr:cNvSpPr txBox="1"/>
          </xdr:nvSpPr>
          <xdr:spPr>
            <a:xfrm>
              <a:off x="228600" y="34969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7AAB9BC-C49C-4756-AA99-301D1A445DD1}"/>
                </a:ext>
              </a:extLst>
            </xdr:cNvPr>
            <xdr:cNvSpPr txBox="1"/>
          </xdr:nvSpPr>
          <xdr:spPr>
            <a:xfrm>
              <a:off x="228600" y="34969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9401636A-6A8C-4A44-AD5A-4983CE4685CD}"/>
                </a:ext>
              </a:extLst>
            </xdr:cNvPr>
            <xdr:cNvSpPr txBox="1"/>
          </xdr:nvSpPr>
          <xdr:spPr>
            <a:xfrm>
              <a:off x="220980" y="351984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9401636A-6A8C-4A44-AD5A-4983CE4685CD}"/>
                </a:ext>
              </a:extLst>
            </xdr:cNvPr>
            <xdr:cNvSpPr txBox="1"/>
          </xdr:nvSpPr>
          <xdr:spPr>
            <a:xfrm>
              <a:off x="220980" y="351984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F53A4BCB-1425-49A0-91AF-BB33EF8DB2AA}"/>
                </a:ext>
              </a:extLst>
            </xdr:cNvPr>
            <xdr:cNvSpPr txBox="1"/>
          </xdr:nvSpPr>
          <xdr:spPr>
            <a:xfrm>
              <a:off x="243840" y="34283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F53A4BCB-1425-49A0-91AF-BB33EF8DB2AA}"/>
                </a:ext>
              </a:extLst>
            </xdr:cNvPr>
            <xdr:cNvSpPr txBox="1"/>
          </xdr:nvSpPr>
          <xdr:spPr>
            <a:xfrm>
              <a:off x="243840" y="34283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77037</xdr:colOff>
      <xdr:row>150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D856F50-9FBC-41D7-8B1B-643869AEFC68}"/>
                </a:ext>
              </a:extLst>
            </xdr:cNvPr>
            <xdr:cNvSpPr txBox="1"/>
          </xdr:nvSpPr>
          <xdr:spPr>
            <a:xfrm>
              <a:off x="6892704" y="32973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D856F50-9FBC-41D7-8B1B-643869AEFC68}"/>
                </a:ext>
              </a:extLst>
            </xdr:cNvPr>
            <xdr:cNvSpPr txBox="1"/>
          </xdr:nvSpPr>
          <xdr:spPr>
            <a:xfrm>
              <a:off x="6892704" y="32973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774A60F-3CD0-4115-98BE-11A8AFD35323}"/>
                </a:ext>
              </a:extLst>
            </xdr:cNvPr>
            <xdr:cNvSpPr txBox="1"/>
          </xdr:nvSpPr>
          <xdr:spPr>
            <a:xfrm>
              <a:off x="8299884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2774A60F-3CD0-4115-98BE-11A8AFD35323}"/>
                </a:ext>
              </a:extLst>
            </xdr:cNvPr>
            <xdr:cNvSpPr txBox="1"/>
          </xdr:nvSpPr>
          <xdr:spPr>
            <a:xfrm>
              <a:off x="8299884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26C5CB14-CDAD-4C83-8485-959D20218D92}"/>
                </a:ext>
              </a:extLst>
            </xdr:cNvPr>
            <xdr:cNvSpPr txBox="1"/>
          </xdr:nvSpPr>
          <xdr:spPr>
            <a:xfrm>
              <a:off x="9401391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26C5CB14-CDAD-4C83-8485-959D20218D92}"/>
                </a:ext>
              </a:extLst>
            </xdr:cNvPr>
            <xdr:cNvSpPr txBox="1"/>
          </xdr:nvSpPr>
          <xdr:spPr>
            <a:xfrm>
              <a:off x="9401391" y="329167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BE9F7C8A-276E-4934-B751-17E1888AE8C0}"/>
                </a:ext>
              </a:extLst>
            </xdr:cNvPr>
            <xdr:cNvSpPr txBox="1"/>
          </xdr:nvSpPr>
          <xdr:spPr>
            <a:xfrm>
              <a:off x="10125290" y="329167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BE9F7C8A-276E-4934-B751-17E1888AE8C0}"/>
                </a:ext>
              </a:extLst>
            </xdr:cNvPr>
            <xdr:cNvSpPr txBox="1"/>
          </xdr:nvSpPr>
          <xdr:spPr>
            <a:xfrm>
              <a:off x="10125290" y="329167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B503CCB-4073-4515-A597-9187F5A23A01}"/>
                </a:ext>
              </a:extLst>
            </xdr:cNvPr>
            <xdr:cNvSpPr txBox="1"/>
          </xdr:nvSpPr>
          <xdr:spPr>
            <a:xfrm>
              <a:off x="11070170" y="329167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3B503CCB-4073-4515-A597-9187F5A23A01}"/>
                </a:ext>
              </a:extLst>
            </xdr:cNvPr>
            <xdr:cNvSpPr txBox="1"/>
          </xdr:nvSpPr>
          <xdr:spPr>
            <a:xfrm>
              <a:off x="11070170" y="329167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53996C00-68C4-47D1-B602-9101D57619ED}"/>
                </a:ext>
              </a:extLst>
            </xdr:cNvPr>
            <xdr:cNvSpPr txBox="1"/>
          </xdr:nvSpPr>
          <xdr:spPr>
            <a:xfrm>
              <a:off x="12336794" y="329082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53996C00-68C4-47D1-B602-9101D57619ED}"/>
                </a:ext>
              </a:extLst>
            </xdr:cNvPr>
            <xdr:cNvSpPr txBox="1"/>
          </xdr:nvSpPr>
          <xdr:spPr>
            <a:xfrm>
              <a:off x="12336794" y="329082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C1BDB3B-5DA7-40CA-AE3D-B01E224C55B3}"/>
                </a:ext>
              </a:extLst>
            </xdr:cNvPr>
            <xdr:cNvSpPr txBox="1"/>
          </xdr:nvSpPr>
          <xdr:spPr>
            <a:xfrm>
              <a:off x="13187693" y="328997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C1BDB3B-5DA7-40CA-AE3D-B01E224C55B3}"/>
                </a:ext>
              </a:extLst>
            </xdr:cNvPr>
            <xdr:cNvSpPr txBox="1"/>
          </xdr:nvSpPr>
          <xdr:spPr>
            <a:xfrm>
              <a:off x="13187693" y="328997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8D4E71-0087-4FB4-87A6-CE9CEBE62099}"/>
                </a:ext>
              </a:extLst>
            </xdr:cNvPr>
            <xdr:cNvSpPr txBox="1"/>
          </xdr:nvSpPr>
          <xdr:spPr>
            <a:xfrm>
              <a:off x="14106323" y="349656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8D4E71-0087-4FB4-87A6-CE9CEBE62099}"/>
                </a:ext>
              </a:extLst>
            </xdr:cNvPr>
            <xdr:cNvSpPr txBox="1"/>
          </xdr:nvSpPr>
          <xdr:spPr>
            <a:xfrm>
              <a:off x="14106323" y="349656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158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B72FA07F-4660-4268-B6CF-80038DA664A9}"/>
                </a:ext>
              </a:extLst>
            </xdr:cNvPr>
            <xdr:cNvSpPr txBox="1"/>
          </xdr:nvSpPr>
          <xdr:spPr>
            <a:xfrm>
              <a:off x="13708380" y="3474127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B72FA07F-4660-4268-B6CF-80038DA664A9}"/>
                </a:ext>
              </a:extLst>
            </xdr:cNvPr>
            <xdr:cNvSpPr txBox="1"/>
          </xdr:nvSpPr>
          <xdr:spPr>
            <a:xfrm>
              <a:off x="13708380" y="3474127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166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5E56074-D3C3-43E1-87C2-553593CF49B1}"/>
                </a:ext>
              </a:extLst>
            </xdr:cNvPr>
            <xdr:cNvSpPr txBox="1"/>
          </xdr:nvSpPr>
          <xdr:spPr>
            <a:xfrm>
              <a:off x="15165490" y="365641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5E56074-D3C3-43E1-87C2-553593CF49B1}"/>
                </a:ext>
              </a:extLst>
            </xdr:cNvPr>
            <xdr:cNvSpPr txBox="1"/>
          </xdr:nvSpPr>
          <xdr:spPr>
            <a:xfrm>
              <a:off x="15165490" y="3656414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165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FC5856A-5BD2-4A73-A710-9D904D534141}"/>
                </a:ext>
              </a:extLst>
            </xdr:cNvPr>
            <xdr:cNvSpPr txBox="1"/>
          </xdr:nvSpPr>
          <xdr:spPr>
            <a:xfrm>
              <a:off x="3032765" y="3620008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FC5856A-5BD2-4A73-A710-9D904D534141}"/>
                </a:ext>
              </a:extLst>
            </xdr:cNvPr>
            <xdr:cNvSpPr txBox="1"/>
          </xdr:nvSpPr>
          <xdr:spPr>
            <a:xfrm>
              <a:off x="3032765" y="3620008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23E862AC-C149-405E-96C6-AC7DD1E6F147}"/>
                </a:ext>
              </a:extLst>
            </xdr:cNvPr>
            <xdr:cNvSpPr txBox="1"/>
          </xdr:nvSpPr>
          <xdr:spPr>
            <a:xfrm>
              <a:off x="5415282" y="362085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23E862AC-C149-405E-96C6-AC7DD1E6F147}"/>
                </a:ext>
              </a:extLst>
            </xdr:cNvPr>
            <xdr:cNvSpPr txBox="1"/>
          </xdr:nvSpPr>
          <xdr:spPr>
            <a:xfrm>
              <a:off x="5415282" y="362085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4C954CCD-1178-4B95-8EDE-4BB35457127C}"/>
                </a:ext>
              </a:extLst>
            </xdr:cNvPr>
            <xdr:cNvSpPr txBox="1"/>
          </xdr:nvSpPr>
          <xdr:spPr>
            <a:xfrm>
              <a:off x="242993" y="36432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4C954CCD-1178-4B95-8EDE-4BB35457127C}"/>
                </a:ext>
              </a:extLst>
            </xdr:cNvPr>
            <xdr:cNvSpPr txBox="1"/>
          </xdr:nvSpPr>
          <xdr:spPr>
            <a:xfrm>
              <a:off x="242993" y="364329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2B01DDA-4B69-4BC2-8707-81F0FC459DC8}"/>
                </a:ext>
              </a:extLst>
            </xdr:cNvPr>
            <xdr:cNvSpPr txBox="1"/>
          </xdr:nvSpPr>
          <xdr:spPr>
            <a:xfrm>
              <a:off x="243840" y="366632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2B01DDA-4B69-4BC2-8707-81F0FC459DC8}"/>
                </a:ext>
              </a:extLst>
            </xdr:cNvPr>
            <xdr:cNvSpPr txBox="1"/>
          </xdr:nvSpPr>
          <xdr:spPr>
            <a:xfrm>
              <a:off x="243840" y="366632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1AA42BAD-7460-43A1-837F-DB8E55CF5C39}"/>
                </a:ext>
              </a:extLst>
            </xdr:cNvPr>
            <xdr:cNvSpPr txBox="1"/>
          </xdr:nvSpPr>
          <xdr:spPr>
            <a:xfrm>
              <a:off x="243840" y="368909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1AA42BAD-7460-43A1-837F-DB8E55CF5C39}"/>
                </a:ext>
              </a:extLst>
            </xdr:cNvPr>
            <xdr:cNvSpPr txBox="1"/>
          </xdr:nvSpPr>
          <xdr:spPr>
            <a:xfrm>
              <a:off x="243840" y="368909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62F468AD-42B6-4A4A-A6EC-88B5FD03B9B4}"/>
                </a:ext>
              </a:extLst>
            </xdr:cNvPr>
            <xdr:cNvSpPr txBox="1"/>
          </xdr:nvSpPr>
          <xdr:spPr>
            <a:xfrm>
              <a:off x="243840" y="37117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62F468AD-42B6-4A4A-A6EC-88B5FD03B9B4}"/>
                </a:ext>
              </a:extLst>
            </xdr:cNvPr>
            <xdr:cNvSpPr txBox="1"/>
          </xdr:nvSpPr>
          <xdr:spPr>
            <a:xfrm>
              <a:off x="243840" y="371178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7A96CE68-A37F-430C-B008-7FD342A499DE}"/>
                </a:ext>
              </a:extLst>
            </xdr:cNvPr>
            <xdr:cNvSpPr txBox="1"/>
          </xdr:nvSpPr>
          <xdr:spPr>
            <a:xfrm>
              <a:off x="243840" y="37346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7A96CE68-A37F-430C-B008-7FD342A499DE}"/>
                </a:ext>
              </a:extLst>
            </xdr:cNvPr>
            <xdr:cNvSpPr txBox="1"/>
          </xdr:nvSpPr>
          <xdr:spPr>
            <a:xfrm>
              <a:off x="243840" y="373464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373F3A1D-37DB-4E6C-BCB4-430A16EFB36B}"/>
                </a:ext>
              </a:extLst>
            </xdr:cNvPr>
            <xdr:cNvSpPr txBox="1"/>
          </xdr:nvSpPr>
          <xdr:spPr>
            <a:xfrm>
              <a:off x="236220" y="37803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373F3A1D-37DB-4E6C-BCB4-430A16EFB36B}"/>
                </a:ext>
              </a:extLst>
            </xdr:cNvPr>
            <xdr:cNvSpPr txBox="1"/>
          </xdr:nvSpPr>
          <xdr:spPr>
            <a:xfrm>
              <a:off x="236220" y="378036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9E526ED9-D2EC-446F-B79E-4AB397E26614}"/>
                </a:ext>
              </a:extLst>
            </xdr:cNvPr>
            <xdr:cNvSpPr txBox="1"/>
          </xdr:nvSpPr>
          <xdr:spPr>
            <a:xfrm>
              <a:off x="228600" y="380331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9E526ED9-D2EC-446F-B79E-4AB397E26614}"/>
                </a:ext>
              </a:extLst>
            </xdr:cNvPr>
            <xdr:cNvSpPr txBox="1"/>
          </xdr:nvSpPr>
          <xdr:spPr>
            <a:xfrm>
              <a:off x="228600" y="380331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5F39C92-97AA-4206-86B9-243B2A38334E}"/>
                </a:ext>
              </a:extLst>
            </xdr:cNvPr>
            <xdr:cNvSpPr txBox="1"/>
          </xdr:nvSpPr>
          <xdr:spPr>
            <a:xfrm>
              <a:off x="228600" y="38261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75F39C92-97AA-4206-86B9-243B2A38334E}"/>
                </a:ext>
              </a:extLst>
            </xdr:cNvPr>
            <xdr:cNvSpPr txBox="1"/>
          </xdr:nvSpPr>
          <xdr:spPr>
            <a:xfrm>
              <a:off x="228600" y="382617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2507373-9BD6-412D-AA41-C52DF6280062}"/>
                </a:ext>
              </a:extLst>
            </xdr:cNvPr>
            <xdr:cNvSpPr txBox="1"/>
          </xdr:nvSpPr>
          <xdr:spPr>
            <a:xfrm>
              <a:off x="220980" y="384903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52507373-9BD6-412D-AA41-C52DF6280062}"/>
                </a:ext>
              </a:extLst>
            </xdr:cNvPr>
            <xdr:cNvSpPr txBox="1"/>
          </xdr:nvSpPr>
          <xdr:spPr>
            <a:xfrm>
              <a:off x="220980" y="384903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C98F74F-58AB-4E54-9272-6C05E4F511FF}"/>
                </a:ext>
              </a:extLst>
            </xdr:cNvPr>
            <xdr:cNvSpPr txBox="1"/>
          </xdr:nvSpPr>
          <xdr:spPr>
            <a:xfrm>
              <a:off x="243840" y="375750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6C98F74F-58AB-4E54-9272-6C05E4F511FF}"/>
                </a:ext>
              </a:extLst>
            </xdr:cNvPr>
            <xdr:cNvSpPr txBox="1"/>
          </xdr:nvSpPr>
          <xdr:spPr>
            <a:xfrm>
              <a:off x="243840" y="375750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77039</xdr:colOff>
      <xdr:row>165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D1ECA97D-44A8-4221-B123-18FDA19C16CB}"/>
                </a:ext>
              </a:extLst>
            </xdr:cNvPr>
            <xdr:cNvSpPr txBox="1"/>
          </xdr:nvSpPr>
          <xdr:spPr>
            <a:xfrm>
              <a:off x="6892706" y="36275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D1ECA97D-44A8-4221-B123-18FDA19C16CB}"/>
                </a:ext>
              </a:extLst>
            </xdr:cNvPr>
            <xdr:cNvSpPr txBox="1"/>
          </xdr:nvSpPr>
          <xdr:spPr>
            <a:xfrm>
              <a:off x="6892706" y="36275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7A678743-D107-4D39-91B9-D846F4B38047}"/>
                </a:ext>
              </a:extLst>
            </xdr:cNvPr>
            <xdr:cNvSpPr txBox="1"/>
          </xdr:nvSpPr>
          <xdr:spPr>
            <a:xfrm>
              <a:off x="8299884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7A678743-D107-4D39-91B9-D846F4B38047}"/>
                </a:ext>
              </a:extLst>
            </xdr:cNvPr>
            <xdr:cNvSpPr txBox="1"/>
          </xdr:nvSpPr>
          <xdr:spPr>
            <a:xfrm>
              <a:off x="8299884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5A16A361-7F2F-445F-92A2-3D57AFC825B0}"/>
                </a:ext>
              </a:extLst>
            </xdr:cNvPr>
            <xdr:cNvSpPr txBox="1"/>
          </xdr:nvSpPr>
          <xdr:spPr>
            <a:xfrm>
              <a:off x="9401391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5A16A361-7F2F-445F-92A2-3D57AFC825B0}"/>
                </a:ext>
              </a:extLst>
            </xdr:cNvPr>
            <xdr:cNvSpPr txBox="1"/>
          </xdr:nvSpPr>
          <xdr:spPr>
            <a:xfrm>
              <a:off x="9401391" y="362085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BD986A09-ADD6-4B2E-B6EE-B3A0159CFE35}"/>
                </a:ext>
              </a:extLst>
            </xdr:cNvPr>
            <xdr:cNvSpPr txBox="1"/>
          </xdr:nvSpPr>
          <xdr:spPr>
            <a:xfrm>
              <a:off x="10125290" y="362085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BD986A09-ADD6-4B2E-B6EE-B3A0159CFE35}"/>
                </a:ext>
              </a:extLst>
            </xdr:cNvPr>
            <xdr:cNvSpPr txBox="1"/>
          </xdr:nvSpPr>
          <xdr:spPr>
            <a:xfrm>
              <a:off x="10125290" y="362085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D975841E-FD8D-4278-B7EE-9A16C9816D4B}"/>
                </a:ext>
              </a:extLst>
            </xdr:cNvPr>
            <xdr:cNvSpPr txBox="1"/>
          </xdr:nvSpPr>
          <xdr:spPr>
            <a:xfrm>
              <a:off x="11070170" y="362085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D975841E-FD8D-4278-B7EE-9A16C9816D4B}"/>
                </a:ext>
              </a:extLst>
            </xdr:cNvPr>
            <xdr:cNvSpPr txBox="1"/>
          </xdr:nvSpPr>
          <xdr:spPr>
            <a:xfrm>
              <a:off x="11070170" y="362085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3DBA31C0-329D-4127-9ECA-E80ED7418058}"/>
                </a:ext>
              </a:extLst>
            </xdr:cNvPr>
            <xdr:cNvSpPr txBox="1"/>
          </xdr:nvSpPr>
          <xdr:spPr>
            <a:xfrm>
              <a:off x="12336794" y="362000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3DBA31C0-329D-4127-9ECA-E80ED7418058}"/>
                </a:ext>
              </a:extLst>
            </xdr:cNvPr>
            <xdr:cNvSpPr txBox="1"/>
          </xdr:nvSpPr>
          <xdr:spPr>
            <a:xfrm>
              <a:off x="12336794" y="362000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A4E5CADB-2F78-4D6C-9725-A241F7729AB2}"/>
                </a:ext>
              </a:extLst>
            </xdr:cNvPr>
            <xdr:cNvSpPr txBox="1"/>
          </xdr:nvSpPr>
          <xdr:spPr>
            <a:xfrm>
              <a:off x="13187693" y="361916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A4E5CADB-2F78-4D6C-9725-A241F7729AB2}"/>
                </a:ext>
              </a:extLst>
            </xdr:cNvPr>
            <xdr:cNvSpPr txBox="1"/>
          </xdr:nvSpPr>
          <xdr:spPr>
            <a:xfrm>
              <a:off x="13187693" y="361916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FF28A5B1-65C9-4E5F-894E-2E13446797ED}"/>
                </a:ext>
              </a:extLst>
            </xdr:cNvPr>
            <xdr:cNvSpPr txBox="1"/>
          </xdr:nvSpPr>
          <xdr:spPr>
            <a:xfrm>
              <a:off x="14106323" y="382574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FF28A5B1-65C9-4E5F-894E-2E13446797ED}"/>
                </a:ext>
              </a:extLst>
            </xdr:cNvPr>
            <xdr:cNvSpPr txBox="1"/>
          </xdr:nvSpPr>
          <xdr:spPr>
            <a:xfrm>
              <a:off x="14106323" y="382574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173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DA0DD2B7-87F1-4192-BDC6-26215923C3E1}"/>
                </a:ext>
              </a:extLst>
            </xdr:cNvPr>
            <xdr:cNvSpPr txBox="1"/>
          </xdr:nvSpPr>
          <xdr:spPr>
            <a:xfrm>
              <a:off x="13708380" y="3803311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DA0DD2B7-87F1-4192-BDC6-26215923C3E1}"/>
                </a:ext>
              </a:extLst>
            </xdr:cNvPr>
            <xdr:cNvSpPr txBox="1"/>
          </xdr:nvSpPr>
          <xdr:spPr>
            <a:xfrm>
              <a:off x="13708380" y="3803311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181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28038160-BEA9-49BA-9640-AC0FBEAD7583}"/>
                </a:ext>
              </a:extLst>
            </xdr:cNvPr>
            <xdr:cNvSpPr txBox="1"/>
          </xdr:nvSpPr>
          <xdr:spPr>
            <a:xfrm>
              <a:off x="15165490" y="398559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28038160-BEA9-49BA-9640-AC0FBEAD7583}"/>
                </a:ext>
              </a:extLst>
            </xdr:cNvPr>
            <xdr:cNvSpPr txBox="1"/>
          </xdr:nvSpPr>
          <xdr:spPr>
            <a:xfrm>
              <a:off x="15165490" y="3985598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180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2448D68D-63C6-4C82-9025-F4B5609CFBCF}"/>
                </a:ext>
              </a:extLst>
            </xdr:cNvPr>
            <xdr:cNvSpPr txBox="1"/>
          </xdr:nvSpPr>
          <xdr:spPr>
            <a:xfrm>
              <a:off x="3032765" y="3949192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2448D68D-63C6-4C82-9025-F4B5609CFBCF}"/>
                </a:ext>
              </a:extLst>
            </xdr:cNvPr>
            <xdr:cNvSpPr txBox="1"/>
          </xdr:nvSpPr>
          <xdr:spPr>
            <a:xfrm>
              <a:off x="3032765" y="3949192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180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4AD23F5E-5887-4992-86A2-0486F34190EE}"/>
                </a:ext>
              </a:extLst>
            </xdr:cNvPr>
            <xdr:cNvSpPr txBox="1"/>
          </xdr:nvSpPr>
          <xdr:spPr>
            <a:xfrm>
              <a:off x="5415282" y="395003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4AD23F5E-5887-4992-86A2-0486F34190EE}"/>
                </a:ext>
              </a:extLst>
            </xdr:cNvPr>
            <xdr:cNvSpPr txBox="1"/>
          </xdr:nvSpPr>
          <xdr:spPr>
            <a:xfrm>
              <a:off x="5415282" y="395003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181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62039216-5740-4EBA-A26C-0F17217BD649}"/>
                </a:ext>
              </a:extLst>
            </xdr:cNvPr>
            <xdr:cNvSpPr txBox="1"/>
          </xdr:nvSpPr>
          <xdr:spPr>
            <a:xfrm>
              <a:off x="242993" y="3972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62039216-5740-4EBA-A26C-0F17217BD649}"/>
                </a:ext>
              </a:extLst>
            </xdr:cNvPr>
            <xdr:cNvSpPr txBox="1"/>
          </xdr:nvSpPr>
          <xdr:spPr>
            <a:xfrm>
              <a:off x="242993" y="3972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7C8351F-4DA6-4B32-94E7-78EB2F3AC553}"/>
                </a:ext>
              </a:extLst>
            </xdr:cNvPr>
            <xdr:cNvSpPr txBox="1"/>
          </xdr:nvSpPr>
          <xdr:spPr>
            <a:xfrm>
              <a:off x="243840" y="399550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7C8351F-4DA6-4B32-94E7-78EB2F3AC553}"/>
                </a:ext>
              </a:extLst>
            </xdr:cNvPr>
            <xdr:cNvSpPr txBox="1"/>
          </xdr:nvSpPr>
          <xdr:spPr>
            <a:xfrm>
              <a:off x="243840" y="399550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A321F62E-FD3D-46F8-8F12-48B31973D149}"/>
                </a:ext>
              </a:extLst>
            </xdr:cNvPr>
            <xdr:cNvSpPr txBox="1"/>
          </xdr:nvSpPr>
          <xdr:spPr>
            <a:xfrm>
              <a:off x="243840" y="401828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A321F62E-FD3D-46F8-8F12-48B31973D149}"/>
                </a:ext>
              </a:extLst>
            </xdr:cNvPr>
            <xdr:cNvSpPr txBox="1"/>
          </xdr:nvSpPr>
          <xdr:spPr>
            <a:xfrm>
              <a:off x="243840" y="401828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C22C0AA-2380-4AF0-8EC5-4AEDECBBF65B}"/>
                </a:ext>
              </a:extLst>
            </xdr:cNvPr>
            <xdr:cNvSpPr txBox="1"/>
          </xdr:nvSpPr>
          <xdr:spPr>
            <a:xfrm>
              <a:off x="243840" y="40409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8C22C0AA-2380-4AF0-8EC5-4AEDECBBF65B}"/>
                </a:ext>
              </a:extLst>
            </xdr:cNvPr>
            <xdr:cNvSpPr txBox="1"/>
          </xdr:nvSpPr>
          <xdr:spPr>
            <a:xfrm>
              <a:off x="243840" y="404097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975430E-1AE1-4F09-93EF-791DA1EBE91A}"/>
                </a:ext>
              </a:extLst>
            </xdr:cNvPr>
            <xdr:cNvSpPr txBox="1"/>
          </xdr:nvSpPr>
          <xdr:spPr>
            <a:xfrm>
              <a:off x="243840" y="40638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975430E-1AE1-4F09-93EF-791DA1EBE91A}"/>
                </a:ext>
              </a:extLst>
            </xdr:cNvPr>
            <xdr:cNvSpPr txBox="1"/>
          </xdr:nvSpPr>
          <xdr:spPr>
            <a:xfrm>
              <a:off x="243840" y="406383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759E3B10-D025-477A-A3EE-37D0AE8F3A18}"/>
                </a:ext>
              </a:extLst>
            </xdr:cNvPr>
            <xdr:cNvSpPr txBox="1"/>
          </xdr:nvSpPr>
          <xdr:spPr>
            <a:xfrm>
              <a:off x="236220" y="41095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759E3B10-D025-477A-A3EE-37D0AE8F3A18}"/>
                </a:ext>
              </a:extLst>
            </xdr:cNvPr>
            <xdr:cNvSpPr txBox="1"/>
          </xdr:nvSpPr>
          <xdr:spPr>
            <a:xfrm>
              <a:off x="236220" y="410955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5EC4534D-8107-4BF0-80CC-F82EDE55C9CC}"/>
                </a:ext>
              </a:extLst>
            </xdr:cNvPr>
            <xdr:cNvSpPr txBox="1"/>
          </xdr:nvSpPr>
          <xdr:spPr>
            <a:xfrm>
              <a:off x="228600" y="41324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5EC4534D-8107-4BF0-80CC-F82EDE55C9CC}"/>
                </a:ext>
              </a:extLst>
            </xdr:cNvPr>
            <xdr:cNvSpPr txBox="1"/>
          </xdr:nvSpPr>
          <xdr:spPr>
            <a:xfrm>
              <a:off x="228600" y="41324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201ACCEC-3563-4F09-88BC-E3E485D56E9D}"/>
                </a:ext>
              </a:extLst>
            </xdr:cNvPr>
            <xdr:cNvSpPr txBox="1"/>
          </xdr:nvSpPr>
          <xdr:spPr>
            <a:xfrm>
              <a:off x="228600" y="41553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201ACCEC-3563-4F09-88BC-E3E485D56E9D}"/>
                </a:ext>
              </a:extLst>
            </xdr:cNvPr>
            <xdr:cNvSpPr txBox="1"/>
          </xdr:nvSpPr>
          <xdr:spPr>
            <a:xfrm>
              <a:off x="228600" y="41553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190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FA1F9FC-5119-4394-B097-7CE3A864B0B8}"/>
                </a:ext>
              </a:extLst>
            </xdr:cNvPr>
            <xdr:cNvSpPr txBox="1"/>
          </xdr:nvSpPr>
          <xdr:spPr>
            <a:xfrm>
              <a:off x="220980" y="417821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FA1F9FC-5119-4394-B097-7CE3A864B0B8}"/>
                </a:ext>
              </a:extLst>
            </xdr:cNvPr>
            <xdr:cNvSpPr txBox="1"/>
          </xdr:nvSpPr>
          <xdr:spPr>
            <a:xfrm>
              <a:off x="220980" y="417821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A378B294-1514-40E5-8970-F8352F4E3143}"/>
                </a:ext>
              </a:extLst>
            </xdr:cNvPr>
            <xdr:cNvSpPr txBox="1"/>
          </xdr:nvSpPr>
          <xdr:spPr>
            <a:xfrm>
              <a:off x="243840" y="40866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A378B294-1514-40E5-8970-F8352F4E3143}"/>
                </a:ext>
              </a:extLst>
            </xdr:cNvPr>
            <xdr:cNvSpPr txBox="1"/>
          </xdr:nvSpPr>
          <xdr:spPr>
            <a:xfrm>
              <a:off x="243840" y="408669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77039</xdr:colOff>
      <xdr:row>180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A70B85EC-DD75-4D17-BEFB-0DC3B4225711}"/>
                </a:ext>
              </a:extLst>
            </xdr:cNvPr>
            <xdr:cNvSpPr txBox="1"/>
          </xdr:nvSpPr>
          <xdr:spPr>
            <a:xfrm>
              <a:off x="6892706" y="39577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A70B85EC-DD75-4D17-BEFB-0DC3B4225711}"/>
                </a:ext>
              </a:extLst>
            </xdr:cNvPr>
            <xdr:cNvSpPr txBox="1"/>
          </xdr:nvSpPr>
          <xdr:spPr>
            <a:xfrm>
              <a:off x="6892706" y="39577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A0F1F266-7808-45AC-B9E9-A6DA25272E5B}"/>
                </a:ext>
              </a:extLst>
            </xdr:cNvPr>
            <xdr:cNvSpPr txBox="1"/>
          </xdr:nvSpPr>
          <xdr:spPr>
            <a:xfrm>
              <a:off x="8299884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A0F1F266-7808-45AC-B9E9-A6DA25272E5B}"/>
                </a:ext>
              </a:extLst>
            </xdr:cNvPr>
            <xdr:cNvSpPr txBox="1"/>
          </xdr:nvSpPr>
          <xdr:spPr>
            <a:xfrm>
              <a:off x="8299884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0E58718D-C29B-4086-B716-B487B4A43CBF}"/>
                </a:ext>
              </a:extLst>
            </xdr:cNvPr>
            <xdr:cNvSpPr txBox="1"/>
          </xdr:nvSpPr>
          <xdr:spPr>
            <a:xfrm>
              <a:off x="9401391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0E58718D-C29B-4086-B716-B487B4A43CBF}"/>
                </a:ext>
              </a:extLst>
            </xdr:cNvPr>
            <xdr:cNvSpPr txBox="1"/>
          </xdr:nvSpPr>
          <xdr:spPr>
            <a:xfrm>
              <a:off x="9401391" y="395003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180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9F08C4A0-8F07-476B-A198-C53FA3B0903F}"/>
                </a:ext>
              </a:extLst>
            </xdr:cNvPr>
            <xdr:cNvSpPr txBox="1"/>
          </xdr:nvSpPr>
          <xdr:spPr>
            <a:xfrm>
              <a:off x="10125290" y="395003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9F08C4A0-8F07-476B-A198-C53FA3B0903F}"/>
                </a:ext>
              </a:extLst>
            </xdr:cNvPr>
            <xdr:cNvSpPr txBox="1"/>
          </xdr:nvSpPr>
          <xdr:spPr>
            <a:xfrm>
              <a:off x="10125290" y="395003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180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42BCD7E-59B6-426B-ABB9-D05810A081EA}"/>
                </a:ext>
              </a:extLst>
            </xdr:cNvPr>
            <xdr:cNvSpPr txBox="1"/>
          </xdr:nvSpPr>
          <xdr:spPr>
            <a:xfrm>
              <a:off x="11070170" y="395003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42BCD7E-59B6-426B-ABB9-D05810A081EA}"/>
                </a:ext>
              </a:extLst>
            </xdr:cNvPr>
            <xdr:cNvSpPr txBox="1"/>
          </xdr:nvSpPr>
          <xdr:spPr>
            <a:xfrm>
              <a:off x="11070170" y="395003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180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9AA380F0-34D0-4D21-8F2D-843A003731BE}"/>
                </a:ext>
              </a:extLst>
            </xdr:cNvPr>
            <xdr:cNvSpPr txBox="1"/>
          </xdr:nvSpPr>
          <xdr:spPr>
            <a:xfrm>
              <a:off x="12336794" y="394919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9AA380F0-34D0-4D21-8F2D-843A003731BE}"/>
                </a:ext>
              </a:extLst>
            </xdr:cNvPr>
            <xdr:cNvSpPr txBox="1"/>
          </xdr:nvSpPr>
          <xdr:spPr>
            <a:xfrm>
              <a:off x="12336794" y="394919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180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2231B9A-F8F4-49CC-BFEA-E1F581785890}"/>
                </a:ext>
              </a:extLst>
            </xdr:cNvPr>
            <xdr:cNvSpPr txBox="1"/>
          </xdr:nvSpPr>
          <xdr:spPr>
            <a:xfrm>
              <a:off x="13187693" y="394834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2231B9A-F8F4-49CC-BFEA-E1F581785890}"/>
                </a:ext>
              </a:extLst>
            </xdr:cNvPr>
            <xdr:cNvSpPr txBox="1"/>
          </xdr:nvSpPr>
          <xdr:spPr>
            <a:xfrm>
              <a:off x="13187693" y="394834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189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4E6F23CE-0EE4-4C59-B19A-0064E6AF549A}"/>
                </a:ext>
              </a:extLst>
            </xdr:cNvPr>
            <xdr:cNvSpPr txBox="1"/>
          </xdr:nvSpPr>
          <xdr:spPr>
            <a:xfrm>
              <a:off x="14106323" y="415493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4E6F23CE-0EE4-4C59-B19A-0064E6AF549A}"/>
                </a:ext>
              </a:extLst>
            </xdr:cNvPr>
            <xdr:cNvSpPr txBox="1"/>
          </xdr:nvSpPr>
          <xdr:spPr>
            <a:xfrm>
              <a:off x="14106323" y="415493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188</xdr:row>
      <xdr:rowOff>16934</xdr:rowOff>
    </xdr:from>
    <xdr:ext cx="1220142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B0193F09-163C-4522-B67F-D8AEF15CF010}"/>
                </a:ext>
              </a:extLst>
            </xdr:cNvPr>
            <xdr:cNvSpPr txBox="1"/>
          </xdr:nvSpPr>
          <xdr:spPr>
            <a:xfrm>
              <a:off x="13708380" y="4132495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B0193F09-163C-4522-B67F-D8AEF15CF010}"/>
                </a:ext>
              </a:extLst>
            </xdr:cNvPr>
            <xdr:cNvSpPr txBox="1"/>
          </xdr:nvSpPr>
          <xdr:spPr>
            <a:xfrm>
              <a:off x="13708380" y="41324954"/>
              <a:ext cx="122014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245530</xdr:colOff>
      <xdr:row>196</xdr:row>
      <xdr:rowOff>148165</xdr:rowOff>
    </xdr:from>
    <xdr:ext cx="838691" cy="3852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221E38B-7AC3-4FB2-B0B3-29EBB7ADC66C}"/>
                </a:ext>
              </a:extLst>
            </xdr:cNvPr>
            <xdr:cNvSpPr txBox="1"/>
          </xdr:nvSpPr>
          <xdr:spPr>
            <a:xfrm>
              <a:off x="15165490" y="431478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𝜽</m:t>
                      </m:r>
                    </m:num>
                    <m:den>
                      <m:r>
                        <a:rPr lang="en-US" sz="16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𝜸</m:t>
                      </m:r>
                    </m:den>
                  </m:f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221E38B-7AC3-4FB2-B0B3-29EBB7ADC66C}"/>
                </a:ext>
              </a:extLst>
            </xdr:cNvPr>
            <xdr:cNvSpPr txBox="1"/>
          </xdr:nvSpPr>
          <xdr:spPr>
            <a:xfrm>
              <a:off x="15165490" y="43147825"/>
              <a:ext cx="838691" cy="3852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if (</a:t>
              </a:r>
              <a:r>
                <a:rPr lang="en-US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𝜽/𝜸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 &lt; cr1)</a:t>
              </a:r>
            </a:p>
          </xdr:txBody>
        </xdr:sp>
      </mc:Fallback>
    </mc:AlternateContent>
    <xdr:clientData/>
  </xdr:oneCellAnchor>
  <xdr:oneCellAnchor>
    <xdr:from>
      <xdr:col>3</xdr:col>
      <xdr:colOff>381005</xdr:colOff>
      <xdr:row>195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70734F3C-8C3D-4DC6-8B06-E947D1BEC694}"/>
                </a:ext>
              </a:extLst>
            </xdr:cNvPr>
            <xdr:cNvSpPr txBox="1"/>
          </xdr:nvSpPr>
          <xdr:spPr>
            <a:xfrm>
              <a:off x="3032765" y="4278376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70734F3C-8C3D-4DC6-8B06-E947D1BEC694}"/>
                </a:ext>
              </a:extLst>
            </xdr:cNvPr>
            <xdr:cNvSpPr txBox="1"/>
          </xdr:nvSpPr>
          <xdr:spPr>
            <a:xfrm>
              <a:off x="3032765" y="42783763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195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4C6D62-8AD3-42E8-88F1-389B37074D41}"/>
                </a:ext>
              </a:extLst>
            </xdr:cNvPr>
            <xdr:cNvSpPr txBox="1"/>
          </xdr:nvSpPr>
          <xdr:spPr>
            <a:xfrm>
              <a:off x="5415282" y="427922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4C6D62-8AD3-42E8-88F1-389B37074D41}"/>
                </a:ext>
              </a:extLst>
            </xdr:cNvPr>
            <xdr:cNvSpPr txBox="1"/>
          </xdr:nvSpPr>
          <xdr:spPr>
            <a:xfrm>
              <a:off x="5415282" y="427922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196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DFA2BE43-C659-4D81-A8C5-B9ED9D152181}"/>
                </a:ext>
              </a:extLst>
            </xdr:cNvPr>
            <xdr:cNvSpPr txBox="1"/>
          </xdr:nvSpPr>
          <xdr:spPr>
            <a:xfrm>
              <a:off x="242993" y="43016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DFA2BE43-C659-4D81-A8C5-B9ED9D152181}"/>
                </a:ext>
              </a:extLst>
            </xdr:cNvPr>
            <xdr:cNvSpPr txBox="1"/>
          </xdr:nvSpPr>
          <xdr:spPr>
            <a:xfrm>
              <a:off x="242993" y="430165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716CF507-4435-4F1E-8A99-3AB6E83BBC15}"/>
                </a:ext>
              </a:extLst>
            </xdr:cNvPr>
            <xdr:cNvSpPr txBox="1"/>
          </xdr:nvSpPr>
          <xdr:spPr>
            <a:xfrm>
              <a:off x="243840" y="432468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716CF507-4435-4F1E-8A99-3AB6E83BBC15}"/>
                </a:ext>
              </a:extLst>
            </xdr:cNvPr>
            <xdr:cNvSpPr txBox="1"/>
          </xdr:nvSpPr>
          <xdr:spPr>
            <a:xfrm>
              <a:off x="243840" y="432468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15F69064-7EA5-4BEB-9AD0-086607F541B2}"/>
                </a:ext>
              </a:extLst>
            </xdr:cNvPr>
            <xdr:cNvSpPr txBox="1"/>
          </xdr:nvSpPr>
          <xdr:spPr>
            <a:xfrm>
              <a:off x="243840" y="434746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15F69064-7EA5-4BEB-9AD0-086607F541B2}"/>
                </a:ext>
              </a:extLst>
            </xdr:cNvPr>
            <xdr:cNvSpPr txBox="1"/>
          </xdr:nvSpPr>
          <xdr:spPr>
            <a:xfrm>
              <a:off x="243840" y="434746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D709F38C-1836-460F-AA0F-9D0F3AE9D54D}"/>
                </a:ext>
              </a:extLst>
            </xdr:cNvPr>
            <xdr:cNvSpPr txBox="1"/>
          </xdr:nvSpPr>
          <xdr:spPr>
            <a:xfrm>
              <a:off x="243840" y="43701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D709F38C-1836-460F-AA0F-9D0F3AE9D54D}"/>
                </a:ext>
              </a:extLst>
            </xdr:cNvPr>
            <xdr:cNvSpPr txBox="1"/>
          </xdr:nvSpPr>
          <xdr:spPr>
            <a:xfrm>
              <a:off x="243840" y="437015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3841E6A-555A-4B8A-AF2B-58F2BCC2A3B9}"/>
                </a:ext>
              </a:extLst>
            </xdr:cNvPr>
            <xdr:cNvSpPr txBox="1"/>
          </xdr:nvSpPr>
          <xdr:spPr>
            <a:xfrm>
              <a:off x="243840" y="43930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3841E6A-555A-4B8A-AF2B-58F2BCC2A3B9}"/>
                </a:ext>
              </a:extLst>
            </xdr:cNvPr>
            <xdr:cNvSpPr txBox="1"/>
          </xdr:nvSpPr>
          <xdr:spPr>
            <a:xfrm>
              <a:off x="243840" y="439301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202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575AE1C9-1BD6-4203-8A34-F961949D60C2}"/>
                </a:ext>
              </a:extLst>
            </xdr:cNvPr>
            <xdr:cNvSpPr txBox="1"/>
          </xdr:nvSpPr>
          <xdr:spPr>
            <a:xfrm>
              <a:off x="236220" y="44387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575AE1C9-1BD6-4203-8A34-F961949D60C2}"/>
                </a:ext>
              </a:extLst>
            </xdr:cNvPr>
            <xdr:cNvSpPr txBox="1"/>
          </xdr:nvSpPr>
          <xdr:spPr>
            <a:xfrm>
              <a:off x="236220" y="443873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203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A70E6FA-9364-4AF7-B01D-0EB0F1202491}"/>
                </a:ext>
              </a:extLst>
            </xdr:cNvPr>
            <xdr:cNvSpPr txBox="1"/>
          </xdr:nvSpPr>
          <xdr:spPr>
            <a:xfrm>
              <a:off x="228600" y="446167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3A70E6FA-9364-4AF7-B01D-0EB0F1202491}"/>
                </a:ext>
              </a:extLst>
            </xdr:cNvPr>
            <xdr:cNvSpPr txBox="1"/>
          </xdr:nvSpPr>
          <xdr:spPr>
            <a:xfrm>
              <a:off x="228600" y="446167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204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9B6C7037-F590-473B-9243-27CED91B4D53}"/>
                </a:ext>
              </a:extLst>
            </xdr:cNvPr>
            <xdr:cNvSpPr txBox="1"/>
          </xdr:nvSpPr>
          <xdr:spPr>
            <a:xfrm>
              <a:off x="228600" y="44845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9B6C7037-F590-473B-9243-27CED91B4D53}"/>
                </a:ext>
              </a:extLst>
            </xdr:cNvPr>
            <xdr:cNvSpPr txBox="1"/>
          </xdr:nvSpPr>
          <xdr:spPr>
            <a:xfrm>
              <a:off x="228600" y="448453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205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76A95B61-EE66-4DE1-9AB2-6B96E1F0DB75}"/>
                </a:ext>
              </a:extLst>
            </xdr:cNvPr>
            <xdr:cNvSpPr txBox="1"/>
          </xdr:nvSpPr>
          <xdr:spPr>
            <a:xfrm>
              <a:off x="220980" y="450739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76A95B61-EE66-4DE1-9AB2-6B96E1F0DB75}"/>
                </a:ext>
              </a:extLst>
            </xdr:cNvPr>
            <xdr:cNvSpPr txBox="1"/>
          </xdr:nvSpPr>
          <xdr:spPr>
            <a:xfrm>
              <a:off x="220980" y="450739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F40F936-6C16-4B66-9916-B4E331828DE6}"/>
                </a:ext>
              </a:extLst>
            </xdr:cNvPr>
            <xdr:cNvSpPr txBox="1"/>
          </xdr:nvSpPr>
          <xdr:spPr>
            <a:xfrm>
              <a:off x="243840" y="44158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6F40F936-6C16-4B66-9916-B4E331828DE6}"/>
                </a:ext>
              </a:extLst>
            </xdr:cNvPr>
            <xdr:cNvSpPr txBox="1"/>
          </xdr:nvSpPr>
          <xdr:spPr>
            <a:xfrm>
              <a:off x="243840" y="441587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77038</xdr:colOff>
      <xdr:row>195</xdr:row>
      <xdr:rowOff>12702</xdr:rowOff>
    </xdr:from>
    <xdr:ext cx="936090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F71DF0F7-64B5-4A64-97F9-8D71976C6EDE}"/>
                </a:ext>
              </a:extLst>
            </xdr:cNvPr>
            <xdr:cNvSpPr txBox="1"/>
          </xdr:nvSpPr>
          <xdr:spPr>
            <a:xfrm>
              <a:off x="6892705" y="42879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F71DF0F7-64B5-4A64-97F9-8D71976C6EDE}"/>
                </a:ext>
              </a:extLst>
            </xdr:cNvPr>
            <xdr:cNvSpPr txBox="1"/>
          </xdr:nvSpPr>
          <xdr:spPr>
            <a:xfrm>
              <a:off x="6892705" y="42879435"/>
              <a:ext cx="936090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195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11F56B66-8C7A-43EB-BC62-06119E148238}"/>
                </a:ext>
              </a:extLst>
            </xdr:cNvPr>
            <xdr:cNvSpPr txBox="1"/>
          </xdr:nvSpPr>
          <xdr:spPr>
            <a:xfrm>
              <a:off x="8299884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11F56B66-8C7A-43EB-BC62-06119E148238}"/>
                </a:ext>
              </a:extLst>
            </xdr:cNvPr>
            <xdr:cNvSpPr txBox="1"/>
          </xdr:nvSpPr>
          <xdr:spPr>
            <a:xfrm>
              <a:off x="8299884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195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750F2BB4-CB2A-4AD0-B27F-2CCE62A7D6E4}"/>
                </a:ext>
              </a:extLst>
            </xdr:cNvPr>
            <xdr:cNvSpPr txBox="1"/>
          </xdr:nvSpPr>
          <xdr:spPr>
            <a:xfrm>
              <a:off x="9401391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750F2BB4-CB2A-4AD0-B27F-2CCE62A7D6E4}"/>
                </a:ext>
              </a:extLst>
            </xdr:cNvPr>
            <xdr:cNvSpPr txBox="1"/>
          </xdr:nvSpPr>
          <xdr:spPr>
            <a:xfrm>
              <a:off x="9401391" y="427922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195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B1DC503F-E998-46DC-A6AB-3C9B34166812}"/>
                </a:ext>
              </a:extLst>
            </xdr:cNvPr>
            <xdr:cNvSpPr txBox="1"/>
          </xdr:nvSpPr>
          <xdr:spPr>
            <a:xfrm>
              <a:off x="10125290" y="427922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B1DC503F-E998-46DC-A6AB-3C9B34166812}"/>
                </a:ext>
              </a:extLst>
            </xdr:cNvPr>
            <xdr:cNvSpPr txBox="1"/>
          </xdr:nvSpPr>
          <xdr:spPr>
            <a:xfrm>
              <a:off x="10125290" y="427922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195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650D3F52-35AA-4367-BAD9-A8CD6851AF79}"/>
                </a:ext>
              </a:extLst>
            </xdr:cNvPr>
            <xdr:cNvSpPr txBox="1"/>
          </xdr:nvSpPr>
          <xdr:spPr>
            <a:xfrm>
              <a:off x="11070170" y="427922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650D3F52-35AA-4367-BAD9-A8CD6851AF79}"/>
                </a:ext>
              </a:extLst>
            </xdr:cNvPr>
            <xdr:cNvSpPr txBox="1"/>
          </xdr:nvSpPr>
          <xdr:spPr>
            <a:xfrm>
              <a:off x="11070170" y="427922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195</xdr:row>
      <xdr:rowOff>21169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44ABD91-E0C1-40EC-B060-53D9389AB355}"/>
                </a:ext>
              </a:extLst>
            </xdr:cNvPr>
            <xdr:cNvSpPr txBox="1"/>
          </xdr:nvSpPr>
          <xdr:spPr>
            <a:xfrm>
              <a:off x="12336794" y="4279222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44ABD91-E0C1-40EC-B060-53D9389AB355}"/>
                </a:ext>
              </a:extLst>
            </xdr:cNvPr>
            <xdr:cNvSpPr txBox="1"/>
          </xdr:nvSpPr>
          <xdr:spPr>
            <a:xfrm>
              <a:off x="12336794" y="4279222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195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6AB89893-0C06-49A0-960F-A20DE84C5423}"/>
                </a:ext>
              </a:extLst>
            </xdr:cNvPr>
            <xdr:cNvSpPr txBox="1"/>
          </xdr:nvSpPr>
          <xdr:spPr>
            <a:xfrm>
              <a:off x="13187693" y="427752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6AB89893-0C06-49A0-960F-A20DE84C5423}"/>
                </a:ext>
              </a:extLst>
            </xdr:cNvPr>
            <xdr:cNvSpPr txBox="1"/>
          </xdr:nvSpPr>
          <xdr:spPr>
            <a:xfrm>
              <a:off x="13187693" y="427752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204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2C13758D-F2DD-4B50-BC04-AC218479C65B}"/>
                </a:ext>
              </a:extLst>
            </xdr:cNvPr>
            <xdr:cNvSpPr txBox="1"/>
          </xdr:nvSpPr>
          <xdr:spPr>
            <a:xfrm>
              <a:off x="14106323" y="448411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2C13758D-F2DD-4B50-BC04-AC218479C65B}"/>
                </a:ext>
              </a:extLst>
            </xdr:cNvPr>
            <xdr:cNvSpPr txBox="1"/>
          </xdr:nvSpPr>
          <xdr:spPr>
            <a:xfrm>
              <a:off x="14106323" y="448411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203</xdr:row>
      <xdr:rowOff>16934</xdr:rowOff>
    </xdr:from>
    <xdr:ext cx="1220141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D4547E1A-475A-4D6A-BDE7-14C724536A6D}"/>
                </a:ext>
              </a:extLst>
            </xdr:cNvPr>
            <xdr:cNvSpPr txBox="1"/>
          </xdr:nvSpPr>
          <xdr:spPr>
            <a:xfrm>
              <a:off x="13708380" y="44616794"/>
              <a:ext cx="1220141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D4547E1A-475A-4D6A-BDE7-14C724536A6D}"/>
                </a:ext>
              </a:extLst>
            </xdr:cNvPr>
            <xdr:cNvSpPr txBox="1"/>
          </xdr:nvSpPr>
          <xdr:spPr>
            <a:xfrm>
              <a:off x="13708380" y="44616794"/>
              <a:ext cx="1220141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𝑹(𝑺_𝒕^𝟑)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(𝒂_𝒕𝟏𝟑)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209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745EC041-9A94-45E6-A86D-A23E92FF4AE4}"/>
                </a:ext>
              </a:extLst>
            </xdr:cNvPr>
            <xdr:cNvSpPr txBox="1"/>
          </xdr:nvSpPr>
          <xdr:spPr>
            <a:xfrm>
              <a:off x="12440075" y="4586647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745EC041-9A94-45E6-A86D-A23E92FF4AE4}"/>
                </a:ext>
              </a:extLst>
            </xdr:cNvPr>
            <xdr:cNvSpPr txBox="1"/>
          </xdr:nvSpPr>
          <xdr:spPr>
            <a:xfrm>
              <a:off x="12440075" y="4586647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212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7061DADD-D366-4435-9B29-F7AB2F699824}"/>
                </a:ext>
              </a:extLst>
            </xdr:cNvPr>
            <xdr:cNvSpPr txBox="1"/>
          </xdr:nvSpPr>
          <xdr:spPr>
            <a:xfrm>
              <a:off x="12168296" y="4654380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7061DADD-D366-4435-9B29-F7AB2F699824}"/>
                </a:ext>
              </a:extLst>
            </xdr:cNvPr>
            <xdr:cNvSpPr txBox="1"/>
          </xdr:nvSpPr>
          <xdr:spPr>
            <a:xfrm>
              <a:off x="12168296" y="4654380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209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803EDEC-59FF-4A56-B303-4ABB0022CE19}"/>
                </a:ext>
              </a:extLst>
            </xdr:cNvPr>
            <xdr:cNvSpPr txBox="1"/>
          </xdr:nvSpPr>
          <xdr:spPr>
            <a:xfrm>
              <a:off x="11239510" y="459740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803EDEC-59FF-4A56-B303-4ABB0022CE19}"/>
                </a:ext>
              </a:extLst>
            </xdr:cNvPr>
            <xdr:cNvSpPr txBox="1"/>
          </xdr:nvSpPr>
          <xdr:spPr>
            <a:xfrm>
              <a:off x="11239510" y="459740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212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C88866C1-7111-415C-88F2-43860FC81924}"/>
                </a:ext>
              </a:extLst>
            </xdr:cNvPr>
            <xdr:cNvSpPr txBox="1"/>
          </xdr:nvSpPr>
          <xdr:spPr>
            <a:xfrm>
              <a:off x="11332647" y="4665980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C88866C1-7111-415C-88F2-43860FC81924}"/>
                </a:ext>
              </a:extLst>
            </xdr:cNvPr>
            <xdr:cNvSpPr txBox="1"/>
          </xdr:nvSpPr>
          <xdr:spPr>
            <a:xfrm>
              <a:off x="11332647" y="4665980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221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6E6001AE-BF08-49E9-ACE6-1576622BF55A}"/>
                </a:ext>
              </a:extLst>
            </xdr:cNvPr>
            <xdr:cNvSpPr txBox="1"/>
          </xdr:nvSpPr>
          <xdr:spPr>
            <a:xfrm>
              <a:off x="13035292" y="4837006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6E6001AE-BF08-49E9-ACE6-1576622BF55A}"/>
                </a:ext>
              </a:extLst>
            </xdr:cNvPr>
            <xdr:cNvSpPr txBox="1"/>
          </xdr:nvSpPr>
          <xdr:spPr>
            <a:xfrm>
              <a:off x="13035292" y="4837006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226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B0B6587E-D65A-4A39-9762-D0092082A1E5}"/>
                </a:ext>
              </a:extLst>
            </xdr:cNvPr>
            <xdr:cNvSpPr txBox="1"/>
          </xdr:nvSpPr>
          <xdr:spPr>
            <a:xfrm>
              <a:off x="13094557" y="4951306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B0B6587E-D65A-4A39-9762-D0092082A1E5}"/>
                </a:ext>
              </a:extLst>
            </xdr:cNvPr>
            <xdr:cNvSpPr txBox="1"/>
          </xdr:nvSpPr>
          <xdr:spPr>
            <a:xfrm>
              <a:off x="13094557" y="4951306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279393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C425FEE-A37C-4315-B203-08DCADD59F84}"/>
                </a:ext>
              </a:extLst>
            </xdr:cNvPr>
            <xdr:cNvSpPr txBox="1"/>
          </xdr:nvSpPr>
          <xdr:spPr>
            <a:xfrm>
              <a:off x="12235173" y="483023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C425FEE-A37C-4315-B203-08DCADD59F84}"/>
                </a:ext>
              </a:extLst>
            </xdr:cNvPr>
            <xdr:cNvSpPr txBox="1"/>
          </xdr:nvSpPr>
          <xdr:spPr>
            <a:xfrm>
              <a:off x="12235173" y="483023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8BEC8B2B-CFF5-4D07-9881-BDE03FEA7A4B}"/>
                </a:ext>
              </a:extLst>
            </xdr:cNvPr>
            <xdr:cNvSpPr txBox="1"/>
          </xdr:nvSpPr>
          <xdr:spPr>
            <a:xfrm>
              <a:off x="4330699" y="532045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8BEC8B2B-CFF5-4D07-9881-BDE03FEA7A4B}"/>
                </a:ext>
              </a:extLst>
            </xdr:cNvPr>
            <xdr:cNvSpPr txBox="1"/>
          </xdr:nvSpPr>
          <xdr:spPr>
            <a:xfrm>
              <a:off x="4330699" y="532045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CE552ACA-F973-4645-BA70-97C3EBBA760F}"/>
                </a:ext>
              </a:extLst>
            </xdr:cNvPr>
            <xdr:cNvSpPr txBox="1"/>
          </xdr:nvSpPr>
          <xdr:spPr>
            <a:xfrm>
              <a:off x="4415369" y="554905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CE552ACA-F973-4645-BA70-97C3EBBA760F}"/>
                </a:ext>
              </a:extLst>
            </xdr:cNvPr>
            <xdr:cNvSpPr txBox="1"/>
          </xdr:nvSpPr>
          <xdr:spPr>
            <a:xfrm>
              <a:off x="4415369" y="554905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304794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E474B8EB-7E4F-4700-A957-6EDD9D673F7C}"/>
                </a:ext>
              </a:extLst>
            </xdr:cNvPr>
            <xdr:cNvSpPr txBox="1"/>
          </xdr:nvSpPr>
          <xdr:spPr>
            <a:xfrm>
              <a:off x="12260574" y="529928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E474B8EB-7E4F-4700-A957-6EDD9D673F7C}"/>
                </a:ext>
              </a:extLst>
            </xdr:cNvPr>
            <xdr:cNvSpPr txBox="1"/>
          </xdr:nvSpPr>
          <xdr:spPr>
            <a:xfrm>
              <a:off x="12260574" y="529928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296327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EB350748-D00E-43B5-8436-59632D47E90E}"/>
                </a:ext>
              </a:extLst>
            </xdr:cNvPr>
            <xdr:cNvSpPr txBox="1"/>
          </xdr:nvSpPr>
          <xdr:spPr>
            <a:xfrm>
              <a:off x="12252107" y="507915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EB350748-D00E-43B5-8436-59632D47E90E}"/>
                </a:ext>
              </a:extLst>
            </xdr:cNvPr>
            <xdr:cNvSpPr txBox="1"/>
          </xdr:nvSpPr>
          <xdr:spPr>
            <a:xfrm>
              <a:off x="12252107" y="507915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13</xdr:col>
      <xdr:colOff>592685</xdr:colOff>
      <xdr:row>219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79EA1F78-7C18-495F-A9DB-4C14A05D9A70}"/>
                </a:ext>
              </a:extLst>
            </xdr:cNvPr>
            <xdr:cNvSpPr txBox="1"/>
          </xdr:nvSpPr>
          <xdr:spPr>
            <a:xfrm>
              <a:off x="13424765" y="4811607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79EA1F78-7C18-495F-A9DB-4C14A05D9A70}"/>
                </a:ext>
              </a:extLst>
            </xdr:cNvPr>
            <xdr:cNvSpPr txBox="1"/>
          </xdr:nvSpPr>
          <xdr:spPr>
            <a:xfrm>
              <a:off x="13424765" y="4811607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3A8AB8CE-7B7E-4128-865F-8C47127FB918}"/>
                </a:ext>
              </a:extLst>
            </xdr:cNvPr>
            <xdr:cNvSpPr txBox="1"/>
          </xdr:nvSpPr>
          <xdr:spPr>
            <a:xfrm>
              <a:off x="9502989" y="532892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3A8AB8CE-7B7E-4128-865F-8C47127FB918}"/>
                </a:ext>
              </a:extLst>
            </xdr:cNvPr>
            <xdr:cNvSpPr txBox="1"/>
          </xdr:nvSpPr>
          <xdr:spPr>
            <a:xfrm>
              <a:off x="9502989" y="532892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254000</xdr:colOff>
      <xdr:row>24</xdr:row>
      <xdr:rowOff>25401</xdr:rowOff>
    </xdr:from>
    <xdr:ext cx="43447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87D8967-69FE-49D2-80BE-BD9BFC891019}"/>
                </a:ext>
              </a:extLst>
            </xdr:cNvPr>
            <xdr:cNvSpPr txBox="1"/>
          </xdr:nvSpPr>
          <xdr:spPr>
            <a:xfrm>
              <a:off x="10320020" y="5328921"/>
              <a:ext cx="43447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/{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87D8967-69FE-49D2-80BE-BD9BFC891019}"/>
                </a:ext>
              </a:extLst>
            </xdr:cNvPr>
            <xdr:cNvSpPr txBox="1"/>
          </xdr:nvSpPr>
          <xdr:spPr>
            <a:xfrm>
              <a:off x="10320020" y="5328921"/>
              <a:ext cx="43447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𝑷/{𝒖}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347137</xdr:colOff>
      <xdr:row>22</xdr:row>
      <xdr:rowOff>16934</xdr:rowOff>
    </xdr:from>
    <xdr:ext cx="24602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501111B-DEAF-4AF3-A5E7-C5EF2F61C273}"/>
                </a:ext>
              </a:extLst>
            </xdr:cNvPr>
            <xdr:cNvSpPr txBox="1"/>
          </xdr:nvSpPr>
          <xdr:spPr>
            <a:xfrm>
              <a:off x="10413157" y="4863254"/>
              <a:ext cx="24602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C501111B-DEAF-4AF3-A5E7-C5EF2F61C273}"/>
                </a:ext>
              </a:extLst>
            </xdr:cNvPr>
            <xdr:cNvSpPr txBox="1"/>
          </xdr:nvSpPr>
          <xdr:spPr>
            <a:xfrm>
              <a:off x="10413157" y="4863254"/>
              <a:ext cx="24602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220132</xdr:colOff>
      <xdr:row>223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068F4152-281A-4725-8FED-732AEE67528D}"/>
                </a:ext>
              </a:extLst>
            </xdr:cNvPr>
            <xdr:cNvSpPr txBox="1"/>
          </xdr:nvSpPr>
          <xdr:spPr>
            <a:xfrm>
              <a:off x="13052212" y="488315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068F4152-281A-4725-8FED-732AEE67528D}"/>
                </a:ext>
              </a:extLst>
            </xdr:cNvPr>
            <xdr:cNvSpPr txBox="1"/>
          </xdr:nvSpPr>
          <xdr:spPr>
            <a:xfrm>
              <a:off x="13052212" y="4883150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406407</xdr:colOff>
      <xdr:row>223</xdr:row>
      <xdr:rowOff>25401</xdr:rowOff>
    </xdr:from>
    <xdr:ext cx="39530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34ED8594-19C6-4C34-A726-0A7783FA137D}"/>
                </a:ext>
              </a:extLst>
            </xdr:cNvPr>
            <xdr:cNvSpPr txBox="1"/>
          </xdr:nvSpPr>
          <xdr:spPr>
            <a:xfrm>
              <a:off x="14130874" y="4896273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34ED8594-19C6-4C34-A726-0A7783FA137D}"/>
                </a:ext>
              </a:extLst>
            </xdr:cNvPr>
            <xdr:cNvSpPr txBox="1"/>
          </xdr:nvSpPr>
          <xdr:spPr>
            <a:xfrm>
              <a:off x="14130874" y="4896273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222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6F5FBFB2-F8E2-444D-B3C6-8AFEC9CF32DF}"/>
                </a:ext>
              </a:extLst>
            </xdr:cNvPr>
            <xdr:cNvSpPr txBox="1"/>
          </xdr:nvSpPr>
          <xdr:spPr>
            <a:xfrm>
              <a:off x="13060693" y="485986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6F5FBFB2-F8E2-444D-B3C6-8AFEC9CF32DF}"/>
                </a:ext>
              </a:extLst>
            </xdr:cNvPr>
            <xdr:cNvSpPr txBox="1"/>
          </xdr:nvSpPr>
          <xdr:spPr>
            <a:xfrm>
              <a:off x="13060693" y="485986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225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2EC787CB-E4B1-4035-B661-17F0537C3B66}"/>
                </a:ext>
              </a:extLst>
            </xdr:cNvPr>
            <xdr:cNvSpPr txBox="1"/>
          </xdr:nvSpPr>
          <xdr:spPr>
            <a:xfrm>
              <a:off x="13153815" y="4928870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2EC787CB-E4B1-4035-B661-17F0537C3B66}"/>
                </a:ext>
              </a:extLst>
            </xdr:cNvPr>
            <xdr:cNvSpPr txBox="1"/>
          </xdr:nvSpPr>
          <xdr:spPr>
            <a:xfrm>
              <a:off x="13153815" y="4928870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288719</xdr:colOff>
      <xdr:row>225</xdr:row>
      <xdr:rowOff>16934</xdr:rowOff>
    </xdr:from>
    <xdr:ext cx="64434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976DB9B4-2751-4125-ACA6-E42B98C3734E}"/>
                </a:ext>
              </a:extLst>
            </xdr:cNvPr>
            <xdr:cNvSpPr txBox="1"/>
          </xdr:nvSpPr>
          <xdr:spPr>
            <a:xfrm>
              <a:off x="14013186" y="49411467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976DB9B4-2751-4125-ACA6-E42B98C3734E}"/>
                </a:ext>
              </a:extLst>
            </xdr:cNvPr>
            <xdr:cNvSpPr txBox="1"/>
          </xdr:nvSpPr>
          <xdr:spPr>
            <a:xfrm>
              <a:off x="14013186" y="49411467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457208</xdr:colOff>
      <xdr:row>220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BBC26B66-D726-46AF-BD2D-F2D7F94B7868}"/>
                </a:ext>
              </a:extLst>
            </xdr:cNvPr>
            <xdr:cNvSpPr txBox="1"/>
          </xdr:nvSpPr>
          <xdr:spPr>
            <a:xfrm>
              <a:off x="3107275" y="483235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BBC26B66-D726-46AF-BD2D-F2D7F94B7868}"/>
                </a:ext>
              </a:extLst>
            </xdr:cNvPr>
            <xdr:cNvSpPr txBox="1"/>
          </xdr:nvSpPr>
          <xdr:spPr>
            <a:xfrm>
              <a:off x="3107275" y="483235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𝜼_𝟔 "(" 𝒂_𝒕𝟔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220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700EFB43-E012-4F2A-9400-BF6E335D156A}"/>
                </a:ext>
              </a:extLst>
            </xdr:cNvPr>
            <xdr:cNvSpPr txBox="1"/>
          </xdr:nvSpPr>
          <xdr:spPr>
            <a:xfrm>
              <a:off x="5415282" y="481414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700EFB43-E012-4F2A-9400-BF6E335D156A}"/>
                </a:ext>
              </a:extLst>
            </xdr:cNvPr>
            <xdr:cNvSpPr txBox="1"/>
          </xdr:nvSpPr>
          <xdr:spPr>
            <a:xfrm>
              <a:off x="5415282" y="481414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221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5EE1FFF7-5CCC-48F0-B931-F6F7B33D98E7}"/>
                </a:ext>
              </a:extLst>
            </xdr:cNvPr>
            <xdr:cNvSpPr txBox="1"/>
          </xdr:nvSpPr>
          <xdr:spPr>
            <a:xfrm>
              <a:off x="242993" y="48365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5EE1FFF7-5CCC-48F0-B931-F6F7B33D98E7}"/>
                </a:ext>
              </a:extLst>
            </xdr:cNvPr>
            <xdr:cNvSpPr txBox="1"/>
          </xdr:nvSpPr>
          <xdr:spPr>
            <a:xfrm>
              <a:off x="242993" y="483658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26612CD5-E2BF-46D8-B93A-2AF3FBDFDC60}"/>
                </a:ext>
              </a:extLst>
            </xdr:cNvPr>
            <xdr:cNvSpPr txBox="1"/>
          </xdr:nvSpPr>
          <xdr:spPr>
            <a:xfrm>
              <a:off x="243840" y="485961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26612CD5-E2BF-46D8-B93A-2AF3FBDFDC60}"/>
                </a:ext>
              </a:extLst>
            </xdr:cNvPr>
            <xdr:cNvSpPr txBox="1"/>
          </xdr:nvSpPr>
          <xdr:spPr>
            <a:xfrm>
              <a:off x="243840" y="485961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213E7567-FF8D-4D86-8F6B-2BFAC87D4919}"/>
                </a:ext>
              </a:extLst>
            </xdr:cNvPr>
            <xdr:cNvSpPr txBox="1"/>
          </xdr:nvSpPr>
          <xdr:spPr>
            <a:xfrm>
              <a:off x="243840" y="488238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213E7567-FF8D-4D86-8F6B-2BFAC87D4919}"/>
                </a:ext>
              </a:extLst>
            </xdr:cNvPr>
            <xdr:cNvSpPr txBox="1"/>
          </xdr:nvSpPr>
          <xdr:spPr>
            <a:xfrm>
              <a:off x="243840" y="488238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A75E8C3-ADAE-43E9-83B5-168CDCBC530C}"/>
                </a:ext>
              </a:extLst>
            </xdr:cNvPr>
            <xdr:cNvSpPr txBox="1"/>
          </xdr:nvSpPr>
          <xdr:spPr>
            <a:xfrm>
              <a:off x="243840" y="4905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CA75E8C3-ADAE-43E9-83B5-168CDCBC530C}"/>
                </a:ext>
              </a:extLst>
            </xdr:cNvPr>
            <xdr:cNvSpPr txBox="1"/>
          </xdr:nvSpPr>
          <xdr:spPr>
            <a:xfrm>
              <a:off x="243840" y="490507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55D0AD-5762-4479-9714-08EFA7C77EAD}"/>
                </a:ext>
              </a:extLst>
            </xdr:cNvPr>
            <xdr:cNvSpPr txBox="1"/>
          </xdr:nvSpPr>
          <xdr:spPr>
            <a:xfrm>
              <a:off x="243840" y="49279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7E55D0AD-5762-4479-9714-08EFA7C77EAD}"/>
                </a:ext>
              </a:extLst>
            </xdr:cNvPr>
            <xdr:cNvSpPr txBox="1"/>
          </xdr:nvSpPr>
          <xdr:spPr>
            <a:xfrm>
              <a:off x="243840" y="492793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98915E3D-EA74-4B1F-AC49-D3E0CCAE5C70}"/>
                </a:ext>
              </a:extLst>
            </xdr:cNvPr>
            <xdr:cNvSpPr txBox="1"/>
          </xdr:nvSpPr>
          <xdr:spPr>
            <a:xfrm>
              <a:off x="236220" y="49736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98915E3D-EA74-4B1F-AC49-D3E0CCAE5C70}"/>
                </a:ext>
              </a:extLst>
            </xdr:cNvPr>
            <xdr:cNvSpPr txBox="1"/>
          </xdr:nvSpPr>
          <xdr:spPr>
            <a:xfrm>
              <a:off x="236220" y="497365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336C4023-E919-47BB-A7DF-049EAD8797E5}"/>
                </a:ext>
              </a:extLst>
            </xdr:cNvPr>
            <xdr:cNvSpPr txBox="1"/>
          </xdr:nvSpPr>
          <xdr:spPr>
            <a:xfrm>
              <a:off x="237067" y="49966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336C4023-E919-47BB-A7DF-049EAD8797E5}"/>
                </a:ext>
              </a:extLst>
            </xdr:cNvPr>
            <xdr:cNvSpPr txBox="1"/>
          </xdr:nvSpPr>
          <xdr:spPr>
            <a:xfrm>
              <a:off x="237067" y="499660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D3C85823-0EF0-4B23-A768-891B8CE1D0DE}"/>
                </a:ext>
              </a:extLst>
            </xdr:cNvPr>
            <xdr:cNvSpPr txBox="1"/>
          </xdr:nvSpPr>
          <xdr:spPr>
            <a:xfrm>
              <a:off x="237067" y="501946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D3C85823-0EF0-4B23-A768-891B8CE1D0DE}"/>
                </a:ext>
              </a:extLst>
            </xdr:cNvPr>
            <xdr:cNvSpPr txBox="1"/>
          </xdr:nvSpPr>
          <xdr:spPr>
            <a:xfrm>
              <a:off x="237067" y="501946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229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1152BE94-B6E2-499A-8B2D-EBB29FFB27A9}"/>
                </a:ext>
              </a:extLst>
            </xdr:cNvPr>
            <xdr:cNvSpPr txBox="1"/>
          </xdr:nvSpPr>
          <xdr:spPr>
            <a:xfrm>
              <a:off x="212513" y="5040629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1152BE94-B6E2-499A-8B2D-EBB29FFB27A9}"/>
                </a:ext>
              </a:extLst>
            </xdr:cNvPr>
            <xdr:cNvSpPr txBox="1"/>
          </xdr:nvSpPr>
          <xdr:spPr>
            <a:xfrm>
              <a:off x="212513" y="5040629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77666A7B-03A6-4F47-9BEF-A9B599C63A8A}"/>
                </a:ext>
              </a:extLst>
            </xdr:cNvPr>
            <xdr:cNvSpPr txBox="1"/>
          </xdr:nvSpPr>
          <xdr:spPr>
            <a:xfrm>
              <a:off x="243840" y="49507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77666A7B-03A6-4F47-9BEF-A9B599C63A8A}"/>
                </a:ext>
              </a:extLst>
            </xdr:cNvPr>
            <xdr:cNvSpPr txBox="1"/>
          </xdr:nvSpPr>
          <xdr:spPr>
            <a:xfrm>
              <a:off x="243840" y="495079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102440</xdr:colOff>
      <xdr:row>220</xdr:row>
      <xdr:rowOff>12702</xdr:rowOff>
    </xdr:from>
    <xdr:ext cx="868892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65AB153E-5B6C-4323-B132-D08BF3A8A678}"/>
                </a:ext>
              </a:extLst>
            </xdr:cNvPr>
            <xdr:cNvSpPr txBox="1"/>
          </xdr:nvSpPr>
          <xdr:spPr>
            <a:xfrm>
              <a:off x="6918107" y="48331969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65AB153E-5B6C-4323-B132-D08BF3A8A678}"/>
                </a:ext>
              </a:extLst>
            </xdr:cNvPr>
            <xdr:cNvSpPr txBox="1"/>
          </xdr:nvSpPr>
          <xdr:spPr>
            <a:xfrm>
              <a:off x="6918107" y="48331969"/>
              <a:ext cx="868892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𝒃_𝒕^(𝟑+𝟔)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17770</xdr:colOff>
      <xdr:row>220</xdr:row>
      <xdr:rowOff>12702</xdr:rowOff>
    </xdr:from>
    <xdr:ext cx="1097736" cy="1909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23C6AF92-5289-4FEC-997F-195A7F554002}"/>
                </a:ext>
              </a:extLst>
            </xdr:cNvPr>
            <xdr:cNvSpPr txBox="1"/>
          </xdr:nvSpPr>
          <xdr:spPr>
            <a:xfrm>
              <a:off x="7917170" y="48331969"/>
              <a:ext cx="1097736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23C6AF92-5289-4FEC-997F-195A7F554002}"/>
                </a:ext>
              </a:extLst>
            </xdr:cNvPr>
            <xdr:cNvSpPr txBox="1"/>
          </xdr:nvSpPr>
          <xdr:spPr>
            <a:xfrm>
              <a:off x="7917170" y="48331969"/>
              <a:ext cx="1097736" cy="1909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〖𝑹(𝑺〗_𝒕^(𝟑+𝟔))(𝑺𝒊𝒈𝒎)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117683</xdr:colOff>
      <xdr:row>231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80D93C0-802F-47D3-8F58-074EB5AFA3A3}"/>
                </a:ext>
              </a:extLst>
            </xdr:cNvPr>
            <xdr:cNvSpPr txBox="1"/>
          </xdr:nvSpPr>
          <xdr:spPr>
            <a:xfrm>
              <a:off x="12949763" y="5078306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80D93C0-802F-47D3-8F58-074EB5AFA3A3}"/>
                </a:ext>
              </a:extLst>
            </xdr:cNvPr>
            <xdr:cNvSpPr txBox="1"/>
          </xdr:nvSpPr>
          <xdr:spPr>
            <a:xfrm>
              <a:off x="12949763" y="5078306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224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166B1C9-6B28-4F77-AD9A-8C7698AA8A4B}"/>
                </a:ext>
              </a:extLst>
            </xdr:cNvPr>
            <xdr:cNvSpPr txBox="1"/>
          </xdr:nvSpPr>
          <xdr:spPr>
            <a:xfrm>
              <a:off x="13001420" y="490558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166B1C9-6B28-4F77-AD9A-8C7698AA8A4B}"/>
                </a:ext>
              </a:extLst>
            </xdr:cNvPr>
            <xdr:cNvSpPr txBox="1"/>
          </xdr:nvSpPr>
          <xdr:spPr>
            <a:xfrm>
              <a:off x="13001420" y="490558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228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CC0E0223-BFA0-4C6F-BDF7-4BE83EEA1BBB}"/>
                </a:ext>
              </a:extLst>
            </xdr:cNvPr>
            <xdr:cNvSpPr txBox="1"/>
          </xdr:nvSpPr>
          <xdr:spPr>
            <a:xfrm>
              <a:off x="13145341" y="4995333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CC0E0223-BFA0-4C6F-BDF7-4BE83EEA1BBB}"/>
                </a:ext>
              </a:extLst>
            </xdr:cNvPr>
            <xdr:cNvSpPr txBox="1"/>
          </xdr:nvSpPr>
          <xdr:spPr>
            <a:xfrm>
              <a:off x="13145341" y="4995333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227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6826726-2A53-4368-98C2-AC028DF13881}"/>
                </a:ext>
              </a:extLst>
            </xdr:cNvPr>
            <xdr:cNvSpPr txBox="1"/>
          </xdr:nvSpPr>
          <xdr:spPr>
            <a:xfrm>
              <a:off x="13145341" y="4973320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46826726-2A53-4368-98C2-AC028DF13881}"/>
                </a:ext>
              </a:extLst>
            </xdr:cNvPr>
            <xdr:cNvSpPr txBox="1"/>
          </xdr:nvSpPr>
          <xdr:spPr>
            <a:xfrm>
              <a:off x="13145341" y="4973320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220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BE72CC2D-02EF-48DC-A440-7049F9442CE4}"/>
                </a:ext>
              </a:extLst>
            </xdr:cNvPr>
            <xdr:cNvSpPr txBox="1"/>
          </xdr:nvSpPr>
          <xdr:spPr>
            <a:xfrm>
              <a:off x="10447019" y="481245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BE72CC2D-02EF-48DC-A440-7049F9442CE4}"/>
                </a:ext>
              </a:extLst>
            </xdr:cNvPr>
            <xdr:cNvSpPr txBox="1"/>
          </xdr:nvSpPr>
          <xdr:spPr>
            <a:xfrm>
              <a:off x="10447019" y="481245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83454A3E-3BB0-4075-913E-6EE725331134}"/>
                </a:ext>
              </a:extLst>
            </xdr:cNvPr>
            <xdr:cNvSpPr txBox="1"/>
          </xdr:nvSpPr>
          <xdr:spPr>
            <a:xfrm>
              <a:off x="9359060" y="509608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83454A3E-3BB0-4075-913E-6EE725331134}"/>
                </a:ext>
              </a:extLst>
            </xdr:cNvPr>
            <xdr:cNvSpPr txBox="1"/>
          </xdr:nvSpPr>
          <xdr:spPr>
            <a:xfrm>
              <a:off x="9359060" y="509608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220</xdr:row>
      <xdr:rowOff>7620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4B0D6222-FCFB-414A-A147-1C8925A1F6CF}"/>
                </a:ext>
              </a:extLst>
            </xdr:cNvPr>
            <xdr:cNvSpPr txBox="1"/>
          </xdr:nvSpPr>
          <xdr:spPr>
            <a:xfrm>
              <a:off x="1069347" y="48326887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4B0D6222-FCFB-414A-A147-1C8925A1F6CF}"/>
                </a:ext>
              </a:extLst>
            </xdr:cNvPr>
            <xdr:cNvSpPr txBox="1"/>
          </xdr:nvSpPr>
          <xdr:spPr>
            <a:xfrm>
              <a:off x="1069347" y="48326887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195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419916BE-7B7F-44DF-B775-87F2C399C0D8}"/>
                </a:ext>
              </a:extLst>
            </xdr:cNvPr>
            <xdr:cNvSpPr txBox="1"/>
          </xdr:nvSpPr>
          <xdr:spPr>
            <a:xfrm>
              <a:off x="1072734" y="427956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419916BE-7B7F-44DF-B775-87F2C399C0D8}"/>
                </a:ext>
              </a:extLst>
            </xdr:cNvPr>
            <xdr:cNvSpPr txBox="1"/>
          </xdr:nvSpPr>
          <xdr:spPr>
            <a:xfrm>
              <a:off x="1072734" y="427956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180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8ECA2804-3CBC-4568-955F-3D977BD19C68}"/>
                </a:ext>
              </a:extLst>
            </xdr:cNvPr>
            <xdr:cNvSpPr txBox="1"/>
          </xdr:nvSpPr>
          <xdr:spPr>
            <a:xfrm>
              <a:off x="1072734" y="395037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8ECA2804-3CBC-4568-955F-3D977BD19C68}"/>
                </a:ext>
              </a:extLst>
            </xdr:cNvPr>
            <xdr:cNvSpPr txBox="1"/>
          </xdr:nvSpPr>
          <xdr:spPr>
            <a:xfrm>
              <a:off x="1072734" y="395037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165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839AFC1F-0820-4A81-9E4C-5587FEE99CE4}"/>
                </a:ext>
              </a:extLst>
            </xdr:cNvPr>
            <xdr:cNvSpPr txBox="1"/>
          </xdr:nvSpPr>
          <xdr:spPr>
            <a:xfrm>
              <a:off x="1072734" y="362119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839AFC1F-0820-4A81-9E4C-5587FEE99CE4}"/>
                </a:ext>
              </a:extLst>
            </xdr:cNvPr>
            <xdr:cNvSpPr txBox="1"/>
          </xdr:nvSpPr>
          <xdr:spPr>
            <a:xfrm>
              <a:off x="1072734" y="362119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150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CE6732C5-AF95-47E3-B785-56535A0A77F9}"/>
                </a:ext>
              </a:extLst>
            </xdr:cNvPr>
            <xdr:cNvSpPr txBox="1"/>
          </xdr:nvSpPr>
          <xdr:spPr>
            <a:xfrm>
              <a:off x="1072734" y="329200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CE6732C5-AF95-47E3-B785-56535A0A77F9}"/>
                </a:ext>
              </a:extLst>
            </xdr:cNvPr>
            <xdr:cNvSpPr txBox="1"/>
          </xdr:nvSpPr>
          <xdr:spPr>
            <a:xfrm>
              <a:off x="1072734" y="329200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135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AF0B0D93-2215-45D8-B9F5-10D50EFC7E07}"/>
                </a:ext>
              </a:extLst>
            </xdr:cNvPr>
            <xdr:cNvSpPr txBox="1"/>
          </xdr:nvSpPr>
          <xdr:spPr>
            <a:xfrm>
              <a:off x="1072734" y="296282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AF0B0D93-2215-45D8-B9F5-10D50EFC7E07}"/>
                </a:ext>
              </a:extLst>
            </xdr:cNvPr>
            <xdr:cNvSpPr txBox="1"/>
          </xdr:nvSpPr>
          <xdr:spPr>
            <a:xfrm>
              <a:off x="1072734" y="296282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120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56F77602-07BC-42F7-A54B-79B6030C4F03}"/>
                </a:ext>
              </a:extLst>
            </xdr:cNvPr>
            <xdr:cNvSpPr txBox="1"/>
          </xdr:nvSpPr>
          <xdr:spPr>
            <a:xfrm>
              <a:off x="1072734" y="263364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56F77602-07BC-42F7-A54B-79B6030C4F03}"/>
                </a:ext>
              </a:extLst>
            </xdr:cNvPr>
            <xdr:cNvSpPr txBox="1"/>
          </xdr:nvSpPr>
          <xdr:spPr>
            <a:xfrm>
              <a:off x="1072734" y="263364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105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4E308E1-E9E9-430D-869D-4C968CFA31B1}"/>
                </a:ext>
              </a:extLst>
            </xdr:cNvPr>
            <xdr:cNvSpPr txBox="1"/>
          </xdr:nvSpPr>
          <xdr:spPr>
            <a:xfrm>
              <a:off x="1072734" y="230445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4E308E1-E9E9-430D-869D-4C968CFA31B1}"/>
                </a:ext>
              </a:extLst>
            </xdr:cNvPr>
            <xdr:cNvSpPr txBox="1"/>
          </xdr:nvSpPr>
          <xdr:spPr>
            <a:xfrm>
              <a:off x="1072734" y="2304457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90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3D7E1632-E83F-4D4E-9E80-C8E8AADD9B96}"/>
                </a:ext>
              </a:extLst>
            </xdr:cNvPr>
            <xdr:cNvSpPr txBox="1"/>
          </xdr:nvSpPr>
          <xdr:spPr>
            <a:xfrm>
              <a:off x="1072734" y="197527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3D7E1632-E83F-4D4E-9E80-C8E8AADD9B96}"/>
                </a:ext>
              </a:extLst>
            </xdr:cNvPr>
            <xdr:cNvSpPr txBox="1"/>
          </xdr:nvSpPr>
          <xdr:spPr>
            <a:xfrm>
              <a:off x="1072734" y="1975273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75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83433A05-2D5C-44E6-A73E-11BB4A7B9259}"/>
                </a:ext>
              </a:extLst>
            </xdr:cNvPr>
            <xdr:cNvSpPr txBox="1"/>
          </xdr:nvSpPr>
          <xdr:spPr>
            <a:xfrm>
              <a:off x="1072734" y="164608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83433A05-2D5C-44E6-A73E-11BB4A7B9259}"/>
                </a:ext>
              </a:extLst>
            </xdr:cNvPr>
            <xdr:cNvSpPr txBox="1"/>
          </xdr:nvSpPr>
          <xdr:spPr>
            <a:xfrm>
              <a:off x="1072734" y="1646089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60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7D2179BB-6E8E-40AC-B4AD-A87745E83DF1}"/>
                </a:ext>
              </a:extLst>
            </xdr:cNvPr>
            <xdr:cNvSpPr txBox="1"/>
          </xdr:nvSpPr>
          <xdr:spPr>
            <a:xfrm>
              <a:off x="1072734" y="131690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7D2179BB-6E8E-40AC-B4AD-A87745E83DF1}"/>
                </a:ext>
              </a:extLst>
            </xdr:cNvPr>
            <xdr:cNvSpPr txBox="1"/>
          </xdr:nvSpPr>
          <xdr:spPr>
            <a:xfrm>
              <a:off x="1072734" y="1316905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45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56AFD6AB-9869-4FC0-9E51-5780D0CE7626}"/>
                </a:ext>
              </a:extLst>
            </xdr:cNvPr>
            <xdr:cNvSpPr txBox="1"/>
          </xdr:nvSpPr>
          <xdr:spPr>
            <a:xfrm>
              <a:off x="1072734" y="98772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56AFD6AB-9869-4FC0-9E51-5780D0CE7626}"/>
                </a:ext>
              </a:extLst>
            </xdr:cNvPr>
            <xdr:cNvSpPr txBox="1"/>
          </xdr:nvSpPr>
          <xdr:spPr>
            <a:xfrm>
              <a:off x="1072734" y="98772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341214</xdr:colOff>
      <xdr:row>30</xdr:row>
      <xdr:rowOff>24554</xdr:rowOff>
    </xdr:from>
    <xdr:ext cx="463075" cy="1908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2CB51CE1-E53A-4383-8C9F-DFF0258A65E5}"/>
                </a:ext>
              </a:extLst>
            </xdr:cNvPr>
            <xdr:cNvSpPr txBox="1"/>
          </xdr:nvSpPr>
          <xdr:spPr>
            <a:xfrm>
              <a:off x="1072734" y="65625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2CB51CE1-E53A-4383-8C9F-DFF0258A65E5}"/>
                </a:ext>
              </a:extLst>
            </xdr:cNvPr>
            <xdr:cNvSpPr txBox="1"/>
          </xdr:nvSpPr>
          <xdr:spPr>
            <a:xfrm>
              <a:off x="1072734" y="6562514"/>
              <a:ext cx="463075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𝑹(𝑺_𝒕^𝟑)"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192191</xdr:colOff>
      <xdr:row>34</xdr:row>
      <xdr:rowOff>81278</xdr:rowOff>
    </xdr:from>
    <xdr:ext cx="1611660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58596B-C111-46A3-B952-61E3592FE9C8}"/>
                </a:ext>
              </a:extLst>
            </xdr:cNvPr>
            <xdr:cNvSpPr txBox="1"/>
          </xdr:nvSpPr>
          <xdr:spPr>
            <a:xfrm>
              <a:off x="18742658" y="7531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58596B-C111-46A3-B952-61E3592FE9C8}"/>
                </a:ext>
              </a:extLst>
            </xdr:cNvPr>
            <xdr:cNvSpPr txBox="1"/>
          </xdr:nvSpPr>
          <xdr:spPr>
            <a:xfrm>
              <a:off x="18742658" y="7531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BF5627-9369-4960-8C06-A18DCD457FCF}"/>
                </a:ext>
              </a:extLst>
            </xdr:cNvPr>
            <xdr:cNvSpPr txBox="1"/>
          </xdr:nvSpPr>
          <xdr:spPr>
            <a:xfrm>
              <a:off x="20787365" y="7589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8BF5627-9369-4960-8C06-A18DCD457FCF}"/>
                </a:ext>
              </a:extLst>
            </xdr:cNvPr>
            <xdr:cNvSpPr txBox="1"/>
          </xdr:nvSpPr>
          <xdr:spPr>
            <a:xfrm>
              <a:off x="20787365" y="7589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D86A51-7F87-4A92-A54B-5F65B0851134}"/>
                </a:ext>
              </a:extLst>
            </xdr:cNvPr>
            <xdr:cNvSpPr txBox="1"/>
          </xdr:nvSpPr>
          <xdr:spPr>
            <a:xfrm>
              <a:off x="16374532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D86A51-7F87-4A92-A54B-5F65B0851134}"/>
                </a:ext>
              </a:extLst>
            </xdr:cNvPr>
            <xdr:cNvSpPr txBox="1"/>
          </xdr:nvSpPr>
          <xdr:spPr>
            <a:xfrm>
              <a:off x="16374532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E626FE-25F9-4B00-9C6A-01156FCB18A2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E626FE-25F9-4B00-9C6A-01156FCB18A2}"/>
                </a:ext>
              </a:extLst>
            </xdr:cNvPr>
            <xdr:cNvSpPr txBox="1"/>
          </xdr:nvSpPr>
          <xdr:spPr>
            <a:xfrm>
              <a:off x="1627547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D075EB-8AC3-4CB5-A07A-B5E7EE8A9788}"/>
                </a:ext>
              </a:extLst>
            </xdr:cNvPr>
            <xdr:cNvSpPr txBox="1"/>
          </xdr:nvSpPr>
          <xdr:spPr>
            <a:xfrm>
              <a:off x="16237373" y="3361267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7DD075EB-8AC3-4CB5-A07A-B5E7EE8A9788}"/>
                </a:ext>
              </a:extLst>
            </xdr:cNvPr>
            <xdr:cNvSpPr txBox="1"/>
          </xdr:nvSpPr>
          <xdr:spPr>
            <a:xfrm>
              <a:off x="16237373" y="3361267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FB16603-4F25-4A8A-A664-2ED738FA33EA}"/>
                </a:ext>
              </a:extLst>
            </xdr:cNvPr>
            <xdr:cNvSpPr txBox="1"/>
          </xdr:nvSpPr>
          <xdr:spPr>
            <a:xfrm>
              <a:off x="15863993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FB16603-4F25-4A8A-A664-2ED738FA33EA}"/>
                </a:ext>
              </a:extLst>
            </xdr:cNvPr>
            <xdr:cNvSpPr txBox="1"/>
          </xdr:nvSpPr>
          <xdr:spPr>
            <a:xfrm>
              <a:off x="15863993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C94283-6A87-42FE-847C-01607395FC1B}"/>
                </a:ext>
              </a:extLst>
            </xdr:cNvPr>
            <xdr:cNvSpPr txBox="1"/>
          </xdr:nvSpPr>
          <xdr:spPr>
            <a:xfrm>
              <a:off x="2108030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8C94283-6A87-42FE-847C-01607395FC1B}"/>
                </a:ext>
              </a:extLst>
            </xdr:cNvPr>
            <xdr:cNvSpPr txBox="1"/>
          </xdr:nvSpPr>
          <xdr:spPr>
            <a:xfrm>
              <a:off x="2108030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5AD9855-C683-48B6-A0D8-C18E47A6711B}"/>
                </a:ext>
              </a:extLst>
            </xdr:cNvPr>
            <xdr:cNvSpPr txBox="1"/>
          </xdr:nvSpPr>
          <xdr:spPr>
            <a:xfrm>
              <a:off x="2108030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5AD9855-C683-48B6-A0D8-C18E47A6711B}"/>
                </a:ext>
              </a:extLst>
            </xdr:cNvPr>
            <xdr:cNvSpPr txBox="1"/>
          </xdr:nvSpPr>
          <xdr:spPr>
            <a:xfrm>
              <a:off x="2108030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8EFE74-B32C-47EE-A09A-9EEBA52C0D2E}"/>
                </a:ext>
              </a:extLst>
            </xdr:cNvPr>
            <xdr:cNvSpPr txBox="1"/>
          </xdr:nvSpPr>
          <xdr:spPr>
            <a:xfrm>
              <a:off x="2104644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B8EFE74-B32C-47EE-A09A-9EEBA52C0D2E}"/>
                </a:ext>
              </a:extLst>
            </xdr:cNvPr>
            <xdr:cNvSpPr txBox="1"/>
          </xdr:nvSpPr>
          <xdr:spPr>
            <a:xfrm>
              <a:off x="2104644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910723-FB63-44C2-B810-1A439FDD4E2A}"/>
                </a:ext>
              </a:extLst>
            </xdr:cNvPr>
            <xdr:cNvSpPr txBox="1"/>
          </xdr:nvSpPr>
          <xdr:spPr>
            <a:xfrm>
              <a:off x="21046440" y="3265594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1910723-FB63-44C2-B810-1A439FDD4E2A}"/>
                </a:ext>
              </a:extLst>
            </xdr:cNvPr>
            <xdr:cNvSpPr txBox="1"/>
          </xdr:nvSpPr>
          <xdr:spPr>
            <a:xfrm>
              <a:off x="21046440" y="3265594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64D8FF70-1A6B-4D12-B33F-A5B894DD2B1D}"/>
                </a:ext>
              </a:extLst>
            </xdr:cNvPr>
            <xdr:cNvSpPr txBox="1"/>
          </xdr:nvSpPr>
          <xdr:spPr>
            <a:xfrm>
              <a:off x="21149737" y="434340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64D8FF70-1A6B-4D12-B33F-A5B894DD2B1D}"/>
                </a:ext>
              </a:extLst>
            </xdr:cNvPr>
            <xdr:cNvSpPr txBox="1"/>
          </xdr:nvSpPr>
          <xdr:spPr>
            <a:xfrm>
              <a:off x="21149737" y="4343403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722EC5DF-2374-4002-A546-387125CCD9A8}"/>
                </a:ext>
              </a:extLst>
            </xdr:cNvPr>
            <xdr:cNvSpPr txBox="1"/>
          </xdr:nvSpPr>
          <xdr:spPr>
            <a:xfrm>
              <a:off x="1269158" y="527981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722EC5DF-2374-4002-A546-387125CCD9A8}"/>
                </a:ext>
              </a:extLst>
            </xdr:cNvPr>
            <xdr:cNvSpPr txBox="1"/>
          </xdr:nvSpPr>
          <xdr:spPr>
            <a:xfrm>
              <a:off x="1269158" y="527981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AB01856-4C14-437F-8D44-BCD5937BD2E6}"/>
                </a:ext>
              </a:extLst>
            </xdr:cNvPr>
            <xdr:cNvSpPr txBox="1"/>
          </xdr:nvSpPr>
          <xdr:spPr>
            <a:xfrm>
              <a:off x="217339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1AB01856-4C14-437F-8D44-BCD5937BD2E6}"/>
                </a:ext>
              </a:extLst>
            </xdr:cNvPr>
            <xdr:cNvSpPr txBox="1"/>
          </xdr:nvSpPr>
          <xdr:spPr>
            <a:xfrm>
              <a:off x="217339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6E16F48-1E3C-4270-8838-5A57A56C5BE2}"/>
                </a:ext>
              </a:extLst>
            </xdr:cNvPr>
            <xdr:cNvSpPr txBox="1"/>
          </xdr:nvSpPr>
          <xdr:spPr>
            <a:xfrm>
              <a:off x="44365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F6E16F48-1E3C-4270-8838-5A57A56C5BE2}"/>
                </a:ext>
              </a:extLst>
            </xdr:cNvPr>
            <xdr:cNvSpPr txBox="1"/>
          </xdr:nvSpPr>
          <xdr:spPr>
            <a:xfrm>
              <a:off x="44365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BE28A2F7-1569-4894-890C-5FE1316D71E8}"/>
                </a:ext>
              </a:extLst>
            </xdr:cNvPr>
            <xdr:cNvSpPr txBox="1"/>
          </xdr:nvSpPr>
          <xdr:spPr>
            <a:xfrm>
              <a:off x="534331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BE28A2F7-1569-4894-890C-5FE1316D71E8}"/>
                </a:ext>
              </a:extLst>
            </xdr:cNvPr>
            <xdr:cNvSpPr txBox="1"/>
          </xdr:nvSpPr>
          <xdr:spPr>
            <a:xfrm>
              <a:off x="534331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1A4208DB-B4D3-49A0-A9A0-8774BEEDCCFF}"/>
                </a:ext>
              </a:extLst>
            </xdr:cNvPr>
            <xdr:cNvSpPr txBox="1"/>
          </xdr:nvSpPr>
          <xdr:spPr>
            <a:xfrm>
              <a:off x="63034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1A4208DB-B4D3-49A0-A9A0-8774BEEDCCFF}"/>
                </a:ext>
              </a:extLst>
            </xdr:cNvPr>
            <xdr:cNvSpPr txBox="1"/>
          </xdr:nvSpPr>
          <xdr:spPr>
            <a:xfrm>
              <a:off x="630343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99FC764-744C-42FE-B212-6900044938BE}"/>
                </a:ext>
              </a:extLst>
            </xdr:cNvPr>
            <xdr:cNvSpPr txBox="1"/>
          </xdr:nvSpPr>
          <xdr:spPr>
            <a:xfrm>
              <a:off x="7230535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99FC764-744C-42FE-B212-6900044938BE}"/>
                </a:ext>
              </a:extLst>
            </xdr:cNvPr>
            <xdr:cNvSpPr txBox="1"/>
          </xdr:nvSpPr>
          <xdr:spPr>
            <a:xfrm>
              <a:off x="7230535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6ECE9BC1-1E40-413D-84D9-B978A171BF22}"/>
                </a:ext>
              </a:extLst>
            </xdr:cNvPr>
            <xdr:cNvSpPr txBox="1"/>
          </xdr:nvSpPr>
          <xdr:spPr>
            <a:xfrm>
              <a:off x="8405711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6ECE9BC1-1E40-413D-84D9-B978A171BF22}"/>
                </a:ext>
              </a:extLst>
            </xdr:cNvPr>
            <xdr:cNvSpPr txBox="1"/>
          </xdr:nvSpPr>
          <xdr:spPr>
            <a:xfrm>
              <a:off x="8405711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6E0A6220-B9AA-4110-B480-091FDF3348DF}"/>
                </a:ext>
              </a:extLst>
            </xdr:cNvPr>
            <xdr:cNvSpPr txBox="1"/>
          </xdr:nvSpPr>
          <xdr:spPr>
            <a:xfrm>
              <a:off x="954955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6E0A6220-B9AA-4110-B480-091FDF3348DF}"/>
                </a:ext>
              </a:extLst>
            </xdr:cNvPr>
            <xdr:cNvSpPr txBox="1"/>
          </xdr:nvSpPr>
          <xdr:spPr>
            <a:xfrm>
              <a:off x="9549553" y="527981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D811746E-564B-4FB7-AFB0-C38F249003BD}"/>
                </a:ext>
              </a:extLst>
            </xdr:cNvPr>
            <xdr:cNvSpPr txBox="1"/>
          </xdr:nvSpPr>
          <xdr:spPr>
            <a:xfrm>
              <a:off x="1037251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D811746E-564B-4FB7-AFB0-C38F249003BD}"/>
                </a:ext>
              </a:extLst>
            </xdr:cNvPr>
            <xdr:cNvSpPr txBox="1"/>
          </xdr:nvSpPr>
          <xdr:spPr>
            <a:xfrm>
              <a:off x="1037251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5B9CB920-8F11-46AA-9F90-A5E797C4A537}"/>
                </a:ext>
              </a:extLst>
            </xdr:cNvPr>
            <xdr:cNvSpPr txBox="1"/>
          </xdr:nvSpPr>
          <xdr:spPr>
            <a:xfrm>
              <a:off x="1131739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5B9CB920-8F11-46AA-9F90-A5E797C4A537}"/>
                </a:ext>
              </a:extLst>
            </xdr:cNvPr>
            <xdr:cNvSpPr txBox="1"/>
          </xdr:nvSpPr>
          <xdr:spPr>
            <a:xfrm>
              <a:off x="1131739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1589328-70E8-4344-A079-1BF219642B94}"/>
                </a:ext>
              </a:extLst>
            </xdr:cNvPr>
            <xdr:cNvSpPr txBox="1"/>
          </xdr:nvSpPr>
          <xdr:spPr>
            <a:xfrm>
              <a:off x="122622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1589328-70E8-4344-A079-1BF219642B94}"/>
                </a:ext>
              </a:extLst>
            </xdr:cNvPr>
            <xdr:cNvSpPr txBox="1"/>
          </xdr:nvSpPr>
          <xdr:spPr>
            <a:xfrm>
              <a:off x="122622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9EF747B7-4E47-4FBD-96E6-A0D44F78CB7E}"/>
                </a:ext>
              </a:extLst>
            </xdr:cNvPr>
            <xdr:cNvSpPr txBox="1"/>
          </xdr:nvSpPr>
          <xdr:spPr>
            <a:xfrm>
              <a:off x="131385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9EF747B7-4E47-4FBD-96E6-A0D44F78CB7E}"/>
                </a:ext>
              </a:extLst>
            </xdr:cNvPr>
            <xdr:cNvSpPr txBox="1"/>
          </xdr:nvSpPr>
          <xdr:spPr>
            <a:xfrm>
              <a:off x="13138573" y="527981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9DF79DF-BEAF-441C-8EF2-A557384FF2D7}"/>
                </a:ext>
              </a:extLst>
            </xdr:cNvPr>
            <xdr:cNvSpPr txBox="1"/>
          </xdr:nvSpPr>
          <xdr:spPr>
            <a:xfrm>
              <a:off x="241303" y="53034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39DF79DF-BEAF-441C-8EF2-A557384FF2D7}"/>
                </a:ext>
              </a:extLst>
            </xdr:cNvPr>
            <xdr:cNvSpPr txBox="1"/>
          </xdr:nvSpPr>
          <xdr:spPr>
            <a:xfrm>
              <a:off x="241303" y="53034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D641EA1B-63AF-414D-ACD1-D087D1298EF1}"/>
                </a:ext>
              </a:extLst>
            </xdr:cNvPr>
            <xdr:cNvSpPr txBox="1"/>
          </xdr:nvSpPr>
          <xdr:spPr>
            <a:xfrm>
              <a:off x="241303" y="53262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D641EA1B-63AF-414D-ACD1-D087D1298EF1}"/>
                </a:ext>
              </a:extLst>
            </xdr:cNvPr>
            <xdr:cNvSpPr txBox="1"/>
          </xdr:nvSpPr>
          <xdr:spPr>
            <a:xfrm>
              <a:off x="241303" y="53262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B6208DFB-DCF5-4925-8B53-8E704F4A4F74}"/>
                </a:ext>
              </a:extLst>
            </xdr:cNvPr>
            <xdr:cNvSpPr txBox="1"/>
          </xdr:nvSpPr>
          <xdr:spPr>
            <a:xfrm>
              <a:off x="241303" y="53491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B6208DFB-DCF5-4925-8B53-8E704F4A4F74}"/>
                </a:ext>
              </a:extLst>
            </xdr:cNvPr>
            <xdr:cNvSpPr txBox="1"/>
          </xdr:nvSpPr>
          <xdr:spPr>
            <a:xfrm>
              <a:off x="241303" y="53491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2815F9C6-9CD1-4C33-AAF8-7E69765E9152}"/>
                </a:ext>
              </a:extLst>
            </xdr:cNvPr>
            <xdr:cNvSpPr txBox="1"/>
          </xdr:nvSpPr>
          <xdr:spPr>
            <a:xfrm>
              <a:off x="241303" y="53720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2815F9C6-9CD1-4C33-AAF8-7E69765E9152}"/>
                </a:ext>
              </a:extLst>
            </xdr:cNvPr>
            <xdr:cNvSpPr txBox="1"/>
          </xdr:nvSpPr>
          <xdr:spPr>
            <a:xfrm>
              <a:off x="241303" y="53720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82BE6E0C-1AD3-45BF-A089-1AAECE7649C5}"/>
                </a:ext>
              </a:extLst>
            </xdr:cNvPr>
            <xdr:cNvSpPr txBox="1"/>
          </xdr:nvSpPr>
          <xdr:spPr>
            <a:xfrm>
              <a:off x="241303" y="53948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82BE6E0C-1AD3-45BF-A089-1AAECE7649C5}"/>
                </a:ext>
              </a:extLst>
            </xdr:cNvPr>
            <xdr:cNvSpPr txBox="1"/>
          </xdr:nvSpPr>
          <xdr:spPr>
            <a:xfrm>
              <a:off x="241303" y="53948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3FAF496D-E4F0-4F20-83E5-478AAC890D7B}"/>
                </a:ext>
              </a:extLst>
            </xdr:cNvPr>
            <xdr:cNvSpPr txBox="1"/>
          </xdr:nvSpPr>
          <xdr:spPr>
            <a:xfrm>
              <a:off x="233683" y="54177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3FAF496D-E4F0-4F20-83E5-478AAC890D7B}"/>
                </a:ext>
              </a:extLst>
            </xdr:cNvPr>
            <xdr:cNvSpPr txBox="1"/>
          </xdr:nvSpPr>
          <xdr:spPr>
            <a:xfrm>
              <a:off x="233683" y="54177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7D2FA8E6-C534-41DF-B241-3780F0069D23}"/>
                </a:ext>
              </a:extLst>
            </xdr:cNvPr>
            <xdr:cNvSpPr txBox="1"/>
          </xdr:nvSpPr>
          <xdr:spPr>
            <a:xfrm>
              <a:off x="241303" y="54405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7D2FA8E6-C534-41DF-B241-3780F0069D23}"/>
                </a:ext>
              </a:extLst>
            </xdr:cNvPr>
            <xdr:cNvSpPr txBox="1"/>
          </xdr:nvSpPr>
          <xdr:spPr>
            <a:xfrm>
              <a:off x="241303" y="544059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F62AE476-754A-43CE-A257-FB186EC098BD}"/>
                </a:ext>
              </a:extLst>
            </xdr:cNvPr>
            <xdr:cNvSpPr txBox="1"/>
          </xdr:nvSpPr>
          <xdr:spPr>
            <a:xfrm>
              <a:off x="241303" y="54634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F62AE476-754A-43CE-A257-FB186EC098BD}"/>
                </a:ext>
              </a:extLst>
            </xdr:cNvPr>
            <xdr:cNvSpPr txBox="1"/>
          </xdr:nvSpPr>
          <xdr:spPr>
            <a:xfrm>
              <a:off x="241303" y="54634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0CACAD3-5B1F-4D62-AF87-C694A9CE08EE}"/>
                </a:ext>
              </a:extLst>
            </xdr:cNvPr>
            <xdr:cNvSpPr txBox="1"/>
          </xdr:nvSpPr>
          <xdr:spPr>
            <a:xfrm>
              <a:off x="241303" y="54863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0CACAD3-5B1F-4D62-AF87-C694A9CE08EE}"/>
                </a:ext>
              </a:extLst>
            </xdr:cNvPr>
            <xdr:cNvSpPr txBox="1"/>
          </xdr:nvSpPr>
          <xdr:spPr>
            <a:xfrm>
              <a:off x="241303" y="54863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2276FBE8-1671-4284-99DC-23D8539EC2A5}"/>
                </a:ext>
              </a:extLst>
            </xdr:cNvPr>
            <xdr:cNvSpPr txBox="1"/>
          </xdr:nvSpPr>
          <xdr:spPr>
            <a:xfrm>
              <a:off x="215055" y="55091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2276FBE8-1671-4284-99DC-23D8539EC2A5}"/>
                </a:ext>
              </a:extLst>
            </xdr:cNvPr>
            <xdr:cNvSpPr txBox="1"/>
          </xdr:nvSpPr>
          <xdr:spPr>
            <a:xfrm>
              <a:off x="215055" y="5509175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DE9E236B-DF17-4494-9395-7ADC1A6CC2A2}"/>
                </a:ext>
              </a:extLst>
            </xdr:cNvPr>
            <xdr:cNvSpPr txBox="1"/>
          </xdr:nvSpPr>
          <xdr:spPr>
            <a:xfrm>
              <a:off x="2702561" y="5281676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DE9E236B-DF17-4494-9395-7ADC1A6CC2A2}"/>
                </a:ext>
              </a:extLst>
            </xdr:cNvPr>
            <xdr:cNvSpPr txBox="1"/>
          </xdr:nvSpPr>
          <xdr:spPr>
            <a:xfrm>
              <a:off x="2702561" y="5281676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A53DA0F-429A-4707-A176-6256F5E0CD58}"/>
                </a:ext>
              </a:extLst>
            </xdr:cNvPr>
            <xdr:cNvSpPr txBox="1"/>
          </xdr:nvSpPr>
          <xdr:spPr>
            <a:xfrm>
              <a:off x="1218355" y="5613569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A53DA0F-429A-4707-A176-6256F5E0CD58}"/>
                </a:ext>
              </a:extLst>
            </xdr:cNvPr>
            <xdr:cNvSpPr txBox="1"/>
          </xdr:nvSpPr>
          <xdr:spPr>
            <a:xfrm>
              <a:off x="1218355" y="5613569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AD029708-EED6-485B-BAD2-9D294F0DDB92}"/>
                </a:ext>
              </a:extLst>
            </xdr:cNvPr>
            <xdr:cNvSpPr txBox="1"/>
          </xdr:nvSpPr>
          <xdr:spPr>
            <a:xfrm>
              <a:off x="213952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AD029708-EED6-485B-BAD2-9D294F0DDB92}"/>
                </a:ext>
              </a:extLst>
            </xdr:cNvPr>
            <xdr:cNvSpPr txBox="1"/>
          </xdr:nvSpPr>
          <xdr:spPr>
            <a:xfrm>
              <a:off x="213952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9E7FF5D-10FB-4514-8964-E9A8CD54BBF7}"/>
                </a:ext>
              </a:extLst>
            </xdr:cNvPr>
            <xdr:cNvSpPr txBox="1"/>
          </xdr:nvSpPr>
          <xdr:spPr>
            <a:xfrm>
              <a:off x="326559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9E7FF5D-10FB-4514-8964-E9A8CD54BBF7}"/>
                </a:ext>
              </a:extLst>
            </xdr:cNvPr>
            <xdr:cNvSpPr txBox="1"/>
          </xdr:nvSpPr>
          <xdr:spPr>
            <a:xfrm>
              <a:off x="3265595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B005A47-C032-4147-9266-D78722D3D194}"/>
                </a:ext>
              </a:extLst>
            </xdr:cNvPr>
            <xdr:cNvSpPr txBox="1"/>
          </xdr:nvSpPr>
          <xdr:spPr>
            <a:xfrm>
              <a:off x="44365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CB005A47-C032-4147-9266-D78722D3D194}"/>
                </a:ext>
              </a:extLst>
            </xdr:cNvPr>
            <xdr:cNvSpPr txBox="1"/>
          </xdr:nvSpPr>
          <xdr:spPr>
            <a:xfrm>
              <a:off x="44365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1C24A1C8-CA78-4C66-B401-F8910BE0C6A3}"/>
                </a:ext>
              </a:extLst>
            </xdr:cNvPr>
            <xdr:cNvSpPr txBox="1"/>
          </xdr:nvSpPr>
          <xdr:spPr>
            <a:xfrm>
              <a:off x="541951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1C24A1C8-CA78-4C66-B401-F8910BE0C6A3}"/>
                </a:ext>
              </a:extLst>
            </xdr:cNvPr>
            <xdr:cNvSpPr txBox="1"/>
          </xdr:nvSpPr>
          <xdr:spPr>
            <a:xfrm>
              <a:off x="541951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A8719273-68EF-49D5-8720-24662F780687}"/>
                </a:ext>
              </a:extLst>
            </xdr:cNvPr>
            <xdr:cNvSpPr txBox="1"/>
          </xdr:nvSpPr>
          <xdr:spPr>
            <a:xfrm>
              <a:off x="63034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A8719273-68EF-49D5-8720-24662F780687}"/>
                </a:ext>
              </a:extLst>
            </xdr:cNvPr>
            <xdr:cNvSpPr txBox="1"/>
          </xdr:nvSpPr>
          <xdr:spPr>
            <a:xfrm>
              <a:off x="63034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EC87669F-0482-4BE5-A9EA-49C52B001A7E}"/>
                </a:ext>
              </a:extLst>
            </xdr:cNvPr>
            <xdr:cNvSpPr txBox="1"/>
          </xdr:nvSpPr>
          <xdr:spPr>
            <a:xfrm>
              <a:off x="71797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EC87669F-0482-4BE5-A9EA-49C52B001A7E}"/>
                </a:ext>
              </a:extLst>
            </xdr:cNvPr>
            <xdr:cNvSpPr txBox="1"/>
          </xdr:nvSpPr>
          <xdr:spPr>
            <a:xfrm>
              <a:off x="717973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D7D836FF-375A-4492-91A2-560E9A5591D6}"/>
                </a:ext>
              </a:extLst>
            </xdr:cNvPr>
            <xdr:cNvSpPr txBox="1"/>
          </xdr:nvSpPr>
          <xdr:spPr>
            <a:xfrm>
              <a:off x="826177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D7D836FF-375A-4492-91A2-560E9A5591D6}"/>
                </a:ext>
              </a:extLst>
            </xdr:cNvPr>
            <xdr:cNvSpPr txBox="1"/>
          </xdr:nvSpPr>
          <xdr:spPr>
            <a:xfrm>
              <a:off x="8261773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2BA098A0-3B16-4BE1-A0E2-2CE20AA27390}"/>
                </a:ext>
              </a:extLst>
            </xdr:cNvPr>
            <xdr:cNvSpPr txBox="1"/>
          </xdr:nvSpPr>
          <xdr:spPr>
            <a:xfrm>
              <a:off x="9617288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2BA098A0-3B16-4BE1-A0E2-2CE20AA27390}"/>
                </a:ext>
              </a:extLst>
            </xdr:cNvPr>
            <xdr:cNvSpPr txBox="1"/>
          </xdr:nvSpPr>
          <xdr:spPr>
            <a:xfrm>
              <a:off x="9617288" y="5613569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4D44A1D-130F-4A86-BE2F-CDF170AE0DEE}"/>
                </a:ext>
              </a:extLst>
            </xdr:cNvPr>
            <xdr:cNvSpPr txBox="1"/>
          </xdr:nvSpPr>
          <xdr:spPr>
            <a:xfrm>
              <a:off x="10457181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94D44A1D-130F-4A86-BE2F-CDF170AE0DEE}"/>
                </a:ext>
              </a:extLst>
            </xdr:cNvPr>
            <xdr:cNvSpPr txBox="1"/>
          </xdr:nvSpPr>
          <xdr:spPr>
            <a:xfrm>
              <a:off x="10457181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AC30F72-13B4-4F92-87D0-3AE8C7C9FC65}"/>
                </a:ext>
              </a:extLst>
            </xdr:cNvPr>
            <xdr:cNvSpPr txBox="1"/>
          </xdr:nvSpPr>
          <xdr:spPr>
            <a:xfrm>
              <a:off x="1131739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9AC30F72-13B4-4F92-87D0-3AE8C7C9FC65}"/>
                </a:ext>
              </a:extLst>
            </xdr:cNvPr>
            <xdr:cNvSpPr txBox="1"/>
          </xdr:nvSpPr>
          <xdr:spPr>
            <a:xfrm>
              <a:off x="1131739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887EA6F9-77E4-4D7A-B026-56E0C02AD848}"/>
                </a:ext>
              </a:extLst>
            </xdr:cNvPr>
            <xdr:cNvSpPr txBox="1"/>
          </xdr:nvSpPr>
          <xdr:spPr>
            <a:xfrm>
              <a:off x="1226227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887EA6F9-77E4-4D7A-B026-56E0C02AD848}"/>
                </a:ext>
              </a:extLst>
            </xdr:cNvPr>
            <xdr:cNvSpPr txBox="1"/>
          </xdr:nvSpPr>
          <xdr:spPr>
            <a:xfrm>
              <a:off x="1226227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FC0B192-802E-4FFC-A57E-BCC856117B42}"/>
                </a:ext>
              </a:extLst>
            </xdr:cNvPr>
            <xdr:cNvSpPr txBox="1"/>
          </xdr:nvSpPr>
          <xdr:spPr>
            <a:xfrm>
              <a:off x="1329944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DFC0B192-802E-4FFC-A57E-BCC856117B42}"/>
                </a:ext>
              </a:extLst>
            </xdr:cNvPr>
            <xdr:cNvSpPr txBox="1"/>
          </xdr:nvSpPr>
          <xdr:spPr>
            <a:xfrm>
              <a:off x="13299443" y="5613569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EDB9F7FF-86A4-4525-92EA-61DCA3365D48}"/>
                </a:ext>
              </a:extLst>
            </xdr:cNvPr>
            <xdr:cNvSpPr txBox="1"/>
          </xdr:nvSpPr>
          <xdr:spPr>
            <a:xfrm>
              <a:off x="4359482" y="5743363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EDB9F7FF-86A4-4525-92EA-61DCA3365D48}"/>
                </a:ext>
              </a:extLst>
            </xdr:cNvPr>
            <xdr:cNvSpPr txBox="1"/>
          </xdr:nvSpPr>
          <xdr:spPr>
            <a:xfrm>
              <a:off x="4359482" y="5743363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D1C4415-3714-4871-BE53-204C56E4C5E1}"/>
                </a:ext>
              </a:extLst>
            </xdr:cNvPr>
            <xdr:cNvSpPr txBox="1"/>
          </xdr:nvSpPr>
          <xdr:spPr>
            <a:xfrm>
              <a:off x="9452187" y="5806609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9D1C4415-3714-4871-BE53-204C56E4C5E1}"/>
                </a:ext>
              </a:extLst>
            </xdr:cNvPr>
            <xdr:cNvSpPr txBox="1"/>
          </xdr:nvSpPr>
          <xdr:spPr>
            <a:xfrm>
              <a:off x="9452187" y="5806609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F8A96BA8-086F-4CF2-9ECA-6027E976CA98}"/>
                </a:ext>
              </a:extLst>
            </xdr:cNvPr>
            <xdr:cNvSpPr txBox="1"/>
          </xdr:nvSpPr>
          <xdr:spPr>
            <a:xfrm>
              <a:off x="9401385" y="5738876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F8A96BA8-086F-4CF2-9ECA-6027E976CA98}"/>
                </a:ext>
              </a:extLst>
            </xdr:cNvPr>
            <xdr:cNvSpPr txBox="1"/>
          </xdr:nvSpPr>
          <xdr:spPr>
            <a:xfrm>
              <a:off x="9401385" y="5738876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BEB64F3A-AE78-4BB1-AC5E-D3714C9D4E38}"/>
                </a:ext>
              </a:extLst>
            </xdr:cNvPr>
            <xdr:cNvSpPr txBox="1"/>
          </xdr:nvSpPr>
          <xdr:spPr>
            <a:xfrm>
              <a:off x="1070189" y="5738876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BEB64F3A-AE78-4BB1-AC5E-D3714C9D4E38}"/>
                </a:ext>
              </a:extLst>
            </xdr:cNvPr>
            <xdr:cNvSpPr txBox="1"/>
          </xdr:nvSpPr>
          <xdr:spPr>
            <a:xfrm>
              <a:off x="1070189" y="5738876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7AB655A9-A115-4628-A7F7-E3DFF9A5A25B}"/>
                </a:ext>
              </a:extLst>
            </xdr:cNvPr>
            <xdr:cNvSpPr txBox="1"/>
          </xdr:nvSpPr>
          <xdr:spPr>
            <a:xfrm>
              <a:off x="1053255" y="5761736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7AB655A9-A115-4628-A7F7-E3DFF9A5A25B}"/>
                </a:ext>
              </a:extLst>
            </xdr:cNvPr>
            <xdr:cNvSpPr txBox="1"/>
          </xdr:nvSpPr>
          <xdr:spPr>
            <a:xfrm>
              <a:off x="1053255" y="5761736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653F1D30-335A-4F10-8D57-E9C5F1E376BB}"/>
                </a:ext>
              </a:extLst>
            </xdr:cNvPr>
            <xdr:cNvSpPr txBox="1"/>
          </xdr:nvSpPr>
          <xdr:spPr>
            <a:xfrm>
              <a:off x="12252107" y="5736251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653F1D30-335A-4F10-8D57-E9C5F1E376BB}"/>
                </a:ext>
              </a:extLst>
            </xdr:cNvPr>
            <xdr:cNvSpPr txBox="1"/>
          </xdr:nvSpPr>
          <xdr:spPr>
            <a:xfrm>
              <a:off x="12252107" y="5736251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5E88E5CE-02DC-4829-8152-95A19EE3B6B9}"/>
                </a:ext>
              </a:extLst>
            </xdr:cNvPr>
            <xdr:cNvSpPr txBox="1"/>
          </xdr:nvSpPr>
          <xdr:spPr>
            <a:xfrm>
              <a:off x="4330699" y="5783749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5E88E5CE-02DC-4829-8152-95A19EE3B6B9}"/>
                </a:ext>
              </a:extLst>
            </xdr:cNvPr>
            <xdr:cNvSpPr txBox="1"/>
          </xdr:nvSpPr>
          <xdr:spPr>
            <a:xfrm>
              <a:off x="4330699" y="5783749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E1E2B31-4E58-4FC0-87D1-E7EB8ACFD4FC}"/>
                </a:ext>
              </a:extLst>
            </xdr:cNvPr>
            <xdr:cNvSpPr txBox="1"/>
          </xdr:nvSpPr>
          <xdr:spPr>
            <a:xfrm>
              <a:off x="4415369" y="5806609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E1E2B31-4E58-4FC0-87D1-E7EB8ACFD4FC}"/>
                </a:ext>
              </a:extLst>
            </xdr:cNvPr>
            <xdr:cNvSpPr txBox="1"/>
          </xdr:nvSpPr>
          <xdr:spPr>
            <a:xfrm>
              <a:off x="4415369" y="5806609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96AB5DAF-840D-4984-BBC3-B04EB40C7EDE}"/>
                </a:ext>
              </a:extLst>
            </xdr:cNvPr>
            <xdr:cNvSpPr txBox="1"/>
          </xdr:nvSpPr>
          <xdr:spPr>
            <a:xfrm>
              <a:off x="12269041" y="5781632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96AB5DAF-840D-4984-BBC3-B04EB40C7EDE}"/>
                </a:ext>
              </a:extLst>
            </xdr:cNvPr>
            <xdr:cNvSpPr txBox="1"/>
          </xdr:nvSpPr>
          <xdr:spPr>
            <a:xfrm>
              <a:off x="12269041" y="5781632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AA83523D-5AE2-420A-B505-C94F93621E03}"/>
                </a:ext>
              </a:extLst>
            </xdr:cNvPr>
            <xdr:cNvSpPr txBox="1"/>
          </xdr:nvSpPr>
          <xdr:spPr>
            <a:xfrm>
              <a:off x="12269041" y="5759619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AA83523D-5AE2-420A-B505-C94F93621E03}"/>
                </a:ext>
              </a:extLst>
            </xdr:cNvPr>
            <xdr:cNvSpPr txBox="1"/>
          </xdr:nvSpPr>
          <xdr:spPr>
            <a:xfrm>
              <a:off x="12269041" y="5759619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2BD67BB4-BD39-4E15-84A5-0C5C51E974C4}"/>
                </a:ext>
              </a:extLst>
            </xdr:cNvPr>
            <xdr:cNvSpPr txBox="1"/>
          </xdr:nvSpPr>
          <xdr:spPr>
            <a:xfrm>
              <a:off x="9502989" y="5784596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2BD67BB4-BD39-4E15-84A5-0C5C51E974C4}"/>
                </a:ext>
              </a:extLst>
            </xdr:cNvPr>
            <xdr:cNvSpPr txBox="1"/>
          </xdr:nvSpPr>
          <xdr:spPr>
            <a:xfrm>
              <a:off x="9502989" y="5784596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143929</xdr:colOff>
      <xdr:row>24</xdr:row>
      <xdr:rowOff>16934</xdr:rowOff>
    </xdr:from>
    <xdr:ext cx="64434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CE5A5922-12CA-40FE-9AEF-5ED80F5C6547}"/>
                </a:ext>
              </a:extLst>
            </xdr:cNvPr>
            <xdr:cNvSpPr txBox="1"/>
          </xdr:nvSpPr>
          <xdr:spPr>
            <a:xfrm>
              <a:off x="10210796" y="5308601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CE5A5922-12CA-40FE-9AEF-5ED80F5C6547}"/>
                </a:ext>
              </a:extLst>
            </xdr:cNvPr>
            <xdr:cNvSpPr txBox="1"/>
          </xdr:nvSpPr>
          <xdr:spPr>
            <a:xfrm>
              <a:off x="10210796" y="5308601"/>
              <a:ext cx="64434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270935</xdr:colOff>
      <xdr:row>22</xdr:row>
      <xdr:rowOff>16934</xdr:rowOff>
    </xdr:from>
    <xdr:ext cx="39530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A0DA7A7-7B46-47F7-B0ED-D968A7F55AC1}"/>
                </a:ext>
              </a:extLst>
            </xdr:cNvPr>
            <xdr:cNvSpPr txBox="1"/>
          </xdr:nvSpPr>
          <xdr:spPr>
            <a:xfrm>
              <a:off x="10336955" y="5738029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A0DA7A7-7B46-47F7-B0ED-D968A7F55AC1}"/>
                </a:ext>
              </a:extLst>
            </xdr:cNvPr>
            <xdr:cNvSpPr txBox="1"/>
          </xdr:nvSpPr>
          <xdr:spPr>
            <a:xfrm>
              <a:off x="10336955" y="57380294"/>
              <a:ext cx="39530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F3E27E41-D279-4C9F-ACC2-93B908F27A69}"/>
                </a:ext>
              </a:extLst>
            </xdr:cNvPr>
            <xdr:cNvSpPr txBox="1"/>
          </xdr:nvSpPr>
          <xdr:spPr>
            <a:xfrm>
              <a:off x="9359060" y="5761313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F3E27E41-D279-4C9F-ACC2-93B908F27A69}"/>
                </a:ext>
              </a:extLst>
            </xdr:cNvPr>
            <xdr:cNvSpPr txBox="1"/>
          </xdr:nvSpPr>
          <xdr:spPr>
            <a:xfrm>
              <a:off x="9359060" y="5761313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1011121F-63A0-4D9D-8561-81A952357CAA}"/>
                </a:ext>
              </a:extLst>
            </xdr:cNvPr>
            <xdr:cNvSpPr txBox="1"/>
          </xdr:nvSpPr>
          <xdr:spPr>
            <a:xfrm>
              <a:off x="3075100" y="590592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1011121F-63A0-4D9D-8561-81A952357CAA}"/>
                </a:ext>
              </a:extLst>
            </xdr:cNvPr>
            <xdr:cNvSpPr txBox="1"/>
          </xdr:nvSpPr>
          <xdr:spPr>
            <a:xfrm>
              <a:off x="3075100" y="590592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9502FE9A-A8FE-4580-8564-8956BB31F47E}"/>
                </a:ext>
              </a:extLst>
            </xdr:cNvPr>
            <xdr:cNvSpPr txBox="1"/>
          </xdr:nvSpPr>
          <xdr:spPr>
            <a:xfrm>
              <a:off x="5381414" y="5906770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9502FE9A-A8FE-4580-8564-8956BB31F47E}"/>
                </a:ext>
              </a:extLst>
            </xdr:cNvPr>
            <xdr:cNvSpPr txBox="1"/>
          </xdr:nvSpPr>
          <xdr:spPr>
            <a:xfrm>
              <a:off x="5381414" y="5906770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878C5CDC-26D7-4526-BFA3-84A8767AB436}"/>
                </a:ext>
              </a:extLst>
            </xdr:cNvPr>
            <xdr:cNvSpPr txBox="1"/>
          </xdr:nvSpPr>
          <xdr:spPr>
            <a:xfrm>
              <a:off x="242993" y="593005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878C5CDC-26D7-4526-BFA3-84A8767AB436}"/>
                </a:ext>
              </a:extLst>
            </xdr:cNvPr>
            <xdr:cNvSpPr txBox="1"/>
          </xdr:nvSpPr>
          <xdr:spPr>
            <a:xfrm>
              <a:off x="242993" y="593005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EB23AAD3-7A14-4B81-A150-5C50DD4717F0}"/>
                </a:ext>
              </a:extLst>
            </xdr:cNvPr>
            <xdr:cNvSpPr txBox="1"/>
          </xdr:nvSpPr>
          <xdr:spPr>
            <a:xfrm>
              <a:off x="243840" y="595308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EB23AAD3-7A14-4B81-A150-5C50DD4717F0}"/>
                </a:ext>
              </a:extLst>
            </xdr:cNvPr>
            <xdr:cNvSpPr txBox="1"/>
          </xdr:nvSpPr>
          <xdr:spPr>
            <a:xfrm>
              <a:off x="243840" y="595308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49803F74-0269-4953-BDA2-6E251ECC7E3B}"/>
                </a:ext>
              </a:extLst>
            </xdr:cNvPr>
            <xdr:cNvSpPr txBox="1"/>
          </xdr:nvSpPr>
          <xdr:spPr>
            <a:xfrm>
              <a:off x="243840" y="597585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49803F74-0269-4953-BDA2-6E251ECC7E3B}"/>
                </a:ext>
              </a:extLst>
            </xdr:cNvPr>
            <xdr:cNvSpPr txBox="1"/>
          </xdr:nvSpPr>
          <xdr:spPr>
            <a:xfrm>
              <a:off x="243840" y="597585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97D17F88-DBFA-46BD-B72C-DC1EB41963DC}"/>
                </a:ext>
              </a:extLst>
            </xdr:cNvPr>
            <xdr:cNvSpPr txBox="1"/>
          </xdr:nvSpPr>
          <xdr:spPr>
            <a:xfrm>
              <a:off x="243840" y="5998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97D17F88-DBFA-46BD-B72C-DC1EB41963DC}"/>
                </a:ext>
              </a:extLst>
            </xdr:cNvPr>
            <xdr:cNvSpPr txBox="1"/>
          </xdr:nvSpPr>
          <xdr:spPr>
            <a:xfrm>
              <a:off x="243840" y="5998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699B358B-D6A1-41A7-B20E-17A85045EFB0}"/>
                </a:ext>
              </a:extLst>
            </xdr:cNvPr>
            <xdr:cNvSpPr txBox="1"/>
          </xdr:nvSpPr>
          <xdr:spPr>
            <a:xfrm>
              <a:off x="243840" y="6021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699B358B-D6A1-41A7-B20E-17A85045EFB0}"/>
                </a:ext>
              </a:extLst>
            </xdr:cNvPr>
            <xdr:cNvSpPr txBox="1"/>
          </xdr:nvSpPr>
          <xdr:spPr>
            <a:xfrm>
              <a:off x="243840" y="6021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2BE89126-7243-4A91-A205-D5392479C3B7}"/>
                </a:ext>
              </a:extLst>
            </xdr:cNvPr>
            <xdr:cNvSpPr txBox="1"/>
          </xdr:nvSpPr>
          <xdr:spPr>
            <a:xfrm>
              <a:off x="236220" y="60671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2BE89126-7243-4A91-A205-D5392479C3B7}"/>
                </a:ext>
              </a:extLst>
            </xdr:cNvPr>
            <xdr:cNvSpPr txBox="1"/>
          </xdr:nvSpPr>
          <xdr:spPr>
            <a:xfrm>
              <a:off x="236220" y="60671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C55D79B7-85C7-43C5-BFC6-2067FDA5E3F9}"/>
                </a:ext>
              </a:extLst>
            </xdr:cNvPr>
            <xdr:cNvSpPr txBox="1"/>
          </xdr:nvSpPr>
          <xdr:spPr>
            <a:xfrm>
              <a:off x="228600" y="6090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C55D79B7-85C7-43C5-BFC6-2067FDA5E3F9}"/>
                </a:ext>
              </a:extLst>
            </xdr:cNvPr>
            <xdr:cNvSpPr txBox="1"/>
          </xdr:nvSpPr>
          <xdr:spPr>
            <a:xfrm>
              <a:off x="228600" y="6090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10052D85-795A-4BDC-884D-7A7D3D10EF9C}"/>
                </a:ext>
              </a:extLst>
            </xdr:cNvPr>
            <xdr:cNvSpPr txBox="1"/>
          </xdr:nvSpPr>
          <xdr:spPr>
            <a:xfrm>
              <a:off x="228600" y="61129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10052D85-795A-4BDC-884D-7A7D3D10EF9C}"/>
                </a:ext>
              </a:extLst>
            </xdr:cNvPr>
            <xdr:cNvSpPr txBox="1"/>
          </xdr:nvSpPr>
          <xdr:spPr>
            <a:xfrm>
              <a:off x="228600" y="61129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5818E26-8C25-41B0-A276-FBFA7609C797}"/>
                </a:ext>
              </a:extLst>
            </xdr:cNvPr>
            <xdr:cNvSpPr txBox="1"/>
          </xdr:nvSpPr>
          <xdr:spPr>
            <a:xfrm>
              <a:off x="220980" y="613579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5818E26-8C25-41B0-A276-FBFA7609C797}"/>
                </a:ext>
              </a:extLst>
            </xdr:cNvPr>
            <xdr:cNvSpPr txBox="1"/>
          </xdr:nvSpPr>
          <xdr:spPr>
            <a:xfrm>
              <a:off x="220980" y="613579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EF79AA7A-E6FD-42F8-9D19-125E4EE93D69}"/>
                </a:ext>
              </a:extLst>
            </xdr:cNvPr>
            <xdr:cNvSpPr txBox="1"/>
          </xdr:nvSpPr>
          <xdr:spPr>
            <a:xfrm>
              <a:off x="243840" y="6044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EF79AA7A-E6FD-42F8-9D19-125E4EE93D69}"/>
                </a:ext>
              </a:extLst>
            </xdr:cNvPr>
            <xdr:cNvSpPr txBox="1"/>
          </xdr:nvSpPr>
          <xdr:spPr>
            <a:xfrm>
              <a:off x="243840" y="6044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44868</xdr:colOff>
      <xdr:row>30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462C59AE-6F21-4031-9410-8A6A4B1E5E73}"/>
                </a:ext>
              </a:extLst>
            </xdr:cNvPr>
            <xdr:cNvSpPr txBox="1"/>
          </xdr:nvSpPr>
          <xdr:spPr>
            <a:xfrm>
              <a:off x="773001" y="654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462C59AE-6F21-4031-9410-8A6A4B1E5E73}"/>
                </a:ext>
              </a:extLst>
            </xdr:cNvPr>
            <xdr:cNvSpPr txBox="1"/>
          </xdr:nvSpPr>
          <xdr:spPr>
            <a:xfrm>
              <a:off x="773001" y="654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C8DE6350-D321-42C8-85EC-962EC4197C74}"/>
                </a:ext>
              </a:extLst>
            </xdr:cNvPr>
            <xdr:cNvSpPr txBox="1"/>
          </xdr:nvSpPr>
          <xdr:spPr>
            <a:xfrm>
              <a:off x="15063886" y="594063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C8DE6350-D321-42C8-85EC-962EC4197C74}"/>
                </a:ext>
              </a:extLst>
            </xdr:cNvPr>
            <xdr:cNvSpPr txBox="1"/>
          </xdr:nvSpPr>
          <xdr:spPr>
            <a:xfrm>
              <a:off x="15063886" y="594063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43170</xdr:colOff>
      <xdr:row>29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D1D85D96-779E-4BA3-8824-72FFD79DD548}"/>
                </a:ext>
              </a:extLst>
            </xdr:cNvPr>
            <xdr:cNvSpPr txBox="1"/>
          </xdr:nvSpPr>
          <xdr:spPr>
            <a:xfrm>
              <a:off x="6858837" y="653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D1D85D96-779E-4BA3-8824-72FFD79DD548}"/>
                </a:ext>
              </a:extLst>
            </xdr:cNvPr>
            <xdr:cNvSpPr txBox="1"/>
          </xdr:nvSpPr>
          <xdr:spPr>
            <a:xfrm>
              <a:off x="6858837" y="653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055BE414-0843-413B-9076-339ABCA07076}"/>
                </a:ext>
              </a:extLst>
            </xdr:cNvPr>
            <xdr:cNvSpPr txBox="1"/>
          </xdr:nvSpPr>
          <xdr:spPr>
            <a:xfrm>
              <a:off x="8257547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055BE414-0843-413B-9076-339ABCA07076}"/>
                </a:ext>
              </a:extLst>
            </xdr:cNvPr>
            <xdr:cNvSpPr txBox="1"/>
          </xdr:nvSpPr>
          <xdr:spPr>
            <a:xfrm>
              <a:off x="8257547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F99C1AE0-03EF-4C91-8F60-B4D26C973236}"/>
                </a:ext>
              </a:extLst>
            </xdr:cNvPr>
            <xdr:cNvSpPr txBox="1"/>
          </xdr:nvSpPr>
          <xdr:spPr>
            <a:xfrm>
              <a:off x="9401391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F99C1AE0-03EF-4C91-8F60-B4D26C973236}"/>
                </a:ext>
              </a:extLst>
            </xdr:cNvPr>
            <xdr:cNvSpPr txBox="1"/>
          </xdr:nvSpPr>
          <xdr:spPr>
            <a:xfrm>
              <a:off x="9401391" y="590761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86F83C06-6434-40C2-B183-5B86F341B02C}"/>
                </a:ext>
              </a:extLst>
            </xdr:cNvPr>
            <xdr:cNvSpPr txBox="1"/>
          </xdr:nvSpPr>
          <xdr:spPr>
            <a:xfrm>
              <a:off x="10150691" y="590761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86F83C06-6434-40C2-B183-5B86F341B02C}"/>
                </a:ext>
              </a:extLst>
            </xdr:cNvPr>
            <xdr:cNvSpPr txBox="1"/>
          </xdr:nvSpPr>
          <xdr:spPr>
            <a:xfrm>
              <a:off x="10150691" y="590761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CB8E3AF3-AC39-420C-9493-04FCB73C235B}"/>
                </a:ext>
              </a:extLst>
            </xdr:cNvPr>
            <xdr:cNvSpPr txBox="1"/>
          </xdr:nvSpPr>
          <xdr:spPr>
            <a:xfrm>
              <a:off x="11095571" y="590761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CB8E3AF3-AC39-420C-9493-04FCB73C235B}"/>
                </a:ext>
              </a:extLst>
            </xdr:cNvPr>
            <xdr:cNvSpPr txBox="1"/>
          </xdr:nvSpPr>
          <xdr:spPr>
            <a:xfrm>
              <a:off x="11095571" y="590761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6235C708-CE73-4976-9204-2AD9CFA3AD2A}"/>
                </a:ext>
              </a:extLst>
            </xdr:cNvPr>
            <xdr:cNvSpPr txBox="1"/>
          </xdr:nvSpPr>
          <xdr:spPr>
            <a:xfrm>
              <a:off x="12345261" y="590677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6235C708-CE73-4976-9204-2AD9CFA3AD2A}"/>
                </a:ext>
              </a:extLst>
            </xdr:cNvPr>
            <xdr:cNvSpPr txBox="1"/>
          </xdr:nvSpPr>
          <xdr:spPr>
            <a:xfrm>
              <a:off x="12345261" y="590677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3357ABA-1F1F-47BF-90E6-F15A21003A60}"/>
                </a:ext>
              </a:extLst>
            </xdr:cNvPr>
            <xdr:cNvSpPr txBox="1"/>
          </xdr:nvSpPr>
          <xdr:spPr>
            <a:xfrm>
              <a:off x="13196160" y="590592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3357ABA-1F1F-47BF-90E6-F15A21003A60}"/>
                </a:ext>
              </a:extLst>
            </xdr:cNvPr>
            <xdr:cNvSpPr txBox="1"/>
          </xdr:nvSpPr>
          <xdr:spPr>
            <a:xfrm>
              <a:off x="13196160" y="590592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5BD44468-CD56-40BD-A95D-4B4965A2F1CB}"/>
                </a:ext>
              </a:extLst>
            </xdr:cNvPr>
            <xdr:cNvSpPr txBox="1"/>
          </xdr:nvSpPr>
          <xdr:spPr>
            <a:xfrm>
              <a:off x="14106323" y="611251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5BD44468-CD56-40BD-A95D-4B4965A2F1CB}"/>
                </a:ext>
              </a:extLst>
            </xdr:cNvPr>
            <xdr:cNvSpPr txBox="1"/>
          </xdr:nvSpPr>
          <xdr:spPr>
            <a:xfrm>
              <a:off x="14106323" y="611251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38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2C5C1F56-B7ED-44E8-BBC1-4058475F3EA1}"/>
                </a:ext>
              </a:extLst>
            </xdr:cNvPr>
            <xdr:cNvSpPr txBox="1"/>
          </xdr:nvSpPr>
          <xdr:spPr>
            <a:xfrm>
              <a:off x="13708380" y="6090073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2C5C1F56-B7ED-44E8-BBC1-4058475F3EA1}"/>
                </a:ext>
              </a:extLst>
            </xdr:cNvPr>
            <xdr:cNvSpPr txBox="1"/>
          </xdr:nvSpPr>
          <xdr:spPr>
            <a:xfrm>
              <a:off x="13708380" y="6090073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9E73242F-5412-46A9-8511-E634F8E19B4C}"/>
                </a:ext>
              </a:extLst>
            </xdr:cNvPr>
            <xdr:cNvSpPr txBox="1"/>
          </xdr:nvSpPr>
          <xdr:spPr>
            <a:xfrm>
              <a:off x="16326287" y="5930476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9E73242F-5412-46A9-8511-E634F8E19B4C}"/>
                </a:ext>
              </a:extLst>
            </xdr:cNvPr>
            <xdr:cNvSpPr txBox="1"/>
          </xdr:nvSpPr>
          <xdr:spPr>
            <a:xfrm>
              <a:off x="16326287" y="5930476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AA313976-0215-492C-BAD4-0B5E09C0AA78}"/>
                </a:ext>
              </a:extLst>
            </xdr:cNvPr>
            <xdr:cNvSpPr txBox="1"/>
          </xdr:nvSpPr>
          <xdr:spPr>
            <a:xfrm>
              <a:off x="16410957" y="5952490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AA313976-0215-492C-BAD4-0B5E09C0AA78}"/>
                </a:ext>
              </a:extLst>
            </xdr:cNvPr>
            <xdr:cNvSpPr txBox="1"/>
          </xdr:nvSpPr>
          <xdr:spPr>
            <a:xfrm>
              <a:off x="16410957" y="5952490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6A494CDC-2EF3-407B-A869-9560D8954ACF}"/>
                </a:ext>
              </a:extLst>
            </xdr:cNvPr>
            <xdr:cNvSpPr txBox="1"/>
          </xdr:nvSpPr>
          <xdr:spPr>
            <a:xfrm>
              <a:off x="16410957" y="5975350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6A494CDC-2EF3-407B-A869-9560D8954ACF}"/>
                </a:ext>
              </a:extLst>
            </xdr:cNvPr>
            <xdr:cNvSpPr txBox="1"/>
          </xdr:nvSpPr>
          <xdr:spPr>
            <a:xfrm>
              <a:off x="16410957" y="5975350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609602</xdr:colOff>
      <xdr:row>24</xdr:row>
      <xdr:rowOff>21166</xdr:rowOff>
    </xdr:from>
    <xdr:ext cx="487056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D46E2B0F-042E-4D25-8658-98C66EEFDEFB}"/>
                </a:ext>
              </a:extLst>
            </xdr:cNvPr>
            <xdr:cNvSpPr txBox="1"/>
          </xdr:nvSpPr>
          <xdr:spPr>
            <a:xfrm>
              <a:off x="6544735" y="5312833"/>
              <a:ext cx="48705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D46E2B0F-042E-4D25-8658-98C66EEFDEFB}"/>
                </a:ext>
              </a:extLst>
            </xdr:cNvPr>
            <xdr:cNvSpPr txBox="1"/>
          </xdr:nvSpPr>
          <xdr:spPr>
            <a:xfrm>
              <a:off x="6544735" y="5312833"/>
              <a:ext cx="48705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4E3C340F-D13D-4FF2-BD29-E1789A8CC2BC}"/>
                </a:ext>
              </a:extLst>
            </xdr:cNvPr>
            <xdr:cNvSpPr txBox="1"/>
          </xdr:nvSpPr>
          <xdr:spPr>
            <a:xfrm>
              <a:off x="3108968" y="623595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4E3C340F-D13D-4FF2-BD29-E1789A8CC2BC}"/>
                </a:ext>
              </a:extLst>
            </xdr:cNvPr>
            <xdr:cNvSpPr txBox="1"/>
          </xdr:nvSpPr>
          <xdr:spPr>
            <a:xfrm>
              <a:off x="3108968" y="623595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265BB915-6B12-4AD6-A7A5-385C70B6961C}"/>
                </a:ext>
              </a:extLst>
            </xdr:cNvPr>
            <xdr:cNvSpPr txBox="1"/>
          </xdr:nvSpPr>
          <xdr:spPr>
            <a:xfrm>
              <a:off x="5415282" y="623680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265BB915-6B12-4AD6-A7A5-385C70B6961C}"/>
                </a:ext>
              </a:extLst>
            </xdr:cNvPr>
            <xdr:cNvSpPr txBox="1"/>
          </xdr:nvSpPr>
          <xdr:spPr>
            <a:xfrm>
              <a:off x="5415282" y="623680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C6BE534-2589-4F11-B3F3-33D4D1DE77DB}"/>
                </a:ext>
              </a:extLst>
            </xdr:cNvPr>
            <xdr:cNvSpPr txBox="1"/>
          </xdr:nvSpPr>
          <xdr:spPr>
            <a:xfrm>
              <a:off x="242993" y="625923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4C6BE534-2589-4F11-B3F3-33D4D1DE77DB}"/>
                </a:ext>
              </a:extLst>
            </xdr:cNvPr>
            <xdr:cNvSpPr txBox="1"/>
          </xdr:nvSpPr>
          <xdr:spPr>
            <a:xfrm>
              <a:off x="242993" y="625923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BAC73A26-AF10-4A47-8C00-C55F6DD75133}"/>
                </a:ext>
              </a:extLst>
            </xdr:cNvPr>
            <xdr:cNvSpPr txBox="1"/>
          </xdr:nvSpPr>
          <xdr:spPr>
            <a:xfrm>
              <a:off x="243840" y="628226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BAC73A26-AF10-4A47-8C00-C55F6DD75133}"/>
                </a:ext>
              </a:extLst>
            </xdr:cNvPr>
            <xdr:cNvSpPr txBox="1"/>
          </xdr:nvSpPr>
          <xdr:spPr>
            <a:xfrm>
              <a:off x="243840" y="628226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33E5D928-1B43-465C-8206-25C92F28C0CA}"/>
                </a:ext>
              </a:extLst>
            </xdr:cNvPr>
            <xdr:cNvSpPr txBox="1"/>
          </xdr:nvSpPr>
          <xdr:spPr>
            <a:xfrm>
              <a:off x="243840" y="630504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33E5D928-1B43-465C-8206-25C92F28C0CA}"/>
                </a:ext>
              </a:extLst>
            </xdr:cNvPr>
            <xdr:cNvSpPr txBox="1"/>
          </xdr:nvSpPr>
          <xdr:spPr>
            <a:xfrm>
              <a:off x="243840" y="630504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09CF6C8F-6317-44B7-B466-790836A4E128}"/>
                </a:ext>
              </a:extLst>
            </xdr:cNvPr>
            <xdr:cNvSpPr txBox="1"/>
          </xdr:nvSpPr>
          <xdr:spPr>
            <a:xfrm>
              <a:off x="243840" y="6327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09CF6C8F-6317-44B7-B466-790836A4E128}"/>
                </a:ext>
              </a:extLst>
            </xdr:cNvPr>
            <xdr:cNvSpPr txBox="1"/>
          </xdr:nvSpPr>
          <xdr:spPr>
            <a:xfrm>
              <a:off x="243840" y="6327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7BF546A1-0A11-466F-AB97-0AC27AAEED24}"/>
                </a:ext>
              </a:extLst>
            </xdr:cNvPr>
            <xdr:cNvSpPr txBox="1"/>
          </xdr:nvSpPr>
          <xdr:spPr>
            <a:xfrm>
              <a:off x="243840" y="6350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7BF546A1-0A11-466F-AB97-0AC27AAEED24}"/>
                </a:ext>
              </a:extLst>
            </xdr:cNvPr>
            <xdr:cNvSpPr txBox="1"/>
          </xdr:nvSpPr>
          <xdr:spPr>
            <a:xfrm>
              <a:off x="243840" y="6350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16F57CDB-1C21-481D-9FF3-39DA73868E73}"/>
                </a:ext>
              </a:extLst>
            </xdr:cNvPr>
            <xdr:cNvSpPr txBox="1"/>
          </xdr:nvSpPr>
          <xdr:spPr>
            <a:xfrm>
              <a:off x="236220" y="63963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16F57CDB-1C21-481D-9FF3-39DA73868E73}"/>
                </a:ext>
              </a:extLst>
            </xdr:cNvPr>
            <xdr:cNvSpPr txBox="1"/>
          </xdr:nvSpPr>
          <xdr:spPr>
            <a:xfrm>
              <a:off x="236220" y="63963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3670A0E0-39E2-4360-8A80-90051E637A00}"/>
                </a:ext>
              </a:extLst>
            </xdr:cNvPr>
            <xdr:cNvSpPr txBox="1"/>
          </xdr:nvSpPr>
          <xdr:spPr>
            <a:xfrm>
              <a:off x="228600" y="6419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3670A0E0-39E2-4360-8A80-90051E637A00}"/>
                </a:ext>
              </a:extLst>
            </xdr:cNvPr>
            <xdr:cNvSpPr txBox="1"/>
          </xdr:nvSpPr>
          <xdr:spPr>
            <a:xfrm>
              <a:off x="228600" y="6419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B048AF1F-E42D-4109-81DB-512256EB8ACF}"/>
                </a:ext>
              </a:extLst>
            </xdr:cNvPr>
            <xdr:cNvSpPr txBox="1"/>
          </xdr:nvSpPr>
          <xdr:spPr>
            <a:xfrm>
              <a:off x="228600" y="64421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B048AF1F-E42D-4109-81DB-512256EB8ACF}"/>
                </a:ext>
              </a:extLst>
            </xdr:cNvPr>
            <xdr:cNvSpPr txBox="1"/>
          </xdr:nvSpPr>
          <xdr:spPr>
            <a:xfrm>
              <a:off x="228600" y="64421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811703F1-5890-4F26-8892-6C2BAE0AF5F4}"/>
                </a:ext>
              </a:extLst>
            </xdr:cNvPr>
            <xdr:cNvSpPr txBox="1"/>
          </xdr:nvSpPr>
          <xdr:spPr>
            <a:xfrm>
              <a:off x="220980" y="646497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811703F1-5890-4F26-8892-6C2BAE0AF5F4}"/>
                </a:ext>
              </a:extLst>
            </xdr:cNvPr>
            <xdr:cNvSpPr txBox="1"/>
          </xdr:nvSpPr>
          <xdr:spPr>
            <a:xfrm>
              <a:off x="220980" y="646497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A20B3DDB-1498-493A-A166-CEB1914ECDB1}"/>
                </a:ext>
              </a:extLst>
            </xdr:cNvPr>
            <xdr:cNvSpPr txBox="1"/>
          </xdr:nvSpPr>
          <xdr:spPr>
            <a:xfrm>
              <a:off x="243840" y="6373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A20B3DDB-1498-493A-A166-CEB1914ECDB1}"/>
                </a:ext>
              </a:extLst>
            </xdr:cNvPr>
            <xdr:cNvSpPr txBox="1"/>
          </xdr:nvSpPr>
          <xdr:spPr>
            <a:xfrm>
              <a:off x="243840" y="6373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44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93F8484B-5733-4AC1-963C-A2BE72AFD23F}"/>
                </a:ext>
              </a:extLst>
            </xdr:cNvPr>
            <xdr:cNvSpPr txBox="1"/>
          </xdr:nvSpPr>
          <xdr:spPr>
            <a:xfrm>
              <a:off x="6850370" y="983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93F8484B-5733-4AC1-963C-A2BE72AFD23F}"/>
                </a:ext>
              </a:extLst>
            </xdr:cNvPr>
            <xdr:cNvSpPr txBox="1"/>
          </xdr:nvSpPr>
          <xdr:spPr>
            <a:xfrm>
              <a:off x="6850370" y="983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A2DC99B1-C16C-4CA5-A680-9C962B32A89E}"/>
                </a:ext>
              </a:extLst>
            </xdr:cNvPr>
            <xdr:cNvSpPr txBox="1"/>
          </xdr:nvSpPr>
          <xdr:spPr>
            <a:xfrm>
              <a:off x="8299884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A2DC99B1-C16C-4CA5-A680-9C962B32A89E}"/>
                </a:ext>
              </a:extLst>
            </xdr:cNvPr>
            <xdr:cNvSpPr txBox="1"/>
          </xdr:nvSpPr>
          <xdr:spPr>
            <a:xfrm>
              <a:off x="8299884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515B7BDD-37B5-477A-8099-663ACEC0AA4B}"/>
                </a:ext>
              </a:extLst>
            </xdr:cNvPr>
            <xdr:cNvSpPr txBox="1"/>
          </xdr:nvSpPr>
          <xdr:spPr>
            <a:xfrm>
              <a:off x="9401391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515B7BDD-37B5-477A-8099-663ACEC0AA4B}"/>
                </a:ext>
              </a:extLst>
            </xdr:cNvPr>
            <xdr:cNvSpPr txBox="1"/>
          </xdr:nvSpPr>
          <xdr:spPr>
            <a:xfrm>
              <a:off x="9401391" y="623680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FBA62078-566E-4ADC-A61A-0C3E310A390D}"/>
                </a:ext>
              </a:extLst>
            </xdr:cNvPr>
            <xdr:cNvSpPr txBox="1"/>
          </xdr:nvSpPr>
          <xdr:spPr>
            <a:xfrm>
              <a:off x="10125290" y="623680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FBA62078-566E-4ADC-A61A-0C3E310A390D}"/>
                </a:ext>
              </a:extLst>
            </xdr:cNvPr>
            <xdr:cNvSpPr txBox="1"/>
          </xdr:nvSpPr>
          <xdr:spPr>
            <a:xfrm>
              <a:off x="10125290" y="623680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9BA73F77-BE5E-4782-BA5B-6024B579DBC8}"/>
                </a:ext>
              </a:extLst>
            </xdr:cNvPr>
            <xdr:cNvSpPr txBox="1"/>
          </xdr:nvSpPr>
          <xdr:spPr>
            <a:xfrm>
              <a:off x="11070170" y="623680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9BA73F77-BE5E-4782-BA5B-6024B579DBC8}"/>
                </a:ext>
              </a:extLst>
            </xdr:cNvPr>
            <xdr:cNvSpPr txBox="1"/>
          </xdr:nvSpPr>
          <xdr:spPr>
            <a:xfrm>
              <a:off x="11070170" y="623680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3F221D49-8EF4-44D6-B536-32DF76270F79}"/>
                </a:ext>
              </a:extLst>
            </xdr:cNvPr>
            <xdr:cNvSpPr txBox="1"/>
          </xdr:nvSpPr>
          <xdr:spPr>
            <a:xfrm>
              <a:off x="12336794" y="623595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3F221D49-8EF4-44D6-B536-32DF76270F79}"/>
                </a:ext>
              </a:extLst>
            </xdr:cNvPr>
            <xdr:cNvSpPr txBox="1"/>
          </xdr:nvSpPr>
          <xdr:spPr>
            <a:xfrm>
              <a:off x="12336794" y="623595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3BBF851A-7C9C-4492-A69E-7FC610EC5E58}"/>
                </a:ext>
              </a:extLst>
            </xdr:cNvPr>
            <xdr:cNvSpPr txBox="1"/>
          </xdr:nvSpPr>
          <xdr:spPr>
            <a:xfrm>
              <a:off x="13187693" y="623510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3BBF851A-7C9C-4492-A69E-7FC610EC5E58}"/>
                </a:ext>
              </a:extLst>
            </xdr:cNvPr>
            <xdr:cNvSpPr txBox="1"/>
          </xdr:nvSpPr>
          <xdr:spPr>
            <a:xfrm>
              <a:off x="13187693" y="623510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EB2C82-4689-46A2-942B-B6F526CEDD22}"/>
                </a:ext>
              </a:extLst>
            </xdr:cNvPr>
            <xdr:cNvSpPr txBox="1"/>
          </xdr:nvSpPr>
          <xdr:spPr>
            <a:xfrm>
              <a:off x="14106323" y="644169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4EB2C82-4689-46A2-942B-B6F526CEDD22}"/>
                </a:ext>
              </a:extLst>
            </xdr:cNvPr>
            <xdr:cNvSpPr txBox="1"/>
          </xdr:nvSpPr>
          <xdr:spPr>
            <a:xfrm>
              <a:off x="14106323" y="644169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53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36AA2928-58D6-47CA-A9B9-7A2BEAF89701}"/>
                </a:ext>
              </a:extLst>
            </xdr:cNvPr>
            <xdr:cNvSpPr txBox="1"/>
          </xdr:nvSpPr>
          <xdr:spPr>
            <a:xfrm>
              <a:off x="13708380" y="6419257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36AA2928-58D6-47CA-A9B9-7A2BEAF89701}"/>
                </a:ext>
              </a:extLst>
            </xdr:cNvPr>
            <xdr:cNvSpPr txBox="1"/>
          </xdr:nvSpPr>
          <xdr:spPr>
            <a:xfrm>
              <a:off x="13708380" y="6419257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44876</xdr:colOff>
      <xdr:row>45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F15A2F2E-0B5E-4191-A3FB-4220007348E3}"/>
                </a:ext>
              </a:extLst>
            </xdr:cNvPr>
            <xdr:cNvSpPr txBox="1"/>
          </xdr:nvSpPr>
          <xdr:spPr>
            <a:xfrm>
              <a:off x="773009" y="984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F15A2F2E-0B5E-4191-A3FB-4220007348E3}"/>
                </a:ext>
              </a:extLst>
            </xdr:cNvPr>
            <xdr:cNvSpPr txBox="1"/>
          </xdr:nvSpPr>
          <xdr:spPr>
            <a:xfrm>
              <a:off x="773009" y="984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CD0905AC-9D2C-4E24-9DC3-5CAABA0D40B5}"/>
                </a:ext>
              </a:extLst>
            </xdr:cNvPr>
            <xdr:cNvSpPr txBox="1"/>
          </xdr:nvSpPr>
          <xdr:spPr>
            <a:xfrm>
              <a:off x="3108968" y="6565138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CD0905AC-9D2C-4E24-9DC3-5CAABA0D40B5}"/>
                </a:ext>
              </a:extLst>
            </xdr:cNvPr>
            <xdr:cNvSpPr txBox="1"/>
          </xdr:nvSpPr>
          <xdr:spPr>
            <a:xfrm>
              <a:off x="3108968" y="6565138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52042634-6B3F-488B-AFE9-618FA5112DD2}"/>
                </a:ext>
              </a:extLst>
            </xdr:cNvPr>
            <xdr:cNvSpPr txBox="1"/>
          </xdr:nvSpPr>
          <xdr:spPr>
            <a:xfrm>
              <a:off x="5415282" y="656598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52042634-6B3F-488B-AFE9-618FA5112DD2}"/>
                </a:ext>
              </a:extLst>
            </xdr:cNvPr>
            <xdr:cNvSpPr txBox="1"/>
          </xdr:nvSpPr>
          <xdr:spPr>
            <a:xfrm>
              <a:off x="5415282" y="656598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2B8C2F7-F15F-41A4-AB10-8691907DE738}"/>
                </a:ext>
              </a:extLst>
            </xdr:cNvPr>
            <xdr:cNvSpPr txBox="1"/>
          </xdr:nvSpPr>
          <xdr:spPr>
            <a:xfrm>
              <a:off x="242993" y="658842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F2B8C2F7-F15F-41A4-AB10-8691907DE738}"/>
                </a:ext>
              </a:extLst>
            </xdr:cNvPr>
            <xdr:cNvSpPr txBox="1"/>
          </xdr:nvSpPr>
          <xdr:spPr>
            <a:xfrm>
              <a:off x="242993" y="658842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696EA804-6F19-409A-993A-4A96E7FAF5B4}"/>
                </a:ext>
              </a:extLst>
            </xdr:cNvPr>
            <xdr:cNvSpPr txBox="1"/>
          </xdr:nvSpPr>
          <xdr:spPr>
            <a:xfrm>
              <a:off x="243840" y="661145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696EA804-6F19-409A-993A-4A96E7FAF5B4}"/>
                </a:ext>
              </a:extLst>
            </xdr:cNvPr>
            <xdr:cNvSpPr txBox="1"/>
          </xdr:nvSpPr>
          <xdr:spPr>
            <a:xfrm>
              <a:off x="243840" y="661145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A5ED9A4-6F83-4086-9995-ED0E7C55CAB7}"/>
                </a:ext>
              </a:extLst>
            </xdr:cNvPr>
            <xdr:cNvSpPr txBox="1"/>
          </xdr:nvSpPr>
          <xdr:spPr>
            <a:xfrm>
              <a:off x="243840" y="663422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3A5ED9A4-6F83-4086-9995-ED0E7C55CAB7}"/>
                </a:ext>
              </a:extLst>
            </xdr:cNvPr>
            <xdr:cNvSpPr txBox="1"/>
          </xdr:nvSpPr>
          <xdr:spPr>
            <a:xfrm>
              <a:off x="243840" y="663422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AAE9092F-FEE1-4C79-ABC9-BBA8769B0FAA}"/>
                </a:ext>
              </a:extLst>
            </xdr:cNvPr>
            <xdr:cNvSpPr txBox="1"/>
          </xdr:nvSpPr>
          <xdr:spPr>
            <a:xfrm>
              <a:off x="243840" y="6656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AAE9092F-FEE1-4C79-ABC9-BBA8769B0FAA}"/>
                </a:ext>
              </a:extLst>
            </xdr:cNvPr>
            <xdr:cNvSpPr txBox="1"/>
          </xdr:nvSpPr>
          <xdr:spPr>
            <a:xfrm>
              <a:off x="243840" y="6656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5113234F-6956-4B15-8717-E153FBB39D66}"/>
                </a:ext>
              </a:extLst>
            </xdr:cNvPr>
            <xdr:cNvSpPr txBox="1"/>
          </xdr:nvSpPr>
          <xdr:spPr>
            <a:xfrm>
              <a:off x="243840" y="6679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5113234F-6956-4B15-8717-E153FBB39D66}"/>
                </a:ext>
              </a:extLst>
            </xdr:cNvPr>
            <xdr:cNvSpPr txBox="1"/>
          </xdr:nvSpPr>
          <xdr:spPr>
            <a:xfrm>
              <a:off x="243840" y="6679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9E8C5AC1-DB68-4A36-968A-C6A4105DCCF0}"/>
                </a:ext>
              </a:extLst>
            </xdr:cNvPr>
            <xdr:cNvSpPr txBox="1"/>
          </xdr:nvSpPr>
          <xdr:spPr>
            <a:xfrm>
              <a:off x="236220" y="67254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9E8C5AC1-DB68-4A36-968A-C6A4105DCCF0}"/>
                </a:ext>
              </a:extLst>
            </xdr:cNvPr>
            <xdr:cNvSpPr txBox="1"/>
          </xdr:nvSpPr>
          <xdr:spPr>
            <a:xfrm>
              <a:off x="236220" y="67254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D87615DE-58E2-4CD2-A75B-15B7A57CD5BA}"/>
                </a:ext>
              </a:extLst>
            </xdr:cNvPr>
            <xdr:cNvSpPr txBox="1"/>
          </xdr:nvSpPr>
          <xdr:spPr>
            <a:xfrm>
              <a:off x="228600" y="6748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D87615DE-58E2-4CD2-A75B-15B7A57CD5BA}"/>
                </a:ext>
              </a:extLst>
            </xdr:cNvPr>
            <xdr:cNvSpPr txBox="1"/>
          </xdr:nvSpPr>
          <xdr:spPr>
            <a:xfrm>
              <a:off x="228600" y="6748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D4ADBB27-F334-41B0-8E4B-75B837B67A2F}"/>
                </a:ext>
              </a:extLst>
            </xdr:cNvPr>
            <xdr:cNvSpPr txBox="1"/>
          </xdr:nvSpPr>
          <xdr:spPr>
            <a:xfrm>
              <a:off x="228600" y="67713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D4ADBB27-F334-41B0-8E4B-75B837B67A2F}"/>
                </a:ext>
              </a:extLst>
            </xdr:cNvPr>
            <xdr:cNvSpPr txBox="1"/>
          </xdr:nvSpPr>
          <xdr:spPr>
            <a:xfrm>
              <a:off x="228600" y="67713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9CBDEA2D-7457-4983-BD35-A4D9A0316335}"/>
                </a:ext>
              </a:extLst>
            </xdr:cNvPr>
            <xdr:cNvSpPr txBox="1"/>
          </xdr:nvSpPr>
          <xdr:spPr>
            <a:xfrm>
              <a:off x="220980" y="679416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9CBDEA2D-7457-4983-BD35-A4D9A0316335}"/>
                </a:ext>
              </a:extLst>
            </xdr:cNvPr>
            <xdr:cNvSpPr txBox="1"/>
          </xdr:nvSpPr>
          <xdr:spPr>
            <a:xfrm>
              <a:off x="220980" y="679416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DF888450-BC8E-4A45-B845-33E6D8A88131}"/>
                </a:ext>
              </a:extLst>
            </xdr:cNvPr>
            <xdr:cNvSpPr txBox="1"/>
          </xdr:nvSpPr>
          <xdr:spPr>
            <a:xfrm>
              <a:off x="243840" y="6702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DF888450-BC8E-4A45-B845-33E6D8A88131}"/>
                </a:ext>
              </a:extLst>
            </xdr:cNvPr>
            <xdr:cNvSpPr txBox="1"/>
          </xdr:nvSpPr>
          <xdr:spPr>
            <a:xfrm>
              <a:off x="243840" y="6702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43169</xdr:colOff>
      <xdr:row>59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309A573-C712-4601-8FFF-9707DCBFA38A}"/>
                </a:ext>
              </a:extLst>
            </xdr:cNvPr>
            <xdr:cNvSpPr txBox="1"/>
          </xdr:nvSpPr>
          <xdr:spPr>
            <a:xfrm>
              <a:off x="6858836" y="13136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7309A573-C712-4601-8FFF-9707DCBFA38A}"/>
                </a:ext>
              </a:extLst>
            </xdr:cNvPr>
            <xdr:cNvSpPr txBox="1"/>
          </xdr:nvSpPr>
          <xdr:spPr>
            <a:xfrm>
              <a:off x="6858836" y="13136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35CBC65B-8B38-4AD8-AFA7-20AA4570CBCB}"/>
                </a:ext>
              </a:extLst>
            </xdr:cNvPr>
            <xdr:cNvSpPr txBox="1"/>
          </xdr:nvSpPr>
          <xdr:spPr>
            <a:xfrm>
              <a:off x="8299884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35CBC65B-8B38-4AD8-AFA7-20AA4570CBCB}"/>
                </a:ext>
              </a:extLst>
            </xdr:cNvPr>
            <xdr:cNvSpPr txBox="1"/>
          </xdr:nvSpPr>
          <xdr:spPr>
            <a:xfrm>
              <a:off x="8299884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A7186B95-E190-4147-8535-1C08C0CF6BE5}"/>
                </a:ext>
              </a:extLst>
            </xdr:cNvPr>
            <xdr:cNvSpPr txBox="1"/>
          </xdr:nvSpPr>
          <xdr:spPr>
            <a:xfrm>
              <a:off x="9401391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A7186B95-E190-4147-8535-1C08C0CF6BE5}"/>
                </a:ext>
              </a:extLst>
            </xdr:cNvPr>
            <xdr:cNvSpPr txBox="1"/>
          </xdr:nvSpPr>
          <xdr:spPr>
            <a:xfrm>
              <a:off x="9401391" y="656598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23A8BE2F-5513-498C-8BF9-0DD11859A00D}"/>
                </a:ext>
              </a:extLst>
            </xdr:cNvPr>
            <xdr:cNvSpPr txBox="1"/>
          </xdr:nvSpPr>
          <xdr:spPr>
            <a:xfrm>
              <a:off x="10125290" y="656598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23A8BE2F-5513-498C-8BF9-0DD11859A00D}"/>
                </a:ext>
              </a:extLst>
            </xdr:cNvPr>
            <xdr:cNvSpPr txBox="1"/>
          </xdr:nvSpPr>
          <xdr:spPr>
            <a:xfrm>
              <a:off x="10125290" y="656598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92F80793-6AFE-4E52-9A6D-B8272F0A37D6}"/>
                </a:ext>
              </a:extLst>
            </xdr:cNvPr>
            <xdr:cNvSpPr txBox="1"/>
          </xdr:nvSpPr>
          <xdr:spPr>
            <a:xfrm>
              <a:off x="11070170" y="656598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92F80793-6AFE-4E52-9A6D-B8272F0A37D6}"/>
                </a:ext>
              </a:extLst>
            </xdr:cNvPr>
            <xdr:cNvSpPr txBox="1"/>
          </xdr:nvSpPr>
          <xdr:spPr>
            <a:xfrm>
              <a:off x="11070170" y="656598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0F4BC827-1CF7-4ADE-AF0D-56A49A697257}"/>
                </a:ext>
              </a:extLst>
            </xdr:cNvPr>
            <xdr:cNvSpPr txBox="1"/>
          </xdr:nvSpPr>
          <xdr:spPr>
            <a:xfrm>
              <a:off x="12336794" y="656513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0F4BC827-1CF7-4ADE-AF0D-56A49A697257}"/>
                </a:ext>
              </a:extLst>
            </xdr:cNvPr>
            <xdr:cNvSpPr txBox="1"/>
          </xdr:nvSpPr>
          <xdr:spPr>
            <a:xfrm>
              <a:off x="12336794" y="656513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4D86DA77-3163-47D9-AD7F-4FB68A7DA995}"/>
                </a:ext>
              </a:extLst>
            </xdr:cNvPr>
            <xdr:cNvSpPr txBox="1"/>
          </xdr:nvSpPr>
          <xdr:spPr>
            <a:xfrm>
              <a:off x="13187693" y="656429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4D86DA77-3163-47D9-AD7F-4FB68A7DA995}"/>
                </a:ext>
              </a:extLst>
            </xdr:cNvPr>
            <xdr:cNvSpPr txBox="1"/>
          </xdr:nvSpPr>
          <xdr:spPr>
            <a:xfrm>
              <a:off x="13187693" y="656429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472FC074-D7A5-43FA-AD91-987FBF781C9B}"/>
                </a:ext>
              </a:extLst>
            </xdr:cNvPr>
            <xdr:cNvSpPr txBox="1"/>
          </xdr:nvSpPr>
          <xdr:spPr>
            <a:xfrm>
              <a:off x="14106323" y="677087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472FC074-D7A5-43FA-AD91-987FBF781C9B}"/>
                </a:ext>
              </a:extLst>
            </xdr:cNvPr>
            <xdr:cNvSpPr txBox="1"/>
          </xdr:nvSpPr>
          <xdr:spPr>
            <a:xfrm>
              <a:off x="14106323" y="677087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68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049A843-FDB7-4326-AFAF-A0C314425825}"/>
                </a:ext>
              </a:extLst>
            </xdr:cNvPr>
            <xdr:cNvSpPr txBox="1"/>
          </xdr:nvSpPr>
          <xdr:spPr>
            <a:xfrm>
              <a:off x="13708380" y="6748441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049A843-FDB7-4326-AFAF-A0C314425825}"/>
                </a:ext>
              </a:extLst>
            </xdr:cNvPr>
            <xdr:cNvSpPr txBox="1"/>
          </xdr:nvSpPr>
          <xdr:spPr>
            <a:xfrm>
              <a:off x="13708380" y="67484414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44878</xdr:colOff>
      <xdr:row>60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BF535BF-A150-469B-B5F0-B2C13266F5F2}"/>
                </a:ext>
              </a:extLst>
            </xdr:cNvPr>
            <xdr:cNvSpPr txBox="1"/>
          </xdr:nvSpPr>
          <xdr:spPr>
            <a:xfrm>
              <a:off x="773011" y="1314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4BF535BF-A150-469B-B5F0-B2C13266F5F2}"/>
                </a:ext>
              </a:extLst>
            </xdr:cNvPr>
            <xdr:cNvSpPr txBox="1"/>
          </xdr:nvSpPr>
          <xdr:spPr>
            <a:xfrm>
              <a:off x="773011" y="1314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4BE8308F-CA90-427E-9839-DDCBB2D081E9}"/>
                </a:ext>
              </a:extLst>
            </xdr:cNvPr>
            <xdr:cNvSpPr txBox="1"/>
          </xdr:nvSpPr>
          <xdr:spPr>
            <a:xfrm>
              <a:off x="3108968" y="689432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4BE8308F-CA90-427E-9839-DDCBB2D081E9}"/>
                </a:ext>
              </a:extLst>
            </xdr:cNvPr>
            <xdr:cNvSpPr txBox="1"/>
          </xdr:nvSpPr>
          <xdr:spPr>
            <a:xfrm>
              <a:off x="3108968" y="689432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DBAFCD2E-231D-4159-B45E-7A91A1679DF9}"/>
                </a:ext>
              </a:extLst>
            </xdr:cNvPr>
            <xdr:cNvSpPr txBox="1"/>
          </xdr:nvSpPr>
          <xdr:spPr>
            <a:xfrm>
              <a:off x="5415282" y="689516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DBAFCD2E-231D-4159-B45E-7A91A1679DF9}"/>
                </a:ext>
              </a:extLst>
            </xdr:cNvPr>
            <xdr:cNvSpPr txBox="1"/>
          </xdr:nvSpPr>
          <xdr:spPr>
            <a:xfrm>
              <a:off x="5415282" y="689516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02F8B31D-FCB1-48D7-A290-BF70DF6CE5EC}"/>
                </a:ext>
              </a:extLst>
            </xdr:cNvPr>
            <xdr:cNvSpPr txBox="1"/>
          </xdr:nvSpPr>
          <xdr:spPr>
            <a:xfrm>
              <a:off x="242993" y="69176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02F8B31D-FCB1-48D7-A290-BF70DF6CE5EC}"/>
                </a:ext>
              </a:extLst>
            </xdr:cNvPr>
            <xdr:cNvSpPr txBox="1"/>
          </xdr:nvSpPr>
          <xdr:spPr>
            <a:xfrm>
              <a:off x="242993" y="69176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E353B4A7-FB4A-4813-8EDE-CC0C4F3F9AF1}"/>
                </a:ext>
              </a:extLst>
            </xdr:cNvPr>
            <xdr:cNvSpPr txBox="1"/>
          </xdr:nvSpPr>
          <xdr:spPr>
            <a:xfrm>
              <a:off x="243840" y="694063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E353B4A7-FB4A-4813-8EDE-CC0C4F3F9AF1}"/>
                </a:ext>
              </a:extLst>
            </xdr:cNvPr>
            <xdr:cNvSpPr txBox="1"/>
          </xdr:nvSpPr>
          <xdr:spPr>
            <a:xfrm>
              <a:off x="243840" y="694063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F82EC281-7356-4959-B7AE-895454BB9C50}"/>
                </a:ext>
              </a:extLst>
            </xdr:cNvPr>
            <xdr:cNvSpPr txBox="1"/>
          </xdr:nvSpPr>
          <xdr:spPr>
            <a:xfrm>
              <a:off x="243840" y="696341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F82EC281-7356-4959-B7AE-895454BB9C50}"/>
                </a:ext>
              </a:extLst>
            </xdr:cNvPr>
            <xdr:cNvSpPr txBox="1"/>
          </xdr:nvSpPr>
          <xdr:spPr>
            <a:xfrm>
              <a:off x="243840" y="696341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EFE5F39D-DE79-4C96-A974-FF57B8C089FD}"/>
                </a:ext>
              </a:extLst>
            </xdr:cNvPr>
            <xdr:cNvSpPr txBox="1"/>
          </xdr:nvSpPr>
          <xdr:spPr>
            <a:xfrm>
              <a:off x="243840" y="6986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EFE5F39D-DE79-4C96-A974-FF57B8C089FD}"/>
                </a:ext>
              </a:extLst>
            </xdr:cNvPr>
            <xdr:cNvSpPr txBox="1"/>
          </xdr:nvSpPr>
          <xdr:spPr>
            <a:xfrm>
              <a:off x="243840" y="6986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CF69AB45-BC07-4944-BB4F-C32CEEFF5146}"/>
                </a:ext>
              </a:extLst>
            </xdr:cNvPr>
            <xdr:cNvSpPr txBox="1"/>
          </xdr:nvSpPr>
          <xdr:spPr>
            <a:xfrm>
              <a:off x="243840" y="7008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CF69AB45-BC07-4944-BB4F-C32CEEFF5146}"/>
                </a:ext>
              </a:extLst>
            </xdr:cNvPr>
            <xdr:cNvSpPr txBox="1"/>
          </xdr:nvSpPr>
          <xdr:spPr>
            <a:xfrm>
              <a:off x="243840" y="7008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6176CD31-2B34-4736-B5C2-D1DD019EB04A}"/>
                </a:ext>
              </a:extLst>
            </xdr:cNvPr>
            <xdr:cNvSpPr txBox="1"/>
          </xdr:nvSpPr>
          <xdr:spPr>
            <a:xfrm>
              <a:off x="236220" y="70546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6176CD31-2B34-4736-B5C2-D1DD019EB04A}"/>
                </a:ext>
              </a:extLst>
            </xdr:cNvPr>
            <xdr:cNvSpPr txBox="1"/>
          </xdr:nvSpPr>
          <xdr:spPr>
            <a:xfrm>
              <a:off x="236220" y="70546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8B46392D-83E9-4CAC-BF1F-5D7A403488E5}"/>
                </a:ext>
              </a:extLst>
            </xdr:cNvPr>
            <xdr:cNvSpPr txBox="1"/>
          </xdr:nvSpPr>
          <xdr:spPr>
            <a:xfrm>
              <a:off x="228600" y="7077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8B46392D-83E9-4CAC-BF1F-5D7A403488E5}"/>
                </a:ext>
              </a:extLst>
            </xdr:cNvPr>
            <xdr:cNvSpPr txBox="1"/>
          </xdr:nvSpPr>
          <xdr:spPr>
            <a:xfrm>
              <a:off x="228600" y="7077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9A03A8F5-B9B0-41B6-A746-D15169B43EC4}"/>
                </a:ext>
              </a:extLst>
            </xdr:cNvPr>
            <xdr:cNvSpPr txBox="1"/>
          </xdr:nvSpPr>
          <xdr:spPr>
            <a:xfrm>
              <a:off x="228600" y="710048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9A03A8F5-B9B0-41B6-A746-D15169B43EC4}"/>
                </a:ext>
              </a:extLst>
            </xdr:cNvPr>
            <xdr:cNvSpPr txBox="1"/>
          </xdr:nvSpPr>
          <xdr:spPr>
            <a:xfrm>
              <a:off x="228600" y="710048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6C25996-B2F0-402E-BCF9-510BEE8F2807}"/>
                </a:ext>
              </a:extLst>
            </xdr:cNvPr>
            <xdr:cNvSpPr txBox="1"/>
          </xdr:nvSpPr>
          <xdr:spPr>
            <a:xfrm>
              <a:off x="220980" y="712334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6C25996-B2F0-402E-BCF9-510BEE8F2807}"/>
                </a:ext>
              </a:extLst>
            </xdr:cNvPr>
            <xdr:cNvSpPr txBox="1"/>
          </xdr:nvSpPr>
          <xdr:spPr>
            <a:xfrm>
              <a:off x="220980" y="712334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B76EB119-C257-4619-B916-C052FD5872A6}"/>
                </a:ext>
              </a:extLst>
            </xdr:cNvPr>
            <xdr:cNvSpPr txBox="1"/>
          </xdr:nvSpPr>
          <xdr:spPr>
            <a:xfrm>
              <a:off x="243840" y="7031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B76EB119-C257-4619-B916-C052FD5872A6}"/>
                </a:ext>
              </a:extLst>
            </xdr:cNvPr>
            <xdr:cNvSpPr txBox="1"/>
          </xdr:nvSpPr>
          <xdr:spPr>
            <a:xfrm>
              <a:off x="243840" y="7031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74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0D24ED18-47AC-42F4-B0CD-C3C989F19162}"/>
                </a:ext>
              </a:extLst>
            </xdr:cNvPr>
            <xdr:cNvSpPr txBox="1"/>
          </xdr:nvSpPr>
          <xdr:spPr>
            <a:xfrm>
              <a:off x="6858838" y="16438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0D24ED18-47AC-42F4-B0CD-C3C989F19162}"/>
                </a:ext>
              </a:extLst>
            </xdr:cNvPr>
            <xdr:cNvSpPr txBox="1"/>
          </xdr:nvSpPr>
          <xdr:spPr>
            <a:xfrm>
              <a:off x="6858838" y="16438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F0860D89-6C9A-46D7-85C7-F3ADDEB708C7}"/>
                </a:ext>
              </a:extLst>
            </xdr:cNvPr>
            <xdr:cNvSpPr txBox="1"/>
          </xdr:nvSpPr>
          <xdr:spPr>
            <a:xfrm>
              <a:off x="8299884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F0860D89-6C9A-46D7-85C7-F3ADDEB708C7}"/>
                </a:ext>
              </a:extLst>
            </xdr:cNvPr>
            <xdr:cNvSpPr txBox="1"/>
          </xdr:nvSpPr>
          <xdr:spPr>
            <a:xfrm>
              <a:off x="8299884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709D8A63-AA9E-45D2-997A-7D1B1933FDEC}"/>
                </a:ext>
              </a:extLst>
            </xdr:cNvPr>
            <xdr:cNvSpPr txBox="1"/>
          </xdr:nvSpPr>
          <xdr:spPr>
            <a:xfrm>
              <a:off x="9401391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709D8A63-AA9E-45D2-997A-7D1B1933FDEC}"/>
                </a:ext>
              </a:extLst>
            </xdr:cNvPr>
            <xdr:cNvSpPr txBox="1"/>
          </xdr:nvSpPr>
          <xdr:spPr>
            <a:xfrm>
              <a:off x="9401391" y="689516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7AC66F68-1F8B-472E-A3C0-65D9D36316D7}"/>
                </a:ext>
              </a:extLst>
            </xdr:cNvPr>
            <xdr:cNvSpPr txBox="1"/>
          </xdr:nvSpPr>
          <xdr:spPr>
            <a:xfrm>
              <a:off x="10125290" y="689516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7AC66F68-1F8B-472E-A3C0-65D9D36316D7}"/>
                </a:ext>
              </a:extLst>
            </xdr:cNvPr>
            <xdr:cNvSpPr txBox="1"/>
          </xdr:nvSpPr>
          <xdr:spPr>
            <a:xfrm>
              <a:off x="10125290" y="689516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F7D27641-B21E-4E2A-A3B5-71C5AC7E4228}"/>
                </a:ext>
              </a:extLst>
            </xdr:cNvPr>
            <xdr:cNvSpPr txBox="1"/>
          </xdr:nvSpPr>
          <xdr:spPr>
            <a:xfrm>
              <a:off x="11070170" y="689516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F7D27641-B21E-4E2A-A3B5-71C5AC7E4228}"/>
                </a:ext>
              </a:extLst>
            </xdr:cNvPr>
            <xdr:cNvSpPr txBox="1"/>
          </xdr:nvSpPr>
          <xdr:spPr>
            <a:xfrm>
              <a:off x="11070170" y="689516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765270DC-7998-4FD3-B3AA-1E76BF3FF2F7}"/>
                </a:ext>
              </a:extLst>
            </xdr:cNvPr>
            <xdr:cNvSpPr txBox="1"/>
          </xdr:nvSpPr>
          <xdr:spPr>
            <a:xfrm>
              <a:off x="12336794" y="689432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765270DC-7998-4FD3-B3AA-1E76BF3FF2F7}"/>
                </a:ext>
              </a:extLst>
            </xdr:cNvPr>
            <xdr:cNvSpPr txBox="1"/>
          </xdr:nvSpPr>
          <xdr:spPr>
            <a:xfrm>
              <a:off x="12336794" y="689432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3DDF1DE-3E5B-40B2-84CF-48F0C52F8EB1}"/>
                </a:ext>
              </a:extLst>
            </xdr:cNvPr>
            <xdr:cNvSpPr txBox="1"/>
          </xdr:nvSpPr>
          <xdr:spPr>
            <a:xfrm>
              <a:off x="13187693" y="689347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3DDF1DE-3E5B-40B2-84CF-48F0C52F8EB1}"/>
                </a:ext>
              </a:extLst>
            </xdr:cNvPr>
            <xdr:cNvSpPr txBox="1"/>
          </xdr:nvSpPr>
          <xdr:spPr>
            <a:xfrm>
              <a:off x="13187693" y="689347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7FAD80E8-23AE-4280-838E-774C84669F42}"/>
                </a:ext>
              </a:extLst>
            </xdr:cNvPr>
            <xdr:cNvSpPr txBox="1"/>
          </xdr:nvSpPr>
          <xdr:spPr>
            <a:xfrm>
              <a:off x="14106323" y="710006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7FAD80E8-23AE-4280-838E-774C84669F42}"/>
                </a:ext>
              </a:extLst>
            </xdr:cNvPr>
            <xdr:cNvSpPr txBox="1"/>
          </xdr:nvSpPr>
          <xdr:spPr>
            <a:xfrm>
              <a:off x="14106323" y="710006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83</xdr:row>
      <xdr:rowOff>16934</xdr:rowOff>
    </xdr:from>
    <xdr:ext cx="1258293" cy="1812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F3F05-DDB1-49FA-9E4E-09B06F8CB167}"/>
                </a:ext>
              </a:extLst>
            </xdr:cNvPr>
            <xdr:cNvSpPr txBox="1"/>
          </xdr:nvSpPr>
          <xdr:spPr>
            <a:xfrm>
              <a:off x="13708380" y="70776254"/>
              <a:ext cx="1258293" cy="181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F3F05-DDB1-49FA-9E4E-09B06F8CB167}"/>
                </a:ext>
              </a:extLst>
            </xdr:cNvPr>
            <xdr:cNvSpPr txBox="1"/>
          </xdr:nvSpPr>
          <xdr:spPr>
            <a:xfrm>
              <a:off x="13708380" y="70776254"/>
              <a:ext cx="1258293" cy="1812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44870</xdr:colOff>
      <xdr:row>75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CB9D74C0-B9C4-4556-BD48-5832A3F4F8BF}"/>
                </a:ext>
              </a:extLst>
            </xdr:cNvPr>
            <xdr:cNvSpPr txBox="1"/>
          </xdr:nvSpPr>
          <xdr:spPr>
            <a:xfrm>
              <a:off x="773003" y="1644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CB9D74C0-B9C4-4556-BD48-5832A3F4F8BF}"/>
                </a:ext>
              </a:extLst>
            </xdr:cNvPr>
            <xdr:cNvSpPr txBox="1"/>
          </xdr:nvSpPr>
          <xdr:spPr>
            <a:xfrm>
              <a:off x="773003" y="1644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22</xdr:col>
      <xdr:colOff>59267</xdr:colOff>
      <xdr:row>31</xdr:row>
      <xdr:rowOff>12698</xdr:rowOff>
    </xdr:from>
    <xdr:ext cx="105503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199B1CF0-1368-4621-BE5F-272D7ADD13A2}"/>
                </a:ext>
              </a:extLst>
            </xdr:cNvPr>
            <xdr:cNvSpPr txBox="1"/>
          </xdr:nvSpPr>
          <xdr:spPr>
            <a:xfrm>
              <a:off x="20218400" y="6802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199B1CF0-1368-4621-BE5F-272D7ADD13A2}"/>
                </a:ext>
              </a:extLst>
            </xdr:cNvPr>
            <xdr:cNvSpPr txBox="1"/>
          </xdr:nvSpPr>
          <xdr:spPr>
            <a:xfrm>
              <a:off x="20218400" y="6802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0607A3DA-4E69-4765-A691-B5B4CDCDCFF8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0607A3DA-4E69-4765-A691-B5B4CDCDCFF8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D741FE0A-B41A-48E3-A3DA-E0FA4B5A7D1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D741FE0A-B41A-48E3-A3DA-E0FA4B5A7D1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028B9D0E-3D06-41AE-9CC8-6EC5078DD82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028B9D0E-3D06-41AE-9CC8-6EC5078DD821}"/>
                </a:ext>
              </a:extLst>
            </xdr:cNvPr>
            <xdr:cNvSpPr txBox="1"/>
          </xdr:nvSpPr>
          <xdr:spPr>
            <a:xfrm>
              <a:off x="15079126" y="69130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81278</xdr:rowOff>
    </xdr:from>
    <xdr:ext cx="1611660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C3B6016D-A9FB-484E-98DE-4DB3876526F9}"/>
                </a:ext>
              </a:extLst>
            </xdr:cNvPr>
            <xdr:cNvSpPr txBox="1"/>
          </xdr:nvSpPr>
          <xdr:spPr>
            <a:xfrm>
              <a:off x="18725726" y="10833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C3B6016D-A9FB-484E-98DE-4DB3876526F9}"/>
                </a:ext>
              </a:extLst>
            </xdr:cNvPr>
            <xdr:cNvSpPr txBox="1"/>
          </xdr:nvSpPr>
          <xdr:spPr>
            <a:xfrm>
              <a:off x="18725726" y="10833945"/>
              <a:ext cx="1611660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873777E0-CFB2-4DAE-B005-C9173359585F}"/>
                </a:ext>
              </a:extLst>
            </xdr:cNvPr>
            <xdr:cNvSpPr txBox="1"/>
          </xdr:nvSpPr>
          <xdr:spPr>
            <a:xfrm>
              <a:off x="20787365" y="10891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873777E0-CFB2-4DAE-B005-C9173359585F}"/>
                </a:ext>
              </a:extLst>
            </xdr:cNvPr>
            <xdr:cNvSpPr txBox="1"/>
          </xdr:nvSpPr>
          <xdr:spPr>
            <a:xfrm>
              <a:off x="20787365" y="10891520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22</xdr:col>
      <xdr:colOff>59267</xdr:colOff>
      <xdr:row>46</xdr:row>
      <xdr:rowOff>12698</xdr:rowOff>
    </xdr:from>
    <xdr:ext cx="105503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BB2F8B37-DC19-4B16-AB0E-63483828FB03}"/>
                </a:ext>
              </a:extLst>
            </xdr:cNvPr>
            <xdr:cNvSpPr txBox="1"/>
          </xdr:nvSpPr>
          <xdr:spPr>
            <a:xfrm>
              <a:off x="20218400" y="10104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BB2F8B37-DC19-4B16-AB0E-63483828FB03}"/>
                </a:ext>
              </a:extLst>
            </xdr:cNvPr>
            <xdr:cNvSpPr txBox="1"/>
          </xdr:nvSpPr>
          <xdr:spPr>
            <a:xfrm>
              <a:off x="20218400" y="10104965"/>
              <a:ext cx="105503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2A4E53E-AD4D-48BB-B0BD-7BDC6D33F829}"/>
                </a:ext>
              </a:extLst>
            </xdr:cNvPr>
            <xdr:cNvSpPr txBox="1"/>
          </xdr:nvSpPr>
          <xdr:spPr>
            <a:xfrm>
              <a:off x="3107275" y="19756970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82A4E53E-AD4D-48BB-B0BD-7BDC6D33F829}"/>
                </a:ext>
              </a:extLst>
            </xdr:cNvPr>
            <xdr:cNvSpPr txBox="1"/>
          </xdr:nvSpPr>
          <xdr:spPr>
            <a:xfrm>
              <a:off x="3107275" y="19756970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EE170D7D-EF80-471F-9A08-9C097343EF47}"/>
                </a:ext>
              </a:extLst>
            </xdr:cNvPr>
            <xdr:cNvSpPr txBox="1"/>
          </xdr:nvSpPr>
          <xdr:spPr>
            <a:xfrm>
              <a:off x="5410202" y="1646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EE170D7D-EF80-471F-9A08-9C097343EF47}"/>
                </a:ext>
              </a:extLst>
            </xdr:cNvPr>
            <xdr:cNvSpPr txBox="1"/>
          </xdr:nvSpPr>
          <xdr:spPr>
            <a:xfrm>
              <a:off x="5410202" y="1646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A04E0AB-55CA-4AB6-AAFE-FD70D786F165}"/>
                </a:ext>
              </a:extLst>
            </xdr:cNvPr>
            <xdr:cNvSpPr txBox="1"/>
          </xdr:nvSpPr>
          <xdr:spPr>
            <a:xfrm>
              <a:off x="242993" y="1668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A04E0AB-55CA-4AB6-AAFE-FD70D786F165}"/>
                </a:ext>
              </a:extLst>
            </xdr:cNvPr>
            <xdr:cNvSpPr txBox="1"/>
          </xdr:nvSpPr>
          <xdr:spPr>
            <a:xfrm>
              <a:off x="242993" y="1668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9F659B-7BB4-4138-B89B-92142AB171F9}"/>
                </a:ext>
              </a:extLst>
            </xdr:cNvPr>
            <xdr:cNvSpPr txBox="1"/>
          </xdr:nvSpPr>
          <xdr:spPr>
            <a:xfrm>
              <a:off x="243840" y="1691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9F659B-7BB4-4138-B89B-92142AB171F9}"/>
                </a:ext>
              </a:extLst>
            </xdr:cNvPr>
            <xdr:cNvSpPr txBox="1"/>
          </xdr:nvSpPr>
          <xdr:spPr>
            <a:xfrm>
              <a:off x="243840" y="1691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05B3DAA-D4FF-43E2-B93C-496321C4F786}"/>
                </a:ext>
              </a:extLst>
            </xdr:cNvPr>
            <xdr:cNvSpPr txBox="1"/>
          </xdr:nvSpPr>
          <xdr:spPr>
            <a:xfrm>
              <a:off x="243840" y="1714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05B3DAA-D4FF-43E2-B93C-496321C4F786}"/>
                </a:ext>
              </a:extLst>
            </xdr:cNvPr>
            <xdr:cNvSpPr txBox="1"/>
          </xdr:nvSpPr>
          <xdr:spPr>
            <a:xfrm>
              <a:off x="243840" y="1714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12D2ADB-E2B9-44F1-8DFE-0577B4A3267A}"/>
                </a:ext>
              </a:extLst>
            </xdr:cNvPr>
            <xdr:cNvSpPr txBox="1"/>
          </xdr:nvSpPr>
          <xdr:spPr>
            <a:xfrm>
              <a:off x="243840" y="1737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012D2ADB-E2B9-44F1-8DFE-0577B4A3267A}"/>
                </a:ext>
              </a:extLst>
            </xdr:cNvPr>
            <xdr:cNvSpPr txBox="1"/>
          </xdr:nvSpPr>
          <xdr:spPr>
            <a:xfrm>
              <a:off x="243840" y="1737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0C67A6F2-1529-4C4B-B416-4611D03F56D5}"/>
                </a:ext>
              </a:extLst>
            </xdr:cNvPr>
            <xdr:cNvSpPr txBox="1"/>
          </xdr:nvSpPr>
          <xdr:spPr>
            <a:xfrm>
              <a:off x="243840" y="1760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0C67A6F2-1529-4C4B-B416-4611D03F56D5}"/>
                </a:ext>
              </a:extLst>
            </xdr:cNvPr>
            <xdr:cNvSpPr txBox="1"/>
          </xdr:nvSpPr>
          <xdr:spPr>
            <a:xfrm>
              <a:off x="243840" y="1760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A75C4D-44F9-4982-BB82-6E1AE4D14137}"/>
                </a:ext>
              </a:extLst>
            </xdr:cNvPr>
            <xdr:cNvSpPr txBox="1"/>
          </xdr:nvSpPr>
          <xdr:spPr>
            <a:xfrm>
              <a:off x="236220" y="1805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A75C4D-44F9-4982-BB82-6E1AE4D14137}"/>
                </a:ext>
              </a:extLst>
            </xdr:cNvPr>
            <xdr:cNvSpPr txBox="1"/>
          </xdr:nvSpPr>
          <xdr:spPr>
            <a:xfrm>
              <a:off x="236220" y="1805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F4851BA-DECD-41F2-BC99-B063EDE5617E}"/>
                </a:ext>
              </a:extLst>
            </xdr:cNvPr>
            <xdr:cNvSpPr txBox="1"/>
          </xdr:nvSpPr>
          <xdr:spPr>
            <a:xfrm>
              <a:off x="228600" y="1828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2F4851BA-DECD-41F2-BC99-B063EDE5617E}"/>
                </a:ext>
              </a:extLst>
            </xdr:cNvPr>
            <xdr:cNvSpPr txBox="1"/>
          </xdr:nvSpPr>
          <xdr:spPr>
            <a:xfrm>
              <a:off x="228600" y="1828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3022C4E-2B39-402A-AC3B-E5C2277DF872}"/>
                </a:ext>
              </a:extLst>
            </xdr:cNvPr>
            <xdr:cNvSpPr txBox="1"/>
          </xdr:nvSpPr>
          <xdr:spPr>
            <a:xfrm>
              <a:off x="228600" y="1851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3022C4E-2B39-402A-AC3B-E5C2277DF872}"/>
                </a:ext>
              </a:extLst>
            </xdr:cNvPr>
            <xdr:cNvSpPr txBox="1"/>
          </xdr:nvSpPr>
          <xdr:spPr>
            <a:xfrm>
              <a:off x="228600" y="1851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ABF5C237-9739-4760-A070-4A5138FA7D1B}"/>
                </a:ext>
              </a:extLst>
            </xdr:cNvPr>
            <xdr:cNvSpPr txBox="1"/>
          </xdr:nvSpPr>
          <xdr:spPr>
            <a:xfrm>
              <a:off x="220980" y="1874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ABF5C237-9739-4760-A070-4A5138FA7D1B}"/>
                </a:ext>
              </a:extLst>
            </xdr:cNvPr>
            <xdr:cNvSpPr txBox="1"/>
          </xdr:nvSpPr>
          <xdr:spPr>
            <a:xfrm>
              <a:off x="220980" y="1874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C84E9975-1935-4089-B734-96681F93A0E3}"/>
                </a:ext>
              </a:extLst>
            </xdr:cNvPr>
            <xdr:cNvSpPr txBox="1"/>
          </xdr:nvSpPr>
          <xdr:spPr>
            <a:xfrm>
              <a:off x="243840" y="1782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C84E9975-1935-4089-B734-96681F93A0E3}"/>
                </a:ext>
              </a:extLst>
            </xdr:cNvPr>
            <xdr:cNvSpPr txBox="1"/>
          </xdr:nvSpPr>
          <xdr:spPr>
            <a:xfrm>
              <a:off x="243840" y="1782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43170</xdr:colOff>
      <xdr:row>89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961F006-FF7D-406F-B5EA-A3E12A61FBE7}"/>
                </a:ext>
              </a:extLst>
            </xdr:cNvPr>
            <xdr:cNvSpPr txBox="1"/>
          </xdr:nvSpPr>
          <xdr:spPr>
            <a:xfrm>
              <a:off x="6858837" y="19740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9961F006-FF7D-406F-B5EA-A3E12A61FBE7}"/>
                </a:ext>
              </a:extLst>
            </xdr:cNvPr>
            <xdr:cNvSpPr txBox="1"/>
          </xdr:nvSpPr>
          <xdr:spPr>
            <a:xfrm>
              <a:off x="6858837" y="19740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1A523EF3-E46E-4A07-8D9F-53E8102003FC}"/>
                </a:ext>
              </a:extLst>
            </xdr:cNvPr>
            <xdr:cNvSpPr txBox="1"/>
          </xdr:nvSpPr>
          <xdr:spPr>
            <a:xfrm>
              <a:off x="829734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1A523EF3-E46E-4A07-8D9F-53E8102003FC}"/>
                </a:ext>
              </a:extLst>
            </xdr:cNvPr>
            <xdr:cNvSpPr txBox="1"/>
          </xdr:nvSpPr>
          <xdr:spPr>
            <a:xfrm>
              <a:off x="829734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E5E7694C-47C5-4070-B824-F68894F6D80C}"/>
                </a:ext>
              </a:extLst>
            </xdr:cNvPr>
            <xdr:cNvSpPr txBox="1"/>
          </xdr:nvSpPr>
          <xdr:spPr>
            <a:xfrm>
              <a:off x="939800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E5E7694C-47C5-4070-B824-F68894F6D80C}"/>
                </a:ext>
              </a:extLst>
            </xdr:cNvPr>
            <xdr:cNvSpPr txBox="1"/>
          </xdr:nvSpPr>
          <xdr:spPr>
            <a:xfrm>
              <a:off x="9398004" y="1646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9BC380-5E8A-42EC-9FAB-4EA4FA16580A}"/>
                </a:ext>
              </a:extLst>
            </xdr:cNvPr>
            <xdr:cNvSpPr txBox="1"/>
          </xdr:nvSpPr>
          <xdr:spPr>
            <a:xfrm>
              <a:off x="10126137" y="1646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9BC380-5E8A-42EC-9FAB-4EA4FA16580A}"/>
                </a:ext>
              </a:extLst>
            </xdr:cNvPr>
            <xdr:cNvSpPr txBox="1"/>
          </xdr:nvSpPr>
          <xdr:spPr>
            <a:xfrm>
              <a:off x="10126137" y="1646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D2F4E109-BEF3-45A5-8B8F-B97281C9409C}"/>
                </a:ext>
              </a:extLst>
            </xdr:cNvPr>
            <xdr:cNvSpPr txBox="1"/>
          </xdr:nvSpPr>
          <xdr:spPr>
            <a:xfrm>
              <a:off x="11074403" y="1646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D2F4E109-BEF3-45A5-8B8F-B97281C9409C}"/>
                </a:ext>
              </a:extLst>
            </xdr:cNvPr>
            <xdr:cNvSpPr txBox="1"/>
          </xdr:nvSpPr>
          <xdr:spPr>
            <a:xfrm>
              <a:off x="11074403" y="1646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E7B7D700-795A-4EC3-B1E0-866D8D8C5C86}"/>
                </a:ext>
              </a:extLst>
            </xdr:cNvPr>
            <xdr:cNvSpPr txBox="1"/>
          </xdr:nvSpPr>
          <xdr:spPr>
            <a:xfrm>
              <a:off x="12344414" y="1645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E7B7D700-795A-4EC3-B1E0-866D8D8C5C86}"/>
                </a:ext>
              </a:extLst>
            </xdr:cNvPr>
            <xdr:cNvSpPr txBox="1"/>
          </xdr:nvSpPr>
          <xdr:spPr>
            <a:xfrm>
              <a:off x="12344414" y="1645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DD05130-6CC8-4AA5-958D-FEF3071D1B44}"/>
                </a:ext>
              </a:extLst>
            </xdr:cNvPr>
            <xdr:cNvSpPr txBox="1"/>
          </xdr:nvSpPr>
          <xdr:spPr>
            <a:xfrm>
              <a:off x="13199546" y="1644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BDD05130-6CC8-4AA5-958D-FEF3071D1B44}"/>
                </a:ext>
              </a:extLst>
            </xdr:cNvPr>
            <xdr:cNvSpPr txBox="1"/>
          </xdr:nvSpPr>
          <xdr:spPr>
            <a:xfrm>
              <a:off x="13199546" y="1644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86BFF632-6EF6-462E-A38C-21378A704064}"/>
                </a:ext>
              </a:extLst>
            </xdr:cNvPr>
            <xdr:cNvSpPr txBox="1"/>
          </xdr:nvSpPr>
          <xdr:spPr>
            <a:xfrm>
              <a:off x="14122410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86BFF632-6EF6-462E-A38C-21378A704064}"/>
                </a:ext>
              </a:extLst>
            </xdr:cNvPr>
            <xdr:cNvSpPr txBox="1"/>
          </xdr:nvSpPr>
          <xdr:spPr>
            <a:xfrm>
              <a:off x="14122410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98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4CB33642-EB29-415C-897F-BC80CFE5DB4D}"/>
                </a:ext>
              </a:extLst>
            </xdr:cNvPr>
            <xdr:cNvSpPr txBox="1"/>
          </xdr:nvSpPr>
          <xdr:spPr>
            <a:xfrm>
              <a:off x="13724467" y="21590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4CB33642-EB29-415C-897F-BC80CFE5DB4D}"/>
                </a:ext>
              </a:extLst>
            </xdr:cNvPr>
            <xdr:cNvSpPr txBox="1"/>
          </xdr:nvSpPr>
          <xdr:spPr>
            <a:xfrm>
              <a:off x="13724467" y="21590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44880</xdr:colOff>
      <xdr:row>90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761FC1AE-E77F-4F8E-99B5-533576C6A0A3}"/>
                </a:ext>
              </a:extLst>
            </xdr:cNvPr>
            <xdr:cNvSpPr txBox="1"/>
          </xdr:nvSpPr>
          <xdr:spPr>
            <a:xfrm>
              <a:off x="773013" y="1975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761FC1AE-E77F-4F8E-99B5-533576C6A0A3}"/>
                </a:ext>
              </a:extLst>
            </xdr:cNvPr>
            <xdr:cNvSpPr txBox="1"/>
          </xdr:nvSpPr>
          <xdr:spPr>
            <a:xfrm>
              <a:off x="773013" y="1975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4667BD9-FD04-4AFB-AF9F-D54B0D9C9BFC}"/>
                </a:ext>
              </a:extLst>
            </xdr:cNvPr>
            <xdr:cNvSpPr txBox="1"/>
          </xdr:nvSpPr>
          <xdr:spPr>
            <a:xfrm>
              <a:off x="15079126" y="1679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4667BD9-FD04-4AFB-AF9F-D54B0D9C9BFC}"/>
                </a:ext>
              </a:extLst>
            </xdr:cNvPr>
            <xdr:cNvSpPr txBox="1"/>
          </xdr:nvSpPr>
          <xdr:spPr>
            <a:xfrm>
              <a:off x="15079126" y="1679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6904EAD-D49D-422A-8BE2-B66D51F6FE13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B6904EAD-D49D-422A-8BE2-B66D51F6FE13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14F6C83D-75C1-4578-82D4-91F2F88D6023}"/>
                </a:ext>
              </a:extLst>
            </xdr:cNvPr>
            <xdr:cNvSpPr txBox="1"/>
          </xdr:nvSpPr>
          <xdr:spPr>
            <a:xfrm>
              <a:off x="5410202" y="19765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14F6C83D-75C1-4578-82D4-91F2F88D6023}"/>
                </a:ext>
              </a:extLst>
            </xdr:cNvPr>
            <xdr:cNvSpPr txBox="1"/>
          </xdr:nvSpPr>
          <xdr:spPr>
            <a:xfrm>
              <a:off x="5410202" y="19765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A0D87BA1-A550-478A-B4C4-D0091AEBD88B}"/>
                </a:ext>
              </a:extLst>
            </xdr:cNvPr>
            <xdr:cNvSpPr txBox="1"/>
          </xdr:nvSpPr>
          <xdr:spPr>
            <a:xfrm>
              <a:off x="242993" y="1998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A0D87BA1-A550-478A-B4C4-D0091AEBD88B}"/>
                </a:ext>
              </a:extLst>
            </xdr:cNvPr>
            <xdr:cNvSpPr txBox="1"/>
          </xdr:nvSpPr>
          <xdr:spPr>
            <a:xfrm>
              <a:off x="242993" y="1998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8986784-072C-416B-9D5D-09C8D3AEE20C}"/>
                </a:ext>
              </a:extLst>
            </xdr:cNvPr>
            <xdr:cNvSpPr txBox="1"/>
          </xdr:nvSpPr>
          <xdr:spPr>
            <a:xfrm>
              <a:off x="243840" y="2022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E8986784-072C-416B-9D5D-09C8D3AEE20C}"/>
                </a:ext>
              </a:extLst>
            </xdr:cNvPr>
            <xdr:cNvSpPr txBox="1"/>
          </xdr:nvSpPr>
          <xdr:spPr>
            <a:xfrm>
              <a:off x="243840" y="2022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90E0F92C-C29C-44DB-BF4E-E271B1175531}"/>
                </a:ext>
              </a:extLst>
            </xdr:cNvPr>
            <xdr:cNvSpPr txBox="1"/>
          </xdr:nvSpPr>
          <xdr:spPr>
            <a:xfrm>
              <a:off x="243840" y="2044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90E0F92C-C29C-44DB-BF4E-E271B1175531}"/>
                </a:ext>
              </a:extLst>
            </xdr:cNvPr>
            <xdr:cNvSpPr txBox="1"/>
          </xdr:nvSpPr>
          <xdr:spPr>
            <a:xfrm>
              <a:off x="243840" y="2044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9819359-E5B2-4AF3-A43E-19C78A4788B4}"/>
                </a:ext>
              </a:extLst>
            </xdr:cNvPr>
            <xdr:cNvSpPr txBox="1"/>
          </xdr:nvSpPr>
          <xdr:spPr>
            <a:xfrm>
              <a:off x="243840" y="2067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49819359-E5B2-4AF3-A43E-19C78A4788B4}"/>
                </a:ext>
              </a:extLst>
            </xdr:cNvPr>
            <xdr:cNvSpPr txBox="1"/>
          </xdr:nvSpPr>
          <xdr:spPr>
            <a:xfrm>
              <a:off x="243840" y="2067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72CC915-0EE8-4D3C-9A21-BA10FF234FA3}"/>
                </a:ext>
              </a:extLst>
            </xdr:cNvPr>
            <xdr:cNvSpPr txBox="1"/>
          </xdr:nvSpPr>
          <xdr:spPr>
            <a:xfrm>
              <a:off x="243840" y="2090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72CC915-0EE8-4D3C-9A21-BA10FF234FA3}"/>
                </a:ext>
              </a:extLst>
            </xdr:cNvPr>
            <xdr:cNvSpPr txBox="1"/>
          </xdr:nvSpPr>
          <xdr:spPr>
            <a:xfrm>
              <a:off x="243840" y="2090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BBB24D1F-46C7-4141-8E5D-78EF9EA011B4}"/>
                </a:ext>
              </a:extLst>
            </xdr:cNvPr>
            <xdr:cNvSpPr txBox="1"/>
          </xdr:nvSpPr>
          <xdr:spPr>
            <a:xfrm>
              <a:off x="236220" y="2136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BBB24D1F-46C7-4141-8E5D-78EF9EA011B4}"/>
                </a:ext>
              </a:extLst>
            </xdr:cNvPr>
            <xdr:cNvSpPr txBox="1"/>
          </xdr:nvSpPr>
          <xdr:spPr>
            <a:xfrm>
              <a:off x="236220" y="2136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DF392D29-0D23-4EC5-90EB-D92A6FC05154}"/>
                </a:ext>
              </a:extLst>
            </xdr:cNvPr>
            <xdr:cNvSpPr txBox="1"/>
          </xdr:nvSpPr>
          <xdr:spPr>
            <a:xfrm>
              <a:off x="228600" y="2159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DF392D29-0D23-4EC5-90EB-D92A6FC05154}"/>
                </a:ext>
              </a:extLst>
            </xdr:cNvPr>
            <xdr:cNvSpPr txBox="1"/>
          </xdr:nvSpPr>
          <xdr:spPr>
            <a:xfrm>
              <a:off x="228600" y="2159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44F4569-B48C-40AA-8D13-2A4B5F03154A}"/>
                </a:ext>
              </a:extLst>
            </xdr:cNvPr>
            <xdr:cNvSpPr txBox="1"/>
          </xdr:nvSpPr>
          <xdr:spPr>
            <a:xfrm>
              <a:off x="228600" y="2181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44F4569-B48C-40AA-8D13-2A4B5F03154A}"/>
                </a:ext>
              </a:extLst>
            </xdr:cNvPr>
            <xdr:cNvSpPr txBox="1"/>
          </xdr:nvSpPr>
          <xdr:spPr>
            <a:xfrm>
              <a:off x="228600" y="2181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D947B62B-370E-4C3E-92D2-0E135FBB81DF}"/>
                </a:ext>
              </a:extLst>
            </xdr:cNvPr>
            <xdr:cNvSpPr txBox="1"/>
          </xdr:nvSpPr>
          <xdr:spPr>
            <a:xfrm>
              <a:off x="220980" y="2204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D947B62B-370E-4C3E-92D2-0E135FBB81DF}"/>
                </a:ext>
              </a:extLst>
            </xdr:cNvPr>
            <xdr:cNvSpPr txBox="1"/>
          </xdr:nvSpPr>
          <xdr:spPr>
            <a:xfrm>
              <a:off x="220980" y="2204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DFC620C8-B716-4588-A554-739176A27988}"/>
                </a:ext>
              </a:extLst>
            </xdr:cNvPr>
            <xdr:cNvSpPr txBox="1"/>
          </xdr:nvSpPr>
          <xdr:spPr>
            <a:xfrm>
              <a:off x="243840" y="2113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DFC620C8-B716-4588-A554-739176A27988}"/>
                </a:ext>
              </a:extLst>
            </xdr:cNvPr>
            <xdr:cNvSpPr txBox="1"/>
          </xdr:nvSpPr>
          <xdr:spPr>
            <a:xfrm>
              <a:off x="243840" y="2113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104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C0E361A-489F-4416-B398-2E82D242C7F5}"/>
                </a:ext>
              </a:extLst>
            </xdr:cNvPr>
            <xdr:cNvSpPr txBox="1"/>
          </xdr:nvSpPr>
          <xdr:spPr>
            <a:xfrm>
              <a:off x="6858838" y="2304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C0E361A-489F-4416-B398-2E82D242C7F5}"/>
                </a:ext>
              </a:extLst>
            </xdr:cNvPr>
            <xdr:cNvSpPr txBox="1"/>
          </xdr:nvSpPr>
          <xdr:spPr>
            <a:xfrm>
              <a:off x="6858838" y="23042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FE3D5E4-FAC5-4DA6-B342-48C21B7219E8}"/>
                </a:ext>
              </a:extLst>
            </xdr:cNvPr>
            <xdr:cNvSpPr txBox="1"/>
          </xdr:nvSpPr>
          <xdr:spPr>
            <a:xfrm>
              <a:off x="829734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8FE3D5E4-FAC5-4DA6-B342-48C21B7219E8}"/>
                </a:ext>
              </a:extLst>
            </xdr:cNvPr>
            <xdr:cNvSpPr txBox="1"/>
          </xdr:nvSpPr>
          <xdr:spPr>
            <a:xfrm>
              <a:off x="829734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D5032472-D95A-4E5F-A3D5-698591C4D26E}"/>
                </a:ext>
              </a:extLst>
            </xdr:cNvPr>
            <xdr:cNvSpPr txBox="1"/>
          </xdr:nvSpPr>
          <xdr:spPr>
            <a:xfrm>
              <a:off x="939800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D5032472-D95A-4E5F-A3D5-698591C4D26E}"/>
                </a:ext>
              </a:extLst>
            </xdr:cNvPr>
            <xdr:cNvSpPr txBox="1"/>
          </xdr:nvSpPr>
          <xdr:spPr>
            <a:xfrm>
              <a:off x="9398004" y="1976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A8DE67-721A-45AD-A064-9BBEDB7BE9FC}"/>
                </a:ext>
              </a:extLst>
            </xdr:cNvPr>
            <xdr:cNvSpPr txBox="1"/>
          </xdr:nvSpPr>
          <xdr:spPr>
            <a:xfrm>
              <a:off x="10126137" y="1976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A8DE67-721A-45AD-A064-9BBEDB7BE9FC}"/>
                </a:ext>
              </a:extLst>
            </xdr:cNvPr>
            <xdr:cNvSpPr txBox="1"/>
          </xdr:nvSpPr>
          <xdr:spPr>
            <a:xfrm>
              <a:off x="10126137" y="1976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3DBFA411-6E87-489F-ADEA-A1B428D558AD}"/>
                </a:ext>
              </a:extLst>
            </xdr:cNvPr>
            <xdr:cNvSpPr txBox="1"/>
          </xdr:nvSpPr>
          <xdr:spPr>
            <a:xfrm>
              <a:off x="11074403" y="1976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3DBFA411-6E87-489F-ADEA-A1B428D558AD}"/>
                </a:ext>
              </a:extLst>
            </xdr:cNvPr>
            <xdr:cNvSpPr txBox="1"/>
          </xdr:nvSpPr>
          <xdr:spPr>
            <a:xfrm>
              <a:off x="11074403" y="1976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A6FD4AC1-320E-4939-B13F-9AD01996CB16}"/>
                </a:ext>
              </a:extLst>
            </xdr:cNvPr>
            <xdr:cNvSpPr txBox="1"/>
          </xdr:nvSpPr>
          <xdr:spPr>
            <a:xfrm>
              <a:off x="12344414" y="1975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A6FD4AC1-320E-4939-B13F-9AD01996CB16}"/>
                </a:ext>
              </a:extLst>
            </xdr:cNvPr>
            <xdr:cNvSpPr txBox="1"/>
          </xdr:nvSpPr>
          <xdr:spPr>
            <a:xfrm>
              <a:off x="12344414" y="1975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7B7644F8-206A-46C3-871B-F9F3EDDB6EC9}"/>
                </a:ext>
              </a:extLst>
            </xdr:cNvPr>
            <xdr:cNvSpPr txBox="1"/>
          </xdr:nvSpPr>
          <xdr:spPr>
            <a:xfrm>
              <a:off x="13199546" y="1974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7B7644F8-206A-46C3-871B-F9F3EDDB6EC9}"/>
                </a:ext>
              </a:extLst>
            </xdr:cNvPr>
            <xdr:cNvSpPr txBox="1"/>
          </xdr:nvSpPr>
          <xdr:spPr>
            <a:xfrm>
              <a:off x="13199546" y="1974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25C3FCE-027B-4089-9973-CD4008D35FB7}"/>
                </a:ext>
              </a:extLst>
            </xdr:cNvPr>
            <xdr:cNvSpPr txBox="1"/>
          </xdr:nvSpPr>
          <xdr:spPr>
            <a:xfrm>
              <a:off x="1412241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25C3FCE-027B-4089-9973-CD4008D35FB7}"/>
                </a:ext>
              </a:extLst>
            </xdr:cNvPr>
            <xdr:cNvSpPr txBox="1"/>
          </xdr:nvSpPr>
          <xdr:spPr>
            <a:xfrm>
              <a:off x="1412241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113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ADB051B0-2C19-4B4B-A8A5-BA25BAF8B803}"/>
                </a:ext>
              </a:extLst>
            </xdr:cNvPr>
            <xdr:cNvSpPr txBox="1"/>
          </xdr:nvSpPr>
          <xdr:spPr>
            <a:xfrm>
              <a:off x="13724467" y="24892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ADB051B0-2C19-4B4B-A8A5-BA25BAF8B803}"/>
                </a:ext>
              </a:extLst>
            </xdr:cNvPr>
            <xdr:cNvSpPr txBox="1"/>
          </xdr:nvSpPr>
          <xdr:spPr>
            <a:xfrm>
              <a:off x="13724467" y="24892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44878</xdr:colOff>
      <xdr:row>105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D350986D-0F08-4B33-89EC-90B3DEBCE8A8}"/>
                </a:ext>
              </a:extLst>
            </xdr:cNvPr>
            <xdr:cNvSpPr txBox="1"/>
          </xdr:nvSpPr>
          <xdr:spPr>
            <a:xfrm>
              <a:off x="773011" y="2305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D350986D-0F08-4B33-89EC-90B3DEBCE8A8}"/>
                </a:ext>
              </a:extLst>
            </xdr:cNvPr>
            <xdr:cNvSpPr txBox="1"/>
          </xdr:nvSpPr>
          <xdr:spPr>
            <a:xfrm>
              <a:off x="773011" y="2305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8B7B688-DDD8-4FD2-86EF-6468781DAFAA}"/>
                </a:ext>
              </a:extLst>
            </xdr:cNvPr>
            <xdr:cNvSpPr txBox="1"/>
          </xdr:nvSpPr>
          <xdr:spPr>
            <a:xfrm>
              <a:off x="15079126" y="2009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8B7B688-DDD8-4FD2-86EF-6468781DAFAA}"/>
                </a:ext>
              </a:extLst>
            </xdr:cNvPr>
            <xdr:cNvSpPr txBox="1"/>
          </xdr:nvSpPr>
          <xdr:spPr>
            <a:xfrm>
              <a:off x="15079126" y="2009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DD1E63-AFA7-429B-8F7E-9681D14DAAC6}"/>
                </a:ext>
              </a:extLst>
            </xdr:cNvPr>
            <xdr:cNvSpPr txBox="1"/>
          </xdr:nvSpPr>
          <xdr:spPr>
            <a:xfrm>
              <a:off x="3107275" y="26360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DD1E63-AFA7-429B-8F7E-9681D14DAAC6}"/>
                </a:ext>
              </a:extLst>
            </xdr:cNvPr>
            <xdr:cNvSpPr txBox="1"/>
          </xdr:nvSpPr>
          <xdr:spPr>
            <a:xfrm>
              <a:off x="3107275" y="26360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9B87761-1456-4A96-A5A8-E016A94E3634}"/>
                </a:ext>
              </a:extLst>
            </xdr:cNvPr>
            <xdr:cNvSpPr txBox="1"/>
          </xdr:nvSpPr>
          <xdr:spPr>
            <a:xfrm>
              <a:off x="5410202" y="23067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9B87761-1456-4A96-A5A8-E016A94E3634}"/>
                </a:ext>
              </a:extLst>
            </xdr:cNvPr>
            <xdr:cNvSpPr txBox="1"/>
          </xdr:nvSpPr>
          <xdr:spPr>
            <a:xfrm>
              <a:off x="5410202" y="23067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378D77B4-A12E-4A61-8A7A-7DD33B9F154B}"/>
                </a:ext>
              </a:extLst>
            </xdr:cNvPr>
            <xdr:cNvSpPr txBox="1"/>
          </xdr:nvSpPr>
          <xdr:spPr>
            <a:xfrm>
              <a:off x="242993" y="23291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378D77B4-A12E-4A61-8A7A-7DD33B9F154B}"/>
                </a:ext>
              </a:extLst>
            </xdr:cNvPr>
            <xdr:cNvSpPr txBox="1"/>
          </xdr:nvSpPr>
          <xdr:spPr>
            <a:xfrm>
              <a:off x="242993" y="23291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5C19282A-8BBE-4514-ACC4-8D5B8162CB7E}"/>
                </a:ext>
              </a:extLst>
            </xdr:cNvPr>
            <xdr:cNvSpPr txBox="1"/>
          </xdr:nvSpPr>
          <xdr:spPr>
            <a:xfrm>
              <a:off x="243840" y="23522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5C19282A-8BBE-4514-ACC4-8D5B8162CB7E}"/>
                </a:ext>
              </a:extLst>
            </xdr:cNvPr>
            <xdr:cNvSpPr txBox="1"/>
          </xdr:nvSpPr>
          <xdr:spPr>
            <a:xfrm>
              <a:off x="243840" y="23522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FC68A2EE-CDF6-4A18-A3B3-A6ADA63AEB4B}"/>
                </a:ext>
              </a:extLst>
            </xdr:cNvPr>
            <xdr:cNvSpPr txBox="1"/>
          </xdr:nvSpPr>
          <xdr:spPr>
            <a:xfrm>
              <a:off x="243840" y="23749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FC68A2EE-CDF6-4A18-A3B3-A6ADA63AEB4B}"/>
                </a:ext>
              </a:extLst>
            </xdr:cNvPr>
            <xdr:cNvSpPr txBox="1"/>
          </xdr:nvSpPr>
          <xdr:spPr>
            <a:xfrm>
              <a:off x="243840" y="23749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ED27930-677C-499F-8324-99BDCB1FF016}"/>
                </a:ext>
              </a:extLst>
            </xdr:cNvPr>
            <xdr:cNvSpPr txBox="1"/>
          </xdr:nvSpPr>
          <xdr:spPr>
            <a:xfrm>
              <a:off x="243840" y="23976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ED27930-677C-499F-8324-99BDCB1FF016}"/>
                </a:ext>
              </a:extLst>
            </xdr:cNvPr>
            <xdr:cNvSpPr txBox="1"/>
          </xdr:nvSpPr>
          <xdr:spPr>
            <a:xfrm>
              <a:off x="243840" y="23976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B90F4199-C663-4065-8BA1-CC9B0A9B6766}"/>
                </a:ext>
              </a:extLst>
            </xdr:cNvPr>
            <xdr:cNvSpPr txBox="1"/>
          </xdr:nvSpPr>
          <xdr:spPr>
            <a:xfrm>
              <a:off x="243840" y="24205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B90F4199-C663-4065-8BA1-CC9B0A9B6766}"/>
                </a:ext>
              </a:extLst>
            </xdr:cNvPr>
            <xdr:cNvSpPr txBox="1"/>
          </xdr:nvSpPr>
          <xdr:spPr>
            <a:xfrm>
              <a:off x="243840" y="24205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B421D080-4063-47F8-8192-FC77BD45F771}"/>
                </a:ext>
              </a:extLst>
            </xdr:cNvPr>
            <xdr:cNvSpPr txBox="1"/>
          </xdr:nvSpPr>
          <xdr:spPr>
            <a:xfrm>
              <a:off x="236220" y="24662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B421D080-4063-47F8-8192-FC77BD45F771}"/>
                </a:ext>
              </a:extLst>
            </xdr:cNvPr>
            <xdr:cNvSpPr txBox="1"/>
          </xdr:nvSpPr>
          <xdr:spPr>
            <a:xfrm>
              <a:off x="236220" y="24662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C851AE01-25F0-4EE0-B186-4D94FB753EC2}"/>
                </a:ext>
              </a:extLst>
            </xdr:cNvPr>
            <xdr:cNvSpPr txBox="1"/>
          </xdr:nvSpPr>
          <xdr:spPr>
            <a:xfrm>
              <a:off x="228600" y="24892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C851AE01-25F0-4EE0-B186-4D94FB753EC2}"/>
                </a:ext>
              </a:extLst>
            </xdr:cNvPr>
            <xdr:cNvSpPr txBox="1"/>
          </xdr:nvSpPr>
          <xdr:spPr>
            <a:xfrm>
              <a:off x="228600" y="24892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417F59B-A82C-4344-96E2-26CBE1C47D11}"/>
                </a:ext>
              </a:extLst>
            </xdr:cNvPr>
            <xdr:cNvSpPr txBox="1"/>
          </xdr:nvSpPr>
          <xdr:spPr>
            <a:xfrm>
              <a:off x="228600" y="25120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417F59B-A82C-4344-96E2-26CBE1C47D11}"/>
                </a:ext>
              </a:extLst>
            </xdr:cNvPr>
            <xdr:cNvSpPr txBox="1"/>
          </xdr:nvSpPr>
          <xdr:spPr>
            <a:xfrm>
              <a:off x="228600" y="25120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0194274E-0C9D-4838-B046-E6F13E8032F9}"/>
                </a:ext>
              </a:extLst>
            </xdr:cNvPr>
            <xdr:cNvSpPr txBox="1"/>
          </xdr:nvSpPr>
          <xdr:spPr>
            <a:xfrm>
              <a:off x="220980" y="25349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0194274E-0C9D-4838-B046-E6F13E8032F9}"/>
                </a:ext>
              </a:extLst>
            </xdr:cNvPr>
            <xdr:cNvSpPr txBox="1"/>
          </xdr:nvSpPr>
          <xdr:spPr>
            <a:xfrm>
              <a:off x="220980" y="25349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3523E769-111A-425E-9768-29F95FAC90F2}"/>
                </a:ext>
              </a:extLst>
            </xdr:cNvPr>
            <xdr:cNvSpPr txBox="1"/>
          </xdr:nvSpPr>
          <xdr:spPr>
            <a:xfrm>
              <a:off x="243840" y="24433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3523E769-111A-425E-9768-29F95FAC90F2}"/>
                </a:ext>
              </a:extLst>
            </xdr:cNvPr>
            <xdr:cNvSpPr txBox="1"/>
          </xdr:nvSpPr>
          <xdr:spPr>
            <a:xfrm>
              <a:off x="243840" y="24433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43171</xdr:colOff>
      <xdr:row>119</xdr:row>
      <xdr:rowOff>224368</xdr:rowOff>
    </xdr:from>
    <xdr:ext cx="105233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2BC0455-4339-4EA8-8200-8CFB89C0E411}"/>
                </a:ext>
              </a:extLst>
            </xdr:cNvPr>
            <xdr:cNvSpPr txBox="1"/>
          </xdr:nvSpPr>
          <xdr:spPr>
            <a:xfrm>
              <a:off x="6858838" y="2634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2BC0455-4339-4EA8-8200-8CFB89C0E411}"/>
                </a:ext>
              </a:extLst>
            </xdr:cNvPr>
            <xdr:cNvSpPr txBox="1"/>
          </xdr:nvSpPr>
          <xdr:spPr>
            <a:xfrm>
              <a:off x="6858838" y="26344035"/>
              <a:ext cx="105233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46546D44-86AB-4A1F-ACA1-577B13B519A7}"/>
                </a:ext>
              </a:extLst>
            </xdr:cNvPr>
            <xdr:cNvSpPr txBox="1"/>
          </xdr:nvSpPr>
          <xdr:spPr>
            <a:xfrm>
              <a:off x="829734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46546D44-86AB-4A1F-ACA1-577B13B519A7}"/>
                </a:ext>
              </a:extLst>
            </xdr:cNvPr>
            <xdr:cNvSpPr txBox="1"/>
          </xdr:nvSpPr>
          <xdr:spPr>
            <a:xfrm>
              <a:off x="829734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F4788ED-33AC-4AD6-B9F2-BFCB1DB11402}"/>
                </a:ext>
              </a:extLst>
            </xdr:cNvPr>
            <xdr:cNvSpPr txBox="1"/>
          </xdr:nvSpPr>
          <xdr:spPr>
            <a:xfrm>
              <a:off x="939800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1F4788ED-33AC-4AD6-B9F2-BFCB1DB11402}"/>
                </a:ext>
              </a:extLst>
            </xdr:cNvPr>
            <xdr:cNvSpPr txBox="1"/>
          </xdr:nvSpPr>
          <xdr:spPr>
            <a:xfrm>
              <a:off x="9398004" y="23067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9BE95510-1289-455C-B0B7-3E0667191870}"/>
                </a:ext>
              </a:extLst>
            </xdr:cNvPr>
            <xdr:cNvSpPr txBox="1"/>
          </xdr:nvSpPr>
          <xdr:spPr>
            <a:xfrm>
              <a:off x="10126137" y="23067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9BE95510-1289-455C-B0B7-3E0667191870}"/>
                </a:ext>
              </a:extLst>
            </xdr:cNvPr>
            <xdr:cNvSpPr txBox="1"/>
          </xdr:nvSpPr>
          <xdr:spPr>
            <a:xfrm>
              <a:off x="10126137" y="23067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F7FE3A4-E36E-48A4-A318-D960F7684704}"/>
                </a:ext>
              </a:extLst>
            </xdr:cNvPr>
            <xdr:cNvSpPr txBox="1"/>
          </xdr:nvSpPr>
          <xdr:spPr>
            <a:xfrm>
              <a:off x="11074403" y="23067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8F7FE3A4-E36E-48A4-A318-D960F7684704}"/>
                </a:ext>
              </a:extLst>
            </xdr:cNvPr>
            <xdr:cNvSpPr txBox="1"/>
          </xdr:nvSpPr>
          <xdr:spPr>
            <a:xfrm>
              <a:off x="11074403" y="23067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600D9492-7BD9-401F-A5F0-3289B7520529}"/>
                </a:ext>
              </a:extLst>
            </xdr:cNvPr>
            <xdr:cNvSpPr txBox="1"/>
          </xdr:nvSpPr>
          <xdr:spPr>
            <a:xfrm>
              <a:off x="12344414" y="23058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600D9492-7BD9-401F-A5F0-3289B7520529}"/>
                </a:ext>
              </a:extLst>
            </xdr:cNvPr>
            <xdr:cNvSpPr txBox="1"/>
          </xdr:nvSpPr>
          <xdr:spPr>
            <a:xfrm>
              <a:off x="12344414" y="23058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29289A6E-0621-47DF-AE70-E578AC9AF683}"/>
                </a:ext>
              </a:extLst>
            </xdr:cNvPr>
            <xdr:cNvSpPr txBox="1"/>
          </xdr:nvSpPr>
          <xdr:spPr>
            <a:xfrm>
              <a:off x="13199546" y="23050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29289A6E-0621-47DF-AE70-E578AC9AF683}"/>
                </a:ext>
              </a:extLst>
            </xdr:cNvPr>
            <xdr:cNvSpPr txBox="1"/>
          </xdr:nvSpPr>
          <xdr:spPr>
            <a:xfrm>
              <a:off x="13199546" y="23050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0354F191-2216-4E3F-A641-E0ACB20A8614}"/>
                </a:ext>
              </a:extLst>
            </xdr:cNvPr>
            <xdr:cNvSpPr txBox="1"/>
          </xdr:nvSpPr>
          <xdr:spPr>
            <a:xfrm>
              <a:off x="14122410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0354F191-2216-4E3F-A641-E0ACB20A8614}"/>
                </a:ext>
              </a:extLst>
            </xdr:cNvPr>
            <xdr:cNvSpPr txBox="1"/>
          </xdr:nvSpPr>
          <xdr:spPr>
            <a:xfrm>
              <a:off x="14122410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0</xdr:colOff>
      <xdr:row>128</xdr:row>
      <xdr:rowOff>16934</xdr:rowOff>
    </xdr:from>
    <xdr:ext cx="122225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E3CFCC70-AF6B-4C54-A30E-F7A2F76219B5}"/>
                </a:ext>
              </a:extLst>
            </xdr:cNvPr>
            <xdr:cNvSpPr txBox="1"/>
          </xdr:nvSpPr>
          <xdr:spPr>
            <a:xfrm>
              <a:off x="13724467" y="28194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E3CFCC70-AF6B-4C54-A30E-F7A2F76219B5}"/>
                </a:ext>
              </a:extLst>
            </xdr:cNvPr>
            <xdr:cNvSpPr txBox="1"/>
          </xdr:nvSpPr>
          <xdr:spPr>
            <a:xfrm>
              <a:off x="13724467" y="28194001"/>
              <a:ext cx="122225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44881</xdr:colOff>
      <xdr:row>120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36B871E6-93E7-40F9-8E68-1B411647B87D}"/>
                </a:ext>
              </a:extLst>
            </xdr:cNvPr>
            <xdr:cNvSpPr txBox="1"/>
          </xdr:nvSpPr>
          <xdr:spPr>
            <a:xfrm>
              <a:off x="773014" y="2635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36B871E6-93E7-40F9-8E68-1B411647B87D}"/>
                </a:ext>
              </a:extLst>
            </xdr:cNvPr>
            <xdr:cNvSpPr txBox="1"/>
          </xdr:nvSpPr>
          <xdr:spPr>
            <a:xfrm>
              <a:off x="773014" y="26355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B95DB7B-4AE4-426A-A60C-7DA120A8C6FF}"/>
                </a:ext>
              </a:extLst>
            </xdr:cNvPr>
            <xdr:cNvSpPr txBox="1"/>
          </xdr:nvSpPr>
          <xdr:spPr>
            <a:xfrm>
              <a:off x="15079126" y="23397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1B95DB7B-4AE4-426A-A60C-7DA120A8C6FF}"/>
                </a:ext>
              </a:extLst>
            </xdr:cNvPr>
            <xdr:cNvSpPr txBox="1"/>
          </xdr:nvSpPr>
          <xdr:spPr>
            <a:xfrm>
              <a:off x="15079126" y="23397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226A2F-FFC5-48F8-A7CF-FEC35CCCA490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226A2F-FFC5-48F8-A7CF-FEC35CCCA490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417B9896-D399-4E87-B354-184B8A8A9BE8}"/>
                </a:ext>
              </a:extLst>
            </xdr:cNvPr>
            <xdr:cNvSpPr txBox="1"/>
          </xdr:nvSpPr>
          <xdr:spPr>
            <a:xfrm>
              <a:off x="5410202" y="26369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417B9896-D399-4E87-B354-184B8A8A9BE8}"/>
                </a:ext>
              </a:extLst>
            </xdr:cNvPr>
            <xdr:cNvSpPr txBox="1"/>
          </xdr:nvSpPr>
          <xdr:spPr>
            <a:xfrm>
              <a:off x="5410202" y="26369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B4ABABBE-780D-45D4-86B0-FA4167CB2CE2}"/>
                </a:ext>
              </a:extLst>
            </xdr:cNvPr>
            <xdr:cNvSpPr txBox="1"/>
          </xdr:nvSpPr>
          <xdr:spPr>
            <a:xfrm>
              <a:off x="242993" y="26593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B4ABABBE-780D-45D4-86B0-FA4167CB2CE2}"/>
                </a:ext>
              </a:extLst>
            </xdr:cNvPr>
            <xdr:cNvSpPr txBox="1"/>
          </xdr:nvSpPr>
          <xdr:spPr>
            <a:xfrm>
              <a:off x="242993" y="26593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233CD5C-DFC9-43BC-886E-E59C7F98B14F}"/>
                </a:ext>
              </a:extLst>
            </xdr:cNvPr>
            <xdr:cNvSpPr txBox="1"/>
          </xdr:nvSpPr>
          <xdr:spPr>
            <a:xfrm>
              <a:off x="243840" y="26824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A233CD5C-DFC9-43BC-886E-E59C7F98B14F}"/>
                </a:ext>
              </a:extLst>
            </xdr:cNvPr>
            <xdr:cNvSpPr txBox="1"/>
          </xdr:nvSpPr>
          <xdr:spPr>
            <a:xfrm>
              <a:off x="243840" y="26824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1574739-3A4A-41CF-BD66-9681B77F5027}"/>
                </a:ext>
              </a:extLst>
            </xdr:cNvPr>
            <xdr:cNvSpPr txBox="1"/>
          </xdr:nvSpPr>
          <xdr:spPr>
            <a:xfrm>
              <a:off x="243840" y="27051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1574739-3A4A-41CF-BD66-9681B77F5027}"/>
                </a:ext>
              </a:extLst>
            </xdr:cNvPr>
            <xdr:cNvSpPr txBox="1"/>
          </xdr:nvSpPr>
          <xdr:spPr>
            <a:xfrm>
              <a:off x="243840" y="27051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B841C3AB-29F8-4C35-9612-312E9A4F49BD}"/>
                </a:ext>
              </a:extLst>
            </xdr:cNvPr>
            <xdr:cNvSpPr txBox="1"/>
          </xdr:nvSpPr>
          <xdr:spPr>
            <a:xfrm>
              <a:off x="243840" y="27278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B841C3AB-29F8-4C35-9612-312E9A4F49BD}"/>
                </a:ext>
              </a:extLst>
            </xdr:cNvPr>
            <xdr:cNvSpPr txBox="1"/>
          </xdr:nvSpPr>
          <xdr:spPr>
            <a:xfrm>
              <a:off x="243840" y="27278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0017E4D-FA50-4107-B0C2-F0011343671A}"/>
                </a:ext>
              </a:extLst>
            </xdr:cNvPr>
            <xdr:cNvSpPr txBox="1"/>
          </xdr:nvSpPr>
          <xdr:spPr>
            <a:xfrm>
              <a:off x="243840" y="27507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F0017E4D-FA50-4107-B0C2-F0011343671A}"/>
                </a:ext>
              </a:extLst>
            </xdr:cNvPr>
            <xdr:cNvSpPr txBox="1"/>
          </xdr:nvSpPr>
          <xdr:spPr>
            <a:xfrm>
              <a:off x="243840" y="27507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216D5412-13B6-4713-B96D-5EBEF6FE0CD6}"/>
                </a:ext>
              </a:extLst>
            </xdr:cNvPr>
            <xdr:cNvSpPr txBox="1"/>
          </xdr:nvSpPr>
          <xdr:spPr>
            <a:xfrm>
              <a:off x="236220" y="27964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216D5412-13B6-4713-B96D-5EBEF6FE0CD6}"/>
                </a:ext>
              </a:extLst>
            </xdr:cNvPr>
            <xdr:cNvSpPr txBox="1"/>
          </xdr:nvSpPr>
          <xdr:spPr>
            <a:xfrm>
              <a:off x="236220" y="27964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C4A8E265-9C50-43CF-AD09-2F12E7C90523}"/>
                </a:ext>
              </a:extLst>
            </xdr:cNvPr>
            <xdr:cNvSpPr txBox="1"/>
          </xdr:nvSpPr>
          <xdr:spPr>
            <a:xfrm>
              <a:off x="228600" y="28194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C4A8E265-9C50-43CF-AD09-2F12E7C90523}"/>
                </a:ext>
              </a:extLst>
            </xdr:cNvPr>
            <xdr:cNvSpPr txBox="1"/>
          </xdr:nvSpPr>
          <xdr:spPr>
            <a:xfrm>
              <a:off x="228600" y="28194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BA8CA08F-4F1C-4DAC-8B09-51F37F590FE3}"/>
                </a:ext>
              </a:extLst>
            </xdr:cNvPr>
            <xdr:cNvSpPr txBox="1"/>
          </xdr:nvSpPr>
          <xdr:spPr>
            <a:xfrm>
              <a:off x="228600" y="28422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BA8CA08F-4F1C-4DAC-8B09-51F37F590FE3}"/>
                </a:ext>
              </a:extLst>
            </xdr:cNvPr>
            <xdr:cNvSpPr txBox="1"/>
          </xdr:nvSpPr>
          <xdr:spPr>
            <a:xfrm>
              <a:off x="228600" y="28422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1F2B38A-18F9-4454-8BBD-0E5C5B501B6F}"/>
                </a:ext>
              </a:extLst>
            </xdr:cNvPr>
            <xdr:cNvSpPr txBox="1"/>
          </xdr:nvSpPr>
          <xdr:spPr>
            <a:xfrm>
              <a:off x="220980" y="28651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1F2B38A-18F9-4454-8BBD-0E5C5B501B6F}"/>
                </a:ext>
              </a:extLst>
            </xdr:cNvPr>
            <xdr:cNvSpPr txBox="1"/>
          </xdr:nvSpPr>
          <xdr:spPr>
            <a:xfrm>
              <a:off x="220980" y="28651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9176C3C6-92F8-42AC-967D-F84681A2B557}"/>
                </a:ext>
              </a:extLst>
            </xdr:cNvPr>
            <xdr:cNvSpPr txBox="1"/>
          </xdr:nvSpPr>
          <xdr:spPr>
            <a:xfrm>
              <a:off x="243840" y="27735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9176C3C6-92F8-42AC-967D-F84681A2B557}"/>
                </a:ext>
              </a:extLst>
            </xdr:cNvPr>
            <xdr:cNvSpPr txBox="1"/>
          </xdr:nvSpPr>
          <xdr:spPr>
            <a:xfrm>
              <a:off x="243840" y="27735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134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8B29A39-806E-4B4D-8117-11C149B347DC}"/>
                </a:ext>
              </a:extLst>
            </xdr:cNvPr>
            <xdr:cNvSpPr txBox="1"/>
          </xdr:nvSpPr>
          <xdr:spPr>
            <a:xfrm>
              <a:off x="6824970" y="29646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58B29A39-806E-4B4D-8117-11C149B347DC}"/>
                </a:ext>
              </a:extLst>
            </xdr:cNvPr>
            <xdr:cNvSpPr txBox="1"/>
          </xdr:nvSpPr>
          <xdr:spPr>
            <a:xfrm>
              <a:off x="6824970" y="29646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D3145D87-84DD-463A-A813-0D1094A24F00}"/>
                </a:ext>
              </a:extLst>
            </xdr:cNvPr>
            <xdr:cNvSpPr txBox="1"/>
          </xdr:nvSpPr>
          <xdr:spPr>
            <a:xfrm>
              <a:off x="829734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D3145D87-84DD-463A-A813-0D1094A24F00}"/>
                </a:ext>
              </a:extLst>
            </xdr:cNvPr>
            <xdr:cNvSpPr txBox="1"/>
          </xdr:nvSpPr>
          <xdr:spPr>
            <a:xfrm>
              <a:off x="829734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C0B2934B-0112-4DAE-B88A-0FC64310F70F}"/>
                </a:ext>
              </a:extLst>
            </xdr:cNvPr>
            <xdr:cNvSpPr txBox="1"/>
          </xdr:nvSpPr>
          <xdr:spPr>
            <a:xfrm>
              <a:off x="939800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C0B2934B-0112-4DAE-B88A-0FC64310F70F}"/>
                </a:ext>
              </a:extLst>
            </xdr:cNvPr>
            <xdr:cNvSpPr txBox="1"/>
          </xdr:nvSpPr>
          <xdr:spPr>
            <a:xfrm>
              <a:off x="9398004" y="26369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51E4E27D-7C4A-4058-AE18-5DAF604C7EF7}"/>
                </a:ext>
              </a:extLst>
            </xdr:cNvPr>
            <xdr:cNvSpPr txBox="1"/>
          </xdr:nvSpPr>
          <xdr:spPr>
            <a:xfrm>
              <a:off x="10126137" y="26369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51E4E27D-7C4A-4058-AE18-5DAF604C7EF7}"/>
                </a:ext>
              </a:extLst>
            </xdr:cNvPr>
            <xdr:cNvSpPr txBox="1"/>
          </xdr:nvSpPr>
          <xdr:spPr>
            <a:xfrm>
              <a:off x="10126137" y="26369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7A4050CE-98CD-4E7B-B6F4-CCBC497191A4}"/>
                </a:ext>
              </a:extLst>
            </xdr:cNvPr>
            <xdr:cNvSpPr txBox="1"/>
          </xdr:nvSpPr>
          <xdr:spPr>
            <a:xfrm>
              <a:off x="11074403" y="26369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7A4050CE-98CD-4E7B-B6F4-CCBC497191A4}"/>
                </a:ext>
              </a:extLst>
            </xdr:cNvPr>
            <xdr:cNvSpPr txBox="1"/>
          </xdr:nvSpPr>
          <xdr:spPr>
            <a:xfrm>
              <a:off x="11074403" y="26369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5805D0A6-1551-4938-BAE0-E7C152A1B9BB}"/>
                </a:ext>
              </a:extLst>
            </xdr:cNvPr>
            <xdr:cNvSpPr txBox="1"/>
          </xdr:nvSpPr>
          <xdr:spPr>
            <a:xfrm>
              <a:off x="12344414" y="26360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5805D0A6-1551-4938-BAE0-E7C152A1B9BB}"/>
                </a:ext>
              </a:extLst>
            </xdr:cNvPr>
            <xdr:cNvSpPr txBox="1"/>
          </xdr:nvSpPr>
          <xdr:spPr>
            <a:xfrm>
              <a:off x="12344414" y="26360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0F6B5BC-92DF-45FC-BA85-5D4FAD05AEDE}"/>
                </a:ext>
              </a:extLst>
            </xdr:cNvPr>
            <xdr:cNvSpPr txBox="1"/>
          </xdr:nvSpPr>
          <xdr:spPr>
            <a:xfrm>
              <a:off x="13199546" y="26352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40F6B5BC-92DF-45FC-BA85-5D4FAD05AEDE}"/>
                </a:ext>
              </a:extLst>
            </xdr:cNvPr>
            <xdr:cNvSpPr txBox="1"/>
          </xdr:nvSpPr>
          <xdr:spPr>
            <a:xfrm>
              <a:off x="13199546" y="26352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C6E4CA3-13F1-42D3-8D51-F26FF5E60424}"/>
                </a:ext>
              </a:extLst>
            </xdr:cNvPr>
            <xdr:cNvSpPr txBox="1"/>
          </xdr:nvSpPr>
          <xdr:spPr>
            <a:xfrm>
              <a:off x="14122410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C6E4CA3-13F1-42D3-8D51-F26FF5E60424}"/>
                </a:ext>
              </a:extLst>
            </xdr:cNvPr>
            <xdr:cNvSpPr txBox="1"/>
          </xdr:nvSpPr>
          <xdr:spPr>
            <a:xfrm>
              <a:off x="14122410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E5DA69D-35EB-4435-B6A1-2F7DB7EA2B9E}"/>
                </a:ext>
              </a:extLst>
            </xdr:cNvPr>
            <xdr:cNvSpPr txBox="1"/>
          </xdr:nvSpPr>
          <xdr:spPr>
            <a:xfrm>
              <a:off x="13732934" y="31496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E5DA69D-35EB-4435-B6A1-2F7DB7EA2B9E}"/>
                </a:ext>
              </a:extLst>
            </xdr:cNvPr>
            <xdr:cNvSpPr txBox="1"/>
          </xdr:nvSpPr>
          <xdr:spPr>
            <a:xfrm>
              <a:off x="13732934" y="31496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44884</xdr:colOff>
      <xdr:row>135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BC0B469-1ED3-4349-B17B-F2F77082392F}"/>
                </a:ext>
              </a:extLst>
            </xdr:cNvPr>
            <xdr:cNvSpPr txBox="1"/>
          </xdr:nvSpPr>
          <xdr:spPr>
            <a:xfrm>
              <a:off x="773017" y="2965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9BC0B469-1ED3-4349-B17B-F2F77082392F}"/>
                </a:ext>
              </a:extLst>
            </xdr:cNvPr>
            <xdr:cNvSpPr txBox="1"/>
          </xdr:nvSpPr>
          <xdr:spPr>
            <a:xfrm>
              <a:off x="773017" y="29657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85C313D7-8BD1-4777-9D53-D7602C81B399}"/>
                </a:ext>
              </a:extLst>
            </xdr:cNvPr>
            <xdr:cNvSpPr txBox="1"/>
          </xdr:nvSpPr>
          <xdr:spPr>
            <a:xfrm>
              <a:off x="15079126" y="26699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85C313D7-8BD1-4777-9D53-D7602C81B399}"/>
                </a:ext>
              </a:extLst>
            </xdr:cNvPr>
            <xdr:cNvSpPr txBox="1"/>
          </xdr:nvSpPr>
          <xdr:spPr>
            <a:xfrm>
              <a:off x="15079126" y="26699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792E7948-DF1D-453E-B40E-C392E8F9E627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792E7948-DF1D-453E-B40E-C392E8F9E627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6256A202-57E5-43CE-8070-96079BC5490D}"/>
                </a:ext>
              </a:extLst>
            </xdr:cNvPr>
            <xdr:cNvSpPr txBox="1"/>
          </xdr:nvSpPr>
          <xdr:spPr>
            <a:xfrm>
              <a:off x="5410202" y="29671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6256A202-57E5-43CE-8070-96079BC5490D}"/>
                </a:ext>
              </a:extLst>
            </xdr:cNvPr>
            <xdr:cNvSpPr txBox="1"/>
          </xdr:nvSpPr>
          <xdr:spPr>
            <a:xfrm>
              <a:off x="5410202" y="29671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6CC992-FB62-4888-9202-4B5CEC251999}"/>
                </a:ext>
              </a:extLst>
            </xdr:cNvPr>
            <xdr:cNvSpPr txBox="1"/>
          </xdr:nvSpPr>
          <xdr:spPr>
            <a:xfrm>
              <a:off x="242993" y="29895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B86CC992-FB62-4888-9202-4B5CEC251999}"/>
                </a:ext>
              </a:extLst>
            </xdr:cNvPr>
            <xdr:cNvSpPr txBox="1"/>
          </xdr:nvSpPr>
          <xdr:spPr>
            <a:xfrm>
              <a:off x="242993" y="29895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9013B77-7060-4196-8E5E-FE7C8955500E}"/>
                </a:ext>
              </a:extLst>
            </xdr:cNvPr>
            <xdr:cNvSpPr txBox="1"/>
          </xdr:nvSpPr>
          <xdr:spPr>
            <a:xfrm>
              <a:off x="243840" y="30126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9013B77-7060-4196-8E5E-FE7C8955500E}"/>
                </a:ext>
              </a:extLst>
            </xdr:cNvPr>
            <xdr:cNvSpPr txBox="1"/>
          </xdr:nvSpPr>
          <xdr:spPr>
            <a:xfrm>
              <a:off x="243840" y="30126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75183769-6A6C-4169-942B-65A9D290700A}"/>
                </a:ext>
              </a:extLst>
            </xdr:cNvPr>
            <xdr:cNvSpPr txBox="1"/>
          </xdr:nvSpPr>
          <xdr:spPr>
            <a:xfrm>
              <a:off x="243840" y="30353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75183769-6A6C-4169-942B-65A9D290700A}"/>
                </a:ext>
              </a:extLst>
            </xdr:cNvPr>
            <xdr:cNvSpPr txBox="1"/>
          </xdr:nvSpPr>
          <xdr:spPr>
            <a:xfrm>
              <a:off x="243840" y="30353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97C567C-4A18-4BE2-A0F4-90F9FB4A4AFA}"/>
                </a:ext>
              </a:extLst>
            </xdr:cNvPr>
            <xdr:cNvSpPr txBox="1"/>
          </xdr:nvSpPr>
          <xdr:spPr>
            <a:xfrm>
              <a:off x="243840" y="30580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097C567C-4A18-4BE2-A0F4-90F9FB4A4AFA}"/>
                </a:ext>
              </a:extLst>
            </xdr:cNvPr>
            <xdr:cNvSpPr txBox="1"/>
          </xdr:nvSpPr>
          <xdr:spPr>
            <a:xfrm>
              <a:off x="243840" y="30580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061FD50E-8E90-49B6-B923-501375C70D73}"/>
                </a:ext>
              </a:extLst>
            </xdr:cNvPr>
            <xdr:cNvSpPr txBox="1"/>
          </xdr:nvSpPr>
          <xdr:spPr>
            <a:xfrm>
              <a:off x="243840" y="30809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061FD50E-8E90-49B6-B923-501375C70D73}"/>
                </a:ext>
              </a:extLst>
            </xdr:cNvPr>
            <xdr:cNvSpPr txBox="1"/>
          </xdr:nvSpPr>
          <xdr:spPr>
            <a:xfrm>
              <a:off x="243840" y="30809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5ABBABE3-EFC7-4D5A-B432-86E5D04D4883}"/>
                </a:ext>
              </a:extLst>
            </xdr:cNvPr>
            <xdr:cNvSpPr txBox="1"/>
          </xdr:nvSpPr>
          <xdr:spPr>
            <a:xfrm>
              <a:off x="236220" y="3126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5ABBABE3-EFC7-4D5A-B432-86E5D04D4883}"/>
                </a:ext>
              </a:extLst>
            </xdr:cNvPr>
            <xdr:cNvSpPr txBox="1"/>
          </xdr:nvSpPr>
          <xdr:spPr>
            <a:xfrm>
              <a:off x="236220" y="31266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85CF663-EBD9-4B3D-A5A0-28817C4A9344}"/>
                </a:ext>
              </a:extLst>
            </xdr:cNvPr>
            <xdr:cNvSpPr txBox="1"/>
          </xdr:nvSpPr>
          <xdr:spPr>
            <a:xfrm>
              <a:off x="228600" y="31496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885CF663-EBD9-4B3D-A5A0-28817C4A9344}"/>
                </a:ext>
              </a:extLst>
            </xdr:cNvPr>
            <xdr:cNvSpPr txBox="1"/>
          </xdr:nvSpPr>
          <xdr:spPr>
            <a:xfrm>
              <a:off x="228600" y="31496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6BA0239B-3500-4C15-8473-DEFE43BF98F4}"/>
                </a:ext>
              </a:extLst>
            </xdr:cNvPr>
            <xdr:cNvSpPr txBox="1"/>
          </xdr:nvSpPr>
          <xdr:spPr>
            <a:xfrm>
              <a:off x="228600" y="31724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6BA0239B-3500-4C15-8473-DEFE43BF98F4}"/>
                </a:ext>
              </a:extLst>
            </xdr:cNvPr>
            <xdr:cNvSpPr txBox="1"/>
          </xdr:nvSpPr>
          <xdr:spPr>
            <a:xfrm>
              <a:off x="228600" y="31724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AC93D292-39F4-46C2-9512-24CBC72318E7}"/>
                </a:ext>
              </a:extLst>
            </xdr:cNvPr>
            <xdr:cNvSpPr txBox="1"/>
          </xdr:nvSpPr>
          <xdr:spPr>
            <a:xfrm>
              <a:off x="220980" y="31953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AC93D292-39F4-46C2-9512-24CBC72318E7}"/>
                </a:ext>
              </a:extLst>
            </xdr:cNvPr>
            <xdr:cNvSpPr txBox="1"/>
          </xdr:nvSpPr>
          <xdr:spPr>
            <a:xfrm>
              <a:off x="220980" y="31953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2DF61EC-E677-4712-8EC8-629B17861CDD}"/>
                </a:ext>
              </a:extLst>
            </xdr:cNvPr>
            <xdr:cNvSpPr txBox="1"/>
          </xdr:nvSpPr>
          <xdr:spPr>
            <a:xfrm>
              <a:off x="243840" y="31037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E2DF61EC-E677-4712-8EC8-629B17861CDD}"/>
                </a:ext>
              </a:extLst>
            </xdr:cNvPr>
            <xdr:cNvSpPr txBox="1"/>
          </xdr:nvSpPr>
          <xdr:spPr>
            <a:xfrm>
              <a:off x="243840" y="31037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149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06B11F19-0690-450C-992D-B6B78D16FA1B}"/>
                </a:ext>
              </a:extLst>
            </xdr:cNvPr>
            <xdr:cNvSpPr txBox="1"/>
          </xdr:nvSpPr>
          <xdr:spPr>
            <a:xfrm>
              <a:off x="6824970" y="32948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06B11F19-0690-450C-992D-B6B78D16FA1B}"/>
                </a:ext>
              </a:extLst>
            </xdr:cNvPr>
            <xdr:cNvSpPr txBox="1"/>
          </xdr:nvSpPr>
          <xdr:spPr>
            <a:xfrm>
              <a:off x="6824970" y="32948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2CBD92EC-9F66-4953-BA3B-7FB2CB437231}"/>
                </a:ext>
              </a:extLst>
            </xdr:cNvPr>
            <xdr:cNvSpPr txBox="1"/>
          </xdr:nvSpPr>
          <xdr:spPr>
            <a:xfrm>
              <a:off x="829734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2CBD92EC-9F66-4953-BA3B-7FB2CB437231}"/>
                </a:ext>
              </a:extLst>
            </xdr:cNvPr>
            <xdr:cNvSpPr txBox="1"/>
          </xdr:nvSpPr>
          <xdr:spPr>
            <a:xfrm>
              <a:off x="829734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FE9F7A15-E453-4BB3-8E6D-F1C4D6D40119}"/>
                </a:ext>
              </a:extLst>
            </xdr:cNvPr>
            <xdr:cNvSpPr txBox="1"/>
          </xdr:nvSpPr>
          <xdr:spPr>
            <a:xfrm>
              <a:off x="939800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FE9F7A15-E453-4BB3-8E6D-F1C4D6D40119}"/>
                </a:ext>
              </a:extLst>
            </xdr:cNvPr>
            <xdr:cNvSpPr txBox="1"/>
          </xdr:nvSpPr>
          <xdr:spPr>
            <a:xfrm>
              <a:off x="9398004" y="2967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0E92CE9-DCE9-4E52-A2B4-715ACA77357E}"/>
                </a:ext>
              </a:extLst>
            </xdr:cNvPr>
            <xdr:cNvSpPr txBox="1"/>
          </xdr:nvSpPr>
          <xdr:spPr>
            <a:xfrm>
              <a:off x="10126137" y="29671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0E92CE9-DCE9-4E52-A2B4-715ACA77357E}"/>
                </a:ext>
              </a:extLst>
            </xdr:cNvPr>
            <xdr:cNvSpPr txBox="1"/>
          </xdr:nvSpPr>
          <xdr:spPr>
            <a:xfrm>
              <a:off x="10126137" y="29671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BB19896A-76B8-46B8-A0C3-55688FBDB216}"/>
                </a:ext>
              </a:extLst>
            </xdr:cNvPr>
            <xdr:cNvSpPr txBox="1"/>
          </xdr:nvSpPr>
          <xdr:spPr>
            <a:xfrm>
              <a:off x="11074403" y="29671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BB19896A-76B8-46B8-A0C3-55688FBDB216}"/>
                </a:ext>
              </a:extLst>
            </xdr:cNvPr>
            <xdr:cNvSpPr txBox="1"/>
          </xdr:nvSpPr>
          <xdr:spPr>
            <a:xfrm>
              <a:off x="11074403" y="29671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934E028-0011-4C36-9495-C5A7F1BF831E}"/>
                </a:ext>
              </a:extLst>
            </xdr:cNvPr>
            <xdr:cNvSpPr txBox="1"/>
          </xdr:nvSpPr>
          <xdr:spPr>
            <a:xfrm>
              <a:off x="12344414" y="29662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934E028-0011-4C36-9495-C5A7F1BF831E}"/>
                </a:ext>
              </a:extLst>
            </xdr:cNvPr>
            <xdr:cNvSpPr txBox="1"/>
          </xdr:nvSpPr>
          <xdr:spPr>
            <a:xfrm>
              <a:off x="12344414" y="29662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63632CD2-BC84-490E-B8DF-4F240CB6D838}"/>
                </a:ext>
              </a:extLst>
            </xdr:cNvPr>
            <xdr:cNvSpPr txBox="1"/>
          </xdr:nvSpPr>
          <xdr:spPr>
            <a:xfrm>
              <a:off x="13199546" y="29654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63632CD2-BC84-490E-B8DF-4F240CB6D838}"/>
                </a:ext>
              </a:extLst>
            </xdr:cNvPr>
            <xdr:cNvSpPr txBox="1"/>
          </xdr:nvSpPr>
          <xdr:spPr>
            <a:xfrm>
              <a:off x="13199546" y="29654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F5DD847B-BC00-44BD-B157-10EB72C1710D}"/>
                </a:ext>
              </a:extLst>
            </xdr:cNvPr>
            <xdr:cNvSpPr txBox="1"/>
          </xdr:nvSpPr>
          <xdr:spPr>
            <a:xfrm>
              <a:off x="14122410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F5DD847B-BC00-44BD-B157-10EB72C1710D}"/>
                </a:ext>
              </a:extLst>
            </xdr:cNvPr>
            <xdr:cNvSpPr txBox="1"/>
          </xdr:nvSpPr>
          <xdr:spPr>
            <a:xfrm>
              <a:off x="14122410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D56A000-0898-48A2-B8C8-82494C342284}"/>
                </a:ext>
              </a:extLst>
            </xdr:cNvPr>
            <xdr:cNvSpPr txBox="1"/>
          </xdr:nvSpPr>
          <xdr:spPr>
            <a:xfrm>
              <a:off x="13732934" y="34798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D56A000-0898-48A2-B8C8-82494C342284}"/>
                </a:ext>
              </a:extLst>
            </xdr:cNvPr>
            <xdr:cNvSpPr txBox="1"/>
          </xdr:nvSpPr>
          <xdr:spPr>
            <a:xfrm>
              <a:off x="13732934" y="34798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44876</xdr:colOff>
      <xdr:row>150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F7C546D6-200C-4BD3-92CB-0BE2BC8819CF}"/>
                </a:ext>
              </a:extLst>
            </xdr:cNvPr>
            <xdr:cNvSpPr txBox="1"/>
          </xdr:nvSpPr>
          <xdr:spPr>
            <a:xfrm>
              <a:off x="773009" y="3295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F7C546D6-200C-4BD3-92CB-0BE2BC8819CF}"/>
                </a:ext>
              </a:extLst>
            </xdr:cNvPr>
            <xdr:cNvSpPr txBox="1"/>
          </xdr:nvSpPr>
          <xdr:spPr>
            <a:xfrm>
              <a:off x="773009" y="32959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122166DF-7272-4F69-BD73-511A3DC0CB6F}"/>
                </a:ext>
              </a:extLst>
            </xdr:cNvPr>
            <xdr:cNvSpPr txBox="1"/>
          </xdr:nvSpPr>
          <xdr:spPr>
            <a:xfrm>
              <a:off x="15223059" y="30001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122166DF-7272-4F69-BD73-511A3DC0CB6F}"/>
                </a:ext>
              </a:extLst>
            </xdr:cNvPr>
            <xdr:cNvSpPr txBox="1"/>
          </xdr:nvSpPr>
          <xdr:spPr>
            <a:xfrm>
              <a:off x="15223059" y="30001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165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C7CDDA32-8C60-4378-8F65-A0412D834848}"/>
                </a:ext>
              </a:extLst>
            </xdr:cNvPr>
            <xdr:cNvSpPr txBox="1"/>
          </xdr:nvSpPr>
          <xdr:spPr>
            <a:xfrm>
              <a:off x="3022608" y="36266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C7CDDA32-8C60-4378-8F65-A0412D834848}"/>
                </a:ext>
              </a:extLst>
            </xdr:cNvPr>
            <xdr:cNvSpPr txBox="1"/>
          </xdr:nvSpPr>
          <xdr:spPr>
            <a:xfrm>
              <a:off x="3022608" y="36266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AD37D0E3-B5D9-4EA5-ACB9-2CE73FA8CACF}"/>
                </a:ext>
              </a:extLst>
            </xdr:cNvPr>
            <xdr:cNvSpPr txBox="1"/>
          </xdr:nvSpPr>
          <xdr:spPr>
            <a:xfrm>
              <a:off x="5410202" y="3297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AD37D0E3-B5D9-4EA5-ACB9-2CE73FA8CACF}"/>
                </a:ext>
              </a:extLst>
            </xdr:cNvPr>
            <xdr:cNvSpPr txBox="1"/>
          </xdr:nvSpPr>
          <xdr:spPr>
            <a:xfrm>
              <a:off x="5410202" y="32973436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344F8D07-DE99-49F2-9FB1-CBA954BF8CBD}"/>
                </a:ext>
              </a:extLst>
            </xdr:cNvPr>
            <xdr:cNvSpPr txBox="1"/>
          </xdr:nvSpPr>
          <xdr:spPr>
            <a:xfrm>
              <a:off x="242993" y="3319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344F8D07-DE99-49F2-9FB1-CBA954BF8CBD}"/>
                </a:ext>
              </a:extLst>
            </xdr:cNvPr>
            <xdr:cNvSpPr txBox="1"/>
          </xdr:nvSpPr>
          <xdr:spPr>
            <a:xfrm>
              <a:off x="242993" y="33197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CAF8F758-27C8-4B7B-8DE7-A8F802792AE1}"/>
                </a:ext>
              </a:extLst>
            </xdr:cNvPr>
            <xdr:cNvSpPr txBox="1"/>
          </xdr:nvSpPr>
          <xdr:spPr>
            <a:xfrm>
              <a:off x="243840" y="3342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CAF8F758-27C8-4B7B-8DE7-A8F802792AE1}"/>
                </a:ext>
              </a:extLst>
            </xdr:cNvPr>
            <xdr:cNvSpPr txBox="1"/>
          </xdr:nvSpPr>
          <xdr:spPr>
            <a:xfrm>
              <a:off x="243840" y="33428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59723F5D-B6DB-4FF5-93E8-F4A9511BC599}"/>
                </a:ext>
              </a:extLst>
            </xdr:cNvPr>
            <xdr:cNvSpPr txBox="1"/>
          </xdr:nvSpPr>
          <xdr:spPr>
            <a:xfrm>
              <a:off x="243840" y="3365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59723F5D-B6DB-4FF5-93E8-F4A9511BC599}"/>
                </a:ext>
              </a:extLst>
            </xdr:cNvPr>
            <xdr:cNvSpPr txBox="1"/>
          </xdr:nvSpPr>
          <xdr:spPr>
            <a:xfrm>
              <a:off x="243840" y="33655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04F0655-D021-462E-99CB-807C35BE1A9D}"/>
                </a:ext>
              </a:extLst>
            </xdr:cNvPr>
            <xdr:cNvSpPr txBox="1"/>
          </xdr:nvSpPr>
          <xdr:spPr>
            <a:xfrm>
              <a:off x="243840" y="3388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04F0655-D021-462E-99CB-807C35BE1A9D}"/>
                </a:ext>
              </a:extLst>
            </xdr:cNvPr>
            <xdr:cNvSpPr txBox="1"/>
          </xdr:nvSpPr>
          <xdr:spPr>
            <a:xfrm>
              <a:off x="243840" y="33882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39D565B8-0578-4AAF-A00B-FAE4F1942563}"/>
                </a:ext>
              </a:extLst>
            </xdr:cNvPr>
            <xdr:cNvSpPr txBox="1"/>
          </xdr:nvSpPr>
          <xdr:spPr>
            <a:xfrm>
              <a:off x="243840" y="3411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39D565B8-0578-4AAF-A00B-FAE4F1942563}"/>
                </a:ext>
              </a:extLst>
            </xdr:cNvPr>
            <xdr:cNvSpPr txBox="1"/>
          </xdr:nvSpPr>
          <xdr:spPr>
            <a:xfrm>
              <a:off x="243840" y="34111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CEC55E1A-319E-470A-A2B0-F8D6F871CD23}"/>
                </a:ext>
              </a:extLst>
            </xdr:cNvPr>
            <xdr:cNvSpPr txBox="1"/>
          </xdr:nvSpPr>
          <xdr:spPr>
            <a:xfrm>
              <a:off x="236220" y="3456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CEC55E1A-319E-470A-A2B0-F8D6F871CD23}"/>
                </a:ext>
              </a:extLst>
            </xdr:cNvPr>
            <xdr:cNvSpPr txBox="1"/>
          </xdr:nvSpPr>
          <xdr:spPr>
            <a:xfrm>
              <a:off x="236220" y="34568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1041958E-D478-4782-9637-357978187970}"/>
                </a:ext>
              </a:extLst>
            </xdr:cNvPr>
            <xdr:cNvSpPr txBox="1"/>
          </xdr:nvSpPr>
          <xdr:spPr>
            <a:xfrm>
              <a:off x="228600" y="3479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1041958E-D478-4782-9637-357978187970}"/>
                </a:ext>
              </a:extLst>
            </xdr:cNvPr>
            <xdr:cNvSpPr txBox="1"/>
          </xdr:nvSpPr>
          <xdr:spPr>
            <a:xfrm>
              <a:off x="228600" y="34798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66BCA30B-3597-4431-BF55-E4959393EEF1}"/>
                </a:ext>
              </a:extLst>
            </xdr:cNvPr>
            <xdr:cNvSpPr txBox="1"/>
          </xdr:nvSpPr>
          <xdr:spPr>
            <a:xfrm>
              <a:off x="228600" y="3502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66BCA30B-3597-4431-BF55-E4959393EEF1}"/>
                </a:ext>
              </a:extLst>
            </xdr:cNvPr>
            <xdr:cNvSpPr txBox="1"/>
          </xdr:nvSpPr>
          <xdr:spPr>
            <a:xfrm>
              <a:off x="228600" y="35026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FD1027B0-E70E-434E-80E3-F5BB1D251FE6}"/>
                </a:ext>
              </a:extLst>
            </xdr:cNvPr>
            <xdr:cNvSpPr txBox="1"/>
          </xdr:nvSpPr>
          <xdr:spPr>
            <a:xfrm>
              <a:off x="220980" y="3525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FD1027B0-E70E-434E-80E3-F5BB1D251FE6}"/>
                </a:ext>
              </a:extLst>
            </xdr:cNvPr>
            <xdr:cNvSpPr txBox="1"/>
          </xdr:nvSpPr>
          <xdr:spPr>
            <a:xfrm>
              <a:off x="220980" y="35255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953E880D-CBD6-4438-9847-2257675B1F69}"/>
                </a:ext>
              </a:extLst>
            </xdr:cNvPr>
            <xdr:cNvSpPr txBox="1"/>
          </xdr:nvSpPr>
          <xdr:spPr>
            <a:xfrm>
              <a:off x="243840" y="3433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953E880D-CBD6-4438-9847-2257675B1F69}"/>
                </a:ext>
              </a:extLst>
            </xdr:cNvPr>
            <xdr:cNvSpPr txBox="1"/>
          </xdr:nvSpPr>
          <xdr:spPr>
            <a:xfrm>
              <a:off x="243840" y="34339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164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E2F269CA-6350-422D-AB7A-BFFD04D453EE}"/>
                </a:ext>
              </a:extLst>
            </xdr:cNvPr>
            <xdr:cNvSpPr txBox="1"/>
          </xdr:nvSpPr>
          <xdr:spPr>
            <a:xfrm>
              <a:off x="6824970" y="36250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E2F269CA-6350-422D-AB7A-BFFD04D453EE}"/>
                </a:ext>
              </a:extLst>
            </xdr:cNvPr>
            <xdr:cNvSpPr txBox="1"/>
          </xdr:nvSpPr>
          <xdr:spPr>
            <a:xfrm>
              <a:off x="6824970" y="36250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FF3B084-C5B4-4F47-90DB-5F415B20660D}"/>
                </a:ext>
              </a:extLst>
            </xdr:cNvPr>
            <xdr:cNvSpPr txBox="1"/>
          </xdr:nvSpPr>
          <xdr:spPr>
            <a:xfrm>
              <a:off x="829734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CFF3B084-C5B4-4F47-90DB-5F415B20660D}"/>
                </a:ext>
              </a:extLst>
            </xdr:cNvPr>
            <xdr:cNvSpPr txBox="1"/>
          </xdr:nvSpPr>
          <xdr:spPr>
            <a:xfrm>
              <a:off x="829734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5FEBB57C-80CC-4571-85FA-C9939F8EF68F}"/>
                </a:ext>
              </a:extLst>
            </xdr:cNvPr>
            <xdr:cNvSpPr txBox="1"/>
          </xdr:nvSpPr>
          <xdr:spPr>
            <a:xfrm>
              <a:off x="939800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5FEBB57C-80CC-4571-85FA-C9939F8EF68F}"/>
                </a:ext>
              </a:extLst>
            </xdr:cNvPr>
            <xdr:cNvSpPr txBox="1"/>
          </xdr:nvSpPr>
          <xdr:spPr>
            <a:xfrm>
              <a:off x="9398004" y="32973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F6F7435B-E635-4D5B-B4FA-21DF008C12D7}"/>
                </a:ext>
              </a:extLst>
            </xdr:cNvPr>
            <xdr:cNvSpPr txBox="1"/>
          </xdr:nvSpPr>
          <xdr:spPr>
            <a:xfrm>
              <a:off x="10126137" y="3297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F6F7435B-E635-4D5B-B4FA-21DF008C12D7}"/>
                </a:ext>
              </a:extLst>
            </xdr:cNvPr>
            <xdr:cNvSpPr txBox="1"/>
          </xdr:nvSpPr>
          <xdr:spPr>
            <a:xfrm>
              <a:off x="10126137" y="32973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FC1C9545-5E6C-4424-A16E-C0AEDBCCF51C}"/>
                </a:ext>
              </a:extLst>
            </xdr:cNvPr>
            <xdr:cNvSpPr txBox="1"/>
          </xdr:nvSpPr>
          <xdr:spPr>
            <a:xfrm>
              <a:off x="11074403" y="3297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FC1C9545-5E6C-4424-A16E-C0AEDBCCF51C}"/>
                </a:ext>
              </a:extLst>
            </xdr:cNvPr>
            <xdr:cNvSpPr txBox="1"/>
          </xdr:nvSpPr>
          <xdr:spPr>
            <a:xfrm>
              <a:off x="11074403" y="32973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D2EC918F-DCE3-4D64-BC5B-B98F04B25A98}"/>
                </a:ext>
              </a:extLst>
            </xdr:cNvPr>
            <xdr:cNvSpPr txBox="1"/>
          </xdr:nvSpPr>
          <xdr:spPr>
            <a:xfrm>
              <a:off x="12344414" y="3296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D2EC918F-DCE3-4D64-BC5B-B98F04B25A98}"/>
                </a:ext>
              </a:extLst>
            </xdr:cNvPr>
            <xdr:cNvSpPr txBox="1"/>
          </xdr:nvSpPr>
          <xdr:spPr>
            <a:xfrm>
              <a:off x="12344414" y="32964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57ED921-5212-4FFD-9030-F707DCD7B9B6}"/>
                </a:ext>
              </a:extLst>
            </xdr:cNvPr>
            <xdr:cNvSpPr txBox="1"/>
          </xdr:nvSpPr>
          <xdr:spPr>
            <a:xfrm>
              <a:off x="13199546" y="3295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57ED921-5212-4FFD-9030-F707DCD7B9B6}"/>
                </a:ext>
              </a:extLst>
            </xdr:cNvPr>
            <xdr:cNvSpPr txBox="1"/>
          </xdr:nvSpPr>
          <xdr:spPr>
            <a:xfrm>
              <a:off x="13199546" y="32956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C37A0314-0765-46C6-A99B-49FE6C3FAE89}"/>
                </a:ext>
              </a:extLst>
            </xdr:cNvPr>
            <xdr:cNvSpPr txBox="1"/>
          </xdr:nvSpPr>
          <xdr:spPr>
            <a:xfrm>
              <a:off x="1412241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C37A0314-0765-46C6-A99B-49FE6C3FAE89}"/>
                </a:ext>
              </a:extLst>
            </xdr:cNvPr>
            <xdr:cNvSpPr txBox="1"/>
          </xdr:nvSpPr>
          <xdr:spPr>
            <a:xfrm>
              <a:off x="1412241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173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2DD3B973-FD4B-4F9A-8127-511127EA824F}"/>
                </a:ext>
              </a:extLst>
            </xdr:cNvPr>
            <xdr:cNvSpPr txBox="1"/>
          </xdr:nvSpPr>
          <xdr:spPr>
            <a:xfrm>
              <a:off x="13732934" y="38100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2DD3B973-FD4B-4F9A-8127-511127EA824F}"/>
                </a:ext>
              </a:extLst>
            </xdr:cNvPr>
            <xdr:cNvSpPr txBox="1"/>
          </xdr:nvSpPr>
          <xdr:spPr>
            <a:xfrm>
              <a:off x="13732934" y="38100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44874</xdr:colOff>
      <xdr:row>165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09A69E0-0644-4BD7-B6E7-8EA538373006}"/>
                </a:ext>
              </a:extLst>
            </xdr:cNvPr>
            <xdr:cNvSpPr txBox="1"/>
          </xdr:nvSpPr>
          <xdr:spPr>
            <a:xfrm>
              <a:off x="773007" y="3626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E09A69E0-0644-4BD7-B6E7-8EA538373006}"/>
                </a:ext>
              </a:extLst>
            </xdr:cNvPr>
            <xdr:cNvSpPr txBox="1"/>
          </xdr:nvSpPr>
          <xdr:spPr>
            <a:xfrm>
              <a:off x="773007" y="36261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166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DDE574A0-0E8B-4505-AAF6-FF538EF94947}"/>
                </a:ext>
              </a:extLst>
            </xdr:cNvPr>
            <xdr:cNvSpPr txBox="1"/>
          </xdr:nvSpPr>
          <xdr:spPr>
            <a:xfrm>
              <a:off x="15223059" y="3330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DDE574A0-0E8B-4505-AAF6-FF538EF94947}"/>
                </a:ext>
              </a:extLst>
            </xdr:cNvPr>
            <xdr:cNvSpPr txBox="1"/>
          </xdr:nvSpPr>
          <xdr:spPr>
            <a:xfrm>
              <a:off x="15223059" y="33303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179</xdr:row>
      <xdr:rowOff>224369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F8EBD706-6790-429A-B85B-25CF97B266B3}"/>
                </a:ext>
              </a:extLst>
            </xdr:cNvPr>
            <xdr:cNvSpPr txBox="1"/>
          </xdr:nvSpPr>
          <xdr:spPr>
            <a:xfrm>
              <a:off x="3022608" y="39552036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F8EBD706-6790-429A-B85B-25CF97B266B3}"/>
                </a:ext>
              </a:extLst>
            </xdr:cNvPr>
            <xdr:cNvSpPr txBox="1"/>
          </xdr:nvSpPr>
          <xdr:spPr>
            <a:xfrm>
              <a:off x="3022608" y="39552036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180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6F68A873-91D7-47B4-9C75-6CDA39041DD0}"/>
                </a:ext>
              </a:extLst>
            </xdr:cNvPr>
            <xdr:cNvSpPr txBox="1"/>
          </xdr:nvSpPr>
          <xdr:spPr>
            <a:xfrm>
              <a:off x="5410202" y="395689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6F68A873-91D7-47B4-9C75-6CDA39041DD0}"/>
                </a:ext>
              </a:extLst>
            </xdr:cNvPr>
            <xdr:cNvSpPr txBox="1"/>
          </xdr:nvSpPr>
          <xdr:spPr>
            <a:xfrm>
              <a:off x="5410202" y="395689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181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DD81B5FF-54D8-45F2-B6DA-EED462CCB3D1}"/>
                </a:ext>
              </a:extLst>
            </xdr:cNvPr>
            <xdr:cNvSpPr txBox="1"/>
          </xdr:nvSpPr>
          <xdr:spPr>
            <a:xfrm>
              <a:off x="242993" y="3649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DD81B5FF-54D8-45F2-B6DA-EED462CCB3D1}"/>
                </a:ext>
              </a:extLst>
            </xdr:cNvPr>
            <xdr:cNvSpPr txBox="1"/>
          </xdr:nvSpPr>
          <xdr:spPr>
            <a:xfrm>
              <a:off x="242993" y="364998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29BF149-FD28-465E-BA24-D49A51EE2D23}"/>
                </a:ext>
              </a:extLst>
            </xdr:cNvPr>
            <xdr:cNvSpPr txBox="1"/>
          </xdr:nvSpPr>
          <xdr:spPr>
            <a:xfrm>
              <a:off x="243840" y="3673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29BF149-FD28-465E-BA24-D49A51EE2D23}"/>
                </a:ext>
              </a:extLst>
            </xdr:cNvPr>
            <xdr:cNvSpPr txBox="1"/>
          </xdr:nvSpPr>
          <xdr:spPr>
            <a:xfrm>
              <a:off x="243840" y="36730095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BC22C64-A3D8-429E-AD7B-7A4144EF37B6}"/>
                </a:ext>
              </a:extLst>
            </xdr:cNvPr>
            <xdr:cNvSpPr txBox="1"/>
          </xdr:nvSpPr>
          <xdr:spPr>
            <a:xfrm>
              <a:off x="243840" y="3695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2BC22C64-A3D8-429E-AD7B-7A4144EF37B6}"/>
                </a:ext>
              </a:extLst>
            </xdr:cNvPr>
            <xdr:cNvSpPr txBox="1"/>
          </xdr:nvSpPr>
          <xdr:spPr>
            <a:xfrm>
              <a:off x="243840" y="36957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390E069-A0E3-4CD7-BC3B-61DAFAB6DC6D}"/>
                </a:ext>
              </a:extLst>
            </xdr:cNvPr>
            <xdr:cNvSpPr txBox="1"/>
          </xdr:nvSpPr>
          <xdr:spPr>
            <a:xfrm>
              <a:off x="243840" y="3718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7390E069-A0E3-4CD7-BC3B-61DAFAB6DC6D}"/>
                </a:ext>
              </a:extLst>
            </xdr:cNvPr>
            <xdr:cNvSpPr txBox="1"/>
          </xdr:nvSpPr>
          <xdr:spPr>
            <a:xfrm>
              <a:off x="243840" y="371847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D8CF585-38D3-45EE-9558-5BA803216690}"/>
                </a:ext>
              </a:extLst>
            </xdr:cNvPr>
            <xdr:cNvSpPr txBox="1"/>
          </xdr:nvSpPr>
          <xdr:spPr>
            <a:xfrm>
              <a:off x="243840" y="3741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D8CF585-38D3-45EE-9558-5BA803216690}"/>
                </a:ext>
              </a:extLst>
            </xdr:cNvPr>
            <xdr:cNvSpPr txBox="1"/>
          </xdr:nvSpPr>
          <xdr:spPr>
            <a:xfrm>
              <a:off x="243840" y="374133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7CE64D32-D60B-4C60-89C6-EE4DCF328C96}"/>
                </a:ext>
              </a:extLst>
            </xdr:cNvPr>
            <xdr:cNvSpPr txBox="1"/>
          </xdr:nvSpPr>
          <xdr:spPr>
            <a:xfrm>
              <a:off x="236220" y="3787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7CE64D32-D60B-4C60-89C6-EE4DCF328C96}"/>
                </a:ext>
              </a:extLst>
            </xdr:cNvPr>
            <xdr:cNvSpPr txBox="1"/>
          </xdr:nvSpPr>
          <xdr:spPr>
            <a:xfrm>
              <a:off x="236220" y="378705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464C0514-B1C5-49EC-96FC-8AC0A6D8CE26}"/>
                </a:ext>
              </a:extLst>
            </xdr:cNvPr>
            <xdr:cNvSpPr txBox="1"/>
          </xdr:nvSpPr>
          <xdr:spPr>
            <a:xfrm>
              <a:off x="228600" y="3810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464C0514-B1C5-49EC-96FC-8AC0A6D8CE26}"/>
                </a:ext>
              </a:extLst>
            </xdr:cNvPr>
            <xdr:cNvSpPr txBox="1"/>
          </xdr:nvSpPr>
          <xdr:spPr>
            <a:xfrm>
              <a:off x="228600" y="381000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189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F5481EEA-3F9F-460D-B976-DA794AC25617}"/>
                </a:ext>
              </a:extLst>
            </xdr:cNvPr>
            <xdr:cNvSpPr txBox="1"/>
          </xdr:nvSpPr>
          <xdr:spPr>
            <a:xfrm>
              <a:off x="228600" y="3832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F5481EEA-3F9F-460D-B976-DA794AC25617}"/>
                </a:ext>
              </a:extLst>
            </xdr:cNvPr>
            <xdr:cNvSpPr txBox="1"/>
          </xdr:nvSpPr>
          <xdr:spPr>
            <a:xfrm>
              <a:off x="228600" y="38328601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190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CFE8C62C-0260-4A79-A41A-C63D98F5F284}"/>
                </a:ext>
              </a:extLst>
            </xdr:cNvPr>
            <xdr:cNvSpPr txBox="1"/>
          </xdr:nvSpPr>
          <xdr:spPr>
            <a:xfrm>
              <a:off x="220980" y="3855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CFE8C62C-0260-4A79-A41A-C63D98F5F284}"/>
                </a:ext>
              </a:extLst>
            </xdr:cNvPr>
            <xdr:cNvSpPr txBox="1"/>
          </xdr:nvSpPr>
          <xdr:spPr>
            <a:xfrm>
              <a:off x="220980" y="38557201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FE6D54AF-BEF5-41B2-8E79-97A186A7E56F}"/>
                </a:ext>
              </a:extLst>
            </xdr:cNvPr>
            <xdr:cNvSpPr txBox="1"/>
          </xdr:nvSpPr>
          <xdr:spPr>
            <a:xfrm>
              <a:off x="243840" y="3764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FE6D54AF-BEF5-41B2-8E79-97A186A7E56F}"/>
                </a:ext>
              </a:extLst>
            </xdr:cNvPr>
            <xdr:cNvSpPr txBox="1"/>
          </xdr:nvSpPr>
          <xdr:spPr>
            <a:xfrm>
              <a:off x="243840" y="376419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179</xdr:row>
      <xdr:rowOff>224368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70FD4CE-8D8B-420C-B47C-D449C68A753F}"/>
                </a:ext>
              </a:extLst>
            </xdr:cNvPr>
            <xdr:cNvSpPr txBox="1"/>
          </xdr:nvSpPr>
          <xdr:spPr>
            <a:xfrm>
              <a:off x="6824970" y="39552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C70FD4CE-8D8B-420C-B47C-D449C68A753F}"/>
                </a:ext>
              </a:extLst>
            </xdr:cNvPr>
            <xdr:cNvSpPr txBox="1"/>
          </xdr:nvSpPr>
          <xdr:spPr>
            <a:xfrm>
              <a:off x="6824970" y="39552035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BB626EE1-AF51-4C44-BCF1-C40519E911F0}"/>
                </a:ext>
              </a:extLst>
            </xdr:cNvPr>
            <xdr:cNvSpPr txBox="1"/>
          </xdr:nvSpPr>
          <xdr:spPr>
            <a:xfrm>
              <a:off x="829734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BB626EE1-AF51-4C44-BCF1-C40519E911F0}"/>
                </a:ext>
              </a:extLst>
            </xdr:cNvPr>
            <xdr:cNvSpPr txBox="1"/>
          </xdr:nvSpPr>
          <xdr:spPr>
            <a:xfrm>
              <a:off x="829734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180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25BCBF35-6512-4BA8-A672-B32C1A2EB235}"/>
                </a:ext>
              </a:extLst>
            </xdr:cNvPr>
            <xdr:cNvSpPr txBox="1"/>
          </xdr:nvSpPr>
          <xdr:spPr>
            <a:xfrm>
              <a:off x="939800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25BCBF35-6512-4BA8-A672-B32C1A2EB235}"/>
                </a:ext>
              </a:extLst>
            </xdr:cNvPr>
            <xdr:cNvSpPr txBox="1"/>
          </xdr:nvSpPr>
          <xdr:spPr>
            <a:xfrm>
              <a:off x="9398004" y="36275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180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162C946E-EBAA-4322-9D87-D2C27FF6178F}"/>
                </a:ext>
              </a:extLst>
            </xdr:cNvPr>
            <xdr:cNvSpPr txBox="1"/>
          </xdr:nvSpPr>
          <xdr:spPr>
            <a:xfrm>
              <a:off x="10126137" y="3627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162C946E-EBAA-4322-9D87-D2C27FF6178F}"/>
                </a:ext>
              </a:extLst>
            </xdr:cNvPr>
            <xdr:cNvSpPr txBox="1"/>
          </xdr:nvSpPr>
          <xdr:spPr>
            <a:xfrm>
              <a:off x="10126137" y="36275436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180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63DE4CF0-7232-4345-9316-BA6D7C3212BF}"/>
                </a:ext>
              </a:extLst>
            </xdr:cNvPr>
            <xdr:cNvSpPr txBox="1"/>
          </xdr:nvSpPr>
          <xdr:spPr>
            <a:xfrm>
              <a:off x="11074403" y="3627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63DE4CF0-7232-4345-9316-BA6D7C3212BF}"/>
                </a:ext>
              </a:extLst>
            </xdr:cNvPr>
            <xdr:cNvSpPr txBox="1"/>
          </xdr:nvSpPr>
          <xdr:spPr>
            <a:xfrm>
              <a:off x="11074403" y="36275436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180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29D107E-C307-4A5A-895E-3D23D67D40D9}"/>
                </a:ext>
              </a:extLst>
            </xdr:cNvPr>
            <xdr:cNvSpPr txBox="1"/>
          </xdr:nvSpPr>
          <xdr:spPr>
            <a:xfrm>
              <a:off x="12344414" y="3626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29D107E-C307-4A5A-895E-3D23D67D40D9}"/>
                </a:ext>
              </a:extLst>
            </xdr:cNvPr>
            <xdr:cNvSpPr txBox="1"/>
          </xdr:nvSpPr>
          <xdr:spPr>
            <a:xfrm>
              <a:off x="12344414" y="36266969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180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F3D37558-FE4C-461F-BA78-B935216A2792}"/>
                </a:ext>
              </a:extLst>
            </xdr:cNvPr>
            <xdr:cNvSpPr txBox="1"/>
          </xdr:nvSpPr>
          <xdr:spPr>
            <a:xfrm>
              <a:off x="13199546" y="3625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F3D37558-FE4C-461F-BA78-B935216A2792}"/>
                </a:ext>
              </a:extLst>
            </xdr:cNvPr>
            <xdr:cNvSpPr txBox="1"/>
          </xdr:nvSpPr>
          <xdr:spPr>
            <a:xfrm>
              <a:off x="13199546" y="36258502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189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09EF2F52-488A-4376-AE86-9614546D115E}"/>
                </a:ext>
              </a:extLst>
            </xdr:cNvPr>
            <xdr:cNvSpPr txBox="1"/>
          </xdr:nvSpPr>
          <xdr:spPr>
            <a:xfrm>
              <a:off x="14122410" y="3832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09EF2F52-488A-4376-AE86-9614546D115E}"/>
                </a:ext>
              </a:extLst>
            </xdr:cNvPr>
            <xdr:cNvSpPr txBox="1"/>
          </xdr:nvSpPr>
          <xdr:spPr>
            <a:xfrm>
              <a:off x="14122410" y="3832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188</xdr:row>
      <xdr:rowOff>16934</xdr:rowOff>
    </xdr:from>
    <xdr:ext cx="1356653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BABE357E-E958-4701-B7FA-FE319756E0A8}"/>
                </a:ext>
              </a:extLst>
            </xdr:cNvPr>
            <xdr:cNvSpPr txBox="1"/>
          </xdr:nvSpPr>
          <xdr:spPr>
            <a:xfrm>
              <a:off x="13732934" y="41402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BABE357E-E958-4701-B7FA-FE319756E0A8}"/>
                </a:ext>
              </a:extLst>
            </xdr:cNvPr>
            <xdr:cNvSpPr txBox="1"/>
          </xdr:nvSpPr>
          <xdr:spPr>
            <a:xfrm>
              <a:off x="13732934" y="41402001"/>
              <a:ext cx="1356653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𝑹(𝑺_𝒕^(𝟑+𝟔))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(𝒂_𝒕𝟏𝟑)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44883</xdr:colOff>
      <xdr:row>180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45225B6D-4C4C-49A4-8877-CDD48A664A85}"/>
                </a:ext>
              </a:extLst>
            </xdr:cNvPr>
            <xdr:cNvSpPr txBox="1"/>
          </xdr:nvSpPr>
          <xdr:spPr>
            <a:xfrm>
              <a:off x="773016" y="3956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45225B6D-4C4C-49A4-8877-CDD48A664A85}"/>
                </a:ext>
              </a:extLst>
            </xdr:cNvPr>
            <xdr:cNvSpPr txBox="1"/>
          </xdr:nvSpPr>
          <xdr:spPr>
            <a:xfrm>
              <a:off x="773016" y="39563887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181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44EBFB6-F0BD-463F-8499-67217E3A056A}"/>
                </a:ext>
              </a:extLst>
            </xdr:cNvPr>
            <xdr:cNvSpPr txBox="1"/>
          </xdr:nvSpPr>
          <xdr:spPr>
            <a:xfrm>
              <a:off x="15223059" y="3660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844EBFB6-F0BD-463F-8499-67217E3A056A}"/>
                </a:ext>
              </a:extLst>
            </xdr:cNvPr>
            <xdr:cNvSpPr txBox="1"/>
          </xdr:nvSpPr>
          <xdr:spPr>
            <a:xfrm>
              <a:off x="15223059" y="36605632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194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C8CD7001-FF7A-4706-9D4C-623E9D8D4A2C}"/>
                </a:ext>
              </a:extLst>
            </xdr:cNvPr>
            <xdr:cNvSpPr txBox="1"/>
          </xdr:nvSpPr>
          <xdr:spPr>
            <a:xfrm>
              <a:off x="12440075" y="4584361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C8CD7001-FF7A-4706-9D4C-623E9D8D4A2C}"/>
                </a:ext>
              </a:extLst>
            </xdr:cNvPr>
            <xdr:cNvSpPr txBox="1"/>
          </xdr:nvSpPr>
          <xdr:spPr>
            <a:xfrm>
              <a:off x="12440075" y="4584361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197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85899779-5A9A-4B16-929C-4E1143786C17}"/>
                </a:ext>
              </a:extLst>
            </xdr:cNvPr>
            <xdr:cNvSpPr txBox="1"/>
          </xdr:nvSpPr>
          <xdr:spPr>
            <a:xfrm>
              <a:off x="12168296" y="4652094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85899779-5A9A-4B16-929C-4E1143786C17}"/>
                </a:ext>
              </a:extLst>
            </xdr:cNvPr>
            <xdr:cNvSpPr txBox="1"/>
          </xdr:nvSpPr>
          <xdr:spPr>
            <a:xfrm>
              <a:off x="12168296" y="4652094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194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98E576B9-BA90-40EC-BE42-519550BCB076}"/>
                </a:ext>
              </a:extLst>
            </xdr:cNvPr>
            <xdr:cNvSpPr txBox="1"/>
          </xdr:nvSpPr>
          <xdr:spPr>
            <a:xfrm>
              <a:off x="11239510" y="459511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98E576B9-BA90-40EC-BE42-519550BCB076}"/>
                </a:ext>
              </a:extLst>
            </xdr:cNvPr>
            <xdr:cNvSpPr txBox="1"/>
          </xdr:nvSpPr>
          <xdr:spPr>
            <a:xfrm>
              <a:off x="11239510" y="459511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197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01D1EE3-8F67-46CC-8792-62617A4E513A}"/>
                </a:ext>
              </a:extLst>
            </xdr:cNvPr>
            <xdr:cNvSpPr txBox="1"/>
          </xdr:nvSpPr>
          <xdr:spPr>
            <a:xfrm>
              <a:off x="11332647" y="4663694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201D1EE3-8F67-46CC-8792-62617A4E513A}"/>
                </a:ext>
              </a:extLst>
            </xdr:cNvPr>
            <xdr:cNvSpPr txBox="1"/>
          </xdr:nvSpPr>
          <xdr:spPr>
            <a:xfrm>
              <a:off x="11332647" y="4663694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206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29A07279-6B51-4401-948B-ABECC26E3CC4}"/>
                </a:ext>
              </a:extLst>
            </xdr:cNvPr>
            <xdr:cNvSpPr txBox="1"/>
          </xdr:nvSpPr>
          <xdr:spPr>
            <a:xfrm>
              <a:off x="13035292" y="482329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29A07279-6B51-4401-948B-ABECC26E3CC4}"/>
                </a:ext>
              </a:extLst>
            </xdr:cNvPr>
            <xdr:cNvSpPr txBox="1"/>
          </xdr:nvSpPr>
          <xdr:spPr>
            <a:xfrm>
              <a:off x="13035292" y="482329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211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96F87D84-6DB6-4A7A-AA76-A10C345D35C5}"/>
                </a:ext>
              </a:extLst>
            </xdr:cNvPr>
            <xdr:cNvSpPr txBox="1"/>
          </xdr:nvSpPr>
          <xdr:spPr>
            <a:xfrm>
              <a:off x="13094557" y="493759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96F87D84-6DB6-4A7A-AA76-A10C345D35C5}"/>
                </a:ext>
              </a:extLst>
            </xdr:cNvPr>
            <xdr:cNvSpPr txBox="1"/>
          </xdr:nvSpPr>
          <xdr:spPr>
            <a:xfrm>
              <a:off x="13094557" y="493759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677353</xdr:colOff>
      <xdr:row>204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2E64C31-844F-46A5-98B2-6CD411B325F7}"/>
                </a:ext>
              </a:extLst>
            </xdr:cNvPr>
            <xdr:cNvSpPr txBox="1"/>
          </xdr:nvSpPr>
          <xdr:spPr>
            <a:xfrm>
              <a:off x="13385820" y="44970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2E64C31-844F-46A5-98B2-6CD411B325F7}"/>
                </a:ext>
              </a:extLst>
            </xdr:cNvPr>
            <xdr:cNvSpPr txBox="1"/>
          </xdr:nvSpPr>
          <xdr:spPr>
            <a:xfrm>
              <a:off x="13385820" y="44970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208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B24140C-241C-4B2B-864E-DB414FAF635D}"/>
                </a:ext>
              </a:extLst>
            </xdr:cNvPr>
            <xdr:cNvSpPr txBox="1"/>
          </xdr:nvSpPr>
          <xdr:spPr>
            <a:xfrm>
              <a:off x="13052212" y="486943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8B24140C-241C-4B2B-864E-DB414FAF635D}"/>
                </a:ext>
              </a:extLst>
            </xdr:cNvPr>
            <xdr:cNvSpPr txBox="1"/>
          </xdr:nvSpPr>
          <xdr:spPr>
            <a:xfrm>
              <a:off x="13052212" y="486943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347139</xdr:colOff>
      <xdr:row>208</xdr:row>
      <xdr:rowOff>25401</xdr:rowOff>
    </xdr:from>
    <xdr:ext cx="6366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81566DC-4246-4E51-ABDA-D8DEE289FFD1}"/>
                </a:ext>
              </a:extLst>
            </xdr:cNvPr>
            <xdr:cNvSpPr txBox="1"/>
          </xdr:nvSpPr>
          <xdr:spPr>
            <a:xfrm>
              <a:off x="14071606" y="45686134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181566DC-4246-4E51-ABDA-D8DEE289FFD1}"/>
                </a:ext>
              </a:extLst>
            </xdr:cNvPr>
            <xdr:cNvSpPr txBox="1"/>
          </xdr:nvSpPr>
          <xdr:spPr>
            <a:xfrm>
              <a:off x="14071606" y="45686134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207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F56DAAFA-B080-4533-AFCA-8B683C7B49E4}"/>
                </a:ext>
              </a:extLst>
            </xdr:cNvPr>
            <xdr:cNvSpPr txBox="1"/>
          </xdr:nvSpPr>
          <xdr:spPr>
            <a:xfrm>
              <a:off x="13060693" y="484615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F56DAAFA-B080-4533-AFCA-8B683C7B49E4}"/>
                </a:ext>
              </a:extLst>
            </xdr:cNvPr>
            <xdr:cNvSpPr txBox="1"/>
          </xdr:nvSpPr>
          <xdr:spPr>
            <a:xfrm>
              <a:off x="13060693" y="484615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210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ED71961-834A-4F56-BE82-705F54A6AEEE}"/>
                </a:ext>
              </a:extLst>
            </xdr:cNvPr>
            <xdr:cNvSpPr txBox="1"/>
          </xdr:nvSpPr>
          <xdr:spPr>
            <a:xfrm>
              <a:off x="13153815" y="491515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ED71961-834A-4F56-BE82-705F54A6AEEE}"/>
                </a:ext>
              </a:extLst>
            </xdr:cNvPr>
            <xdr:cNvSpPr txBox="1"/>
          </xdr:nvSpPr>
          <xdr:spPr>
            <a:xfrm>
              <a:off x="13153815" y="491515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220984</xdr:colOff>
      <xdr:row>210</xdr:row>
      <xdr:rowOff>16934</xdr:rowOff>
    </xdr:from>
    <xdr:ext cx="8856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E339E6B8-AD75-4B5E-A835-13E2223351A0}"/>
                </a:ext>
              </a:extLst>
            </xdr:cNvPr>
            <xdr:cNvSpPr txBox="1"/>
          </xdr:nvSpPr>
          <xdr:spPr>
            <a:xfrm>
              <a:off x="13945451" y="46134867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E339E6B8-AD75-4B5E-A835-13E2223351A0}"/>
                </a:ext>
              </a:extLst>
            </xdr:cNvPr>
            <xdr:cNvSpPr txBox="1"/>
          </xdr:nvSpPr>
          <xdr:spPr>
            <a:xfrm>
              <a:off x="13945451" y="46134867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372541</xdr:colOff>
      <xdr:row>205</xdr:row>
      <xdr:rowOff>12703</xdr:rowOff>
    </xdr:from>
    <xdr:ext cx="70942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FC1215D4-F8EA-4B50-9D9C-6ADE83364A4D}"/>
                </a:ext>
              </a:extLst>
            </xdr:cNvPr>
            <xdr:cNvSpPr txBox="1"/>
          </xdr:nvSpPr>
          <xdr:spPr>
            <a:xfrm>
              <a:off x="3022608" y="44987636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FC1215D4-F8EA-4B50-9D9C-6ADE83364A4D}"/>
                </a:ext>
              </a:extLst>
            </xdr:cNvPr>
            <xdr:cNvSpPr txBox="1"/>
          </xdr:nvSpPr>
          <xdr:spPr>
            <a:xfrm>
              <a:off x="3022608" y="44987636"/>
              <a:ext cx="70942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𝜼_𝟏𝟑 "(" 𝒂_𝒕𝟏𝟑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205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9FDFB036-BE58-4435-99F1-1471CA9001FD}"/>
                </a:ext>
              </a:extLst>
            </xdr:cNvPr>
            <xdr:cNvSpPr txBox="1"/>
          </xdr:nvSpPr>
          <xdr:spPr>
            <a:xfrm>
              <a:off x="5415282" y="480043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9FDFB036-BE58-4435-99F1-1471CA9001FD}"/>
                </a:ext>
              </a:extLst>
            </xdr:cNvPr>
            <xdr:cNvSpPr txBox="1"/>
          </xdr:nvSpPr>
          <xdr:spPr>
            <a:xfrm>
              <a:off x="5415282" y="480043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206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230646D7-1AF0-457D-BF4C-7FEFEDE91EA8}"/>
                </a:ext>
              </a:extLst>
            </xdr:cNvPr>
            <xdr:cNvSpPr txBox="1"/>
          </xdr:nvSpPr>
          <xdr:spPr>
            <a:xfrm>
              <a:off x="242993" y="48228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230646D7-1AF0-457D-BF4C-7FEFEDE91EA8}"/>
                </a:ext>
              </a:extLst>
            </xdr:cNvPr>
            <xdr:cNvSpPr txBox="1"/>
          </xdr:nvSpPr>
          <xdr:spPr>
            <a:xfrm>
              <a:off x="242993" y="482286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6C344064-EB8A-4E1C-9C78-216222948C4D}"/>
                </a:ext>
              </a:extLst>
            </xdr:cNvPr>
            <xdr:cNvSpPr txBox="1"/>
          </xdr:nvSpPr>
          <xdr:spPr>
            <a:xfrm>
              <a:off x="243840" y="484589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6C344064-EB8A-4E1C-9C78-216222948C4D}"/>
                </a:ext>
              </a:extLst>
            </xdr:cNvPr>
            <xdr:cNvSpPr txBox="1"/>
          </xdr:nvSpPr>
          <xdr:spPr>
            <a:xfrm>
              <a:off x="243840" y="484589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2E417B83-BCEF-4350-AEFF-CFE5C18658AE}"/>
                </a:ext>
              </a:extLst>
            </xdr:cNvPr>
            <xdr:cNvSpPr txBox="1"/>
          </xdr:nvSpPr>
          <xdr:spPr>
            <a:xfrm>
              <a:off x="243840" y="486867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2E417B83-BCEF-4350-AEFF-CFE5C18658AE}"/>
                </a:ext>
              </a:extLst>
            </xdr:cNvPr>
            <xdr:cNvSpPr txBox="1"/>
          </xdr:nvSpPr>
          <xdr:spPr>
            <a:xfrm>
              <a:off x="243840" y="486867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E5CD2F0B-2A62-41AB-9858-FCA117F3C5F3}"/>
                </a:ext>
              </a:extLst>
            </xdr:cNvPr>
            <xdr:cNvSpPr txBox="1"/>
          </xdr:nvSpPr>
          <xdr:spPr>
            <a:xfrm>
              <a:off x="243840" y="48913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E5CD2F0B-2A62-41AB-9858-FCA117F3C5F3}"/>
                </a:ext>
              </a:extLst>
            </xdr:cNvPr>
            <xdr:cNvSpPr txBox="1"/>
          </xdr:nvSpPr>
          <xdr:spPr>
            <a:xfrm>
              <a:off x="243840" y="489136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EB5692C7-6661-4B10-91B8-120760A37DA5}"/>
                </a:ext>
              </a:extLst>
            </xdr:cNvPr>
            <xdr:cNvSpPr txBox="1"/>
          </xdr:nvSpPr>
          <xdr:spPr>
            <a:xfrm>
              <a:off x="243840" y="49142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EB5692C7-6661-4B10-91B8-120760A37DA5}"/>
                </a:ext>
              </a:extLst>
            </xdr:cNvPr>
            <xdr:cNvSpPr txBox="1"/>
          </xdr:nvSpPr>
          <xdr:spPr>
            <a:xfrm>
              <a:off x="243840" y="491422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212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D3511B70-69C5-4080-8C60-BC8F7EBB3EA5}"/>
                </a:ext>
              </a:extLst>
            </xdr:cNvPr>
            <xdr:cNvSpPr txBox="1"/>
          </xdr:nvSpPr>
          <xdr:spPr>
            <a:xfrm>
              <a:off x="236220" y="49599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D3511B70-69C5-4080-8C60-BC8F7EBB3EA5}"/>
                </a:ext>
              </a:extLst>
            </xdr:cNvPr>
            <xdr:cNvSpPr txBox="1"/>
          </xdr:nvSpPr>
          <xdr:spPr>
            <a:xfrm>
              <a:off x="236220" y="495994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6AA5F9E9-5075-498E-8B5D-5632570C029F}"/>
                </a:ext>
              </a:extLst>
            </xdr:cNvPr>
            <xdr:cNvSpPr txBox="1"/>
          </xdr:nvSpPr>
          <xdr:spPr>
            <a:xfrm>
              <a:off x="237067" y="49828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6AA5F9E9-5075-498E-8B5D-5632570C029F}"/>
                </a:ext>
              </a:extLst>
            </xdr:cNvPr>
            <xdr:cNvSpPr txBox="1"/>
          </xdr:nvSpPr>
          <xdr:spPr>
            <a:xfrm>
              <a:off x="237067" y="498288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214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F97D1A2-F589-4C5F-B987-F276FE8D95C5}"/>
                </a:ext>
              </a:extLst>
            </xdr:cNvPr>
            <xdr:cNvSpPr txBox="1"/>
          </xdr:nvSpPr>
          <xdr:spPr>
            <a:xfrm>
              <a:off x="237067" y="500574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1F97D1A2-F589-4C5F-B987-F276FE8D95C5}"/>
                </a:ext>
              </a:extLst>
            </xdr:cNvPr>
            <xdr:cNvSpPr txBox="1"/>
          </xdr:nvSpPr>
          <xdr:spPr>
            <a:xfrm>
              <a:off x="237067" y="500574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214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60507FC5-5045-456D-9015-E7631C1EBD39}"/>
                </a:ext>
              </a:extLst>
            </xdr:cNvPr>
            <xdr:cNvSpPr txBox="1"/>
          </xdr:nvSpPr>
          <xdr:spPr>
            <a:xfrm>
              <a:off x="212513" y="502691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60507FC5-5045-456D-9015-E7631C1EBD39}"/>
                </a:ext>
              </a:extLst>
            </xdr:cNvPr>
            <xdr:cNvSpPr txBox="1"/>
          </xdr:nvSpPr>
          <xdr:spPr>
            <a:xfrm>
              <a:off x="212513" y="502691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211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1C0B2D42-3442-44E2-85E6-35BD7894475B}"/>
                </a:ext>
              </a:extLst>
            </xdr:cNvPr>
            <xdr:cNvSpPr txBox="1"/>
          </xdr:nvSpPr>
          <xdr:spPr>
            <a:xfrm>
              <a:off x="243840" y="49370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1C0B2D42-3442-44E2-85E6-35BD7894475B}"/>
                </a:ext>
              </a:extLst>
            </xdr:cNvPr>
            <xdr:cNvSpPr txBox="1"/>
          </xdr:nvSpPr>
          <xdr:spPr>
            <a:xfrm>
              <a:off x="243840" y="493708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205</xdr:row>
      <xdr:rowOff>4235</xdr:rowOff>
    </xdr:from>
    <xdr:ext cx="1119537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37B10FF8-64BC-49F3-AC8E-950D1D128562}"/>
                </a:ext>
              </a:extLst>
            </xdr:cNvPr>
            <xdr:cNvSpPr txBox="1"/>
          </xdr:nvSpPr>
          <xdr:spPr>
            <a:xfrm>
              <a:off x="6824970" y="44979168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37B10FF8-64BC-49F3-AC8E-950D1D128562}"/>
                </a:ext>
              </a:extLst>
            </xdr:cNvPr>
            <xdr:cNvSpPr txBox="1"/>
          </xdr:nvSpPr>
          <xdr:spPr>
            <a:xfrm>
              <a:off x="6824970" y="44979168"/>
              <a:ext cx="1119537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𝒃_𝒕^((𝟑,𝟔)+𝟏𝟑)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9303</xdr:colOff>
      <xdr:row>205</xdr:row>
      <xdr:rowOff>4235</xdr:rowOff>
    </xdr:from>
    <xdr:ext cx="1348382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CD61E4BD-3EAD-43C6-AD86-620A9E91F224}"/>
                </a:ext>
              </a:extLst>
            </xdr:cNvPr>
            <xdr:cNvSpPr txBox="1"/>
          </xdr:nvSpPr>
          <xdr:spPr>
            <a:xfrm>
              <a:off x="7951036" y="44979168"/>
              <a:ext cx="1348382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CD61E4BD-3EAD-43C6-AD86-620A9E91F224}"/>
                </a:ext>
              </a:extLst>
            </xdr:cNvPr>
            <xdr:cNvSpPr txBox="1"/>
          </xdr:nvSpPr>
          <xdr:spPr>
            <a:xfrm>
              <a:off x="7951036" y="44979168"/>
              <a:ext cx="1348382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〖𝑹(𝑺〗_𝒕^((𝟑,𝟔)+𝟏𝟑))(𝑺𝒊𝒈𝒎)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185417</xdr:colOff>
      <xdr:row>216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BB447E4D-8C3F-4613-8A47-3E6C9E983190}"/>
                </a:ext>
              </a:extLst>
            </xdr:cNvPr>
            <xdr:cNvSpPr txBox="1"/>
          </xdr:nvSpPr>
          <xdr:spPr>
            <a:xfrm>
              <a:off x="12893884" y="47637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BB447E4D-8C3F-4613-8A47-3E6C9E983190}"/>
                </a:ext>
              </a:extLst>
            </xdr:cNvPr>
            <xdr:cNvSpPr txBox="1"/>
          </xdr:nvSpPr>
          <xdr:spPr>
            <a:xfrm>
              <a:off x="12893884" y="47637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209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F5C3AD1A-46C3-473D-B395-A76C6769D9F2}"/>
                </a:ext>
              </a:extLst>
            </xdr:cNvPr>
            <xdr:cNvSpPr txBox="1"/>
          </xdr:nvSpPr>
          <xdr:spPr>
            <a:xfrm>
              <a:off x="13001420" y="489187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F5C3AD1A-46C3-473D-B395-A76C6769D9F2}"/>
                </a:ext>
              </a:extLst>
            </xdr:cNvPr>
            <xdr:cNvSpPr txBox="1"/>
          </xdr:nvSpPr>
          <xdr:spPr>
            <a:xfrm>
              <a:off x="13001420" y="489187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213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62C2FE8F-C1AD-4749-A66F-BE9650C6FE1A}"/>
                </a:ext>
              </a:extLst>
            </xdr:cNvPr>
            <xdr:cNvSpPr txBox="1"/>
          </xdr:nvSpPr>
          <xdr:spPr>
            <a:xfrm>
              <a:off x="13145341" y="498161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62C2FE8F-C1AD-4749-A66F-BE9650C6FE1A}"/>
                </a:ext>
              </a:extLst>
            </xdr:cNvPr>
            <xdr:cNvSpPr txBox="1"/>
          </xdr:nvSpPr>
          <xdr:spPr>
            <a:xfrm>
              <a:off x="13145341" y="498161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212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716F0E6A-EBCF-4432-9870-8FB6F06A04A3}"/>
                </a:ext>
              </a:extLst>
            </xdr:cNvPr>
            <xdr:cNvSpPr txBox="1"/>
          </xdr:nvSpPr>
          <xdr:spPr>
            <a:xfrm>
              <a:off x="13145341" y="495960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716F0E6A-EBCF-4432-9870-8FB6F06A04A3}"/>
                </a:ext>
              </a:extLst>
            </xdr:cNvPr>
            <xdr:cNvSpPr txBox="1"/>
          </xdr:nvSpPr>
          <xdr:spPr>
            <a:xfrm>
              <a:off x="13145341" y="495960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205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27372FCE-6EA6-46C3-A65B-0632E123B2C8}"/>
                </a:ext>
              </a:extLst>
            </xdr:cNvPr>
            <xdr:cNvSpPr txBox="1"/>
          </xdr:nvSpPr>
          <xdr:spPr>
            <a:xfrm>
              <a:off x="10447866" y="44979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27372FCE-6EA6-46C3-A65B-0632E123B2C8}"/>
                </a:ext>
              </a:extLst>
            </xdr:cNvPr>
            <xdr:cNvSpPr txBox="1"/>
          </xdr:nvSpPr>
          <xdr:spPr>
            <a:xfrm>
              <a:off x="10447866" y="44979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44892</xdr:colOff>
      <xdr:row>205</xdr:row>
      <xdr:rowOff>7620</xdr:rowOff>
    </xdr:from>
    <xdr:ext cx="1039002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9590DE71-1FCA-4AB1-BC66-9B31DFCE96B4}"/>
                </a:ext>
              </a:extLst>
            </xdr:cNvPr>
            <xdr:cNvSpPr txBox="1"/>
          </xdr:nvSpPr>
          <xdr:spPr>
            <a:xfrm>
              <a:off x="773025" y="44982553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9590DE71-1FCA-4AB1-BC66-9B31DFCE96B4}"/>
                </a:ext>
              </a:extLst>
            </xdr:cNvPr>
            <xdr:cNvSpPr txBox="1"/>
          </xdr:nvSpPr>
          <xdr:spPr>
            <a:xfrm>
              <a:off x="773025" y="44982553"/>
              <a:ext cx="1039002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192191</xdr:colOff>
      <xdr:row>34</xdr:row>
      <xdr:rowOff>81278</xdr:rowOff>
    </xdr:from>
    <xdr:ext cx="1795363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5FB9ED-D220-4C6D-90CE-BAFAB24FE23B}"/>
                </a:ext>
              </a:extLst>
            </xdr:cNvPr>
            <xdr:cNvSpPr txBox="1"/>
          </xdr:nvSpPr>
          <xdr:spPr>
            <a:xfrm>
              <a:off x="18979724" y="7531945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5FB9ED-D220-4C6D-90CE-BAFAB24FE23B}"/>
                </a:ext>
              </a:extLst>
            </xdr:cNvPr>
            <xdr:cNvSpPr txBox="1"/>
          </xdr:nvSpPr>
          <xdr:spPr>
            <a:xfrm>
              <a:off x="18979724" y="7531945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EFAD0-C82C-4C0A-957B-7DDF657C0692}"/>
                </a:ext>
              </a:extLst>
            </xdr:cNvPr>
            <xdr:cNvSpPr txBox="1"/>
          </xdr:nvSpPr>
          <xdr:spPr>
            <a:xfrm>
              <a:off x="2091267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EFAD0-C82C-4C0A-957B-7DDF657C0692}"/>
                </a:ext>
              </a:extLst>
            </xdr:cNvPr>
            <xdr:cNvSpPr txBox="1"/>
          </xdr:nvSpPr>
          <xdr:spPr>
            <a:xfrm>
              <a:off x="2091267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030E0-42C7-4645-8B0C-6B3B06189E32}"/>
                </a:ext>
              </a:extLst>
            </xdr:cNvPr>
            <xdr:cNvSpPr txBox="1"/>
          </xdr:nvSpPr>
          <xdr:spPr>
            <a:xfrm>
              <a:off x="1650491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030E0-42C7-4645-8B0C-6B3B06189E32}"/>
                </a:ext>
              </a:extLst>
            </xdr:cNvPr>
            <xdr:cNvSpPr txBox="1"/>
          </xdr:nvSpPr>
          <xdr:spPr>
            <a:xfrm>
              <a:off x="1650491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309E60-B649-4C09-A48C-2347F70F1EC7}"/>
                </a:ext>
              </a:extLst>
            </xdr:cNvPr>
            <xdr:cNvSpPr txBox="1"/>
          </xdr:nvSpPr>
          <xdr:spPr>
            <a:xfrm>
              <a:off x="1642025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2309E60-B649-4C09-A48C-2347F70F1EC7}"/>
                </a:ext>
              </a:extLst>
            </xdr:cNvPr>
            <xdr:cNvSpPr txBox="1"/>
          </xdr:nvSpPr>
          <xdr:spPr>
            <a:xfrm>
              <a:off x="1642025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646699-A805-4CF6-8D75-25DAE5425300}"/>
                </a:ext>
              </a:extLst>
            </xdr:cNvPr>
            <xdr:cNvSpPr txBox="1"/>
          </xdr:nvSpPr>
          <xdr:spPr>
            <a:xfrm>
              <a:off x="1636776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D646699-A805-4CF6-8D75-25DAE5425300}"/>
                </a:ext>
              </a:extLst>
            </xdr:cNvPr>
            <xdr:cNvSpPr txBox="1"/>
          </xdr:nvSpPr>
          <xdr:spPr>
            <a:xfrm>
              <a:off x="1636776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EE7CFB-1655-4F2B-89C3-D4EDE432DDFA}"/>
                </a:ext>
              </a:extLst>
            </xdr:cNvPr>
            <xdr:cNvSpPr txBox="1"/>
          </xdr:nvSpPr>
          <xdr:spPr>
            <a:xfrm>
              <a:off x="1599438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5EE7CFB-1655-4F2B-89C3-D4EDE432DDFA}"/>
                </a:ext>
              </a:extLst>
            </xdr:cNvPr>
            <xdr:cNvSpPr txBox="1"/>
          </xdr:nvSpPr>
          <xdr:spPr>
            <a:xfrm>
              <a:off x="1599438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079070-73AE-46A0-A6F7-E11B3C3E8DCC}"/>
                </a:ext>
              </a:extLst>
            </xdr:cNvPr>
            <xdr:cNvSpPr txBox="1"/>
          </xdr:nvSpPr>
          <xdr:spPr>
            <a:xfrm>
              <a:off x="2120222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079070-73AE-46A0-A6F7-E11B3C3E8DCC}"/>
                </a:ext>
              </a:extLst>
            </xdr:cNvPr>
            <xdr:cNvSpPr txBox="1"/>
          </xdr:nvSpPr>
          <xdr:spPr>
            <a:xfrm>
              <a:off x="2120222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8B5812-4315-4A44-AAF5-FAE710AAB422}"/>
                </a:ext>
              </a:extLst>
            </xdr:cNvPr>
            <xdr:cNvSpPr txBox="1"/>
          </xdr:nvSpPr>
          <xdr:spPr>
            <a:xfrm>
              <a:off x="2120222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8B5812-4315-4A44-AAF5-FAE710AAB422}"/>
                </a:ext>
              </a:extLst>
            </xdr:cNvPr>
            <xdr:cNvSpPr txBox="1"/>
          </xdr:nvSpPr>
          <xdr:spPr>
            <a:xfrm>
              <a:off x="2120222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18ADB05-C181-48BC-9C74-C812B26606D4}"/>
                </a:ext>
              </a:extLst>
            </xdr:cNvPr>
            <xdr:cNvSpPr txBox="1"/>
          </xdr:nvSpPr>
          <xdr:spPr>
            <a:xfrm>
              <a:off x="2116836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18ADB05-C181-48BC-9C74-C812B26606D4}"/>
                </a:ext>
              </a:extLst>
            </xdr:cNvPr>
            <xdr:cNvSpPr txBox="1"/>
          </xdr:nvSpPr>
          <xdr:spPr>
            <a:xfrm>
              <a:off x="2116836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7DF9FC0-4B20-47A1-88C2-516AB26B54C9}"/>
                </a:ext>
              </a:extLst>
            </xdr:cNvPr>
            <xdr:cNvSpPr txBox="1"/>
          </xdr:nvSpPr>
          <xdr:spPr>
            <a:xfrm>
              <a:off x="2116836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7DF9FC0-4B20-47A1-88C2-516AB26B54C9}"/>
                </a:ext>
              </a:extLst>
            </xdr:cNvPr>
            <xdr:cNvSpPr txBox="1"/>
          </xdr:nvSpPr>
          <xdr:spPr>
            <a:xfrm>
              <a:off x="2116836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ADE2AA7-1715-4CE6-8737-B86A6D71CDCC}"/>
                </a:ext>
              </a:extLst>
            </xdr:cNvPr>
            <xdr:cNvSpPr txBox="1"/>
          </xdr:nvSpPr>
          <xdr:spPr>
            <a:xfrm>
              <a:off x="2127165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ADE2AA7-1715-4CE6-8737-B86A6D71CDCC}"/>
                </a:ext>
              </a:extLst>
            </xdr:cNvPr>
            <xdr:cNvSpPr txBox="1"/>
          </xdr:nvSpPr>
          <xdr:spPr>
            <a:xfrm>
              <a:off x="2127165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209006-488D-4677-B5E5-8112A5B14EE6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6209006-488D-4677-B5E5-8112A5B14EE6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222C33A-E2D1-46C4-ADA2-1A0328ED7749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222C33A-E2D1-46C4-ADA2-1A0328ED7749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B08510-10CD-466C-AEA9-00C58FF0694B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4B08510-10CD-466C-AEA9-00C58FF0694B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B459D6-98D6-44D5-A4ED-81B640809947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BB459D6-98D6-44D5-A4ED-81B640809947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A3C8ACD-BFAF-40BD-BF96-C1AC6CF2B6B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A3C8ACD-BFAF-40BD-BF96-C1AC6CF2B6B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F066EFD-44C6-4725-B788-165A226805BA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F066EFD-44C6-4725-B788-165A226805BA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F2984E1-ACF4-4631-8FF0-8906D5B192EC}"/>
                </a:ext>
              </a:extLst>
            </xdr:cNvPr>
            <xdr:cNvSpPr txBox="1"/>
          </xdr:nvSpPr>
          <xdr:spPr>
            <a:xfrm>
              <a:off x="840571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F2984E1-ACF4-4631-8FF0-8906D5B192EC}"/>
                </a:ext>
              </a:extLst>
            </xdr:cNvPr>
            <xdr:cNvSpPr txBox="1"/>
          </xdr:nvSpPr>
          <xdr:spPr>
            <a:xfrm>
              <a:off x="840571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7EEBB74-921F-4F96-801F-C1BD569BBF8F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7EEBB74-921F-4F96-801F-C1BD569BBF8F}"/>
                </a:ext>
              </a:extLst>
            </xdr:cNvPr>
            <xdr:cNvSpPr txBox="1"/>
          </xdr:nvSpPr>
          <xdr:spPr>
            <a:xfrm>
              <a:off x="954955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305850-05B9-44BE-9ACA-77CE16AC70E3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9305850-05B9-44BE-9ACA-77CE16AC70E3}"/>
                </a:ext>
              </a:extLst>
            </xdr:cNvPr>
            <xdr:cNvSpPr txBox="1"/>
          </xdr:nvSpPr>
          <xdr:spPr>
            <a:xfrm>
              <a:off x="103725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D5CD0E7-F00A-4FB0-A8A4-7260C7873B9B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3D5CD0E7-F00A-4FB0-A8A4-7260C7873B9B}"/>
                </a:ext>
              </a:extLst>
            </xdr:cNvPr>
            <xdr:cNvSpPr txBox="1"/>
          </xdr:nvSpPr>
          <xdr:spPr>
            <a:xfrm>
              <a:off x="113173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8C21B77-77A6-4A20-8058-7402AFA97F35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8C21B77-77A6-4A20-8058-7402AFA97F35}"/>
                </a:ext>
              </a:extLst>
            </xdr:cNvPr>
            <xdr:cNvSpPr txBox="1"/>
          </xdr:nvSpPr>
          <xdr:spPr>
            <a:xfrm>
              <a:off x="122622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A67BD12-2EFF-40F0-8312-9CBDA3BE2264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A67BD12-2EFF-40F0-8312-9CBDA3BE2264}"/>
                </a:ext>
              </a:extLst>
            </xdr:cNvPr>
            <xdr:cNvSpPr txBox="1"/>
          </xdr:nvSpPr>
          <xdr:spPr>
            <a:xfrm>
              <a:off x="1313857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1AAA4-B33C-4320-AAB2-C02A7293A702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EC1AAA4-B33C-4320-AAB2-C02A7293A702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41DB917-8DFF-49F0-92D6-D733947C50EC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41DB917-8DFF-49F0-92D6-D733947C50EC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429CA07-3B3C-49C9-99DD-3AE04E7A1BFC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E429CA07-3B3C-49C9-99DD-3AE04E7A1BFC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93C3B0-E8AB-4C80-86A9-51F4D9023EA6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93C3B0-E8AB-4C80-86A9-51F4D9023EA6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EE58FA7-D334-4036-A8DC-C40D6315483B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EE58FA7-D334-4036-A8DC-C40D6315483B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EFF498F-A34F-4C21-8939-F17FA8A9652C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EFF498F-A34F-4C21-8939-F17FA8A9652C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B29CCBD-E5DA-489C-A3DE-4BAB4234D866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B29CCBD-E5DA-489C-A3DE-4BAB4234D866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2FAB19B-ECB1-42AB-8E71-DB43346361A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E2FAB19B-ECB1-42AB-8E71-DB43346361A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337B03-A56D-421E-8D50-16B4A1021240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337B03-A56D-421E-8D50-16B4A1021240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EC6AED-4B27-40C6-A970-CE2C4BE62B89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7FEC6AED-4B27-40C6-A970-CE2C4BE62B89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D28268-5884-42EB-AE24-D1D83F871B7C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4ED28268-5884-42EB-AE24-D1D83F871B7C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2C73FC8-1B6E-45AC-9AC4-FF0FEB428923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2C73FC8-1B6E-45AC-9AC4-FF0FEB428923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3F6D144-B394-405A-B0BB-D0C833B0CD09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3F6D144-B394-405A-B0BB-D0C833B0CD09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8896F5-4573-487E-81A3-E49C0C65F5A8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8896F5-4573-487E-81A3-E49C0C65F5A8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4794CAE-383E-4D5C-A20D-362B530BD6E9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4794CAE-383E-4D5C-A20D-362B530BD6E9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502F728-5DFB-4D83-9D5C-EA1F98B373BC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5502F728-5DFB-4D83-9D5C-EA1F98B373BC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3D9E43A-85E7-4341-A12A-6FA7ED303B54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23D9E43A-85E7-4341-A12A-6FA7ED303B54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F06A4A4-567F-4E7A-8770-F145A8353DF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1F06A4A4-567F-4E7A-8770-F145A8353DFD}"/>
                </a:ext>
              </a:extLst>
            </xdr:cNvPr>
            <xdr:cNvSpPr txBox="1"/>
          </xdr:nvSpPr>
          <xdr:spPr>
            <a:xfrm>
              <a:off x="71797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B0F233B-258F-4EEA-87AA-FA6098BF4128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4B0F233B-258F-4EEA-87AA-FA6098BF4128}"/>
                </a:ext>
              </a:extLst>
            </xdr:cNvPr>
            <xdr:cNvSpPr txBox="1"/>
          </xdr:nvSpPr>
          <xdr:spPr>
            <a:xfrm>
              <a:off x="826177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DD82774-A842-466A-A424-1CC67E02A2FF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DD82774-A842-466A-A424-1CC67E02A2FF}"/>
                </a:ext>
              </a:extLst>
            </xdr:cNvPr>
            <xdr:cNvSpPr txBox="1"/>
          </xdr:nvSpPr>
          <xdr:spPr>
            <a:xfrm>
              <a:off x="961728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4DA874D-4910-45C6-8B3B-295B1328CE08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E4DA874D-4910-45C6-8B3B-295B1328CE08}"/>
                </a:ext>
              </a:extLst>
            </xdr:cNvPr>
            <xdr:cNvSpPr txBox="1"/>
          </xdr:nvSpPr>
          <xdr:spPr>
            <a:xfrm>
              <a:off x="1045718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6D96D3D-4679-47B4-B542-C76D2B28517C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16D96D3D-4679-47B4-B542-C76D2B28517C}"/>
                </a:ext>
              </a:extLst>
            </xdr:cNvPr>
            <xdr:cNvSpPr txBox="1"/>
          </xdr:nvSpPr>
          <xdr:spPr>
            <a:xfrm>
              <a:off x="113173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E9F1565-D0D6-4318-A671-87A95237AA57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6E9F1565-D0D6-4318-A671-87A95237AA57}"/>
                </a:ext>
              </a:extLst>
            </xdr:cNvPr>
            <xdr:cNvSpPr txBox="1"/>
          </xdr:nvSpPr>
          <xdr:spPr>
            <a:xfrm>
              <a:off x="1226227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66967E6-F9A0-48E4-AC7D-907DC7B4FFAE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66967E6-F9A0-48E4-AC7D-907DC7B4FFAE}"/>
                </a:ext>
              </a:extLst>
            </xdr:cNvPr>
            <xdr:cNvSpPr txBox="1"/>
          </xdr:nvSpPr>
          <xdr:spPr>
            <a:xfrm>
              <a:off x="1329944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21129CA5-5030-4D9C-A6D5-47E3EF09AC62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21129CA5-5030-4D9C-A6D5-47E3EF09AC62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9728DE9-5413-4932-B519-AC801345C1DF}"/>
                </a:ext>
              </a:extLst>
            </xdr:cNvPr>
            <xdr:cNvSpPr txBox="1"/>
          </xdr:nvSpPr>
          <xdr:spPr>
            <a:xfrm>
              <a:off x="945218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9728DE9-5413-4932-B519-AC801345C1DF}"/>
                </a:ext>
              </a:extLst>
            </xdr:cNvPr>
            <xdr:cNvSpPr txBox="1"/>
          </xdr:nvSpPr>
          <xdr:spPr>
            <a:xfrm>
              <a:off x="945218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3491B6B-6995-43D3-A935-4DBBFDB01936}"/>
                </a:ext>
              </a:extLst>
            </xdr:cNvPr>
            <xdr:cNvSpPr txBox="1"/>
          </xdr:nvSpPr>
          <xdr:spPr>
            <a:xfrm>
              <a:off x="940138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3491B6B-6995-43D3-A935-4DBBFDB01936}"/>
                </a:ext>
              </a:extLst>
            </xdr:cNvPr>
            <xdr:cNvSpPr txBox="1"/>
          </xdr:nvSpPr>
          <xdr:spPr>
            <a:xfrm>
              <a:off x="940138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160854B3-EAD3-4F29-8CE4-8A59A15168D0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160854B3-EAD3-4F29-8CE4-8A59A15168D0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CB2A8E2-AAD7-4C05-9E44-FEC1CACD5151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CB2A8E2-AAD7-4C05-9E44-FEC1CACD5151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B0BB389-C70B-4965-B669-CCAE0C709178}"/>
                </a:ext>
              </a:extLst>
            </xdr:cNvPr>
            <xdr:cNvSpPr txBox="1"/>
          </xdr:nvSpPr>
          <xdr:spPr>
            <a:xfrm>
              <a:off x="1225210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AB0BB389-C70B-4965-B669-CCAE0C709178}"/>
                </a:ext>
              </a:extLst>
            </xdr:cNvPr>
            <xdr:cNvSpPr txBox="1"/>
          </xdr:nvSpPr>
          <xdr:spPr>
            <a:xfrm>
              <a:off x="1225210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D1E883A-BF85-418B-86D1-AE973B294DA7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D1E883A-BF85-418B-86D1-AE973B294DA7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20E7B35-3F30-433F-B0B3-AA8E64221C3F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20E7B35-3F30-433F-B0B3-AA8E64221C3F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AB9CDD7-8E90-45F7-B6BE-90526E9225DD}"/>
                </a:ext>
              </a:extLst>
            </xdr:cNvPr>
            <xdr:cNvSpPr txBox="1"/>
          </xdr:nvSpPr>
          <xdr:spPr>
            <a:xfrm>
              <a:off x="1226904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AB9CDD7-8E90-45F7-B6BE-90526E9225DD}"/>
                </a:ext>
              </a:extLst>
            </xdr:cNvPr>
            <xdr:cNvSpPr txBox="1"/>
          </xdr:nvSpPr>
          <xdr:spPr>
            <a:xfrm>
              <a:off x="1226904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1AF0FDD-CB80-4519-8160-677798899273}"/>
                </a:ext>
              </a:extLst>
            </xdr:cNvPr>
            <xdr:cNvSpPr txBox="1"/>
          </xdr:nvSpPr>
          <xdr:spPr>
            <a:xfrm>
              <a:off x="1226904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1AF0FDD-CB80-4519-8160-677798899273}"/>
                </a:ext>
              </a:extLst>
            </xdr:cNvPr>
            <xdr:cNvSpPr txBox="1"/>
          </xdr:nvSpPr>
          <xdr:spPr>
            <a:xfrm>
              <a:off x="1226904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94932D3-BA24-4BB9-B42D-928E85EF9A7B}"/>
                </a:ext>
              </a:extLst>
            </xdr:cNvPr>
            <xdr:cNvSpPr txBox="1"/>
          </xdr:nvSpPr>
          <xdr:spPr>
            <a:xfrm>
              <a:off x="950298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194932D3-BA24-4BB9-B42D-928E85EF9A7B}"/>
                </a:ext>
              </a:extLst>
            </xdr:cNvPr>
            <xdr:cNvSpPr txBox="1"/>
          </xdr:nvSpPr>
          <xdr:spPr>
            <a:xfrm>
              <a:off x="950298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33860</xdr:colOff>
      <xdr:row>24</xdr:row>
      <xdr:rowOff>16934</xdr:rowOff>
    </xdr:from>
    <xdr:ext cx="8856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B5C34FF-2818-4DBC-A429-A768544BBAFD}"/>
                </a:ext>
              </a:extLst>
            </xdr:cNvPr>
            <xdr:cNvSpPr txBox="1"/>
          </xdr:nvSpPr>
          <xdr:spPr>
            <a:xfrm>
              <a:off x="10100727" y="5308601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B5C34FF-2818-4DBC-A429-A768544BBAFD}"/>
                </a:ext>
              </a:extLst>
            </xdr:cNvPr>
            <xdr:cNvSpPr txBox="1"/>
          </xdr:nvSpPr>
          <xdr:spPr>
            <a:xfrm>
              <a:off x="10100727" y="5308601"/>
              <a:ext cx="8856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152398</xdr:colOff>
      <xdr:row>22</xdr:row>
      <xdr:rowOff>25401</xdr:rowOff>
    </xdr:from>
    <xdr:ext cx="6366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47301EA6-7305-4CEC-BE49-76CE5F22B867}"/>
                </a:ext>
              </a:extLst>
            </xdr:cNvPr>
            <xdr:cNvSpPr txBox="1"/>
          </xdr:nvSpPr>
          <xdr:spPr>
            <a:xfrm>
              <a:off x="10219265" y="4859868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47301EA6-7305-4CEC-BE49-76CE5F22B867}"/>
                </a:ext>
              </a:extLst>
            </xdr:cNvPr>
            <xdr:cNvSpPr txBox="1"/>
          </xdr:nvSpPr>
          <xdr:spPr>
            <a:xfrm>
              <a:off x="10219265" y="4859868"/>
              <a:ext cx="6366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1E86DD-A7BB-4557-9018-65F1B473EE43}"/>
                </a:ext>
              </a:extLst>
            </xdr:cNvPr>
            <xdr:cNvSpPr txBox="1"/>
          </xdr:nvSpPr>
          <xdr:spPr>
            <a:xfrm>
              <a:off x="935906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391E86DD-A7BB-4557-9018-65F1B473EE43}"/>
                </a:ext>
              </a:extLst>
            </xdr:cNvPr>
            <xdr:cNvSpPr txBox="1"/>
          </xdr:nvSpPr>
          <xdr:spPr>
            <a:xfrm>
              <a:off x="935906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3F3B80E-0F63-4251-9D64-31D2E242183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E3F3B80E-0F63-4251-9D64-31D2E242183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DE46222-9F8A-4903-8CCE-B0A143C81F7D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2DE46222-9F8A-4903-8CCE-B0A143C81F7D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60A7AFA-435E-42ED-A419-A7933C5AA045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F60A7AFA-435E-42ED-A419-A7933C5AA045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C611DE-E0BE-4DAD-9265-80D56AF99878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23C611DE-E0BE-4DAD-9265-80D56AF99878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F2DE612-94CD-441B-93A9-BFC4B71B4FAA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EF2DE612-94CD-441B-93A9-BFC4B71B4FAA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6B57A97B-733D-4CAC-ACFB-56AED4913279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6B57A97B-733D-4CAC-ACFB-56AED4913279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33EC7FE-374F-40CE-84E2-2B038C5A6539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33EC7FE-374F-40CE-84E2-2B038C5A6539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23B8F5D-6214-419A-85AE-C74F9C291BFC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23B8F5D-6214-419A-85AE-C74F9C291BFC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8151ED4-5E6D-4AC9-890B-665E773E503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48151ED4-5E6D-4AC9-890B-665E773E503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E3EC49-9E80-4331-BD3E-C616C7CB1F09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7DE3EC49-9E80-4331-BD3E-C616C7CB1F09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36EFF6DF-B5DB-47A8-9239-2828A034EC8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36EFF6DF-B5DB-47A8-9239-2828A034EC8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1BF527C-501C-4533-9DD9-B5465F0C430F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91BF527C-501C-4533-9DD9-B5465F0C430F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30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1E5637E-7F90-4B05-8E2F-512C4446840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71E5637E-7F90-4B05-8E2F-512C4446840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1BF4BA3-09E0-4A47-8179-8774555CC8DD}"/>
                </a:ext>
              </a:extLst>
            </xdr:cNvPr>
            <xdr:cNvSpPr txBox="1"/>
          </xdr:nvSpPr>
          <xdr:spPr>
            <a:xfrm>
              <a:off x="1520866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1BF4BA3-09E0-4A47-8179-8774555CC8DD}"/>
                </a:ext>
              </a:extLst>
            </xdr:cNvPr>
            <xdr:cNvSpPr txBox="1"/>
          </xdr:nvSpPr>
          <xdr:spPr>
            <a:xfrm>
              <a:off x="1520866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30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261CB7-9675-4F38-B3A3-2EACB594EEFB}"/>
                </a:ext>
              </a:extLst>
            </xdr:cNvPr>
            <xdr:cNvSpPr txBox="1"/>
          </xdr:nvSpPr>
          <xdr:spPr>
            <a:xfrm>
              <a:off x="6850370" y="654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261CB7-9675-4F38-B3A3-2EACB594EEFB}"/>
                </a:ext>
              </a:extLst>
            </xdr:cNvPr>
            <xdr:cNvSpPr txBox="1"/>
          </xdr:nvSpPr>
          <xdr:spPr>
            <a:xfrm>
              <a:off x="6850370" y="654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EB29E94-264E-4749-94AC-375687F6646C}"/>
                </a:ext>
              </a:extLst>
            </xdr:cNvPr>
            <xdr:cNvSpPr txBox="1"/>
          </xdr:nvSpPr>
          <xdr:spPr>
            <a:xfrm>
              <a:off x="825754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8EB29E94-264E-4749-94AC-375687F6646C}"/>
                </a:ext>
              </a:extLst>
            </xdr:cNvPr>
            <xdr:cNvSpPr txBox="1"/>
          </xdr:nvSpPr>
          <xdr:spPr>
            <a:xfrm>
              <a:off x="825754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559FE5A-DA19-4ED3-8425-F6F5E685B8AB}"/>
                </a:ext>
              </a:extLst>
            </xdr:cNvPr>
            <xdr:cNvSpPr txBox="1"/>
          </xdr:nvSpPr>
          <xdr:spPr>
            <a:xfrm>
              <a:off x="940139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D559FE5A-DA19-4ED3-8425-F6F5E685B8AB}"/>
                </a:ext>
              </a:extLst>
            </xdr:cNvPr>
            <xdr:cNvSpPr txBox="1"/>
          </xdr:nvSpPr>
          <xdr:spPr>
            <a:xfrm>
              <a:off x="940139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375558E-D0A6-41F9-B654-E308C3596779}"/>
                </a:ext>
              </a:extLst>
            </xdr:cNvPr>
            <xdr:cNvSpPr txBox="1"/>
          </xdr:nvSpPr>
          <xdr:spPr>
            <a:xfrm>
              <a:off x="1015069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2375558E-D0A6-41F9-B654-E308C3596779}"/>
                </a:ext>
              </a:extLst>
            </xdr:cNvPr>
            <xdr:cNvSpPr txBox="1"/>
          </xdr:nvSpPr>
          <xdr:spPr>
            <a:xfrm>
              <a:off x="1015069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82C0116-B25C-49B2-A4F8-8F4CD000BC95}"/>
                </a:ext>
              </a:extLst>
            </xdr:cNvPr>
            <xdr:cNvSpPr txBox="1"/>
          </xdr:nvSpPr>
          <xdr:spPr>
            <a:xfrm>
              <a:off x="1109557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F82C0116-B25C-49B2-A4F8-8F4CD000BC95}"/>
                </a:ext>
              </a:extLst>
            </xdr:cNvPr>
            <xdr:cNvSpPr txBox="1"/>
          </xdr:nvSpPr>
          <xdr:spPr>
            <a:xfrm>
              <a:off x="1109557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11912CD-AB9A-4272-87DB-2CCE3C3ED904}"/>
                </a:ext>
              </a:extLst>
            </xdr:cNvPr>
            <xdr:cNvSpPr txBox="1"/>
          </xdr:nvSpPr>
          <xdr:spPr>
            <a:xfrm>
              <a:off x="1234526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11912CD-AB9A-4272-87DB-2CCE3C3ED904}"/>
                </a:ext>
              </a:extLst>
            </xdr:cNvPr>
            <xdr:cNvSpPr txBox="1"/>
          </xdr:nvSpPr>
          <xdr:spPr>
            <a:xfrm>
              <a:off x="1234526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03A2397-4B31-4BF0-B3B2-4D51E32306D3}"/>
                </a:ext>
              </a:extLst>
            </xdr:cNvPr>
            <xdr:cNvSpPr txBox="1"/>
          </xdr:nvSpPr>
          <xdr:spPr>
            <a:xfrm>
              <a:off x="1319616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03A2397-4B31-4BF0-B3B2-4D51E32306D3}"/>
                </a:ext>
              </a:extLst>
            </xdr:cNvPr>
            <xdr:cNvSpPr txBox="1"/>
          </xdr:nvSpPr>
          <xdr:spPr>
            <a:xfrm>
              <a:off x="1319616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4D82E6B-B51C-4B45-90DC-7C6C2970B87C}"/>
                </a:ext>
              </a:extLst>
            </xdr:cNvPr>
            <xdr:cNvSpPr txBox="1"/>
          </xdr:nvSpPr>
          <xdr:spPr>
            <a:xfrm>
              <a:off x="14106323" y="85928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64D82E6B-B51C-4B45-90DC-7C6C2970B87C}"/>
                </a:ext>
              </a:extLst>
            </xdr:cNvPr>
            <xdr:cNvSpPr txBox="1"/>
          </xdr:nvSpPr>
          <xdr:spPr>
            <a:xfrm>
              <a:off x="14106323" y="85928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59269</xdr:colOff>
      <xdr:row>38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4D620C9-D4C3-4D0D-98D1-268E09D7FC96}"/>
                </a:ext>
              </a:extLst>
            </xdr:cNvPr>
            <xdr:cNvSpPr txBox="1"/>
          </xdr:nvSpPr>
          <xdr:spPr>
            <a:xfrm>
              <a:off x="13826069" y="837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84D620C9-D4C3-4D0D-98D1-268E09D7FC96}"/>
                </a:ext>
              </a:extLst>
            </xdr:cNvPr>
            <xdr:cNvSpPr txBox="1"/>
          </xdr:nvSpPr>
          <xdr:spPr>
            <a:xfrm>
              <a:off x="13826069" y="837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6FF6ECE-DDB7-40E6-A746-BB2DDAE1BCFB}"/>
                </a:ext>
              </a:extLst>
            </xdr:cNvPr>
            <xdr:cNvSpPr txBox="1"/>
          </xdr:nvSpPr>
          <xdr:spPr>
            <a:xfrm>
              <a:off x="1647106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16FF6ECE-DDB7-40E6-A746-BB2DDAE1BCFB}"/>
                </a:ext>
              </a:extLst>
            </xdr:cNvPr>
            <xdr:cNvSpPr txBox="1"/>
          </xdr:nvSpPr>
          <xdr:spPr>
            <a:xfrm>
              <a:off x="1647106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7F35676-763A-4398-B892-70619A7F281D}"/>
                </a:ext>
              </a:extLst>
            </xdr:cNvPr>
            <xdr:cNvSpPr txBox="1"/>
          </xdr:nvSpPr>
          <xdr:spPr>
            <a:xfrm>
              <a:off x="1655573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07F35676-763A-4398-B892-70619A7F281D}"/>
                </a:ext>
              </a:extLst>
            </xdr:cNvPr>
            <xdr:cNvSpPr txBox="1"/>
          </xdr:nvSpPr>
          <xdr:spPr>
            <a:xfrm>
              <a:off x="1655573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C2107CEC-CFFD-41C4-9C6F-3FBCDA2CDE40}"/>
                </a:ext>
              </a:extLst>
            </xdr:cNvPr>
            <xdr:cNvSpPr txBox="1"/>
          </xdr:nvSpPr>
          <xdr:spPr>
            <a:xfrm>
              <a:off x="1655573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C2107CEC-CFFD-41C4-9C6F-3FBCDA2CDE40}"/>
                </a:ext>
              </a:extLst>
            </xdr:cNvPr>
            <xdr:cNvSpPr txBox="1"/>
          </xdr:nvSpPr>
          <xdr:spPr>
            <a:xfrm>
              <a:off x="1655573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575742</xdr:colOff>
      <xdr:row>24</xdr:row>
      <xdr:rowOff>21166</xdr:rowOff>
    </xdr:from>
    <xdr:ext cx="631391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E2D5424-EFAD-4642-B4AB-FD3DB047F967}"/>
                </a:ext>
              </a:extLst>
            </xdr:cNvPr>
            <xdr:cNvSpPr txBox="1"/>
          </xdr:nvSpPr>
          <xdr:spPr>
            <a:xfrm>
              <a:off x="6510875" y="5312833"/>
              <a:ext cx="631391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E2D5424-EFAD-4642-B4AB-FD3DB047F967}"/>
                </a:ext>
              </a:extLst>
            </xdr:cNvPr>
            <xdr:cNvSpPr txBox="1"/>
          </xdr:nvSpPr>
          <xdr:spPr>
            <a:xfrm>
              <a:off x="6510875" y="5312833"/>
              <a:ext cx="631391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012537F-2E18-4428-8150-7D6F6F02A161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5012537F-2E18-4428-8150-7D6F6F02A161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7439BFD-517F-4E4E-BC26-3123AB3BF49A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57439BFD-517F-4E4E-BC26-3123AB3BF49A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7098ACB-B359-4CDD-A52D-8BAAAF136BCB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7098ACB-B359-4CDD-A52D-8BAAAF136BCB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1AF4719-AE44-428E-BCBF-7B334E17B4AA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B1AF4719-AE44-428E-BCBF-7B334E17B4AA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74EF4FF-66FB-4EC2-94EC-938B7CDB56FE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74EF4FF-66FB-4EC2-94EC-938B7CDB56FE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42DAC24-9937-4ABD-B918-210D5307BDB9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F42DAC24-9937-4ABD-B918-210D5307BDB9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4EA4FC8-B557-49B1-93F3-F40641EBCA7C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A4EA4FC8-B557-49B1-93F3-F40641EBCA7C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4D9FF11-72EC-4534-9067-272427E62678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24D9FF11-72EC-4534-9067-272427E62678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2D6AE091-ECD8-49B1-897F-879612BDD14E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2D6AE091-ECD8-49B1-897F-879612BDD14E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8F98DE6-76BD-438A-BA4E-E128B4AA1D9E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98F98DE6-76BD-438A-BA4E-E128B4AA1D9E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E88399FA-47A9-4584-9C2A-75DDB16103D6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E88399FA-47A9-4584-9C2A-75DDB16103D6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3BF54D-029F-4CBC-9EEF-3264B61AB50B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A93BF54D-029F-4CBC-9EEF-3264B61AB50B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E8D0E7-805E-4515-BE1E-A80C99DA09C7}"/>
                </a:ext>
              </a:extLst>
            </xdr:cNvPr>
            <xdr:cNvSpPr txBox="1"/>
          </xdr:nvSpPr>
          <xdr:spPr>
            <a:xfrm>
              <a:off x="829988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E8D0E7-805E-4515-BE1E-A80C99DA09C7}"/>
                </a:ext>
              </a:extLst>
            </xdr:cNvPr>
            <xdr:cNvSpPr txBox="1"/>
          </xdr:nvSpPr>
          <xdr:spPr>
            <a:xfrm>
              <a:off x="829988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4FAFF09-BA9C-4D2E-9470-2234DA2B966E}"/>
                </a:ext>
              </a:extLst>
            </xdr:cNvPr>
            <xdr:cNvSpPr txBox="1"/>
          </xdr:nvSpPr>
          <xdr:spPr>
            <a:xfrm>
              <a:off x="940139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4FAFF09-BA9C-4D2E-9470-2234DA2B966E}"/>
                </a:ext>
              </a:extLst>
            </xdr:cNvPr>
            <xdr:cNvSpPr txBox="1"/>
          </xdr:nvSpPr>
          <xdr:spPr>
            <a:xfrm>
              <a:off x="940139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3F949B2-D38A-49B4-9C6E-35C5A886BE5A}"/>
                </a:ext>
              </a:extLst>
            </xdr:cNvPr>
            <xdr:cNvSpPr txBox="1"/>
          </xdr:nvSpPr>
          <xdr:spPr>
            <a:xfrm>
              <a:off x="1012529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83F949B2-D38A-49B4-9C6E-35C5A886BE5A}"/>
                </a:ext>
              </a:extLst>
            </xdr:cNvPr>
            <xdr:cNvSpPr txBox="1"/>
          </xdr:nvSpPr>
          <xdr:spPr>
            <a:xfrm>
              <a:off x="1012529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E8D834-91E3-4C08-AA4F-813F55A2BCC9}"/>
                </a:ext>
              </a:extLst>
            </xdr:cNvPr>
            <xdr:cNvSpPr txBox="1"/>
          </xdr:nvSpPr>
          <xdr:spPr>
            <a:xfrm>
              <a:off x="1107017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24E8D834-91E3-4C08-AA4F-813F55A2BCC9}"/>
                </a:ext>
              </a:extLst>
            </xdr:cNvPr>
            <xdr:cNvSpPr txBox="1"/>
          </xdr:nvSpPr>
          <xdr:spPr>
            <a:xfrm>
              <a:off x="1107017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88B336F2-92BA-410F-AE81-679F2C754ED8}"/>
                </a:ext>
              </a:extLst>
            </xdr:cNvPr>
            <xdr:cNvSpPr txBox="1"/>
          </xdr:nvSpPr>
          <xdr:spPr>
            <a:xfrm>
              <a:off x="1233679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88B336F2-92BA-410F-AE81-679F2C754ED8}"/>
                </a:ext>
              </a:extLst>
            </xdr:cNvPr>
            <xdr:cNvSpPr txBox="1"/>
          </xdr:nvSpPr>
          <xdr:spPr>
            <a:xfrm>
              <a:off x="1233679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CDA35B9-E572-44F6-9135-89ADACF3B2E5}"/>
                </a:ext>
              </a:extLst>
            </xdr:cNvPr>
            <xdr:cNvSpPr txBox="1"/>
          </xdr:nvSpPr>
          <xdr:spPr>
            <a:xfrm>
              <a:off x="1318769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CDA35B9-E572-44F6-9135-89ADACF3B2E5}"/>
                </a:ext>
              </a:extLst>
            </xdr:cNvPr>
            <xdr:cNvSpPr txBox="1"/>
          </xdr:nvSpPr>
          <xdr:spPr>
            <a:xfrm>
              <a:off x="1318769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53BE141-CE3B-4093-9918-49E8E036481D}"/>
                </a:ext>
              </a:extLst>
            </xdr:cNvPr>
            <xdr:cNvSpPr txBox="1"/>
          </xdr:nvSpPr>
          <xdr:spPr>
            <a:xfrm>
              <a:off x="14106323" y="118846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153BE141-CE3B-4093-9918-49E8E036481D}"/>
                </a:ext>
              </a:extLst>
            </xdr:cNvPr>
            <xdr:cNvSpPr txBox="1"/>
          </xdr:nvSpPr>
          <xdr:spPr>
            <a:xfrm>
              <a:off x="14106323" y="118846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67734</xdr:colOff>
      <xdr:row>53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86ABFA7-0B22-42F3-973D-DBBFB8655339}"/>
                </a:ext>
              </a:extLst>
            </xdr:cNvPr>
            <xdr:cNvSpPr txBox="1"/>
          </xdr:nvSpPr>
          <xdr:spPr>
            <a:xfrm>
              <a:off x="13834534" y="1167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E86ABFA7-0B22-42F3-973D-DBBFB8655339}"/>
                </a:ext>
              </a:extLst>
            </xdr:cNvPr>
            <xdr:cNvSpPr txBox="1"/>
          </xdr:nvSpPr>
          <xdr:spPr>
            <a:xfrm>
              <a:off x="13834534" y="1167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0587828-82B1-4F2B-BA93-BB2AFAE1EA96}"/>
                </a:ext>
              </a:extLst>
            </xdr:cNvPr>
            <xdr:cNvSpPr txBox="1"/>
          </xdr:nvSpPr>
          <xdr:spPr>
            <a:xfrm>
              <a:off x="3108968" y="1311910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60587828-82B1-4F2B-BA93-BB2AFAE1EA96}"/>
                </a:ext>
              </a:extLst>
            </xdr:cNvPr>
            <xdr:cNvSpPr txBox="1"/>
          </xdr:nvSpPr>
          <xdr:spPr>
            <a:xfrm>
              <a:off x="3108968" y="1311910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EE6F407-B3FA-4489-88C7-7382DB1ED5A1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AEE6F407-B3FA-4489-88C7-7382DB1ED5A1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8EFD992-5C2E-4B53-ADBB-E1447096E7EE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88EFD992-5C2E-4B53-ADBB-E1447096E7EE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3C41362-6B65-448E-B2F3-72C5F91250F1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3C41362-6B65-448E-B2F3-72C5F91250F1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4736F13-6A57-45B1-B95C-D433FFCAB442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44736F13-6A57-45B1-B95C-D433FFCAB442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3463FF23-B5C3-4C74-A428-DF764A681D72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3463FF23-B5C3-4C74-A428-DF764A681D72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D1D5633-BEEC-4E74-86D4-C532924834A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ED1D5633-BEEC-4E74-86D4-C532924834A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AC6A27B-7AB3-445F-9D8E-DE192B75EB67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AC6A27B-7AB3-445F-9D8E-DE192B75EB67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FE10B5A-6FA0-4A61-9908-8A2E078B8E58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BFE10B5A-6FA0-4A61-9908-8A2E078B8E58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B841791-EFEF-47F3-9EFC-C84A87CEA0C5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9B841791-EFEF-47F3-9EFC-C84A87CEA0C5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AB02448F-1481-4CF4-8078-A410582B6BF2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AB02448F-1481-4CF4-8078-A410582B6BF2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F24540F-2A19-4C0C-8B89-08C888072FE2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F24540F-2A19-4C0C-8B89-08C888072FE2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2E920B8-8194-4AE4-906B-78CD8201F9A8}"/>
                </a:ext>
              </a:extLst>
            </xdr:cNvPr>
            <xdr:cNvSpPr txBox="1"/>
          </xdr:nvSpPr>
          <xdr:spPr>
            <a:xfrm>
              <a:off x="8299884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82E920B8-8194-4AE4-906B-78CD8201F9A8}"/>
                </a:ext>
              </a:extLst>
            </xdr:cNvPr>
            <xdr:cNvSpPr txBox="1"/>
          </xdr:nvSpPr>
          <xdr:spPr>
            <a:xfrm>
              <a:off x="8299884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BB3C431-0108-41F5-BCB5-E680CEB1F82D}"/>
                </a:ext>
              </a:extLst>
            </xdr:cNvPr>
            <xdr:cNvSpPr txBox="1"/>
          </xdr:nvSpPr>
          <xdr:spPr>
            <a:xfrm>
              <a:off x="940139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4BB3C431-0108-41F5-BCB5-E680CEB1F82D}"/>
                </a:ext>
              </a:extLst>
            </xdr:cNvPr>
            <xdr:cNvSpPr txBox="1"/>
          </xdr:nvSpPr>
          <xdr:spPr>
            <a:xfrm>
              <a:off x="940139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B5A1BA1-A050-40BC-AA98-4BE2CAF43C8F}"/>
                </a:ext>
              </a:extLst>
            </xdr:cNvPr>
            <xdr:cNvSpPr txBox="1"/>
          </xdr:nvSpPr>
          <xdr:spPr>
            <a:xfrm>
              <a:off x="1012529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0B5A1BA1-A050-40BC-AA98-4BE2CAF43C8F}"/>
                </a:ext>
              </a:extLst>
            </xdr:cNvPr>
            <xdr:cNvSpPr txBox="1"/>
          </xdr:nvSpPr>
          <xdr:spPr>
            <a:xfrm>
              <a:off x="1012529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1749301-5BCE-49EB-AE54-64B7C8E84BA2}"/>
                </a:ext>
              </a:extLst>
            </xdr:cNvPr>
            <xdr:cNvSpPr txBox="1"/>
          </xdr:nvSpPr>
          <xdr:spPr>
            <a:xfrm>
              <a:off x="1107017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1749301-5BCE-49EB-AE54-64B7C8E84BA2}"/>
                </a:ext>
              </a:extLst>
            </xdr:cNvPr>
            <xdr:cNvSpPr txBox="1"/>
          </xdr:nvSpPr>
          <xdr:spPr>
            <a:xfrm>
              <a:off x="1107017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92B7A69-6BA3-44B3-9CDF-6BD487AA92DD}"/>
                </a:ext>
              </a:extLst>
            </xdr:cNvPr>
            <xdr:cNvSpPr txBox="1"/>
          </xdr:nvSpPr>
          <xdr:spPr>
            <a:xfrm>
              <a:off x="1233679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C92B7A69-6BA3-44B3-9CDF-6BD487AA92DD}"/>
                </a:ext>
              </a:extLst>
            </xdr:cNvPr>
            <xdr:cNvSpPr txBox="1"/>
          </xdr:nvSpPr>
          <xdr:spPr>
            <a:xfrm>
              <a:off x="1233679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02E7C8-4ACE-400B-B1E0-D2B76D660D7D}"/>
                </a:ext>
              </a:extLst>
            </xdr:cNvPr>
            <xdr:cNvSpPr txBox="1"/>
          </xdr:nvSpPr>
          <xdr:spPr>
            <a:xfrm>
              <a:off x="1318769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6702E7C8-4ACE-400B-B1E0-D2B76D660D7D}"/>
                </a:ext>
              </a:extLst>
            </xdr:cNvPr>
            <xdr:cNvSpPr txBox="1"/>
          </xdr:nvSpPr>
          <xdr:spPr>
            <a:xfrm>
              <a:off x="1318769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7EAEFF-08DA-4B07-A6D4-B04F65B273EF}"/>
                </a:ext>
              </a:extLst>
            </xdr:cNvPr>
            <xdr:cNvSpPr txBox="1"/>
          </xdr:nvSpPr>
          <xdr:spPr>
            <a:xfrm>
              <a:off x="14106323" y="151765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E57EAEFF-08DA-4B07-A6D4-B04F65B273EF}"/>
                </a:ext>
              </a:extLst>
            </xdr:cNvPr>
            <xdr:cNvSpPr txBox="1"/>
          </xdr:nvSpPr>
          <xdr:spPr>
            <a:xfrm>
              <a:off x="14106323" y="151765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68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404F95FA-952B-4899-A2D2-6A77876D47AC}"/>
                </a:ext>
              </a:extLst>
            </xdr:cNvPr>
            <xdr:cNvSpPr txBox="1"/>
          </xdr:nvSpPr>
          <xdr:spPr>
            <a:xfrm>
              <a:off x="13817602" y="14977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404F95FA-952B-4899-A2D2-6A77876D47AC}"/>
                </a:ext>
              </a:extLst>
            </xdr:cNvPr>
            <xdr:cNvSpPr txBox="1"/>
          </xdr:nvSpPr>
          <xdr:spPr>
            <a:xfrm>
              <a:off x="13817602" y="14977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(𝒂_𝒕𝟒)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6379A79-8A15-439C-88B3-78125B8FA93A}"/>
                </a:ext>
              </a:extLst>
            </xdr:cNvPr>
            <xdr:cNvSpPr txBox="1"/>
          </xdr:nvSpPr>
          <xdr:spPr>
            <a:xfrm>
              <a:off x="3108968" y="164109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36379A79-8A15-439C-88B3-78125B8FA93A}"/>
                </a:ext>
              </a:extLst>
            </xdr:cNvPr>
            <xdr:cNvSpPr txBox="1"/>
          </xdr:nvSpPr>
          <xdr:spPr>
            <a:xfrm>
              <a:off x="3108968" y="1641094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F01AEF95-A231-48EB-ACBF-D04F7CBF468E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F01AEF95-A231-48EB-ACBF-D04F7CBF468E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0499B5A-127E-450B-A6EA-A4A7235B5247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50499B5A-127E-450B-A6EA-A4A7235B5247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00EE3B60-75C7-494C-8F6D-14A1A46B2B3B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00EE3B60-75C7-494C-8F6D-14A1A46B2B3B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2DEF66CE-7BE2-446C-B604-C0276EF6D0CC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2DEF66CE-7BE2-446C-B604-C0276EF6D0CC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86B5D09-5F62-46AD-A311-A0D8CD56C3D7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486B5D09-5F62-46AD-A311-A0D8CD56C3D7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8C86476-9112-4EC6-BA6B-75AED47E2E03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18C86476-9112-4EC6-BA6B-75AED47E2E03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759FCA80-FB12-47EB-80B0-6DE02FE41DD2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759FCA80-FB12-47EB-80B0-6DE02FE41DD2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0B8A9D6-2CF3-4BB3-A9B7-B433784A1040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D0B8A9D6-2CF3-4BB3-A9B7-B433784A1040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033F975-C43E-4C6D-A077-02F692288757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033F975-C43E-4C6D-A077-02F692288757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9F1D4AF-615B-49EF-A787-AC33DAFB0322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9F1D4AF-615B-49EF-A787-AC33DAFB0322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7DA2823B-0C2E-424E-A4F9-5DAB55E90FF1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7DA2823B-0C2E-424E-A4F9-5DAB55E90FF1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715BDA58-6FEA-4901-9E42-A45B2845FE1C}"/>
                </a:ext>
              </a:extLst>
            </xdr:cNvPr>
            <xdr:cNvSpPr txBox="1"/>
          </xdr:nvSpPr>
          <xdr:spPr>
            <a:xfrm>
              <a:off x="829988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715BDA58-6FEA-4901-9E42-A45B2845FE1C}"/>
                </a:ext>
              </a:extLst>
            </xdr:cNvPr>
            <xdr:cNvSpPr txBox="1"/>
          </xdr:nvSpPr>
          <xdr:spPr>
            <a:xfrm>
              <a:off x="829988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D6670F84-491D-46D4-96D9-A48DFFDD366C}"/>
                </a:ext>
              </a:extLst>
            </xdr:cNvPr>
            <xdr:cNvSpPr txBox="1"/>
          </xdr:nvSpPr>
          <xdr:spPr>
            <a:xfrm>
              <a:off x="940139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D6670F84-491D-46D4-96D9-A48DFFDD366C}"/>
                </a:ext>
              </a:extLst>
            </xdr:cNvPr>
            <xdr:cNvSpPr txBox="1"/>
          </xdr:nvSpPr>
          <xdr:spPr>
            <a:xfrm>
              <a:off x="940139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5A57151-DF90-4032-84C4-D742AC21851E}"/>
                </a:ext>
              </a:extLst>
            </xdr:cNvPr>
            <xdr:cNvSpPr txBox="1"/>
          </xdr:nvSpPr>
          <xdr:spPr>
            <a:xfrm>
              <a:off x="1012529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35A57151-DF90-4032-84C4-D742AC21851E}"/>
                </a:ext>
              </a:extLst>
            </xdr:cNvPr>
            <xdr:cNvSpPr txBox="1"/>
          </xdr:nvSpPr>
          <xdr:spPr>
            <a:xfrm>
              <a:off x="1012529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1E41931-00A5-47D5-A2D6-473B61C7B618}"/>
                </a:ext>
              </a:extLst>
            </xdr:cNvPr>
            <xdr:cNvSpPr txBox="1"/>
          </xdr:nvSpPr>
          <xdr:spPr>
            <a:xfrm>
              <a:off x="1107017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31E41931-00A5-47D5-A2D6-473B61C7B618}"/>
                </a:ext>
              </a:extLst>
            </xdr:cNvPr>
            <xdr:cNvSpPr txBox="1"/>
          </xdr:nvSpPr>
          <xdr:spPr>
            <a:xfrm>
              <a:off x="1107017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034731D-26DA-4A63-9AD7-5FB20E2F4127}"/>
                </a:ext>
              </a:extLst>
            </xdr:cNvPr>
            <xdr:cNvSpPr txBox="1"/>
          </xdr:nvSpPr>
          <xdr:spPr>
            <a:xfrm>
              <a:off x="1233679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5034731D-26DA-4A63-9AD7-5FB20E2F4127}"/>
                </a:ext>
              </a:extLst>
            </xdr:cNvPr>
            <xdr:cNvSpPr txBox="1"/>
          </xdr:nvSpPr>
          <xdr:spPr>
            <a:xfrm>
              <a:off x="1233679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0445C52-9FA1-4452-BE22-14E8720AD6E0}"/>
                </a:ext>
              </a:extLst>
            </xdr:cNvPr>
            <xdr:cNvSpPr txBox="1"/>
          </xdr:nvSpPr>
          <xdr:spPr>
            <a:xfrm>
              <a:off x="1318769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F0445C52-9FA1-4452-BE22-14E8720AD6E0}"/>
                </a:ext>
              </a:extLst>
            </xdr:cNvPr>
            <xdr:cNvSpPr txBox="1"/>
          </xdr:nvSpPr>
          <xdr:spPr>
            <a:xfrm>
              <a:off x="1318769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D1A9B-1D02-476B-95AC-77F03D9E6D62}"/>
                </a:ext>
              </a:extLst>
            </xdr:cNvPr>
            <xdr:cNvSpPr txBox="1"/>
          </xdr:nvSpPr>
          <xdr:spPr>
            <a:xfrm>
              <a:off x="14106323" y="184683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9E6D1A9B-1D02-476B-95AC-77F03D9E6D62}"/>
                </a:ext>
              </a:extLst>
            </xdr:cNvPr>
            <xdr:cNvSpPr txBox="1"/>
          </xdr:nvSpPr>
          <xdr:spPr>
            <a:xfrm>
              <a:off x="14106323" y="184683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67736</xdr:colOff>
      <xdr:row>83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151D057E-2259-4F4C-9DFE-5A169BA300B9}"/>
                </a:ext>
              </a:extLst>
            </xdr:cNvPr>
            <xdr:cNvSpPr txBox="1"/>
          </xdr:nvSpPr>
          <xdr:spPr>
            <a:xfrm>
              <a:off x="13834536" y="18279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151D057E-2259-4F4C-9DFE-5A169BA300B9}"/>
                </a:ext>
              </a:extLst>
            </xdr:cNvPr>
            <xdr:cNvSpPr txBox="1"/>
          </xdr:nvSpPr>
          <xdr:spPr>
            <a:xfrm>
              <a:off x="13834536" y="18279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550329</xdr:colOff>
      <xdr:row>31</xdr:row>
      <xdr:rowOff>21165</xdr:rowOff>
    </xdr:from>
    <xdr:ext cx="1340239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E5C9450-6AD1-4DFD-94F4-581E5997E0CB}"/>
                </a:ext>
              </a:extLst>
            </xdr:cNvPr>
            <xdr:cNvSpPr txBox="1"/>
          </xdr:nvSpPr>
          <xdr:spPr>
            <a:xfrm>
              <a:off x="20218396" y="6786032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E5C9450-6AD1-4DFD-94F4-581E5997E0CB}"/>
                </a:ext>
              </a:extLst>
            </xdr:cNvPr>
            <xdr:cNvSpPr txBox="1"/>
          </xdr:nvSpPr>
          <xdr:spPr>
            <a:xfrm>
              <a:off x="20218396" y="6786032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1FA5D01-A663-4318-BD7E-4F992E6EDFB0}"/>
                </a:ext>
              </a:extLst>
            </xdr:cNvPr>
            <xdr:cNvSpPr txBox="1"/>
          </xdr:nvSpPr>
          <xdr:spPr>
            <a:xfrm>
              <a:off x="1520866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A1FA5D01-A663-4318-BD7E-4F992E6EDFB0}"/>
                </a:ext>
              </a:extLst>
            </xdr:cNvPr>
            <xdr:cNvSpPr txBox="1"/>
          </xdr:nvSpPr>
          <xdr:spPr>
            <a:xfrm>
              <a:off x="1520866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5D2AE75-702D-4AD3-9573-201B7E7341D9}"/>
                </a:ext>
              </a:extLst>
            </xdr:cNvPr>
            <xdr:cNvSpPr txBox="1"/>
          </xdr:nvSpPr>
          <xdr:spPr>
            <a:xfrm>
              <a:off x="1520866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A5D2AE75-702D-4AD3-9573-201B7E7341D9}"/>
                </a:ext>
              </a:extLst>
            </xdr:cNvPr>
            <xdr:cNvSpPr txBox="1"/>
          </xdr:nvSpPr>
          <xdr:spPr>
            <a:xfrm>
              <a:off x="1520866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F251712C-3F13-4427-80D9-D81F865463C6}"/>
                </a:ext>
              </a:extLst>
            </xdr:cNvPr>
            <xdr:cNvSpPr txBox="1"/>
          </xdr:nvSpPr>
          <xdr:spPr>
            <a:xfrm>
              <a:off x="1520866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F251712C-3F13-4427-80D9-D81F865463C6}"/>
                </a:ext>
              </a:extLst>
            </xdr:cNvPr>
            <xdr:cNvSpPr txBox="1"/>
          </xdr:nvSpPr>
          <xdr:spPr>
            <a:xfrm>
              <a:off x="1520866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72811</xdr:rowOff>
    </xdr:from>
    <xdr:ext cx="1795363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E918D4AD-172D-419F-86EB-0972106534AC}"/>
                </a:ext>
              </a:extLst>
            </xdr:cNvPr>
            <xdr:cNvSpPr txBox="1"/>
          </xdr:nvSpPr>
          <xdr:spPr>
            <a:xfrm>
              <a:off x="18962792" y="10825478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E918D4AD-172D-419F-86EB-0972106534AC}"/>
                </a:ext>
              </a:extLst>
            </xdr:cNvPr>
            <xdr:cNvSpPr txBox="1"/>
          </xdr:nvSpPr>
          <xdr:spPr>
            <a:xfrm>
              <a:off x="18962792" y="10825478"/>
              <a:ext cx="1795363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74B30C17-A5F6-444E-86DE-2D33B9644FFD}"/>
                </a:ext>
              </a:extLst>
            </xdr:cNvPr>
            <xdr:cNvSpPr txBox="1"/>
          </xdr:nvSpPr>
          <xdr:spPr>
            <a:xfrm>
              <a:off x="2091267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74B30C17-A5F6-444E-86DE-2D33B9644FFD}"/>
                </a:ext>
              </a:extLst>
            </xdr:cNvPr>
            <xdr:cNvSpPr txBox="1"/>
          </xdr:nvSpPr>
          <xdr:spPr>
            <a:xfrm>
              <a:off x="2091267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086F88B-E57F-43F7-B2F1-3898BF7DEF43}"/>
                </a:ext>
              </a:extLst>
            </xdr:cNvPr>
            <xdr:cNvSpPr txBox="1"/>
          </xdr:nvSpPr>
          <xdr:spPr>
            <a:xfrm>
              <a:off x="3108968" y="19702783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086F88B-E57F-43F7-B2F1-3898BF7DEF43}"/>
                </a:ext>
              </a:extLst>
            </xdr:cNvPr>
            <xdr:cNvSpPr txBox="1"/>
          </xdr:nvSpPr>
          <xdr:spPr>
            <a:xfrm>
              <a:off x="3108968" y="19702783"/>
              <a:ext cx="5417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CDE691EA-4539-44A6-92AA-23A703D0990E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CDE691EA-4539-44A6-92AA-23A703D0990E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65B96D9-B5EE-4092-B546-981ABA40A0B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65B96D9-B5EE-4092-B546-981ABA40A0B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0180904-519C-4734-A2E2-1AA39D948956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50180904-519C-4734-A2E2-1AA39D948956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FA8640-7585-4D47-9BE6-82DF494735C3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87FA8640-7585-4D47-9BE6-82DF494735C3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CB9595F-83CB-4707-8760-B562020B4C34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8CB9595F-83CB-4707-8760-B562020B4C34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9AC6B52E-15B6-4871-8C4D-F45DC44EA56B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9AC6B52E-15B6-4871-8C4D-F45DC44EA56B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8B521480-7982-4F49-97C7-7BDF88260509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8B521480-7982-4F49-97C7-7BDF88260509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50073BE7-B736-4FA5-9220-4F36310658F3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50073BE7-B736-4FA5-9220-4F36310658F3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B05D414C-50E8-412D-B1B6-57D77638A7BA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B05D414C-50E8-412D-B1B6-57D77638A7BA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62DC5F9-7513-4DCB-855B-CC30B099B90D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062DC5F9-7513-4DCB-855B-CC30B099B90D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EF583BF3-6CC8-4A3F-9718-014B1CD924E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EF583BF3-6CC8-4A3F-9718-014B1CD924E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E9711493-F909-45EC-8D0F-2E0DAACE43E6}"/>
                </a:ext>
              </a:extLst>
            </xdr:cNvPr>
            <xdr:cNvSpPr txBox="1"/>
          </xdr:nvSpPr>
          <xdr:spPr>
            <a:xfrm>
              <a:off x="829988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E9711493-F909-45EC-8D0F-2E0DAACE43E6}"/>
                </a:ext>
              </a:extLst>
            </xdr:cNvPr>
            <xdr:cNvSpPr txBox="1"/>
          </xdr:nvSpPr>
          <xdr:spPr>
            <a:xfrm>
              <a:off x="829988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A5EE21-9EFF-4681-868B-EFE7B820BD44}"/>
                </a:ext>
              </a:extLst>
            </xdr:cNvPr>
            <xdr:cNvSpPr txBox="1"/>
          </xdr:nvSpPr>
          <xdr:spPr>
            <a:xfrm>
              <a:off x="940139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5FA5EE21-9EFF-4681-868B-EFE7B820BD44}"/>
                </a:ext>
              </a:extLst>
            </xdr:cNvPr>
            <xdr:cNvSpPr txBox="1"/>
          </xdr:nvSpPr>
          <xdr:spPr>
            <a:xfrm>
              <a:off x="940139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FF318120-DB1E-4678-ADFD-D5D5D4C77F7D}"/>
                </a:ext>
              </a:extLst>
            </xdr:cNvPr>
            <xdr:cNvSpPr txBox="1"/>
          </xdr:nvSpPr>
          <xdr:spPr>
            <a:xfrm>
              <a:off x="1012529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FF318120-DB1E-4678-ADFD-D5D5D4C77F7D}"/>
                </a:ext>
              </a:extLst>
            </xdr:cNvPr>
            <xdr:cNvSpPr txBox="1"/>
          </xdr:nvSpPr>
          <xdr:spPr>
            <a:xfrm>
              <a:off x="1012529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EBAB7D4-3578-4EFB-A20F-BEEEE4634CF7}"/>
                </a:ext>
              </a:extLst>
            </xdr:cNvPr>
            <xdr:cNvSpPr txBox="1"/>
          </xdr:nvSpPr>
          <xdr:spPr>
            <a:xfrm>
              <a:off x="1107017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1EBAB7D4-3578-4EFB-A20F-BEEEE4634CF7}"/>
                </a:ext>
              </a:extLst>
            </xdr:cNvPr>
            <xdr:cNvSpPr txBox="1"/>
          </xdr:nvSpPr>
          <xdr:spPr>
            <a:xfrm>
              <a:off x="1107017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2835BA0-7BBF-4BCE-9F8F-B4C64948F8F8}"/>
                </a:ext>
              </a:extLst>
            </xdr:cNvPr>
            <xdr:cNvSpPr txBox="1"/>
          </xdr:nvSpPr>
          <xdr:spPr>
            <a:xfrm>
              <a:off x="1233679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2835BA0-7BBF-4BCE-9F8F-B4C64948F8F8}"/>
                </a:ext>
              </a:extLst>
            </xdr:cNvPr>
            <xdr:cNvSpPr txBox="1"/>
          </xdr:nvSpPr>
          <xdr:spPr>
            <a:xfrm>
              <a:off x="1233679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897C8A28-3D6D-43F3-83E5-CD7FB1981647}"/>
                </a:ext>
              </a:extLst>
            </xdr:cNvPr>
            <xdr:cNvSpPr txBox="1"/>
          </xdr:nvSpPr>
          <xdr:spPr>
            <a:xfrm>
              <a:off x="1318769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897C8A28-3D6D-43F3-83E5-CD7FB1981647}"/>
                </a:ext>
              </a:extLst>
            </xdr:cNvPr>
            <xdr:cNvSpPr txBox="1"/>
          </xdr:nvSpPr>
          <xdr:spPr>
            <a:xfrm>
              <a:off x="1318769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CEEEC11C-90CB-4AF9-8498-5F9FD1FD34C3}"/>
                </a:ext>
              </a:extLst>
            </xdr:cNvPr>
            <xdr:cNvSpPr txBox="1"/>
          </xdr:nvSpPr>
          <xdr:spPr>
            <a:xfrm>
              <a:off x="14106323" y="217601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CEEEC11C-90CB-4AF9-8498-5F9FD1FD34C3}"/>
                </a:ext>
              </a:extLst>
            </xdr:cNvPr>
            <xdr:cNvSpPr txBox="1"/>
          </xdr:nvSpPr>
          <xdr:spPr>
            <a:xfrm>
              <a:off x="14106323" y="217601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98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4834255-D913-4470-ACE0-602DB0325810}"/>
                </a:ext>
              </a:extLst>
            </xdr:cNvPr>
            <xdr:cNvSpPr txBox="1"/>
          </xdr:nvSpPr>
          <xdr:spPr>
            <a:xfrm>
              <a:off x="13817602" y="21581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4834255-D913-4470-ACE0-602DB0325810}"/>
                </a:ext>
              </a:extLst>
            </xdr:cNvPr>
            <xdr:cNvSpPr txBox="1"/>
          </xdr:nvSpPr>
          <xdr:spPr>
            <a:xfrm>
              <a:off x="13817602" y="21581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08D7F37B-C25F-4CA1-8F3B-53165522971E}"/>
                </a:ext>
              </a:extLst>
            </xdr:cNvPr>
            <xdr:cNvSpPr txBox="1"/>
          </xdr:nvSpPr>
          <xdr:spPr>
            <a:xfrm>
              <a:off x="1520866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08D7F37B-C25F-4CA1-8F3B-53165522971E}"/>
                </a:ext>
              </a:extLst>
            </xdr:cNvPr>
            <xdr:cNvSpPr txBox="1"/>
          </xdr:nvSpPr>
          <xdr:spPr>
            <a:xfrm>
              <a:off x="1520866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B83EAF4-AEB8-400C-A425-A6E12F36E0E6}"/>
                </a:ext>
              </a:extLst>
            </xdr:cNvPr>
            <xdr:cNvSpPr txBox="1"/>
          </xdr:nvSpPr>
          <xdr:spPr>
            <a:xfrm>
              <a:off x="3108968" y="229946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3B83EAF4-AEB8-400C-A425-A6E12F36E0E6}"/>
                </a:ext>
              </a:extLst>
            </xdr:cNvPr>
            <xdr:cNvSpPr txBox="1"/>
          </xdr:nvSpPr>
          <xdr:spPr>
            <a:xfrm>
              <a:off x="3108968" y="2299462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DB4BB250-4257-46E5-B423-551302BA4118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DB4BB250-4257-46E5-B423-551302BA4118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A00B6D5-FE19-4DA3-85E9-CE4C8510BDFE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A00B6D5-FE19-4DA3-85E9-CE4C8510BDFE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16966CF9-A20B-4DE3-849D-9BD0C4BF7096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16966CF9-A20B-4DE3-849D-9BD0C4BF7096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833087A-F618-44B0-80BA-7BAEF06CBDE3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833087A-F618-44B0-80BA-7BAEF06CBDE3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34A192C7-5D27-475A-939C-C6EF748B82A8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34A192C7-5D27-475A-939C-C6EF748B82A8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772812B5-286C-4650-B136-0E969470C08C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772812B5-286C-4650-B136-0E969470C08C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020C90F2-FA38-416C-B4EA-45A87D692967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020C90F2-FA38-416C-B4EA-45A87D692967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910456CB-BD10-4FB9-B0AE-AEAA233305CB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910456CB-BD10-4FB9-B0AE-AEAA233305CB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7121585-5419-4E69-9576-05105035C8E0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57121585-5419-4E69-9576-05105035C8E0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BE44A526-8F10-4162-B02B-86DC9EF7418D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BE44A526-8F10-4162-B02B-86DC9EF7418D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C65886E-9ECD-431E-91A9-B2275BF24978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AC65886E-9ECD-431E-91A9-B2275BF24978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C2D3FD3-14A4-4E03-AACB-4C1CAC435DF0}"/>
                </a:ext>
              </a:extLst>
            </xdr:cNvPr>
            <xdr:cNvSpPr txBox="1"/>
          </xdr:nvSpPr>
          <xdr:spPr>
            <a:xfrm>
              <a:off x="829988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3C2D3FD3-14A4-4E03-AACB-4C1CAC435DF0}"/>
                </a:ext>
              </a:extLst>
            </xdr:cNvPr>
            <xdr:cNvSpPr txBox="1"/>
          </xdr:nvSpPr>
          <xdr:spPr>
            <a:xfrm>
              <a:off x="829988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9ACB529-228E-4433-9B55-8C1866B1F2A0}"/>
                </a:ext>
              </a:extLst>
            </xdr:cNvPr>
            <xdr:cNvSpPr txBox="1"/>
          </xdr:nvSpPr>
          <xdr:spPr>
            <a:xfrm>
              <a:off x="940139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9ACB529-228E-4433-9B55-8C1866B1F2A0}"/>
                </a:ext>
              </a:extLst>
            </xdr:cNvPr>
            <xdr:cNvSpPr txBox="1"/>
          </xdr:nvSpPr>
          <xdr:spPr>
            <a:xfrm>
              <a:off x="940139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E01AA5-97FC-449C-B3ED-51DF3F9AE012}"/>
                </a:ext>
              </a:extLst>
            </xdr:cNvPr>
            <xdr:cNvSpPr txBox="1"/>
          </xdr:nvSpPr>
          <xdr:spPr>
            <a:xfrm>
              <a:off x="1012529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7E01AA5-97FC-449C-B3ED-51DF3F9AE012}"/>
                </a:ext>
              </a:extLst>
            </xdr:cNvPr>
            <xdr:cNvSpPr txBox="1"/>
          </xdr:nvSpPr>
          <xdr:spPr>
            <a:xfrm>
              <a:off x="1012529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9142E5C-AE30-4DA0-AB6C-E922C667A5AF}"/>
                </a:ext>
              </a:extLst>
            </xdr:cNvPr>
            <xdr:cNvSpPr txBox="1"/>
          </xdr:nvSpPr>
          <xdr:spPr>
            <a:xfrm>
              <a:off x="1107017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99142E5C-AE30-4DA0-AB6C-E922C667A5AF}"/>
                </a:ext>
              </a:extLst>
            </xdr:cNvPr>
            <xdr:cNvSpPr txBox="1"/>
          </xdr:nvSpPr>
          <xdr:spPr>
            <a:xfrm>
              <a:off x="1107017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EC19EBE8-0BCD-4CFF-8ADC-C941FF094BC9}"/>
                </a:ext>
              </a:extLst>
            </xdr:cNvPr>
            <xdr:cNvSpPr txBox="1"/>
          </xdr:nvSpPr>
          <xdr:spPr>
            <a:xfrm>
              <a:off x="1233679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EC19EBE8-0BCD-4CFF-8ADC-C941FF094BC9}"/>
                </a:ext>
              </a:extLst>
            </xdr:cNvPr>
            <xdr:cNvSpPr txBox="1"/>
          </xdr:nvSpPr>
          <xdr:spPr>
            <a:xfrm>
              <a:off x="1233679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40C284C7-8601-4978-A4C4-5A8BD7BBF8DC}"/>
                </a:ext>
              </a:extLst>
            </xdr:cNvPr>
            <xdr:cNvSpPr txBox="1"/>
          </xdr:nvSpPr>
          <xdr:spPr>
            <a:xfrm>
              <a:off x="1318769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40C284C7-8601-4978-A4C4-5A8BD7BBF8DC}"/>
                </a:ext>
              </a:extLst>
            </xdr:cNvPr>
            <xdr:cNvSpPr txBox="1"/>
          </xdr:nvSpPr>
          <xdr:spPr>
            <a:xfrm>
              <a:off x="1318769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1C6DB8B0-F3E9-423E-BEA1-7491189AFF1F}"/>
                </a:ext>
              </a:extLst>
            </xdr:cNvPr>
            <xdr:cNvSpPr txBox="1"/>
          </xdr:nvSpPr>
          <xdr:spPr>
            <a:xfrm>
              <a:off x="14106323" y="250520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1C6DB8B0-F3E9-423E-BEA1-7491189AFF1F}"/>
                </a:ext>
              </a:extLst>
            </xdr:cNvPr>
            <xdr:cNvSpPr txBox="1"/>
          </xdr:nvSpPr>
          <xdr:spPr>
            <a:xfrm>
              <a:off x="14106323" y="2505202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50802</xdr:colOff>
      <xdr:row>113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0FA52687-E374-4D4B-9881-39A551B30EF3}"/>
                </a:ext>
              </a:extLst>
            </xdr:cNvPr>
            <xdr:cNvSpPr txBox="1"/>
          </xdr:nvSpPr>
          <xdr:spPr>
            <a:xfrm>
              <a:off x="13817602" y="2488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0FA52687-E374-4D4B-9881-39A551B30EF3}"/>
                </a:ext>
              </a:extLst>
            </xdr:cNvPr>
            <xdr:cNvSpPr txBox="1"/>
          </xdr:nvSpPr>
          <xdr:spPr>
            <a:xfrm>
              <a:off x="13817602" y="24883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1C00BF9-B44D-4767-A858-59023E901DD5}"/>
                </a:ext>
              </a:extLst>
            </xdr:cNvPr>
            <xdr:cNvSpPr txBox="1"/>
          </xdr:nvSpPr>
          <xdr:spPr>
            <a:xfrm>
              <a:off x="1520866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1C00BF9-B44D-4767-A858-59023E901DD5}"/>
                </a:ext>
              </a:extLst>
            </xdr:cNvPr>
            <xdr:cNvSpPr txBox="1"/>
          </xdr:nvSpPr>
          <xdr:spPr>
            <a:xfrm>
              <a:off x="1520866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120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C4F0AC10-B327-4F2D-8F06-573D557EEEA5}"/>
                </a:ext>
              </a:extLst>
            </xdr:cNvPr>
            <xdr:cNvSpPr txBox="1"/>
          </xdr:nvSpPr>
          <xdr:spPr>
            <a:xfrm>
              <a:off x="3108968" y="262864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C4F0AC10-B327-4F2D-8F06-573D557EEEA5}"/>
                </a:ext>
              </a:extLst>
            </xdr:cNvPr>
            <xdr:cNvSpPr txBox="1"/>
          </xdr:nvSpPr>
          <xdr:spPr>
            <a:xfrm>
              <a:off x="3108968" y="262864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A298876-5B97-4500-970C-AA009B746119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9A298876-5B97-4500-970C-AA009B746119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B4A4D0C-DAF6-451B-A0F1-90441422A3F8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0B4A4D0C-DAF6-451B-A0F1-90441422A3F8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B8C396-B149-48A4-B861-96511932772E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24B8C396-B149-48A4-B861-96511932772E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A94A804-5CEA-4EA8-A29C-B7D8681C4682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A94A804-5CEA-4EA8-A29C-B7D8681C4682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AFD2F16B-4060-4A77-A178-6E7A1AA45BC5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AFD2F16B-4060-4A77-A178-6E7A1AA45BC5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FDEB073D-7C64-4216-AED7-456467B47E31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FDEB073D-7C64-4216-AED7-456467B47E31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A047BCB-0232-43C8-AEDF-031BB558E4C8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1A047BCB-0232-43C8-AEDF-031BB558E4C8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D693318-5573-44DB-9ED6-91AC0C960DCE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D693318-5573-44DB-9ED6-91AC0C960DCE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279396B7-8A67-4FF3-8B6D-C1508E7D4E12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279396B7-8A67-4FF3-8B6D-C1508E7D4E12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A3C49F80-263A-481B-93FE-2446D2482EB1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A3C49F80-263A-481B-93FE-2446D2482EB1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2B67B94-9E63-4F0A-A424-2CD699FEB146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92B67B94-9E63-4F0A-A424-2CD699FEB146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E5BC7776-496F-41D4-A0AE-8023325891DE}"/>
                </a:ext>
              </a:extLst>
            </xdr:cNvPr>
            <xdr:cNvSpPr txBox="1"/>
          </xdr:nvSpPr>
          <xdr:spPr>
            <a:xfrm>
              <a:off x="829988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E5BC7776-496F-41D4-A0AE-8023325891DE}"/>
                </a:ext>
              </a:extLst>
            </xdr:cNvPr>
            <xdr:cNvSpPr txBox="1"/>
          </xdr:nvSpPr>
          <xdr:spPr>
            <a:xfrm>
              <a:off x="829988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BB43D6-5C43-4773-8168-073DD4CB4480}"/>
                </a:ext>
              </a:extLst>
            </xdr:cNvPr>
            <xdr:cNvSpPr txBox="1"/>
          </xdr:nvSpPr>
          <xdr:spPr>
            <a:xfrm>
              <a:off x="940139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9BBB43D6-5C43-4773-8168-073DD4CB4480}"/>
                </a:ext>
              </a:extLst>
            </xdr:cNvPr>
            <xdr:cNvSpPr txBox="1"/>
          </xdr:nvSpPr>
          <xdr:spPr>
            <a:xfrm>
              <a:off x="940139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CCBAB81-1B43-466B-9737-B5815A2186D7}"/>
                </a:ext>
              </a:extLst>
            </xdr:cNvPr>
            <xdr:cNvSpPr txBox="1"/>
          </xdr:nvSpPr>
          <xdr:spPr>
            <a:xfrm>
              <a:off x="1012529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DCCBAB81-1B43-466B-9737-B5815A2186D7}"/>
                </a:ext>
              </a:extLst>
            </xdr:cNvPr>
            <xdr:cNvSpPr txBox="1"/>
          </xdr:nvSpPr>
          <xdr:spPr>
            <a:xfrm>
              <a:off x="1012529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6BBDD527-10B0-4235-9488-056B271885F2}"/>
                </a:ext>
              </a:extLst>
            </xdr:cNvPr>
            <xdr:cNvSpPr txBox="1"/>
          </xdr:nvSpPr>
          <xdr:spPr>
            <a:xfrm>
              <a:off x="1107017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6BBDD527-10B0-4235-9488-056B271885F2}"/>
                </a:ext>
              </a:extLst>
            </xdr:cNvPr>
            <xdr:cNvSpPr txBox="1"/>
          </xdr:nvSpPr>
          <xdr:spPr>
            <a:xfrm>
              <a:off x="1107017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88036939-4F50-447B-9675-F13D181CF3B1}"/>
                </a:ext>
              </a:extLst>
            </xdr:cNvPr>
            <xdr:cNvSpPr txBox="1"/>
          </xdr:nvSpPr>
          <xdr:spPr>
            <a:xfrm>
              <a:off x="1233679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88036939-4F50-447B-9675-F13D181CF3B1}"/>
                </a:ext>
              </a:extLst>
            </xdr:cNvPr>
            <xdr:cNvSpPr txBox="1"/>
          </xdr:nvSpPr>
          <xdr:spPr>
            <a:xfrm>
              <a:off x="1233679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F5916F8-750D-4F62-BB27-7BE8E0E1A1AE}"/>
                </a:ext>
              </a:extLst>
            </xdr:cNvPr>
            <xdr:cNvSpPr txBox="1"/>
          </xdr:nvSpPr>
          <xdr:spPr>
            <a:xfrm>
              <a:off x="1318769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F5916F8-750D-4F62-BB27-7BE8E0E1A1AE}"/>
                </a:ext>
              </a:extLst>
            </xdr:cNvPr>
            <xdr:cNvSpPr txBox="1"/>
          </xdr:nvSpPr>
          <xdr:spPr>
            <a:xfrm>
              <a:off x="1318769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6C4CDE3C-EA75-4AB4-BBE0-6A47463F1575}"/>
                </a:ext>
              </a:extLst>
            </xdr:cNvPr>
            <xdr:cNvSpPr txBox="1"/>
          </xdr:nvSpPr>
          <xdr:spPr>
            <a:xfrm>
              <a:off x="14106323" y="283438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6C4CDE3C-EA75-4AB4-BBE0-6A47463F1575}"/>
                </a:ext>
              </a:extLst>
            </xdr:cNvPr>
            <xdr:cNvSpPr txBox="1"/>
          </xdr:nvSpPr>
          <xdr:spPr>
            <a:xfrm>
              <a:off x="14106323" y="2834386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59269</xdr:colOff>
      <xdr:row>128</xdr:row>
      <xdr:rowOff>8467</xdr:rowOff>
    </xdr:from>
    <xdr:ext cx="1312795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339AEBD7-7C82-49E3-AC05-3FF94CA3C5E3}"/>
                </a:ext>
              </a:extLst>
            </xdr:cNvPr>
            <xdr:cNvSpPr txBox="1"/>
          </xdr:nvSpPr>
          <xdr:spPr>
            <a:xfrm>
              <a:off x="13826069" y="2818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339AEBD7-7C82-49E3-AC05-3FF94CA3C5E3}"/>
                </a:ext>
              </a:extLst>
            </xdr:cNvPr>
            <xdr:cNvSpPr txBox="1"/>
          </xdr:nvSpPr>
          <xdr:spPr>
            <a:xfrm>
              <a:off x="13826069" y="28185534"/>
              <a:ext cx="1312795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A01F365-2A57-4D12-AA69-E200CF9C27A7}"/>
                </a:ext>
              </a:extLst>
            </xdr:cNvPr>
            <xdr:cNvSpPr txBox="1"/>
          </xdr:nvSpPr>
          <xdr:spPr>
            <a:xfrm>
              <a:off x="1520866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8A01F365-2A57-4D12-AA69-E200CF9C27A7}"/>
                </a:ext>
              </a:extLst>
            </xdr:cNvPr>
            <xdr:cNvSpPr txBox="1"/>
          </xdr:nvSpPr>
          <xdr:spPr>
            <a:xfrm>
              <a:off x="1520866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0946A3-802B-4BA8-873E-3F3366CB6D95}"/>
                </a:ext>
              </a:extLst>
            </xdr:cNvPr>
            <xdr:cNvSpPr txBox="1"/>
          </xdr:nvSpPr>
          <xdr:spPr>
            <a:xfrm>
              <a:off x="3024301" y="2957830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CF0946A3-802B-4BA8-873E-3F3366CB6D95}"/>
                </a:ext>
              </a:extLst>
            </xdr:cNvPr>
            <xdr:cNvSpPr txBox="1"/>
          </xdr:nvSpPr>
          <xdr:spPr>
            <a:xfrm>
              <a:off x="3024301" y="2957830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9ABCB1D-EF4C-4BE2-B42F-56F37A84A274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E9ABCB1D-EF4C-4BE2-B42F-56F37A84A274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6B4049A7-CBF8-4F37-B770-45F4323C84DA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6B4049A7-CBF8-4F37-B770-45F4323C84DA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C9AADFD0-7C40-4658-B517-E51F156E208E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C9AADFD0-7C40-4658-B517-E51F156E208E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41245F28-923E-48F0-9BAA-5B852700BD2D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41245F28-923E-48F0-9BAA-5B852700BD2D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E1B8949B-A16D-4E4F-A89D-B1EEC136F5D9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E1B8949B-A16D-4E4F-A89D-B1EEC136F5D9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8921F416-6501-42B5-AA9F-0BA026B711BF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8921F416-6501-42B5-AA9F-0BA026B711BF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05B3B45D-C00A-412E-9E18-0968F038ECBE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05B3B45D-C00A-412E-9E18-0968F038ECBE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A0FF66C1-8B0C-4CDC-AA53-595E3D5CAD63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A0FF66C1-8B0C-4CDC-AA53-595E3D5CAD63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2F9E9C81-3F02-4E54-AC29-F9ADC0E07790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2F9E9C81-3F02-4E54-AC29-F9ADC0E07790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EEF38CE3-AB23-4D45-9BE0-1EFEB33398F7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EEF38CE3-AB23-4D45-9BE0-1EFEB33398F7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B12C431D-1F8B-436D-AB8B-4E7E9C57011C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B12C431D-1F8B-436D-AB8B-4E7E9C57011C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9526EF7-3F75-48A9-9609-552B955E0BA9}"/>
                </a:ext>
              </a:extLst>
            </xdr:cNvPr>
            <xdr:cNvSpPr txBox="1"/>
          </xdr:nvSpPr>
          <xdr:spPr>
            <a:xfrm>
              <a:off x="829988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F9526EF7-3F75-48A9-9609-552B955E0BA9}"/>
                </a:ext>
              </a:extLst>
            </xdr:cNvPr>
            <xdr:cNvSpPr txBox="1"/>
          </xdr:nvSpPr>
          <xdr:spPr>
            <a:xfrm>
              <a:off x="829988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F6C4FF3-C020-4F5D-BA6D-75251E8507B7}"/>
                </a:ext>
              </a:extLst>
            </xdr:cNvPr>
            <xdr:cNvSpPr txBox="1"/>
          </xdr:nvSpPr>
          <xdr:spPr>
            <a:xfrm>
              <a:off x="940139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F6C4FF3-C020-4F5D-BA6D-75251E8507B7}"/>
                </a:ext>
              </a:extLst>
            </xdr:cNvPr>
            <xdr:cNvSpPr txBox="1"/>
          </xdr:nvSpPr>
          <xdr:spPr>
            <a:xfrm>
              <a:off x="940139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CFB29A8D-B006-41E9-85DA-7DA3D5BA0ACA}"/>
                </a:ext>
              </a:extLst>
            </xdr:cNvPr>
            <xdr:cNvSpPr txBox="1"/>
          </xdr:nvSpPr>
          <xdr:spPr>
            <a:xfrm>
              <a:off x="1012529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CFB29A8D-B006-41E9-85DA-7DA3D5BA0ACA}"/>
                </a:ext>
              </a:extLst>
            </xdr:cNvPr>
            <xdr:cNvSpPr txBox="1"/>
          </xdr:nvSpPr>
          <xdr:spPr>
            <a:xfrm>
              <a:off x="1012529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B4597F3-9A54-4F84-89F7-735182CB0D4E}"/>
                </a:ext>
              </a:extLst>
            </xdr:cNvPr>
            <xdr:cNvSpPr txBox="1"/>
          </xdr:nvSpPr>
          <xdr:spPr>
            <a:xfrm>
              <a:off x="1107017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4B4597F3-9A54-4F84-89F7-735182CB0D4E}"/>
                </a:ext>
              </a:extLst>
            </xdr:cNvPr>
            <xdr:cNvSpPr txBox="1"/>
          </xdr:nvSpPr>
          <xdr:spPr>
            <a:xfrm>
              <a:off x="1107017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AD1BEF76-2E5C-4298-9C90-22DA1A12CF28}"/>
                </a:ext>
              </a:extLst>
            </xdr:cNvPr>
            <xdr:cNvSpPr txBox="1"/>
          </xdr:nvSpPr>
          <xdr:spPr>
            <a:xfrm>
              <a:off x="1233679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AD1BEF76-2E5C-4298-9C90-22DA1A12CF28}"/>
                </a:ext>
              </a:extLst>
            </xdr:cNvPr>
            <xdr:cNvSpPr txBox="1"/>
          </xdr:nvSpPr>
          <xdr:spPr>
            <a:xfrm>
              <a:off x="1233679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5F46782E-C235-462C-9591-9F04A307D007}"/>
                </a:ext>
              </a:extLst>
            </xdr:cNvPr>
            <xdr:cNvSpPr txBox="1"/>
          </xdr:nvSpPr>
          <xdr:spPr>
            <a:xfrm>
              <a:off x="1318769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5F46782E-C235-462C-9591-9F04A307D007}"/>
                </a:ext>
              </a:extLst>
            </xdr:cNvPr>
            <xdr:cNvSpPr txBox="1"/>
          </xdr:nvSpPr>
          <xdr:spPr>
            <a:xfrm>
              <a:off x="1318769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7B92D382-78EA-4457-B673-5C96D8136A7F}"/>
                </a:ext>
              </a:extLst>
            </xdr:cNvPr>
            <xdr:cNvSpPr txBox="1"/>
          </xdr:nvSpPr>
          <xdr:spPr>
            <a:xfrm>
              <a:off x="14106323" y="316357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7B92D382-78EA-4457-B673-5C96D8136A7F}"/>
                </a:ext>
              </a:extLst>
            </xdr:cNvPr>
            <xdr:cNvSpPr txBox="1"/>
          </xdr:nvSpPr>
          <xdr:spPr>
            <a:xfrm>
              <a:off x="14106323" y="3163570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269B892-12DA-4890-A83D-A8E1F8360317}"/>
                </a:ext>
              </a:extLst>
            </xdr:cNvPr>
            <xdr:cNvSpPr txBox="1"/>
          </xdr:nvSpPr>
          <xdr:spPr>
            <a:xfrm>
              <a:off x="13775267" y="31487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A269B892-12DA-4890-A83D-A8E1F8360317}"/>
                </a:ext>
              </a:extLst>
            </xdr:cNvPr>
            <xdr:cNvSpPr txBox="1"/>
          </xdr:nvSpPr>
          <xdr:spPr>
            <a:xfrm>
              <a:off x="13775267" y="31487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78726475-14B2-40B1-AFB8-F9848E16FD6C}"/>
                </a:ext>
              </a:extLst>
            </xdr:cNvPr>
            <xdr:cNvSpPr txBox="1"/>
          </xdr:nvSpPr>
          <xdr:spPr>
            <a:xfrm>
              <a:off x="1520866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78726475-14B2-40B1-AFB8-F9848E16FD6C}"/>
                </a:ext>
              </a:extLst>
            </xdr:cNvPr>
            <xdr:cNvSpPr txBox="1"/>
          </xdr:nvSpPr>
          <xdr:spPr>
            <a:xfrm>
              <a:off x="1520866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1D4604C-D195-4082-98B7-2B85E48E419F}"/>
                </a:ext>
              </a:extLst>
            </xdr:cNvPr>
            <xdr:cNvSpPr txBox="1"/>
          </xdr:nvSpPr>
          <xdr:spPr>
            <a:xfrm>
              <a:off x="3024301" y="3287014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21D4604C-D195-4082-98B7-2B85E48E419F}"/>
                </a:ext>
              </a:extLst>
            </xdr:cNvPr>
            <xdr:cNvSpPr txBox="1"/>
          </xdr:nvSpPr>
          <xdr:spPr>
            <a:xfrm>
              <a:off x="3024301" y="3287014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8AA2188-A27E-4B5F-B973-D4FDC1A8C124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08AA2188-A27E-4B5F-B973-D4FDC1A8C124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E407AEA6-3298-4C8F-A9D1-9A16AAA09BB5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E407AEA6-3298-4C8F-A9D1-9A16AAA09BB5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2D6F79B4-5C07-4282-B8D5-A48417C45725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2D6F79B4-5C07-4282-B8D5-A48417C45725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4CA04A54-1A53-4028-A198-7E3884295C6F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4CA04A54-1A53-4028-A198-7E3884295C6F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C5BF56D-65C3-4220-A2F4-08A4240BBF10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9C5BF56D-65C3-4220-A2F4-08A4240BBF10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B4B44115-B902-4D1D-B81B-9E5B106CB52F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B4B44115-B902-4D1D-B81B-9E5B106CB52F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FFC75A21-5E26-4C5A-852D-763382F1021E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FFC75A21-5E26-4C5A-852D-763382F1021E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20C3C685-78BE-4EC0-BA1B-DF6C600A94F0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20C3C685-78BE-4EC0-BA1B-DF6C600A94F0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0B544CEB-9728-4A03-B945-306AC03AE2A9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0B544CEB-9728-4A03-B945-306AC03AE2A9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7725AAD1-130C-4BDA-BDF1-8632029A2C30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7725AAD1-130C-4BDA-BDF1-8632029A2C30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5E2E4D38-316E-4F30-8BA9-B099AB5F628A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5E2E4D38-316E-4F30-8BA9-B099AB5F628A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DBAD8DCF-B4A7-4E05-BA1A-8E19118D3289}"/>
                </a:ext>
              </a:extLst>
            </xdr:cNvPr>
            <xdr:cNvSpPr txBox="1"/>
          </xdr:nvSpPr>
          <xdr:spPr>
            <a:xfrm>
              <a:off x="829988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DBAD8DCF-B4A7-4E05-BA1A-8E19118D3289}"/>
                </a:ext>
              </a:extLst>
            </xdr:cNvPr>
            <xdr:cNvSpPr txBox="1"/>
          </xdr:nvSpPr>
          <xdr:spPr>
            <a:xfrm>
              <a:off x="829988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D1AC4666-067D-401B-991A-B47DFE48CE5D}"/>
                </a:ext>
              </a:extLst>
            </xdr:cNvPr>
            <xdr:cNvSpPr txBox="1"/>
          </xdr:nvSpPr>
          <xdr:spPr>
            <a:xfrm>
              <a:off x="940139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D1AC4666-067D-401B-991A-B47DFE48CE5D}"/>
                </a:ext>
              </a:extLst>
            </xdr:cNvPr>
            <xdr:cNvSpPr txBox="1"/>
          </xdr:nvSpPr>
          <xdr:spPr>
            <a:xfrm>
              <a:off x="940139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7F7178B-3080-420A-B459-4727559D3C2A}"/>
                </a:ext>
              </a:extLst>
            </xdr:cNvPr>
            <xdr:cNvSpPr txBox="1"/>
          </xdr:nvSpPr>
          <xdr:spPr>
            <a:xfrm>
              <a:off x="1012529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47F7178B-3080-420A-B459-4727559D3C2A}"/>
                </a:ext>
              </a:extLst>
            </xdr:cNvPr>
            <xdr:cNvSpPr txBox="1"/>
          </xdr:nvSpPr>
          <xdr:spPr>
            <a:xfrm>
              <a:off x="1012529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DDEF788C-7DE5-4323-BD0A-246D08E6A752}"/>
                </a:ext>
              </a:extLst>
            </xdr:cNvPr>
            <xdr:cNvSpPr txBox="1"/>
          </xdr:nvSpPr>
          <xdr:spPr>
            <a:xfrm>
              <a:off x="1107017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DDEF788C-7DE5-4323-BD0A-246D08E6A752}"/>
                </a:ext>
              </a:extLst>
            </xdr:cNvPr>
            <xdr:cNvSpPr txBox="1"/>
          </xdr:nvSpPr>
          <xdr:spPr>
            <a:xfrm>
              <a:off x="1107017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7129141C-13CB-4663-BEFA-DF98B724C1F0}"/>
                </a:ext>
              </a:extLst>
            </xdr:cNvPr>
            <xdr:cNvSpPr txBox="1"/>
          </xdr:nvSpPr>
          <xdr:spPr>
            <a:xfrm>
              <a:off x="1233679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7129141C-13CB-4663-BEFA-DF98B724C1F0}"/>
                </a:ext>
              </a:extLst>
            </xdr:cNvPr>
            <xdr:cNvSpPr txBox="1"/>
          </xdr:nvSpPr>
          <xdr:spPr>
            <a:xfrm>
              <a:off x="1233679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495E8D28-8E9D-4677-B814-7105298C79D5}"/>
                </a:ext>
              </a:extLst>
            </xdr:cNvPr>
            <xdr:cNvSpPr txBox="1"/>
          </xdr:nvSpPr>
          <xdr:spPr>
            <a:xfrm>
              <a:off x="1318769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495E8D28-8E9D-4677-B814-7105298C79D5}"/>
                </a:ext>
              </a:extLst>
            </xdr:cNvPr>
            <xdr:cNvSpPr txBox="1"/>
          </xdr:nvSpPr>
          <xdr:spPr>
            <a:xfrm>
              <a:off x="1318769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33831D8A-EA8D-4B93-A792-A6B3DAADEEED}"/>
                </a:ext>
              </a:extLst>
            </xdr:cNvPr>
            <xdr:cNvSpPr txBox="1"/>
          </xdr:nvSpPr>
          <xdr:spPr>
            <a:xfrm>
              <a:off x="14106323" y="349275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33831D8A-EA8D-4B93-A792-A6B3DAADEEED}"/>
                </a:ext>
              </a:extLst>
            </xdr:cNvPr>
            <xdr:cNvSpPr txBox="1"/>
          </xdr:nvSpPr>
          <xdr:spPr>
            <a:xfrm>
              <a:off x="14106323" y="3492754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3CB4421-EEA9-4B7A-9809-FDEE7FB68DE0}"/>
                </a:ext>
              </a:extLst>
            </xdr:cNvPr>
            <xdr:cNvSpPr txBox="1"/>
          </xdr:nvSpPr>
          <xdr:spPr>
            <a:xfrm>
              <a:off x="13775267" y="34789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43CB4421-EEA9-4B7A-9809-FDEE7FB68DE0}"/>
                </a:ext>
              </a:extLst>
            </xdr:cNvPr>
            <xdr:cNvSpPr txBox="1"/>
          </xdr:nvSpPr>
          <xdr:spPr>
            <a:xfrm>
              <a:off x="13775267" y="34789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C5915A22-96F6-49B4-8246-226F8BBC85CE}"/>
                </a:ext>
              </a:extLst>
            </xdr:cNvPr>
            <xdr:cNvSpPr txBox="1"/>
          </xdr:nvSpPr>
          <xdr:spPr>
            <a:xfrm>
              <a:off x="1520866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C5915A22-96F6-49B4-8246-226F8BBC85CE}"/>
                </a:ext>
              </a:extLst>
            </xdr:cNvPr>
            <xdr:cNvSpPr txBox="1"/>
          </xdr:nvSpPr>
          <xdr:spPr>
            <a:xfrm>
              <a:off x="1520866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165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678EC65-BF3F-45CF-8247-D97D243C7F81}"/>
                </a:ext>
              </a:extLst>
            </xdr:cNvPr>
            <xdr:cNvSpPr txBox="1"/>
          </xdr:nvSpPr>
          <xdr:spPr>
            <a:xfrm>
              <a:off x="3024301" y="3616198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678EC65-BF3F-45CF-8247-D97D243C7F81}"/>
                </a:ext>
              </a:extLst>
            </xdr:cNvPr>
            <xdr:cNvSpPr txBox="1"/>
          </xdr:nvSpPr>
          <xdr:spPr>
            <a:xfrm>
              <a:off x="3024301" y="36161983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165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599BEC55-2C07-4ED0-90EF-C25FDDBE8E17}"/>
                </a:ext>
              </a:extLst>
            </xdr:cNvPr>
            <xdr:cNvSpPr txBox="1"/>
          </xdr:nvSpPr>
          <xdr:spPr>
            <a:xfrm>
              <a:off x="5415282" y="361704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599BEC55-2C07-4ED0-90EF-C25FDDBE8E17}"/>
                </a:ext>
              </a:extLst>
            </xdr:cNvPr>
            <xdr:cNvSpPr txBox="1"/>
          </xdr:nvSpPr>
          <xdr:spPr>
            <a:xfrm>
              <a:off x="5415282" y="361704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166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40818F7-6813-4CC8-8F62-0809FED77BEC}"/>
                </a:ext>
              </a:extLst>
            </xdr:cNvPr>
            <xdr:cNvSpPr txBox="1"/>
          </xdr:nvSpPr>
          <xdr:spPr>
            <a:xfrm>
              <a:off x="242993" y="36394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440818F7-6813-4CC8-8F62-0809FED77BEC}"/>
                </a:ext>
              </a:extLst>
            </xdr:cNvPr>
            <xdr:cNvSpPr txBox="1"/>
          </xdr:nvSpPr>
          <xdr:spPr>
            <a:xfrm>
              <a:off x="242993" y="36394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D59F0EE1-DE56-476F-9BFE-50B1F18F3535}"/>
                </a:ext>
              </a:extLst>
            </xdr:cNvPr>
            <xdr:cNvSpPr txBox="1"/>
          </xdr:nvSpPr>
          <xdr:spPr>
            <a:xfrm>
              <a:off x="243840" y="366251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D59F0EE1-DE56-476F-9BFE-50B1F18F3535}"/>
                </a:ext>
              </a:extLst>
            </xdr:cNvPr>
            <xdr:cNvSpPr txBox="1"/>
          </xdr:nvSpPr>
          <xdr:spPr>
            <a:xfrm>
              <a:off x="243840" y="366251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629AE0D2-D742-4DB9-8054-72EB4ADFF683}"/>
                </a:ext>
              </a:extLst>
            </xdr:cNvPr>
            <xdr:cNvSpPr txBox="1"/>
          </xdr:nvSpPr>
          <xdr:spPr>
            <a:xfrm>
              <a:off x="243840" y="368528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629AE0D2-D742-4DB9-8054-72EB4ADFF683}"/>
                </a:ext>
              </a:extLst>
            </xdr:cNvPr>
            <xdr:cNvSpPr txBox="1"/>
          </xdr:nvSpPr>
          <xdr:spPr>
            <a:xfrm>
              <a:off x="243840" y="368528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169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8BA883DA-633E-41EA-9C17-6C78E36B4B80}"/>
                </a:ext>
              </a:extLst>
            </xdr:cNvPr>
            <xdr:cNvSpPr txBox="1"/>
          </xdr:nvSpPr>
          <xdr:spPr>
            <a:xfrm>
              <a:off x="243840" y="37079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8BA883DA-633E-41EA-9C17-6C78E36B4B80}"/>
                </a:ext>
              </a:extLst>
            </xdr:cNvPr>
            <xdr:cNvSpPr txBox="1"/>
          </xdr:nvSpPr>
          <xdr:spPr>
            <a:xfrm>
              <a:off x="243840" y="37079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B5143BA4-497F-4393-91C3-4863A2099B26}"/>
                </a:ext>
              </a:extLst>
            </xdr:cNvPr>
            <xdr:cNvSpPr txBox="1"/>
          </xdr:nvSpPr>
          <xdr:spPr>
            <a:xfrm>
              <a:off x="243840" y="37308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B5143BA4-497F-4393-91C3-4863A2099B26}"/>
                </a:ext>
              </a:extLst>
            </xdr:cNvPr>
            <xdr:cNvSpPr txBox="1"/>
          </xdr:nvSpPr>
          <xdr:spPr>
            <a:xfrm>
              <a:off x="243840" y="37308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172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AF80E31-97C3-4D5F-8397-0C11658751A8}"/>
                </a:ext>
              </a:extLst>
            </xdr:cNvPr>
            <xdr:cNvSpPr txBox="1"/>
          </xdr:nvSpPr>
          <xdr:spPr>
            <a:xfrm>
              <a:off x="236220" y="37765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9AF80E31-97C3-4D5F-8397-0C11658751A8}"/>
                </a:ext>
              </a:extLst>
            </xdr:cNvPr>
            <xdr:cNvSpPr txBox="1"/>
          </xdr:nvSpPr>
          <xdr:spPr>
            <a:xfrm>
              <a:off x="236220" y="37765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D7CC2902-C08C-4E5C-83BE-F6BFC828EAED}"/>
                </a:ext>
              </a:extLst>
            </xdr:cNvPr>
            <xdr:cNvSpPr txBox="1"/>
          </xdr:nvSpPr>
          <xdr:spPr>
            <a:xfrm>
              <a:off x="228600" y="37995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D7CC2902-C08C-4E5C-83BE-F6BFC828EAED}"/>
                </a:ext>
              </a:extLst>
            </xdr:cNvPr>
            <xdr:cNvSpPr txBox="1"/>
          </xdr:nvSpPr>
          <xdr:spPr>
            <a:xfrm>
              <a:off x="228600" y="379950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174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4104A531-84A1-460C-8B71-48F737548134}"/>
                </a:ext>
              </a:extLst>
            </xdr:cNvPr>
            <xdr:cNvSpPr txBox="1"/>
          </xdr:nvSpPr>
          <xdr:spPr>
            <a:xfrm>
              <a:off x="228600" y="38223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4104A531-84A1-460C-8B71-48F737548134}"/>
                </a:ext>
              </a:extLst>
            </xdr:cNvPr>
            <xdr:cNvSpPr txBox="1"/>
          </xdr:nvSpPr>
          <xdr:spPr>
            <a:xfrm>
              <a:off x="228600" y="38223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175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D62C51E8-BE66-4C71-851E-B3BA934965FF}"/>
                </a:ext>
              </a:extLst>
            </xdr:cNvPr>
            <xdr:cNvSpPr txBox="1"/>
          </xdr:nvSpPr>
          <xdr:spPr>
            <a:xfrm>
              <a:off x="220980" y="384522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D62C51E8-BE66-4C71-851E-B3BA934965FF}"/>
                </a:ext>
              </a:extLst>
            </xdr:cNvPr>
            <xdr:cNvSpPr txBox="1"/>
          </xdr:nvSpPr>
          <xdr:spPr>
            <a:xfrm>
              <a:off x="220980" y="384522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6DF9F86B-5CAE-486B-8043-1B7C4F226742}"/>
                </a:ext>
              </a:extLst>
            </xdr:cNvPr>
            <xdr:cNvSpPr txBox="1"/>
          </xdr:nvSpPr>
          <xdr:spPr>
            <a:xfrm>
              <a:off x="243840" y="37536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6DF9F86B-5CAE-486B-8043-1B7C4F226742}"/>
                </a:ext>
              </a:extLst>
            </xdr:cNvPr>
            <xdr:cNvSpPr txBox="1"/>
          </xdr:nvSpPr>
          <xdr:spPr>
            <a:xfrm>
              <a:off x="243840" y="375369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A2DBB542-7BC6-4DC8-A9A2-6C4DDFDFB017}"/>
                </a:ext>
              </a:extLst>
            </xdr:cNvPr>
            <xdr:cNvSpPr txBox="1"/>
          </xdr:nvSpPr>
          <xdr:spPr>
            <a:xfrm>
              <a:off x="8299884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A2DBB542-7BC6-4DC8-A9A2-6C4DDFDFB017}"/>
                </a:ext>
              </a:extLst>
            </xdr:cNvPr>
            <xdr:cNvSpPr txBox="1"/>
          </xdr:nvSpPr>
          <xdr:spPr>
            <a:xfrm>
              <a:off x="8299884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165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61F93C6-6F4A-41E1-A8CC-3F8F39EB8953}"/>
                </a:ext>
              </a:extLst>
            </xdr:cNvPr>
            <xdr:cNvSpPr txBox="1"/>
          </xdr:nvSpPr>
          <xdr:spPr>
            <a:xfrm>
              <a:off x="9401391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261F93C6-6F4A-41E1-A8CC-3F8F39EB8953}"/>
                </a:ext>
              </a:extLst>
            </xdr:cNvPr>
            <xdr:cNvSpPr txBox="1"/>
          </xdr:nvSpPr>
          <xdr:spPr>
            <a:xfrm>
              <a:off x="9401391" y="361704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165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3E561217-B3ED-4EBB-AD58-B7BCE9634895}"/>
                </a:ext>
              </a:extLst>
            </xdr:cNvPr>
            <xdr:cNvSpPr txBox="1"/>
          </xdr:nvSpPr>
          <xdr:spPr>
            <a:xfrm>
              <a:off x="10125290" y="361704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3E561217-B3ED-4EBB-AD58-B7BCE9634895}"/>
                </a:ext>
              </a:extLst>
            </xdr:cNvPr>
            <xdr:cNvSpPr txBox="1"/>
          </xdr:nvSpPr>
          <xdr:spPr>
            <a:xfrm>
              <a:off x="10125290" y="361704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165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12B63AB9-EF55-4404-9219-475D343E4C1D}"/>
                </a:ext>
              </a:extLst>
            </xdr:cNvPr>
            <xdr:cNvSpPr txBox="1"/>
          </xdr:nvSpPr>
          <xdr:spPr>
            <a:xfrm>
              <a:off x="11070170" y="361704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12B63AB9-EF55-4404-9219-475D343E4C1D}"/>
                </a:ext>
              </a:extLst>
            </xdr:cNvPr>
            <xdr:cNvSpPr txBox="1"/>
          </xdr:nvSpPr>
          <xdr:spPr>
            <a:xfrm>
              <a:off x="11070170" y="361704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165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9FF08C0A-60A5-4DFF-B266-A9728CC9F4C7}"/>
                </a:ext>
              </a:extLst>
            </xdr:cNvPr>
            <xdr:cNvSpPr txBox="1"/>
          </xdr:nvSpPr>
          <xdr:spPr>
            <a:xfrm>
              <a:off x="12336794" y="361619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9FF08C0A-60A5-4DFF-B266-A9728CC9F4C7}"/>
                </a:ext>
              </a:extLst>
            </xdr:cNvPr>
            <xdr:cNvSpPr txBox="1"/>
          </xdr:nvSpPr>
          <xdr:spPr>
            <a:xfrm>
              <a:off x="12336794" y="361619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165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7C0E0355-A246-4134-B498-14D2C6FC85EE}"/>
                </a:ext>
              </a:extLst>
            </xdr:cNvPr>
            <xdr:cNvSpPr txBox="1"/>
          </xdr:nvSpPr>
          <xdr:spPr>
            <a:xfrm>
              <a:off x="13187693" y="361535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7C0E0355-A246-4134-B498-14D2C6FC85EE}"/>
                </a:ext>
              </a:extLst>
            </xdr:cNvPr>
            <xdr:cNvSpPr txBox="1"/>
          </xdr:nvSpPr>
          <xdr:spPr>
            <a:xfrm>
              <a:off x="13187693" y="361535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397943</xdr:colOff>
      <xdr:row>174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DC585C77-0463-4E45-BAD4-13E5219F309E}"/>
                </a:ext>
              </a:extLst>
            </xdr:cNvPr>
            <xdr:cNvSpPr txBox="1"/>
          </xdr:nvSpPr>
          <xdr:spPr>
            <a:xfrm>
              <a:off x="14106323" y="382193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DC585C77-0463-4E45-BAD4-13E5219F309E}"/>
                </a:ext>
              </a:extLst>
            </xdr:cNvPr>
            <xdr:cNvSpPr txBox="1"/>
          </xdr:nvSpPr>
          <xdr:spPr>
            <a:xfrm>
              <a:off x="14106323" y="38219382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173</xdr:row>
      <xdr:rowOff>8467</xdr:rowOff>
    </xdr:from>
    <xdr:ext cx="1447191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6C1A2D90-EDA8-4B5B-BE4C-550935214537}"/>
                </a:ext>
              </a:extLst>
            </xdr:cNvPr>
            <xdr:cNvSpPr txBox="1"/>
          </xdr:nvSpPr>
          <xdr:spPr>
            <a:xfrm>
              <a:off x="13775267" y="38091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6C1A2D90-EDA8-4B5B-BE4C-550935214537}"/>
                </a:ext>
              </a:extLst>
            </xdr:cNvPr>
            <xdr:cNvSpPr txBox="1"/>
          </xdr:nvSpPr>
          <xdr:spPr>
            <a:xfrm>
              <a:off x="13775267" y="38091534"/>
              <a:ext cx="1447191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166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5C25114-28FE-43AE-8292-0E6D26E5B194}"/>
                </a:ext>
              </a:extLst>
            </xdr:cNvPr>
            <xdr:cNvSpPr txBox="1"/>
          </xdr:nvSpPr>
          <xdr:spPr>
            <a:xfrm>
              <a:off x="15208666" y="365006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C5C25114-28FE-43AE-8292-0E6D26E5B194}"/>
                </a:ext>
              </a:extLst>
            </xdr:cNvPr>
            <xdr:cNvSpPr txBox="1"/>
          </xdr:nvSpPr>
          <xdr:spPr>
            <a:xfrm>
              <a:off x="15208666" y="365006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179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B11A38CB-6386-49E5-A323-D60995D5AE06}"/>
                </a:ext>
              </a:extLst>
            </xdr:cNvPr>
            <xdr:cNvSpPr txBox="1"/>
          </xdr:nvSpPr>
          <xdr:spPr>
            <a:xfrm>
              <a:off x="12440075" y="4253653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B11A38CB-6386-49E5-A323-D60995D5AE06}"/>
                </a:ext>
              </a:extLst>
            </xdr:cNvPr>
            <xdr:cNvSpPr txBox="1"/>
          </xdr:nvSpPr>
          <xdr:spPr>
            <a:xfrm>
              <a:off x="12440075" y="4253653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182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B3209DD5-CA52-4A94-902E-B29D85B9CFD1}"/>
                </a:ext>
              </a:extLst>
            </xdr:cNvPr>
            <xdr:cNvSpPr txBox="1"/>
          </xdr:nvSpPr>
          <xdr:spPr>
            <a:xfrm>
              <a:off x="12168296" y="4321386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B3209DD5-CA52-4A94-902E-B29D85B9CFD1}"/>
                </a:ext>
              </a:extLst>
            </xdr:cNvPr>
            <xdr:cNvSpPr txBox="1"/>
          </xdr:nvSpPr>
          <xdr:spPr>
            <a:xfrm>
              <a:off x="12168296" y="4321386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179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162F57B2-D17F-44AF-992F-97F30808DE8E}"/>
                </a:ext>
              </a:extLst>
            </xdr:cNvPr>
            <xdr:cNvSpPr txBox="1"/>
          </xdr:nvSpPr>
          <xdr:spPr>
            <a:xfrm>
              <a:off x="11239510" y="426440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162F57B2-D17F-44AF-992F-97F30808DE8E}"/>
                </a:ext>
              </a:extLst>
            </xdr:cNvPr>
            <xdr:cNvSpPr txBox="1"/>
          </xdr:nvSpPr>
          <xdr:spPr>
            <a:xfrm>
              <a:off x="11239510" y="4264406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182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00307F1-74A6-4B8B-9858-659017F38834}"/>
                </a:ext>
              </a:extLst>
            </xdr:cNvPr>
            <xdr:cNvSpPr txBox="1"/>
          </xdr:nvSpPr>
          <xdr:spPr>
            <a:xfrm>
              <a:off x="11332647" y="4332986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00307F1-74A6-4B8B-9858-659017F38834}"/>
                </a:ext>
              </a:extLst>
            </xdr:cNvPr>
            <xdr:cNvSpPr txBox="1"/>
          </xdr:nvSpPr>
          <xdr:spPr>
            <a:xfrm>
              <a:off x="11332647" y="4332986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191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C4C57B3-563F-413D-9800-739F67714A9B}"/>
                </a:ext>
              </a:extLst>
            </xdr:cNvPr>
            <xdr:cNvSpPr txBox="1"/>
          </xdr:nvSpPr>
          <xdr:spPr>
            <a:xfrm>
              <a:off x="13035292" y="4508584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C4C57B3-563F-413D-9800-739F67714A9B}"/>
                </a:ext>
              </a:extLst>
            </xdr:cNvPr>
            <xdr:cNvSpPr txBox="1"/>
          </xdr:nvSpPr>
          <xdr:spPr>
            <a:xfrm>
              <a:off x="13035292" y="4508584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196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F17DD3A-F4E5-420E-B169-B7C192E51724}"/>
                </a:ext>
              </a:extLst>
            </xdr:cNvPr>
            <xdr:cNvSpPr txBox="1"/>
          </xdr:nvSpPr>
          <xdr:spPr>
            <a:xfrm>
              <a:off x="13094557" y="4622884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F17DD3A-F4E5-420E-B169-B7C192E51724}"/>
                </a:ext>
              </a:extLst>
            </xdr:cNvPr>
            <xdr:cNvSpPr txBox="1"/>
          </xdr:nvSpPr>
          <xdr:spPr>
            <a:xfrm>
              <a:off x="13094557" y="4622884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694286</xdr:colOff>
      <xdr:row>189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4B99463-0768-4EC9-85BD-D1B37805BD31}"/>
                </a:ext>
              </a:extLst>
            </xdr:cNvPr>
            <xdr:cNvSpPr txBox="1"/>
          </xdr:nvSpPr>
          <xdr:spPr>
            <a:xfrm>
              <a:off x="13580553" y="41668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44B99463-0768-4EC9-85BD-D1B37805BD31}"/>
                </a:ext>
              </a:extLst>
            </xdr:cNvPr>
            <xdr:cNvSpPr txBox="1"/>
          </xdr:nvSpPr>
          <xdr:spPr>
            <a:xfrm>
              <a:off x="13580553" y="41668703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193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74D3134-D598-4D06-B928-172C07AFCD56}"/>
                </a:ext>
              </a:extLst>
            </xdr:cNvPr>
            <xdr:cNvSpPr txBox="1"/>
          </xdr:nvSpPr>
          <xdr:spPr>
            <a:xfrm>
              <a:off x="13052212" y="45547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D74D3134-D598-4D06-B928-172C07AFCD56}"/>
                </a:ext>
              </a:extLst>
            </xdr:cNvPr>
            <xdr:cNvSpPr txBox="1"/>
          </xdr:nvSpPr>
          <xdr:spPr>
            <a:xfrm>
              <a:off x="13052212" y="45547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347139</xdr:colOff>
      <xdr:row>193</xdr:row>
      <xdr:rowOff>25401</xdr:rowOff>
    </xdr:from>
    <xdr:ext cx="7859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7B372001-28A5-46CD-B1A2-D79EA0071B59}"/>
                </a:ext>
              </a:extLst>
            </xdr:cNvPr>
            <xdr:cNvSpPr txBox="1"/>
          </xdr:nvSpPr>
          <xdr:spPr>
            <a:xfrm>
              <a:off x="14113939" y="42384134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7B372001-28A5-46CD-B1A2-D79EA0071B59}"/>
                </a:ext>
              </a:extLst>
            </xdr:cNvPr>
            <xdr:cNvSpPr txBox="1"/>
          </xdr:nvSpPr>
          <xdr:spPr>
            <a:xfrm>
              <a:off x="14113939" y="42384134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192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8307BF35-BB6F-4E3F-BB07-87D3D5AFDE40}"/>
                </a:ext>
              </a:extLst>
            </xdr:cNvPr>
            <xdr:cNvSpPr txBox="1"/>
          </xdr:nvSpPr>
          <xdr:spPr>
            <a:xfrm>
              <a:off x="13060693" y="453144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8307BF35-BB6F-4E3F-BB07-87D3D5AFDE40}"/>
                </a:ext>
              </a:extLst>
            </xdr:cNvPr>
            <xdr:cNvSpPr txBox="1"/>
          </xdr:nvSpPr>
          <xdr:spPr>
            <a:xfrm>
              <a:off x="13060693" y="4531444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195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28F291FB-F819-42EA-9731-D34B79EAAD08}"/>
                </a:ext>
              </a:extLst>
            </xdr:cNvPr>
            <xdr:cNvSpPr txBox="1"/>
          </xdr:nvSpPr>
          <xdr:spPr>
            <a:xfrm>
              <a:off x="13153815" y="460044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28F291FB-F819-42EA-9731-D34B79EAAD08}"/>
                </a:ext>
              </a:extLst>
            </xdr:cNvPr>
            <xdr:cNvSpPr txBox="1"/>
          </xdr:nvSpPr>
          <xdr:spPr>
            <a:xfrm>
              <a:off x="13153815" y="460044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220984</xdr:colOff>
      <xdr:row>195</xdr:row>
      <xdr:rowOff>16934</xdr:rowOff>
    </xdr:from>
    <xdr:ext cx="103496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9F354E16-17B4-4537-9515-81DC798E776C}"/>
                </a:ext>
              </a:extLst>
            </xdr:cNvPr>
            <xdr:cNvSpPr txBox="1"/>
          </xdr:nvSpPr>
          <xdr:spPr>
            <a:xfrm>
              <a:off x="13987784" y="42832867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9F354E16-17B4-4537-9515-81DC798E776C}"/>
                </a:ext>
              </a:extLst>
            </xdr:cNvPr>
            <xdr:cNvSpPr txBox="1"/>
          </xdr:nvSpPr>
          <xdr:spPr>
            <a:xfrm>
              <a:off x="13987784" y="42832867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372541</xdr:colOff>
      <xdr:row>190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19C68D6-853D-40F2-9CFF-01EC16CE0AC2}"/>
                </a:ext>
              </a:extLst>
            </xdr:cNvPr>
            <xdr:cNvSpPr txBox="1"/>
          </xdr:nvSpPr>
          <xdr:spPr>
            <a:xfrm>
              <a:off x="3022608" y="416856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F19C68D6-853D-40F2-9CFF-01EC16CE0AC2}"/>
                </a:ext>
              </a:extLst>
            </xdr:cNvPr>
            <xdr:cNvSpPr txBox="1"/>
          </xdr:nvSpPr>
          <xdr:spPr>
            <a:xfrm>
              <a:off x="3022608" y="4168563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𝜼_𝟒 "(" 𝒂_𝒕𝟒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0F0F74F9-B53B-4A79-BAD6-E1B6BEBBF94E}"/>
                </a:ext>
              </a:extLst>
            </xdr:cNvPr>
            <xdr:cNvSpPr txBox="1"/>
          </xdr:nvSpPr>
          <xdr:spPr>
            <a:xfrm>
              <a:off x="5415282" y="44857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0F0F74F9-B53B-4A79-BAD6-E1B6BEBBF94E}"/>
                </a:ext>
              </a:extLst>
            </xdr:cNvPr>
            <xdr:cNvSpPr txBox="1"/>
          </xdr:nvSpPr>
          <xdr:spPr>
            <a:xfrm>
              <a:off x="5415282" y="44857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F8AA965-3783-4372-BC8E-740AA0FE56BE}"/>
                </a:ext>
              </a:extLst>
            </xdr:cNvPr>
            <xdr:cNvSpPr txBox="1"/>
          </xdr:nvSpPr>
          <xdr:spPr>
            <a:xfrm>
              <a:off x="242993" y="45081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3F8AA965-3783-4372-BC8E-740AA0FE56BE}"/>
                </a:ext>
              </a:extLst>
            </xdr:cNvPr>
            <xdr:cNvSpPr txBox="1"/>
          </xdr:nvSpPr>
          <xdr:spPr>
            <a:xfrm>
              <a:off x="242993" y="45081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902BD76B-82F6-4B3C-B353-BD7478244BE1}"/>
                </a:ext>
              </a:extLst>
            </xdr:cNvPr>
            <xdr:cNvSpPr txBox="1"/>
          </xdr:nvSpPr>
          <xdr:spPr>
            <a:xfrm>
              <a:off x="243840" y="45311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902BD76B-82F6-4B3C-B353-BD7478244BE1}"/>
                </a:ext>
              </a:extLst>
            </xdr:cNvPr>
            <xdr:cNvSpPr txBox="1"/>
          </xdr:nvSpPr>
          <xdr:spPr>
            <a:xfrm>
              <a:off x="243840" y="45311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067AAF4-CCD4-4E94-B093-8856794FAF0D}"/>
                </a:ext>
              </a:extLst>
            </xdr:cNvPr>
            <xdr:cNvSpPr txBox="1"/>
          </xdr:nvSpPr>
          <xdr:spPr>
            <a:xfrm>
              <a:off x="243840" y="45539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067AAF4-CCD4-4E94-B093-8856794FAF0D}"/>
                </a:ext>
              </a:extLst>
            </xdr:cNvPr>
            <xdr:cNvSpPr txBox="1"/>
          </xdr:nvSpPr>
          <xdr:spPr>
            <a:xfrm>
              <a:off x="243840" y="45539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B0FC4119-7244-43E8-A428-74A91AB0915D}"/>
                </a:ext>
              </a:extLst>
            </xdr:cNvPr>
            <xdr:cNvSpPr txBox="1"/>
          </xdr:nvSpPr>
          <xdr:spPr>
            <a:xfrm>
              <a:off x="243840" y="45766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B0FC4119-7244-43E8-A428-74A91AB0915D}"/>
                </a:ext>
              </a:extLst>
            </xdr:cNvPr>
            <xdr:cNvSpPr txBox="1"/>
          </xdr:nvSpPr>
          <xdr:spPr>
            <a:xfrm>
              <a:off x="243840" y="45766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D4CEFD67-C6BF-4871-83A1-3FD914272A8D}"/>
                </a:ext>
              </a:extLst>
            </xdr:cNvPr>
            <xdr:cNvSpPr txBox="1"/>
          </xdr:nvSpPr>
          <xdr:spPr>
            <a:xfrm>
              <a:off x="243840" y="45995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D4CEFD67-C6BF-4871-83A1-3FD914272A8D}"/>
                </a:ext>
              </a:extLst>
            </xdr:cNvPr>
            <xdr:cNvSpPr txBox="1"/>
          </xdr:nvSpPr>
          <xdr:spPr>
            <a:xfrm>
              <a:off x="243840" y="45995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A0ABA0C3-214B-47D0-A295-BE7B5C510913}"/>
                </a:ext>
              </a:extLst>
            </xdr:cNvPr>
            <xdr:cNvSpPr txBox="1"/>
          </xdr:nvSpPr>
          <xdr:spPr>
            <a:xfrm>
              <a:off x="236220" y="46452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A0ABA0C3-214B-47D0-A295-BE7B5C510913}"/>
                </a:ext>
              </a:extLst>
            </xdr:cNvPr>
            <xdr:cNvSpPr txBox="1"/>
          </xdr:nvSpPr>
          <xdr:spPr>
            <a:xfrm>
              <a:off x="236220" y="46452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0600F364-D4FF-4A64-9B74-F4FE474C2204}"/>
                </a:ext>
              </a:extLst>
            </xdr:cNvPr>
            <xdr:cNvSpPr txBox="1"/>
          </xdr:nvSpPr>
          <xdr:spPr>
            <a:xfrm>
              <a:off x="237067" y="46681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0600F364-D4FF-4A64-9B74-F4FE474C2204}"/>
                </a:ext>
              </a:extLst>
            </xdr:cNvPr>
            <xdr:cNvSpPr txBox="1"/>
          </xdr:nvSpPr>
          <xdr:spPr>
            <a:xfrm>
              <a:off x="237067" y="46681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9D18899B-5AFE-469B-A08E-BC4686FBFE99}"/>
                </a:ext>
              </a:extLst>
            </xdr:cNvPr>
            <xdr:cNvSpPr txBox="1"/>
          </xdr:nvSpPr>
          <xdr:spPr>
            <a:xfrm>
              <a:off x="237067" y="46910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9D18899B-5AFE-469B-A08E-BC4686FBFE99}"/>
                </a:ext>
              </a:extLst>
            </xdr:cNvPr>
            <xdr:cNvSpPr txBox="1"/>
          </xdr:nvSpPr>
          <xdr:spPr>
            <a:xfrm>
              <a:off x="237067" y="46910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199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AE9AE0AC-683D-46DD-A313-6A0D9913E43D}"/>
                </a:ext>
              </a:extLst>
            </xdr:cNvPr>
            <xdr:cNvSpPr txBox="1"/>
          </xdr:nvSpPr>
          <xdr:spPr>
            <a:xfrm>
              <a:off x="212513" y="4712207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AE9AE0AC-683D-46DD-A313-6A0D9913E43D}"/>
                </a:ext>
              </a:extLst>
            </xdr:cNvPr>
            <xdr:cNvSpPr txBox="1"/>
          </xdr:nvSpPr>
          <xdr:spPr>
            <a:xfrm>
              <a:off x="212513" y="4712207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93526969-F2D9-40AD-A169-A8787DDB3314}"/>
                </a:ext>
              </a:extLst>
            </xdr:cNvPr>
            <xdr:cNvSpPr txBox="1"/>
          </xdr:nvSpPr>
          <xdr:spPr>
            <a:xfrm>
              <a:off x="243840" y="46223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93526969-F2D9-40AD-A169-A8787DDB3314}"/>
                </a:ext>
              </a:extLst>
            </xdr:cNvPr>
            <xdr:cNvSpPr txBox="1"/>
          </xdr:nvSpPr>
          <xdr:spPr>
            <a:xfrm>
              <a:off x="243840" y="46223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9303</xdr:colOff>
      <xdr:row>190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A0096AE6-BC24-4AFD-83A4-E07D3332073B}"/>
                </a:ext>
              </a:extLst>
            </xdr:cNvPr>
            <xdr:cNvSpPr txBox="1"/>
          </xdr:nvSpPr>
          <xdr:spPr>
            <a:xfrm>
              <a:off x="6824970" y="41677168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A0096AE6-BC24-4AFD-83A4-E07D3332073B}"/>
                </a:ext>
              </a:extLst>
            </xdr:cNvPr>
            <xdr:cNvSpPr txBox="1"/>
          </xdr:nvSpPr>
          <xdr:spPr>
            <a:xfrm>
              <a:off x="6824970" y="41677168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17770</xdr:colOff>
      <xdr:row>190</xdr:row>
      <xdr:rowOff>4235</xdr:rowOff>
    </xdr:from>
    <xdr:ext cx="1438599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78C344BA-8AF5-48BC-9FC0-01268A345AC5}"/>
                </a:ext>
              </a:extLst>
            </xdr:cNvPr>
            <xdr:cNvSpPr txBox="1"/>
          </xdr:nvSpPr>
          <xdr:spPr>
            <a:xfrm>
              <a:off x="7959503" y="41677168"/>
              <a:ext cx="143859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78C344BA-8AF5-48BC-9FC0-01268A345AC5}"/>
                </a:ext>
              </a:extLst>
            </xdr:cNvPr>
            <xdr:cNvSpPr txBox="1"/>
          </xdr:nvSpPr>
          <xdr:spPr>
            <a:xfrm>
              <a:off x="7959503" y="41677168"/>
              <a:ext cx="1438599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〖𝑹(𝑺〗_𝒕^((𝟑,𝟔,𝟏𝟑)+𝟒))(𝑺𝒊𝒈𝒎)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244684</xdr:colOff>
      <xdr:row>201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91A3D35E-31A0-4A95-A02C-A032D69AD3C9}"/>
                </a:ext>
              </a:extLst>
            </xdr:cNvPr>
            <xdr:cNvSpPr txBox="1"/>
          </xdr:nvSpPr>
          <xdr:spPr>
            <a:xfrm>
              <a:off x="13130951" y="44335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91A3D35E-31A0-4A95-A02C-A032D69AD3C9}"/>
                </a:ext>
              </a:extLst>
            </xdr:cNvPr>
            <xdr:cNvSpPr txBox="1"/>
          </xdr:nvSpPr>
          <xdr:spPr>
            <a:xfrm>
              <a:off x="13130951" y="44335699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194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2315B5AC-99BD-4D36-8F60-BFDD02C4F338}"/>
                </a:ext>
              </a:extLst>
            </xdr:cNvPr>
            <xdr:cNvSpPr txBox="1"/>
          </xdr:nvSpPr>
          <xdr:spPr>
            <a:xfrm>
              <a:off x="13001420" y="4577164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2315B5AC-99BD-4D36-8F60-BFDD02C4F338}"/>
                </a:ext>
              </a:extLst>
            </xdr:cNvPr>
            <xdr:cNvSpPr txBox="1"/>
          </xdr:nvSpPr>
          <xdr:spPr>
            <a:xfrm>
              <a:off x="13001420" y="4577164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198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CD7A5EF8-DA28-401E-80E2-47EC1EDE1C5F}"/>
                </a:ext>
              </a:extLst>
            </xdr:cNvPr>
            <xdr:cNvSpPr txBox="1"/>
          </xdr:nvSpPr>
          <xdr:spPr>
            <a:xfrm>
              <a:off x="13145341" y="4666911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CD7A5EF8-DA28-401E-80E2-47EC1EDE1C5F}"/>
                </a:ext>
              </a:extLst>
            </xdr:cNvPr>
            <xdr:cNvSpPr txBox="1"/>
          </xdr:nvSpPr>
          <xdr:spPr>
            <a:xfrm>
              <a:off x="13145341" y="4666911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197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2E049394-8E3D-430D-94AE-ED0A547F7AB0}"/>
                </a:ext>
              </a:extLst>
            </xdr:cNvPr>
            <xdr:cNvSpPr txBox="1"/>
          </xdr:nvSpPr>
          <xdr:spPr>
            <a:xfrm>
              <a:off x="13145341" y="4644898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2E049394-8E3D-430D-94AE-ED0A547F7AB0}"/>
                </a:ext>
              </a:extLst>
            </xdr:cNvPr>
            <xdr:cNvSpPr txBox="1"/>
          </xdr:nvSpPr>
          <xdr:spPr>
            <a:xfrm>
              <a:off x="13145341" y="4644898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380999</xdr:colOff>
      <xdr:row>190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E86C9F3-CE60-4AE5-A655-B752C59FE483}"/>
                </a:ext>
              </a:extLst>
            </xdr:cNvPr>
            <xdr:cNvSpPr txBox="1"/>
          </xdr:nvSpPr>
          <xdr:spPr>
            <a:xfrm>
              <a:off x="10490199" y="41677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5E86C9F3-CE60-4AE5-A655-B752C59FE483}"/>
                </a:ext>
              </a:extLst>
            </xdr:cNvPr>
            <xdr:cNvSpPr txBox="1"/>
          </xdr:nvSpPr>
          <xdr:spPr>
            <a:xfrm>
              <a:off x="10490199" y="41677166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612138</xdr:colOff>
      <xdr:row>190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D68C852E-5665-4741-9D5D-46110E465EB6}"/>
                </a:ext>
              </a:extLst>
            </xdr:cNvPr>
            <xdr:cNvSpPr txBox="1"/>
          </xdr:nvSpPr>
          <xdr:spPr>
            <a:xfrm>
              <a:off x="612138" y="44982553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D68C852E-5665-4741-9D5D-46110E465EB6}"/>
                </a:ext>
              </a:extLst>
            </xdr:cNvPr>
            <xdr:cNvSpPr txBox="1"/>
          </xdr:nvSpPr>
          <xdr:spPr>
            <a:xfrm>
              <a:off x="612138" y="44982553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45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EABF1761-CA19-4EE2-8FDD-7732654A87EC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EABF1761-CA19-4EE2-8FDD-7732654A87EC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60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418C0187-7230-4D94-988C-255763CF0AA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418C0187-7230-4D94-988C-255763CF0AA7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75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F98FC17-699F-40C8-BFC6-677383AC9AA9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FF98FC17-699F-40C8-BFC6-677383AC9AA9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90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3B7F84C-CC8F-4CA4-AC60-0A9B8F154C84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3B7F84C-CC8F-4CA4-AC60-0A9B8F154C84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105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4C30F00E-36BA-4488-8317-BB05E54B337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4C30F00E-36BA-4488-8317-BB05E54B337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120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83F4EC3B-0BF2-4EDD-A08C-4C96F617DCE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83F4EC3B-0BF2-4EDD-A08C-4C96F617DCE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135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379CBC3-6FDD-45A3-B2B8-AF21D4A99D7D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A379CBC3-6FDD-45A3-B2B8-AF21D4A99D7D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150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33E133CA-1F13-4863-9837-5BE7314842B5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33E133CA-1F13-4863-9837-5BE7314842B5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612146</xdr:colOff>
      <xdr:row>165</xdr:row>
      <xdr:rowOff>7620</xdr:rowOff>
    </xdr:from>
    <xdr:ext cx="1196418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851D0D70-B8B2-4304-8D19-1D063BE66BA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851D0D70-B8B2-4304-8D19-1D063BE66BAA}"/>
                </a:ext>
              </a:extLst>
            </xdr:cNvPr>
            <xdr:cNvSpPr txBox="1"/>
          </xdr:nvSpPr>
          <xdr:spPr>
            <a:xfrm>
              <a:off x="612146" y="6543887"/>
              <a:ext cx="1196418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45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4F35ED04-B187-415C-AA5C-6B4B41D291C5}"/>
                </a:ext>
              </a:extLst>
            </xdr:cNvPr>
            <xdr:cNvSpPr txBox="1"/>
          </xdr:nvSpPr>
          <xdr:spPr>
            <a:xfrm>
              <a:off x="6850370" y="984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4F35ED04-B187-415C-AA5C-6B4B41D291C5}"/>
                </a:ext>
              </a:extLst>
            </xdr:cNvPr>
            <xdr:cNvSpPr txBox="1"/>
          </xdr:nvSpPr>
          <xdr:spPr>
            <a:xfrm>
              <a:off x="6850370" y="984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60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F91C4A61-76A1-48A1-BCC8-0AC097E59F0E}"/>
                </a:ext>
              </a:extLst>
            </xdr:cNvPr>
            <xdr:cNvSpPr txBox="1"/>
          </xdr:nvSpPr>
          <xdr:spPr>
            <a:xfrm>
              <a:off x="6850370" y="13144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F91C4A61-76A1-48A1-BCC8-0AC097E59F0E}"/>
                </a:ext>
              </a:extLst>
            </xdr:cNvPr>
            <xdr:cNvSpPr txBox="1"/>
          </xdr:nvSpPr>
          <xdr:spPr>
            <a:xfrm>
              <a:off x="6850370" y="13144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𝒃_𝒕^((𝟑,𝟔,𝟏𝟑)+𝟒)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75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2161C4D-B2FF-43E1-A458-CD8F4F7EC31B}"/>
                </a:ext>
              </a:extLst>
            </xdr:cNvPr>
            <xdr:cNvSpPr txBox="1"/>
          </xdr:nvSpPr>
          <xdr:spPr>
            <a:xfrm>
              <a:off x="6850370" y="16446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2161C4D-B2FF-43E1-A458-CD8F4F7EC31B}"/>
                </a:ext>
              </a:extLst>
            </xdr:cNvPr>
            <xdr:cNvSpPr txBox="1"/>
          </xdr:nvSpPr>
          <xdr:spPr>
            <a:xfrm>
              <a:off x="6850370" y="16446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90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373855E-FC86-4AC8-BBFF-0780F49A61B9}"/>
                </a:ext>
              </a:extLst>
            </xdr:cNvPr>
            <xdr:cNvSpPr txBox="1"/>
          </xdr:nvSpPr>
          <xdr:spPr>
            <a:xfrm>
              <a:off x="6850370" y="19748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373855E-FC86-4AC8-BBFF-0780F49A61B9}"/>
                </a:ext>
              </a:extLst>
            </xdr:cNvPr>
            <xdr:cNvSpPr txBox="1"/>
          </xdr:nvSpPr>
          <xdr:spPr>
            <a:xfrm>
              <a:off x="6850370" y="19748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105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CB46272D-B81F-4AFE-AB7C-0A9A81DF1294}"/>
                </a:ext>
              </a:extLst>
            </xdr:cNvPr>
            <xdr:cNvSpPr txBox="1"/>
          </xdr:nvSpPr>
          <xdr:spPr>
            <a:xfrm>
              <a:off x="6850370" y="2305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CB46272D-B81F-4AFE-AB7C-0A9A81DF1294}"/>
                </a:ext>
              </a:extLst>
            </xdr:cNvPr>
            <xdr:cNvSpPr txBox="1"/>
          </xdr:nvSpPr>
          <xdr:spPr>
            <a:xfrm>
              <a:off x="6850370" y="23050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34703</xdr:colOff>
      <xdr:row>120</xdr:row>
      <xdr:rowOff>4235</xdr:rowOff>
    </xdr:from>
    <xdr:ext cx="1209755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F49A5A9B-3524-4DE1-83EC-69D470A4FDF4}"/>
                </a:ext>
              </a:extLst>
            </xdr:cNvPr>
            <xdr:cNvSpPr txBox="1"/>
          </xdr:nvSpPr>
          <xdr:spPr>
            <a:xfrm>
              <a:off x="6850370" y="2635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F49A5A9B-3524-4DE1-83EC-69D470A4FDF4}"/>
                </a:ext>
              </a:extLst>
            </xdr:cNvPr>
            <xdr:cNvSpPr txBox="1"/>
          </xdr:nvSpPr>
          <xdr:spPr>
            <a:xfrm>
              <a:off x="6850370" y="26352502"/>
              <a:ext cx="1209755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135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33F4CD1B-DEE8-456D-BD24-3092E982B832}"/>
                </a:ext>
              </a:extLst>
            </xdr:cNvPr>
            <xdr:cNvSpPr txBox="1"/>
          </xdr:nvSpPr>
          <xdr:spPr>
            <a:xfrm>
              <a:off x="6824969" y="29654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33F4CD1B-DEE8-456D-BD24-3092E982B832}"/>
                </a:ext>
              </a:extLst>
            </xdr:cNvPr>
            <xdr:cNvSpPr txBox="1"/>
          </xdr:nvSpPr>
          <xdr:spPr>
            <a:xfrm>
              <a:off x="6824969" y="29654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150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7591CBB7-7CB5-46B6-9BC9-06DD92BE5316}"/>
                </a:ext>
              </a:extLst>
            </xdr:cNvPr>
            <xdr:cNvSpPr txBox="1"/>
          </xdr:nvSpPr>
          <xdr:spPr>
            <a:xfrm>
              <a:off x="6824969" y="32956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7591CBB7-7CB5-46B6-9BC9-06DD92BE5316}"/>
                </a:ext>
              </a:extLst>
            </xdr:cNvPr>
            <xdr:cNvSpPr txBox="1"/>
          </xdr:nvSpPr>
          <xdr:spPr>
            <a:xfrm>
              <a:off x="6824969" y="32956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165</xdr:row>
      <xdr:rowOff>4235</xdr:rowOff>
    </xdr:from>
    <xdr:ext cx="1276953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AE409B78-332A-4DF4-BE4A-415EE8DF31AE}"/>
                </a:ext>
              </a:extLst>
            </xdr:cNvPr>
            <xdr:cNvSpPr txBox="1"/>
          </xdr:nvSpPr>
          <xdr:spPr>
            <a:xfrm>
              <a:off x="6824969" y="36258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AE409B78-332A-4DF4-BE4A-415EE8DF31AE}"/>
                </a:ext>
              </a:extLst>
            </xdr:cNvPr>
            <xdr:cNvSpPr txBox="1"/>
          </xdr:nvSpPr>
          <xdr:spPr>
            <a:xfrm>
              <a:off x="6824969" y="36258502"/>
              <a:ext cx="1276953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609601</xdr:colOff>
      <xdr:row>46</xdr:row>
      <xdr:rowOff>16934</xdr:rowOff>
    </xdr:from>
    <xdr:ext cx="1340239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F7FF16EB-1A27-4111-8C94-99A11247B9A6}"/>
                </a:ext>
              </a:extLst>
            </xdr:cNvPr>
            <xdr:cNvSpPr txBox="1"/>
          </xdr:nvSpPr>
          <xdr:spPr>
            <a:xfrm>
              <a:off x="20277668" y="10083801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F7FF16EB-1A27-4111-8C94-99A11247B9A6}"/>
                </a:ext>
              </a:extLst>
            </xdr:cNvPr>
            <xdr:cNvSpPr txBox="1"/>
          </xdr:nvSpPr>
          <xdr:spPr>
            <a:xfrm>
              <a:off x="20277668" y="10083801"/>
              <a:ext cx="1340239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166790</xdr:colOff>
      <xdr:row>34</xdr:row>
      <xdr:rowOff>81278</xdr:rowOff>
    </xdr:from>
    <xdr:ext cx="1900649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4495C-A569-498A-A1A4-6A846F785D6C}"/>
                </a:ext>
              </a:extLst>
            </xdr:cNvPr>
            <xdr:cNvSpPr txBox="1"/>
          </xdr:nvSpPr>
          <xdr:spPr>
            <a:xfrm>
              <a:off x="19072857" y="7531945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𝟒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4495C-A569-498A-A1A4-6A846F785D6C}"/>
                </a:ext>
              </a:extLst>
            </xdr:cNvPr>
            <xdr:cNvSpPr txBox="1"/>
          </xdr:nvSpPr>
          <xdr:spPr>
            <a:xfrm>
              <a:off x="19072857" y="7531945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𝑺_𝒕^(𝟑,𝟔,𝟏𝟑,𝟒)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𝒂_𝒕𝟏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34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946E0C-7631-436C-9EDE-6597D39629D1}"/>
                </a:ext>
              </a:extLst>
            </xdr:cNvPr>
            <xdr:cNvSpPr txBox="1"/>
          </xdr:nvSpPr>
          <xdr:spPr>
            <a:xfrm>
              <a:off x="2104983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F946E0C-7631-436C-9EDE-6597D39629D1}"/>
                </a:ext>
              </a:extLst>
            </xdr:cNvPr>
            <xdr:cNvSpPr txBox="1"/>
          </xdr:nvSpPr>
          <xdr:spPr>
            <a:xfrm>
              <a:off x="21049832" y="755057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17</xdr:col>
      <xdr:colOff>152399</xdr:colOff>
      <xdr:row>4</xdr:row>
      <xdr:rowOff>152401</xdr:rowOff>
    </xdr:from>
    <xdr:ext cx="12454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1D8F2A-E4E9-4E5D-89BB-3CF3E5BB1A41}"/>
                </a:ext>
              </a:extLst>
            </xdr:cNvPr>
            <xdr:cNvSpPr txBox="1"/>
          </xdr:nvSpPr>
          <xdr:spPr>
            <a:xfrm>
              <a:off x="1664207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𝒕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…,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𝒉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81D8F2A-E4E9-4E5D-89BB-3CF3E5BB1A41}"/>
                </a:ext>
              </a:extLst>
            </xdr:cNvPr>
            <xdr:cNvSpPr txBox="1"/>
          </xdr:nvSpPr>
          <xdr:spPr>
            <a:xfrm>
              <a:off x="16642079" y="1066801"/>
              <a:ext cx="12454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</a:t>
              </a:r>
              <a:r>
                <a:rPr lang="en-US" sz="1200" b="1" i="0">
                  <a:latin typeface="Cambria Math" panose="02040503050406030204" pitchFamily="18" charset="0"/>
                </a:rPr>
                <a:t>𝒕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𝒉}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67734</xdr:colOff>
      <xdr:row>8</xdr:row>
      <xdr:rowOff>118534</xdr:rowOff>
    </xdr:from>
    <xdr:ext cx="131734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24058C-3FC9-44B3-88A4-D6712E555675}"/>
                </a:ext>
              </a:extLst>
            </xdr:cNvPr>
            <xdr:cNvSpPr txBox="1"/>
          </xdr:nvSpPr>
          <xdr:spPr>
            <a:xfrm>
              <a:off x="1655741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∈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𝒁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…, 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624058C-3FC9-44B3-88A4-D6712E555675}"/>
                </a:ext>
              </a:extLst>
            </xdr:cNvPr>
            <xdr:cNvSpPr txBox="1"/>
          </xdr:nvSpPr>
          <xdr:spPr>
            <a:xfrm>
              <a:off x="16557414" y="1947334"/>
              <a:ext cx="131734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𝒖∈𝒁, 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{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𝟏, …, 𝒏}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17</xdr:col>
      <xdr:colOff>15240</xdr:colOff>
      <xdr:row>15</xdr:row>
      <xdr:rowOff>16934</xdr:rowOff>
    </xdr:from>
    <xdr:ext cx="66826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F2C929-D1C6-4D75-8FC0-DACEEE76A528}"/>
                </a:ext>
              </a:extLst>
            </xdr:cNvPr>
            <xdr:cNvSpPr txBox="1"/>
          </xdr:nvSpPr>
          <xdr:spPr>
            <a:xfrm>
              <a:off x="1650492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5F2C929-D1C6-4D75-8FC0-DACEEE76A528}"/>
                </a:ext>
              </a:extLst>
            </xdr:cNvPr>
            <xdr:cNvSpPr txBox="1"/>
          </xdr:nvSpPr>
          <xdr:spPr>
            <a:xfrm>
              <a:off x="16504920" y="3354494"/>
              <a:ext cx="66826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16</xdr:col>
      <xdr:colOff>251460</xdr:colOff>
      <xdr:row>12</xdr:row>
      <xdr:rowOff>16934</xdr:rowOff>
    </xdr:from>
    <xdr:ext cx="817403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0BB889-2C88-4DBE-84D1-FEC21D09AFD3}"/>
                </a:ext>
              </a:extLst>
            </xdr:cNvPr>
            <xdr:cNvSpPr txBox="1"/>
          </xdr:nvSpPr>
          <xdr:spPr>
            <a:xfrm>
              <a:off x="1613154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&lt;</m:t>
                    </m:r>
                    <m:f>
                      <m:f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𝜽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𝜸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𝒖</m:t>
                            </m:r>
                          </m:sub>
                        </m:sSub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≪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𝟏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70BB889-2C88-4DBE-84D1-FEC21D09AFD3}"/>
                </a:ext>
              </a:extLst>
            </xdr:cNvPr>
            <xdr:cNvSpPr txBox="1"/>
          </xdr:nvSpPr>
          <xdr:spPr>
            <a:xfrm>
              <a:off x="16131540" y="2760134"/>
              <a:ext cx="817403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𝟎&lt;𝜽_𝒖/𝜸_𝒖 ≪𝟏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1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1FBD06-26A9-4009-BEDF-9ED528ACB851}"/>
                </a:ext>
              </a:extLst>
            </xdr:cNvPr>
            <xdr:cNvSpPr txBox="1"/>
          </xdr:nvSpPr>
          <xdr:spPr>
            <a:xfrm>
              <a:off x="2133938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1FBD06-26A9-4009-BEDF-9ED528ACB851}"/>
                </a:ext>
              </a:extLst>
            </xdr:cNvPr>
            <xdr:cNvSpPr txBox="1"/>
          </xdr:nvSpPr>
          <xdr:spPr>
            <a:xfrm>
              <a:off x="21339388" y="3217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𝑴_𝟏=𝟏/|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_(𝑺_𝒕∈𝑲_𝟏)▒𝒃_𝒕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49108</xdr:colOff>
      <xdr:row>5</xdr:row>
      <xdr:rowOff>93134</xdr:rowOff>
    </xdr:from>
    <xdr:ext cx="1280160" cy="525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5EFAE1C-28F6-4503-87B9-9BC4132988CE}"/>
                </a:ext>
              </a:extLst>
            </xdr:cNvPr>
            <xdr:cNvSpPr txBox="1"/>
          </xdr:nvSpPr>
          <xdr:spPr>
            <a:xfrm>
              <a:off x="2133938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d>
                      </m:den>
                    </m:f>
                    <m:nary>
                      <m:naryPr>
                        <m:chr m:val="∑"/>
                        <m:sup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naryPr>
                      <m:sub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∈</m:t>
                        </m:r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𝟐</m:t>
                            </m:r>
                          </m:sub>
                        </m:sSub>
                      </m:sub>
                      <m:sup/>
                      <m:e>
                        <m:sSub>
                          <m:sSub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𝒃</m:t>
                            </m:r>
                          </m:e>
                          <m: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𝒕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5EFAE1C-28F6-4503-87B9-9BC4132988CE}"/>
                </a:ext>
              </a:extLst>
            </xdr:cNvPr>
            <xdr:cNvSpPr txBox="1"/>
          </xdr:nvSpPr>
          <xdr:spPr>
            <a:xfrm>
              <a:off x="21339388" y="1236134"/>
              <a:ext cx="1280160" cy="525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𝑴_𝟐=𝟏/|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|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∑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_(𝑺_𝒕∈𝑲_𝟐)▒𝒃_𝒕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10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B33DDB9-3326-44BF-B5BA-1ADED9B7168E}"/>
                </a:ext>
              </a:extLst>
            </xdr:cNvPr>
            <xdr:cNvSpPr txBox="1"/>
          </xdr:nvSpPr>
          <xdr:spPr>
            <a:xfrm>
              <a:off x="2130552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B33DDB9-3326-44BF-B5BA-1ADED9B7168E}"/>
                </a:ext>
              </a:extLst>
            </xdr:cNvPr>
            <xdr:cNvSpPr txBox="1"/>
          </xdr:nvSpPr>
          <xdr:spPr>
            <a:xfrm>
              <a:off x="21305520" y="239352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𝑺_𝒕∈𝑲_𝟏@|𝒃_𝒕−𝑴_𝟐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15240</xdr:colOff>
      <xdr:row>14</xdr:row>
      <xdr:rowOff>107527</xdr:rowOff>
    </xdr:from>
    <xdr:ext cx="2354580" cy="502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1B33-8B30-49EA-B403-4AAFA518E0BF}"/>
                </a:ext>
              </a:extLst>
            </xdr:cNvPr>
            <xdr:cNvSpPr txBox="1"/>
          </xdr:nvSpPr>
          <xdr:spPr>
            <a:xfrm>
              <a:off x="2130552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𝟐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</m:e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𝒃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𝒕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𝑴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𝟏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𝑺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𝒕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∈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571B33-8B30-49EA-B403-4AAFA518E0BF}"/>
                </a:ext>
              </a:extLst>
            </xdr:cNvPr>
            <xdr:cNvSpPr txBox="1"/>
          </xdr:nvSpPr>
          <xdr:spPr>
            <a:xfrm>
              <a:off x="21305520" y="3262207"/>
              <a:ext cx="2354580" cy="502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𝜸+={█(|𝒃_𝒕−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|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, 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𝑺_𝒕∈𝑲_𝟏@|𝒃_𝒕−𝑴_𝟏 |,  𝑺_𝒕∈𝑲_𝟐 )┤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23</xdr:col>
      <xdr:colOff>118537</xdr:colOff>
      <xdr:row>19</xdr:row>
      <xdr:rowOff>84670</xdr:rowOff>
    </xdr:from>
    <xdr:ext cx="2514601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0D80637-55C5-4456-92CA-A90030C9C69E}"/>
                </a:ext>
              </a:extLst>
            </xdr:cNvPr>
            <xdr:cNvSpPr txBox="1"/>
          </xdr:nvSpPr>
          <xdr:spPr>
            <a:xfrm>
              <a:off x="2140881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𝝈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𝒙</m:t>
                            </m:r>
                          </m:sup>
                        </m:sSup>
                      </m:den>
                    </m:f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𝝈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(−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𝒙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0D80637-55C5-4456-92CA-A90030C9C69E}"/>
                </a:ext>
              </a:extLst>
            </xdr:cNvPr>
            <xdr:cNvSpPr txBox="1"/>
          </xdr:nvSpPr>
          <xdr:spPr>
            <a:xfrm>
              <a:off x="21408817" y="4336630"/>
              <a:ext cx="2514601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𝝈(𝒙)=𝟏/(𝟏+𝒆^(−𝒙) 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𝒆^𝒙/(𝟏+𝒆^𝒙 )=𝟏−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𝝈(−𝒙)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537638</xdr:colOff>
      <xdr:row>1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F79FDC-F5DD-4984-9CA5-329A18BB803B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F79FDC-F5DD-4984-9CA5-329A18BB803B}"/>
                </a:ext>
              </a:extLst>
            </xdr:cNvPr>
            <xdr:cNvSpPr txBox="1"/>
          </xdr:nvSpPr>
          <xdr:spPr>
            <a:xfrm>
              <a:off x="1269158" y="23537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5688F0-C4D1-43D7-8258-2A9801AF3D8F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5688F0-C4D1-43D7-8258-2A9801AF3D8F}"/>
                </a:ext>
              </a:extLst>
            </xdr:cNvPr>
            <xdr:cNvSpPr txBox="1"/>
          </xdr:nvSpPr>
          <xdr:spPr>
            <a:xfrm>
              <a:off x="217339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9E9C68-7F68-43F8-B5A1-B1B15E8F36A3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89E9C68-7F68-43F8-B5A1-B1B15E8F36A3}"/>
                </a:ext>
              </a:extLst>
            </xdr:cNvPr>
            <xdr:cNvSpPr txBox="1"/>
          </xdr:nvSpPr>
          <xdr:spPr>
            <a:xfrm>
              <a:off x="44365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3EEE08A-B475-4560-BDF4-DFE9EB839842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3EEE08A-B475-4560-BDF4-DFE9EB839842}"/>
                </a:ext>
              </a:extLst>
            </xdr:cNvPr>
            <xdr:cNvSpPr txBox="1"/>
          </xdr:nvSpPr>
          <xdr:spPr>
            <a:xfrm>
              <a:off x="534331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69EB3E7-375C-4988-99FD-E7654C11885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69EB3E7-375C-4988-99FD-E7654C118851}"/>
                </a:ext>
              </a:extLst>
            </xdr:cNvPr>
            <xdr:cNvSpPr txBox="1"/>
          </xdr:nvSpPr>
          <xdr:spPr>
            <a:xfrm>
              <a:off x="630343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410635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40C2BB2-9CE5-4B37-AE1C-0FC982B50186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40C2BB2-9CE5-4B37-AE1C-0FC982B50186}"/>
                </a:ext>
              </a:extLst>
            </xdr:cNvPr>
            <xdr:cNvSpPr txBox="1"/>
          </xdr:nvSpPr>
          <xdr:spPr>
            <a:xfrm>
              <a:off x="7230535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503771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5550FC-3434-4EF2-B2AF-BAD5EF3FB481}"/>
                </a:ext>
              </a:extLst>
            </xdr:cNvPr>
            <xdr:cNvSpPr txBox="1"/>
          </xdr:nvSpPr>
          <xdr:spPr>
            <a:xfrm>
              <a:off x="845143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5550FC-3434-4EF2-B2AF-BAD5EF3FB481}"/>
                </a:ext>
              </a:extLst>
            </xdr:cNvPr>
            <xdr:cNvSpPr txBox="1"/>
          </xdr:nvSpPr>
          <xdr:spPr>
            <a:xfrm>
              <a:off x="8451431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359833</xdr:colOff>
      <xdr:row>1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2F01B25-AE88-4C5E-B8C9-8E63911711F8}"/>
                </a:ext>
              </a:extLst>
            </xdr:cNvPr>
            <xdr:cNvSpPr txBox="1"/>
          </xdr:nvSpPr>
          <xdr:spPr>
            <a:xfrm>
              <a:off x="95952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2F01B25-AE88-4C5E-B8C9-8E63911711F8}"/>
                </a:ext>
              </a:extLst>
            </xdr:cNvPr>
            <xdr:cNvSpPr txBox="1"/>
          </xdr:nvSpPr>
          <xdr:spPr>
            <a:xfrm>
              <a:off x="9595273" y="23537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D6C1EE-A9A2-4276-A7E7-EC2546F06FD1}"/>
                </a:ext>
              </a:extLst>
            </xdr:cNvPr>
            <xdr:cNvSpPr txBox="1"/>
          </xdr:nvSpPr>
          <xdr:spPr>
            <a:xfrm>
              <a:off x="1041823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CD6C1EE-A9A2-4276-A7E7-EC2546F06FD1}"/>
                </a:ext>
              </a:extLst>
            </xdr:cNvPr>
            <xdr:cNvSpPr txBox="1"/>
          </xdr:nvSpPr>
          <xdr:spPr>
            <a:xfrm>
              <a:off x="1041823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67C62A9-DAC9-4AEC-AA94-9F19CDD54615}"/>
                </a:ext>
              </a:extLst>
            </xdr:cNvPr>
            <xdr:cNvSpPr txBox="1"/>
          </xdr:nvSpPr>
          <xdr:spPr>
            <a:xfrm>
              <a:off x="113631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B67C62A9-DAC9-4AEC-AA94-9F19CDD54615}"/>
                </a:ext>
              </a:extLst>
            </xdr:cNvPr>
            <xdr:cNvSpPr txBox="1"/>
          </xdr:nvSpPr>
          <xdr:spPr>
            <a:xfrm>
              <a:off x="1136311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CC4008E-504B-4B92-A6BE-816EE497D03F}"/>
                </a:ext>
              </a:extLst>
            </xdr:cNvPr>
            <xdr:cNvSpPr txBox="1"/>
          </xdr:nvSpPr>
          <xdr:spPr>
            <a:xfrm>
              <a:off x="123079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CC4008E-504B-4B92-A6BE-816EE497D03F}"/>
                </a:ext>
              </a:extLst>
            </xdr:cNvPr>
            <xdr:cNvSpPr txBox="1"/>
          </xdr:nvSpPr>
          <xdr:spPr>
            <a:xfrm>
              <a:off x="123079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306493</xdr:colOff>
      <xdr:row>1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5749379-A51B-4BA7-9BA2-DAB231DD8D56}"/>
                </a:ext>
              </a:extLst>
            </xdr:cNvPr>
            <xdr:cNvSpPr txBox="1"/>
          </xdr:nvSpPr>
          <xdr:spPr>
            <a:xfrm>
              <a:off x="131842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15749379-A51B-4BA7-9BA2-DAB231DD8D56}"/>
                </a:ext>
              </a:extLst>
            </xdr:cNvPr>
            <xdr:cNvSpPr txBox="1"/>
          </xdr:nvSpPr>
          <xdr:spPr>
            <a:xfrm>
              <a:off x="13184293" y="23537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2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F87DDDD-F946-4651-A552-E2C75197D5BB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F87DDDD-F946-4651-A552-E2C75197D5BB}"/>
                </a:ext>
              </a:extLst>
            </xdr:cNvPr>
            <xdr:cNvSpPr txBox="1"/>
          </xdr:nvSpPr>
          <xdr:spPr>
            <a:xfrm>
              <a:off x="241303" y="471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3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8B85821-12BE-4570-9351-BE519B60E2C0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98B85821-12BE-4570-9351-BE519B60E2C0}"/>
                </a:ext>
              </a:extLst>
            </xdr:cNvPr>
            <xdr:cNvSpPr txBox="1"/>
          </xdr:nvSpPr>
          <xdr:spPr>
            <a:xfrm>
              <a:off x="241303" y="700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4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ECCF79B-E768-4C87-84B2-EA848D72AA69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7ECCF79B-E768-4C87-84B2-EA848D72AA69}"/>
                </a:ext>
              </a:extLst>
            </xdr:cNvPr>
            <xdr:cNvSpPr txBox="1"/>
          </xdr:nvSpPr>
          <xdr:spPr>
            <a:xfrm>
              <a:off x="241303" y="928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5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578A3AD-8C36-4EAF-A99C-2C9B545EF472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578A3AD-8C36-4EAF-A99C-2C9B545EF472}"/>
                </a:ext>
              </a:extLst>
            </xdr:cNvPr>
            <xdr:cNvSpPr txBox="1"/>
          </xdr:nvSpPr>
          <xdr:spPr>
            <a:xfrm>
              <a:off x="241303" y="1157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6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B8066E-4DE1-4219-977C-F7906901F8AF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B8066E-4DE1-4219-977C-F7906901F8AF}"/>
                </a:ext>
              </a:extLst>
            </xdr:cNvPr>
            <xdr:cNvSpPr txBox="1"/>
          </xdr:nvSpPr>
          <xdr:spPr>
            <a:xfrm>
              <a:off x="241303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233683</xdr:colOff>
      <xdr:row>7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2C6111D-41D7-489E-8D94-65A0E405AC71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2C6111D-41D7-489E-8D94-65A0E405AC71}"/>
                </a:ext>
              </a:extLst>
            </xdr:cNvPr>
            <xdr:cNvSpPr txBox="1"/>
          </xdr:nvSpPr>
          <xdr:spPr>
            <a:xfrm>
              <a:off x="233683" y="16145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8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CA7676-C548-46E8-BD0F-70B8258450FF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F3CA7676-C548-46E8-BD0F-70B8258450FF}"/>
                </a:ext>
              </a:extLst>
            </xdr:cNvPr>
            <xdr:cNvSpPr txBox="1"/>
          </xdr:nvSpPr>
          <xdr:spPr>
            <a:xfrm>
              <a:off x="241303" y="18431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9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E678056-3BB0-48C9-B500-F98C2C9F4BB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CE678056-3BB0-48C9-B500-F98C2C9F4BB3}"/>
                </a:ext>
              </a:extLst>
            </xdr:cNvPr>
            <xdr:cNvSpPr txBox="1"/>
          </xdr:nvSpPr>
          <xdr:spPr>
            <a:xfrm>
              <a:off x="241303" y="2071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241303</xdr:colOff>
      <xdr:row>10</xdr:row>
      <xdr:rowOff>14392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9832D2B-CAC5-410D-8E5F-3E9B2BD0DEA5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9832D2B-CAC5-410D-8E5F-3E9B2BD0DEA5}"/>
                </a:ext>
              </a:extLst>
            </xdr:cNvPr>
            <xdr:cNvSpPr txBox="1"/>
          </xdr:nvSpPr>
          <xdr:spPr>
            <a:xfrm>
              <a:off x="241303" y="2300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215055</xdr:colOff>
      <xdr:row>11</xdr:row>
      <xdr:rowOff>14392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938A05D2-1BB0-4C89-97E7-28E0D51BBF63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938A05D2-1BB0-4C89-97E7-28E0D51BBF63}"/>
                </a:ext>
              </a:extLst>
            </xdr:cNvPr>
            <xdr:cNvSpPr txBox="1"/>
          </xdr:nvSpPr>
          <xdr:spPr>
            <a:xfrm>
              <a:off x="215055" y="25289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50801</xdr:colOff>
      <xdr:row>1</xdr:row>
      <xdr:rowOff>25401</xdr:rowOff>
    </xdr:from>
    <xdr:ext cx="1347869" cy="174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0F9CF44-3503-4ABE-B586-3BBF5407D76F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||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0F9CF44-3503-4ABE-B586-3BBF5407D76F}"/>
                </a:ext>
              </a:extLst>
            </xdr:cNvPr>
            <xdr:cNvSpPr txBox="1"/>
          </xdr:nvSpPr>
          <xdr:spPr>
            <a:xfrm>
              <a:off x="2702561" y="254001"/>
              <a:ext cx="1347869" cy="174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𝒚_𝟏  || 𝑹(𝑺_𝒕^𝟑)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=𝜼_𝟑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〖(𝒂〗_𝒕𝟑)</a:t>
              </a:r>
              <a:endParaRPr lang="en-US" sz="11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486835</xdr:colOff>
      <xdr:row>16</xdr:row>
      <xdr:rowOff>6776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3B10EB6-5389-483C-B2BE-0AAC21E352DA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D3B10EB6-5389-483C-B2BE-0AAC21E352DA}"/>
                </a:ext>
              </a:extLst>
            </xdr:cNvPr>
            <xdr:cNvSpPr txBox="1"/>
          </xdr:nvSpPr>
          <xdr:spPr>
            <a:xfrm>
              <a:off x="1218355" y="3572936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325965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949DEC6-6FC4-4017-8628-1F8E303BD0B5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949DEC6-6FC4-4017-8628-1F8E303BD0B5}"/>
                </a:ext>
              </a:extLst>
            </xdr:cNvPr>
            <xdr:cNvSpPr txBox="1"/>
          </xdr:nvSpPr>
          <xdr:spPr>
            <a:xfrm>
              <a:off x="213952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613835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AB49094-45D3-4918-A1AA-5BF94A77113A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AB49094-45D3-4918-A1AA-5BF94A77113A}"/>
                </a:ext>
              </a:extLst>
            </xdr:cNvPr>
            <xdr:cNvSpPr txBox="1"/>
          </xdr:nvSpPr>
          <xdr:spPr>
            <a:xfrm>
              <a:off x="3265595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B7CA98D-23A0-46CC-80C7-2AF5EDA65DE1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7B7CA98D-23A0-46CC-80C7-2AF5EDA65DE1}"/>
                </a:ext>
              </a:extLst>
            </xdr:cNvPr>
            <xdr:cNvSpPr txBox="1"/>
          </xdr:nvSpPr>
          <xdr:spPr>
            <a:xfrm>
              <a:off x="44365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436033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FEF0626-C1F1-4667-BD48-97742F208D80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FEF0626-C1F1-4667-BD48-97742F208D80}"/>
                </a:ext>
              </a:extLst>
            </xdr:cNvPr>
            <xdr:cNvSpPr txBox="1"/>
          </xdr:nvSpPr>
          <xdr:spPr>
            <a:xfrm>
              <a:off x="541951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359833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274888A-5C5B-438D-AFE9-BAC243E4DDDA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8274888A-5C5B-438D-AFE9-BAC243E4DDDA}"/>
                </a:ext>
              </a:extLst>
            </xdr:cNvPr>
            <xdr:cNvSpPr txBox="1"/>
          </xdr:nvSpPr>
          <xdr:spPr>
            <a:xfrm>
              <a:off x="6303433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554568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E65A77E-2C8A-404C-B58F-4538E4021C34}"/>
                </a:ext>
              </a:extLst>
            </xdr:cNvPr>
            <xdr:cNvSpPr txBox="1"/>
          </xdr:nvSpPr>
          <xdr:spPr>
            <a:xfrm>
              <a:off x="7370235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E65A77E-2C8A-404C-B58F-4538E4021C34}"/>
                </a:ext>
              </a:extLst>
            </xdr:cNvPr>
            <xdr:cNvSpPr txBox="1"/>
          </xdr:nvSpPr>
          <xdr:spPr>
            <a:xfrm>
              <a:off x="7370235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706963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53D0754-6D41-4333-A66C-CE8F4CBBDC78}"/>
                </a:ext>
              </a:extLst>
            </xdr:cNvPr>
            <xdr:cNvSpPr txBox="1"/>
          </xdr:nvSpPr>
          <xdr:spPr>
            <a:xfrm>
              <a:off x="8885763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53D0754-6D41-4333-A66C-CE8F4CBBDC78}"/>
                </a:ext>
              </a:extLst>
            </xdr:cNvPr>
            <xdr:cNvSpPr txBox="1"/>
          </xdr:nvSpPr>
          <xdr:spPr>
            <a:xfrm>
              <a:off x="8885763" y="3579709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427568</xdr:colOff>
      <xdr:row>16</xdr:row>
      <xdr:rowOff>6776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7D112E6-18F2-4CDA-A933-93BD8BEAF1A7}"/>
                </a:ext>
              </a:extLst>
            </xdr:cNvPr>
            <xdr:cNvSpPr txBox="1"/>
          </xdr:nvSpPr>
          <xdr:spPr>
            <a:xfrm>
              <a:off x="966300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E7D112E6-18F2-4CDA-A933-93BD8BEAF1A7}"/>
                </a:ext>
              </a:extLst>
            </xdr:cNvPr>
            <xdr:cNvSpPr txBox="1"/>
          </xdr:nvSpPr>
          <xdr:spPr>
            <a:xfrm>
              <a:off x="9663008" y="3572936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391161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C9221C2-A32A-4109-A6BE-6E61F490EC69}"/>
                </a:ext>
              </a:extLst>
            </xdr:cNvPr>
            <xdr:cNvSpPr txBox="1"/>
          </xdr:nvSpPr>
          <xdr:spPr>
            <a:xfrm>
              <a:off x="1050290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C9221C2-A32A-4109-A6BE-6E61F490EC69}"/>
                </a:ext>
              </a:extLst>
            </xdr:cNvPr>
            <xdr:cNvSpPr txBox="1"/>
          </xdr:nvSpPr>
          <xdr:spPr>
            <a:xfrm>
              <a:off x="10502901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775C7C95-2D9F-4B3B-B6DE-A2ACA91BCD9E}"/>
                </a:ext>
              </a:extLst>
            </xdr:cNvPr>
            <xdr:cNvSpPr txBox="1"/>
          </xdr:nvSpPr>
          <xdr:spPr>
            <a:xfrm>
              <a:off x="1136311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775C7C95-2D9F-4B3B-B6DE-A2ACA91BCD9E}"/>
                </a:ext>
              </a:extLst>
            </xdr:cNvPr>
            <xdr:cNvSpPr txBox="1"/>
          </xdr:nvSpPr>
          <xdr:spPr>
            <a:xfrm>
              <a:off x="1136311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306493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B45C226-B875-48B0-8454-C8570C9D093A}"/>
                </a:ext>
              </a:extLst>
            </xdr:cNvPr>
            <xdr:cNvSpPr txBox="1"/>
          </xdr:nvSpPr>
          <xdr:spPr>
            <a:xfrm>
              <a:off x="123079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B45C226-B875-48B0-8454-C8570C9D093A}"/>
                </a:ext>
              </a:extLst>
            </xdr:cNvPr>
            <xdr:cNvSpPr txBox="1"/>
          </xdr:nvSpPr>
          <xdr:spPr>
            <a:xfrm>
              <a:off x="1230799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467363</xdr:colOff>
      <xdr:row>16</xdr:row>
      <xdr:rowOff>6776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DD457B1-054B-4698-B8F1-924FFE021EAC}"/>
                </a:ext>
              </a:extLst>
            </xdr:cNvPr>
            <xdr:cNvSpPr txBox="1"/>
          </xdr:nvSpPr>
          <xdr:spPr>
            <a:xfrm>
              <a:off x="1334516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6DD457B1-054B-4698-B8F1-924FFE021EAC}"/>
                </a:ext>
              </a:extLst>
            </xdr:cNvPr>
            <xdr:cNvSpPr txBox="1"/>
          </xdr:nvSpPr>
          <xdr:spPr>
            <a:xfrm>
              <a:off x="13345163" y="3572936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282782</xdr:colOff>
      <xdr:row>22</xdr:row>
      <xdr:rowOff>70275</xdr:rowOff>
    </xdr:from>
    <xdr:ext cx="1328504" cy="3096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2D74783-5963-42E2-8F1C-B4AFC82316EF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</a:rPr>
                      <m:t>𝒖</m:t>
                    </m:r>
                    <m:r>
                      <a:rPr lang="en-US" sz="1400" b="1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4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lang="en-US" sz="1400" b="1" i="1">
                            <a:latin typeface="Cambria Math" panose="02040503050406030204" pitchFamily="18" charset="0"/>
                          </a:rPr>
                          <m:t>𝒂𝒓𝒈</m:t>
                        </m:r>
                        <m:limLow>
                          <m:limLow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4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sSub>
                          <m:sSubPr>
                            <m:ctrlPr>
                              <a:rPr lang="en-US" sz="14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𝝎</m:t>
                            </m:r>
                          </m:e>
                          <m:sub>
                            <m:r>
                              <a:rPr lang="en-US" sz="14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400" b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92D74783-5963-42E2-8F1C-B4AFC82316EF}"/>
                </a:ext>
              </a:extLst>
            </xdr:cNvPr>
            <xdr:cNvSpPr txBox="1"/>
          </xdr:nvSpPr>
          <xdr:spPr>
            <a:xfrm>
              <a:off x="4359482" y="4901355"/>
              <a:ext cx="1328504" cy="3096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</a:rPr>
                <a:t>𝒖=〖𝒂𝒓𝒈 (𝐦𝐚𝐱)┬(𝒋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∈𝑷)〗⁡〖𝝎_</a:t>
              </a:r>
              <a:r>
                <a:rPr lang="en-US" sz="1400" b="1" i="0">
                  <a:latin typeface="Cambria Math" panose="02040503050406030204" pitchFamily="18" charset="0"/>
                </a:rPr>
                <a:t>𝒋 〗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9</xdr:col>
      <xdr:colOff>262467</xdr:colOff>
      <xdr:row>25</xdr:row>
      <xdr:rowOff>16934</xdr:rowOff>
    </xdr:from>
    <xdr:ext cx="3956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438BBC6D-B92C-4FD5-BFBD-43800F299498}"/>
                </a:ext>
              </a:extLst>
            </xdr:cNvPr>
            <xdr:cNvSpPr txBox="1"/>
          </xdr:nvSpPr>
          <xdr:spPr>
            <a:xfrm>
              <a:off x="949790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438BBC6D-B92C-4FD5-BFBD-43800F299498}"/>
                </a:ext>
              </a:extLst>
            </xdr:cNvPr>
            <xdr:cNvSpPr txBox="1"/>
          </xdr:nvSpPr>
          <xdr:spPr>
            <a:xfrm>
              <a:off x="9497907" y="5533814"/>
              <a:ext cx="3956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211665</xdr:colOff>
      <xdr:row>22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D948E69-E01B-4A9A-A348-6787EDD7E10F}"/>
                </a:ext>
              </a:extLst>
            </xdr:cNvPr>
            <xdr:cNvSpPr txBox="1"/>
          </xdr:nvSpPr>
          <xdr:spPr>
            <a:xfrm>
              <a:off x="944710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D948E69-E01B-4A9A-A348-6787EDD7E10F}"/>
                </a:ext>
              </a:extLst>
            </xdr:cNvPr>
            <xdr:cNvSpPr txBox="1"/>
          </xdr:nvSpPr>
          <xdr:spPr>
            <a:xfrm>
              <a:off x="9447105" y="48564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338669</xdr:colOff>
      <xdr:row>22</xdr:row>
      <xdr:rowOff>25401</xdr:rowOff>
    </xdr:from>
    <xdr:ext cx="44493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92DE0F4-5D7B-41D3-8933-D4B562A0C87D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92DE0F4-5D7B-41D3-8933-D4B562A0C87D}"/>
                </a:ext>
              </a:extLst>
            </xdr:cNvPr>
            <xdr:cNvSpPr txBox="1"/>
          </xdr:nvSpPr>
          <xdr:spPr>
            <a:xfrm>
              <a:off x="1070189" y="4856481"/>
              <a:ext cx="44493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321735</xdr:colOff>
      <xdr:row>23</xdr:row>
      <xdr:rowOff>25401</xdr:rowOff>
    </xdr:from>
    <xdr:ext cx="47455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3B82BE-D250-4564-9847-47EE73BDDF84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3B82BE-D250-4564-9847-47EE73BDDF84}"/>
                </a:ext>
              </a:extLst>
            </xdr:cNvPr>
            <xdr:cNvSpPr txBox="1"/>
          </xdr:nvSpPr>
          <xdr:spPr>
            <a:xfrm>
              <a:off x="1053255" y="5085081"/>
              <a:ext cx="47455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296327</xdr:colOff>
      <xdr:row>21</xdr:row>
      <xdr:rowOff>182033</xdr:rowOff>
    </xdr:from>
    <xdr:ext cx="343427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FE4754-356A-4A28-9280-58398BF596D2}"/>
                </a:ext>
              </a:extLst>
            </xdr:cNvPr>
            <xdr:cNvSpPr txBox="1"/>
          </xdr:nvSpPr>
          <xdr:spPr>
            <a:xfrm>
              <a:off x="1229782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𝜶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CFE4754-356A-4A28-9280-58398BF596D2}"/>
                </a:ext>
              </a:extLst>
            </xdr:cNvPr>
            <xdr:cNvSpPr txBox="1"/>
          </xdr:nvSpPr>
          <xdr:spPr>
            <a:xfrm>
              <a:off x="12297827" y="4814993"/>
              <a:ext cx="343427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𝜶=</a:t>
              </a:r>
            </a:p>
          </xdr:txBody>
        </xdr:sp>
      </mc:Fallback>
    </mc:AlternateContent>
    <xdr:clientData/>
  </xdr:oneCellAnchor>
  <xdr:oneCellAnchor>
    <xdr:from>
      <xdr:col>4</xdr:col>
      <xdr:colOff>253999</xdr:colOff>
      <xdr:row>24</xdr:row>
      <xdr:rowOff>16934</xdr:rowOff>
    </xdr:from>
    <xdr:ext cx="4267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7019178-3276-48AD-B2F3-10AE57E2A686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7019178-3276-48AD-B2F3-10AE57E2A686}"/>
                </a:ext>
              </a:extLst>
            </xdr:cNvPr>
            <xdr:cNvSpPr txBox="1"/>
          </xdr:nvSpPr>
          <xdr:spPr>
            <a:xfrm>
              <a:off x="4330699" y="5305214"/>
              <a:ext cx="4267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338669</xdr:colOff>
      <xdr:row>25</xdr:row>
      <xdr:rowOff>16934</xdr:rowOff>
    </xdr:from>
    <xdr:ext cx="28559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9521997-AC83-4020-BA6F-E439E81325DD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89521997-AC83-4020-BA6F-E439E81325DD}"/>
                </a:ext>
              </a:extLst>
            </xdr:cNvPr>
            <xdr:cNvSpPr txBox="1"/>
          </xdr:nvSpPr>
          <xdr:spPr>
            <a:xfrm>
              <a:off x="4415369" y="5533814"/>
              <a:ext cx="28559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224368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4399486C-936D-4CA6-B543-7F9CC0FA7BE3}"/>
                </a:ext>
              </a:extLst>
            </xdr:cNvPr>
            <xdr:cNvSpPr txBox="1"/>
          </xdr:nvSpPr>
          <xdr:spPr>
            <a:xfrm>
              <a:off x="1231476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4399486C-936D-4CA6-B543-7F9CC0FA7BE3}"/>
                </a:ext>
              </a:extLst>
            </xdr:cNvPr>
            <xdr:cNvSpPr txBox="1"/>
          </xdr:nvSpPr>
          <xdr:spPr>
            <a:xfrm>
              <a:off x="12314761" y="5284048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12</xdr:col>
      <xdr:colOff>313261</xdr:colOff>
      <xdr:row>23</xdr:row>
      <xdr:rowOff>4235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16F045E-A0F2-49EF-BD02-7CCA903F7397}"/>
                </a:ext>
              </a:extLst>
            </xdr:cNvPr>
            <xdr:cNvSpPr txBox="1"/>
          </xdr:nvSpPr>
          <xdr:spPr>
            <a:xfrm>
              <a:off x="1231476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B16F045E-A0F2-49EF-BD02-7CCA903F7397}"/>
                </a:ext>
              </a:extLst>
            </xdr:cNvPr>
            <xdr:cNvSpPr txBox="1"/>
          </xdr:nvSpPr>
          <xdr:spPr>
            <a:xfrm>
              <a:off x="12314761" y="5063915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9</xdr:col>
      <xdr:colOff>313269</xdr:colOff>
      <xdr:row>24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04DE43BD-A527-49E4-AE4A-F9D7E56A4255}"/>
                </a:ext>
              </a:extLst>
            </xdr:cNvPr>
            <xdr:cNvSpPr txBox="1"/>
          </xdr:nvSpPr>
          <xdr:spPr>
            <a:xfrm>
              <a:off x="954870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04DE43BD-A527-49E4-AE4A-F9D7E56A4255}"/>
                </a:ext>
              </a:extLst>
            </xdr:cNvPr>
            <xdr:cNvSpPr txBox="1"/>
          </xdr:nvSpPr>
          <xdr:spPr>
            <a:xfrm>
              <a:off x="9548709" y="531368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8459</xdr:colOff>
      <xdr:row>24</xdr:row>
      <xdr:rowOff>16934</xdr:rowOff>
    </xdr:from>
    <xdr:ext cx="103496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4146674-E884-41BA-87C5-81430C613C13}"/>
                </a:ext>
              </a:extLst>
            </xdr:cNvPr>
            <xdr:cNvSpPr txBox="1"/>
          </xdr:nvSpPr>
          <xdr:spPr>
            <a:xfrm>
              <a:off x="10117659" y="5308601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4146674-E884-41BA-87C5-81430C613C13}"/>
                </a:ext>
              </a:extLst>
            </xdr:cNvPr>
            <xdr:cNvSpPr txBox="1"/>
          </xdr:nvSpPr>
          <xdr:spPr>
            <a:xfrm>
              <a:off x="10117659" y="5308601"/>
              <a:ext cx="103496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118531</xdr:colOff>
      <xdr:row>22</xdr:row>
      <xdr:rowOff>25401</xdr:rowOff>
    </xdr:from>
    <xdr:ext cx="785921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F2DC000-FACD-4974-9055-490F7CF7DC7A}"/>
                </a:ext>
              </a:extLst>
            </xdr:cNvPr>
            <xdr:cNvSpPr txBox="1"/>
          </xdr:nvSpPr>
          <xdr:spPr>
            <a:xfrm>
              <a:off x="10227731" y="4859868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F2DC000-FACD-4974-9055-490F7CF7DC7A}"/>
                </a:ext>
              </a:extLst>
            </xdr:cNvPr>
            <xdr:cNvSpPr txBox="1"/>
          </xdr:nvSpPr>
          <xdr:spPr>
            <a:xfrm>
              <a:off x="10227731" y="4859868"/>
              <a:ext cx="785921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169340</xdr:colOff>
      <xdr:row>23</xdr:row>
      <xdr:rowOff>21170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21F8BDEC-55BC-4BC9-B22F-23DCB5355102}"/>
                </a:ext>
              </a:extLst>
            </xdr:cNvPr>
            <xdr:cNvSpPr txBox="1"/>
          </xdr:nvSpPr>
          <xdr:spPr>
            <a:xfrm>
              <a:off x="940478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21F8BDEC-55BC-4BC9-B22F-23DCB5355102}"/>
                </a:ext>
              </a:extLst>
            </xdr:cNvPr>
            <xdr:cNvSpPr txBox="1"/>
          </xdr:nvSpPr>
          <xdr:spPr>
            <a:xfrm>
              <a:off x="9404780" y="5080850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423340</xdr:colOff>
      <xdr:row>30</xdr:row>
      <xdr:rowOff>4236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F3D58DE-1332-49D0-80A8-14AA2024024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F3D58DE-1332-49D0-80A8-14AA20240248}"/>
                </a:ext>
              </a:extLst>
            </xdr:cNvPr>
            <xdr:cNvSpPr txBox="1"/>
          </xdr:nvSpPr>
          <xdr:spPr>
            <a:xfrm>
              <a:off x="3075100" y="6526956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"(" 𝒂_𝒕𝟏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397934</xdr:colOff>
      <xdr:row>30</xdr:row>
      <xdr:rowOff>12702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0253EC9-443D-4ACF-94B3-174254D0B5BF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0253EC9-443D-4ACF-94B3-174254D0B5BF}"/>
                </a:ext>
              </a:extLst>
            </xdr:cNvPr>
            <xdr:cNvSpPr txBox="1"/>
          </xdr:nvSpPr>
          <xdr:spPr>
            <a:xfrm>
              <a:off x="5381414" y="6535422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31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04097D6D-41A5-4667-A7DA-52FEA23E222D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04097D6D-41A5-4667-A7DA-52FEA23E222D}"/>
                </a:ext>
              </a:extLst>
            </xdr:cNvPr>
            <xdr:cNvSpPr txBox="1"/>
          </xdr:nvSpPr>
          <xdr:spPr>
            <a:xfrm>
              <a:off x="242993" y="6768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7DEDF48-F2D2-41E8-9155-ECBE342829C7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7DEDF48-F2D2-41E8-9155-ECBE342829C7}"/>
                </a:ext>
              </a:extLst>
            </xdr:cNvPr>
            <xdr:cNvSpPr txBox="1"/>
          </xdr:nvSpPr>
          <xdr:spPr>
            <a:xfrm>
              <a:off x="243840" y="69985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1BED80-A345-4AD8-BA79-ABDE3132C305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F11BED80-A345-4AD8-BA79-ABDE3132C305}"/>
                </a:ext>
              </a:extLst>
            </xdr:cNvPr>
            <xdr:cNvSpPr txBox="1"/>
          </xdr:nvSpPr>
          <xdr:spPr>
            <a:xfrm>
              <a:off x="243840" y="72263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8595757-88EE-41CD-9D57-A8A89F9ACC66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8595757-88EE-41CD-9D57-A8A89F9ACC66}"/>
                </a:ext>
              </a:extLst>
            </xdr:cNvPr>
            <xdr:cNvSpPr txBox="1"/>
          </xdr:nvSpPr>
          <xdr:spPr>
            <a:xfrm>
              <a:off x="243840" y="7453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8AE7954-BAD5-430F-A30F-37ED0CF9ADA6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8AE7954-BAD5-430F-A30F-37ED0CF9ADA6}"/>
                </a:ext>
              </a:extLst>
            </xdr:cNvPr>
            <xdr:cNvSpPr txBox="1"/>
          </xdr:nvSpPr>
          <xdr:spPr>
            <a:xfrm>
              <a:off x="243840" y="76818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37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403B2F4-70D4-43C2-8D8E-951ADA8F4493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2403B2F4-70D4-43C2-8D8E-951ADA8F4493}"/>
                </a:ext>
              </a:extLst>
            </xdr:cNvPr>
            <xdr:cNvSpPr txBox="1"/>
          </xdr:nvSpPr>
          <xdr:spPr>
            <a:xfrm>
              <a:off x="236220" y="8139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0FBCBE8-4C86-4B92-A4C6-01C26A9627B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E0FBCBE8-4C86-4B92-A4C6-01C26A9627BA}"/>
                </a:ext>
              </a:extLst>
            </xdr:cNvPr>
            <xdr:cNvSpPr txBox="1"/>
          </xdr:nvSpPr>
          <xdr:spPr>
            <a:xfrm>
              <a:off x="228600" y="8368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39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F0BB78-6C38-4D02-B7A1-549F4CEB7431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8F0BB78-6C38-4D02-B7A1-549F4CEB7431}"/>
                </a:ext>
              </a:extLst>
            </xdr:cNvPr>
            <xdr:cNvSpPr txBox="1"/>
          </xdr:nvSpPr>
          <xdr:spPr>
            <a:xfrm>
              <a:off x="228600" y="85970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40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ED2CD3E-9C74-4F67-B0C0-039F6C967D3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ED2CD3E-9C74-4F67-B0C0-039F6C967D32}"/>
                </a:ext>
              </a:extLst>
            </xdr:cNvPr>
            <xdr:cNvSpPr txBox="1"/>
          </xdr:nvSpPr>
          <xdr:spPr>
            <a:xfrm>
              <a:off x="220980" y="88256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36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B7B938D-D258-4B2C-BE86-D34D90DF4204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CB7B938D-D258-4B2C-BE86-D34D90DF4204}"/>
                </a:ext>
              </a:extLst>
            </xdr:cNvPr>
            <xdr:cNvSpPr txBox="1"/>
          </xdr:nvSpPr>
          <xdr:spPr>
            <a:xfrm>
              <a:off x="243840" y="7910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30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216133C3-04D4-432E-AEE8-81C09A855329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216133C3-04D4-432E-AEE8-81C09A855329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31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D8E68B8-CF7F-4FD3-8DC5-14B417073F1B}"/>
                </a:ext>
              </a:extLst>
            </xdr:cNvPr>
            <xdr:cNvSpPr txBox="1"/>
          </xdr:nvSpPr>
          <xdr:spPr>
            <a:xfrm>
              <a:off x="1534582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7D8E68B8-CF7F-4FD3-8DC5-14B417073F1B}"/>
                </a:ext>
              </a:extLst>
            </xdr:cNvPr>
            <xdr:cNvSpPr txBox="1"/>
          </xdr:nvSpPr>
          <xdr:spPr>
            <a:xfrm>
              <a:off x="15345826" y="68740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30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DDB29B5-6B00-4B96-8183-FDB0E0A3A685}"/>
                </a:ext>
              </a:extLst>
            </xdr:cNvPr>
            <xdr:cNvSpPr txBox="1"/>
          </xdr:nvSpPr>
          <xdr:spPr>
            <a:xfrm>
              <a:off x="6841903" y="6540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8DDB29B5-6B00-4B96-8183-FDB0E0A3A685}"/>
                </a:ext>
              </a:extLst>
            </xdr:cNvPr>
            <xdr:cNvSpPr txBox="1"/>
          </xdr:nvSpPr>
          <xdr:spPr>
            <a:xfrm>
              <a:off x="6841903" y="6540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355607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9401605-276E-40F5-B638-F866E597414D}"/>
                </a:ext>
              </a:extLst>
            </xdr:cNvPr>
            <xdr:cNvSpPr txBox="1"/>
          </xdr:nvSpPr>
          <xdr:spPr>
            <a:xfrm>
              <a:off x="830326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39401605-276E-40F5-B638-F866E597414D}"/>
                </a:ext>
              </a:extLst>
            </xdr:cNvPr>
            <xdr:cNvSpPr txBox="1"/>
          </xdr:nvSpPr>
          <xdr:spPr>
            <a:xfrm>
              <a:off x="8303267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30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E3EFA4C-538C-4E38-BDB1-0BE7833253FA}"/>
                </a:ext>
              </a:extLst>
            </xdr:cNvPr>
            <xdr:cNvSpPr txBox="1"/>
          </xdr:nvSpPr>
          <xdr:spPr>
            <a:xfrm>
              <a:off x="944711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FE3EFA4C-538C-4E38-BDB1-0BE7833253FA}"/>
                </a:ext>
              </a:extLst>
            </xdr:cNvPr>
            <xdr:cNvSpPr txBox="1"/>
          </xdr:nvSpPr>
          <xdr:spPr>
            <a:xfrm>
              <a:off x="9447111" y="65438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84671</xdr:colOff>
      <xdr:row>30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E840982-26A5-4329-A903-AB02F8F6419C}"/>
                </a:ext>
              </a:extLst>
            </xdr:cNvPr>
            <xdr:cNvSpPr txBox="1"/>
          </xdr:nvSpPr>
          <xdr:spPr>
            <a:xfrm>
              <a:off x="1019641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E840982-26A5-4329-A903-AB02F8F6419C}"/>
                </a:ext>
              </a:extLst>
            </xdr:cNvPr>
            <xdr:cNvSpPr txBox="1"/>
          </xdr:nvSpPr>
          <xdr:spPr>
            <a:xfrm>
              <a:off x="10196411" y="65438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84671</xdr:colOff>
      <xdr:row>30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3FC445CA-F9E5-4C9E-AE3D-C581665040E8}"/>
                </a:ext>
              </a:extLst>
            </xdr:cNvPr>
            <xdr:cNvSpPr txBox="1"/>
          </xdr:nvSpPr>
          <xdr:spPr>
            <a:xfrm>
              <a:off x="1114129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3FC445CA-F9E5-4C9E-AE3D-C581665040E8}"/>
                </a:ext>
              </a:extLst>
            </xdr:cNvPr>
            <xdr:cNvSpPr txBox="1"/>
          </xdr:nvSpPr>
          <xdr:spPr>
            <a:xfrm>
              <a:off x="11141291" y="65438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389481</xdr:colOff>
      <xdr:row>30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1338947-529E-4832-BB23-08AE11C289AD}"/>
                </a:ext>
              </a:extLst>
            </xdr:cNvPr>
            <xdr:cNvSpPr txBox="1"/>
          </xdr:nvSpPr>
          <xdr:spPr>
            <a:xfrm>
              <a:off x="1239098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91338947-529E-4832-BB23-08AE11C289AD}"/>
                </a:ext>
              </a:extLst>
            </xdr:cNvPr>
            <xdr:cNvSpPr txBox="1"/>
          </xdr:nvSpPr>
          <xdr:spPr>
            <a:xfrm>
              <a:off x="12390981" y="65354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364080</xdr:colOff>
      <xdr:row>30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4CF9C13-0B50-4AD0-9AEC-E98D8509974D}"/>
                </a:ext>
              </a:extLst>
            </xdr:cNvPr>
            <xdr:cNvSpPr txBox="1"/>
          </xdr:nvSpPr>
          <xdr:spPr>
            <a:xfrm>
              <a:off x="1324188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4CF9C13-0B50-4AD0-9AEC-E98D8509974D}"/>
                </a:ext>
              </a:extLst>
            </xdr:cNvPr>
            <xdr:cNvSpPr txBox="1"/>
          </xdr:nvSpPr>
          <xdr:spPr>
            <a:xfrm>
              <a:off x="13241880" y="65269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524945</xdr:colOff>
      <xdr:row>39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B05B3A20-3AB4-4A64-8F29-A42A3A4B1AF7}"/>
                </a:ext>
              </a:extLst>
            </xdr:cNvPr>
            <xdr:cNvSpPr txBox="1"/>
          </xdr:nvSpPr>
          <xdr:spPr>
            <a:xfrm>
              <a:off x="14427212" y="860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B05B3A20-3AB4-4A64-8F29-A42A3A4B1AF7}"/>
                </a:ext>
              </a:extLst>
            </xdr:cNvPr>
            <xdr:cNvSpPr txBox="1"/>
          </xdr:nvSpPr>
          <xdr:spPr>
            <a:xfrm>
              <a:off x="14427212" y="860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38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B1D91FC-6FEC-4D64-867C-FC510D29BDEE}"/>
                </a:ext>
              </a:extLst>
            </xdr:cNvPr>
            <xdr:cNvSpPr txBox="1"/>
          </xdr:nvSpPr>
          <xdr:spPr>
            <a:xfrm>
              <a:off x="13927668" y="837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4B1D91FC-6FEC-4D64-867C-FC510D29BDEE}"/>
                </a:ext>
              </a:extLst>
            </xdr:cNvPr>
            <xdr:cNvSpPr txBox="1"/>
          </xdr:nvSpPr>
          <xdr:spPr>
            <a:xfrm>
              <a:off x="13927668" y="837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 (𝒂_𝒕𝟏)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118547</xdr:colOff>
      <xdr:row>31</xdr:row>
      <xdr:rowOff>21169</xdr:rowOff>
    </xdr:from>
    <xdr:ext cx="47731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8D64032B-9D3B-4E3A-8F81-AEB2222D3AC5}"/>
                </a:ext>
              </a:extLst>
            </xdr:cNvPr>
            <xdr:cNvSpPr txBox="1"/>
          </xdr:nvSpPr>
          <xdr:spPr>
            <a:xfrm>
              <a:off x="1660822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8D64032B-9D3B-4E3A-8F81-AEB2222D3AC5}"/>
                </a:ext>
              </a:extLst>
            </xdr:cNvPr>
            <xdr:cNvSpPr txBox="1"/>
          </xdr:nvSpPr>
          <xdr:spPr>
            <a:xfrm>
              <a:off x="16608227" y="6772489"/>
              <a:ext cx="47731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32</xdr:row>
      <xdr:rowOff>12702</xdr:rowOff>
    </xdr:from>
    <xdr:ext cx="32425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D990392-75E0-44B0-8266-330B80FAD3C8}"/>
                </a:ext>
              </a:extLst>
            </xdr:cNvPr>
            <xdr:cNvSpPr txBox="1"/>
          </xdr:nvSpPr>
          <xdr:spPr>
            <a:xfrm>
              <a:off x="1669289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𝒖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8D990392-75E0-44B0-8266-330B80FAD3C8}"/>
                </a:ext>
              </a:extLst>
            </xdr:cNvPr>
            <xdr:cNvSpPr txBox="1"/>
          </xdr:nvSpPr>
          <xdr:spPr>
            <a:xfrm>
              <a:off x="16692897" y="6992622"/>
              <a:ext cx="32425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𝒖=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17</xdr:col>
      <xdr:colOff>203217</xdr:colOff>
      <xdr:row>33</xdr:row>
      <xdr:rowOff>12702</xdr:rowOff>
    </xdr:from>
    <xdr:ext cx="31797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22E1C06-63C5-4622-8918-68C485FC9C01}"/>
                </a:ext>
              </a:extLst>
            </xdr:cNvPr>
            <xdr:cNvSpPr txBox="1"/>
          </xdr:nvSpPr>
          <xdr:spPr>
            <a:xfrm>
              <a:off x="1669289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222E1C06-63C5-4622-8918-68C485FC9C01}"/>
                </a:ext>
              </a:extLst>
            </xdr:cNvPr>
            <xdr:cNvSpPr txBox="1"/>
          </xdr:nvSpPr>
          <xdr:spPr>
            <a:xfrm>
              <a:off x="16692897" y="7221222"/>
              <a:ext cx="31797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 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575742</xdr:colOff>
      <xdr:row>24</xdr:row>
      <xdr:rowOff>12699</xdr:rowOff>
    </xdr:from>
    <xdr:ext cx="714106" cy="20159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5421F2CE-9642-4B10-B0BF-BC960B4CB58E}"/>
                </a:ext>
              </a:extLst>
            </xdr:cNvPr>
            <xdr:cNvSpPr txBox="1"/>
          </xdr:nvSpPr>
          <xdr:spPr>
            <a:xfrm>
              <a:off x="6510875" y="5304366"/>
              <a:ext cx="71410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d>
                      <m:d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sub>
                          <m:sup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𝟏𝟑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5421F2CE-9642-4B10-B0BF-BC960B4CB58E}"/>
                </a:ext>
              </a:extLst>
            </xdr:cNvPr>
            <xdr:cNvSpPr txBox="1"/>
          </xdr:nvSpPr>
          <xdr:spPr>
            <a:xfrm>
              <a:off x="6510875" y="5304366"/>
              <a:ext cx="714106" cy="2015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457208</xdr:colOff>
      <xdr:row>45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9BDAB6C1-6402-40CA-A80F-E08B2053FC5F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9BDAB6C1-6402-40CA-A80F-E08B2053FC5F}"/>
                </a:ext>
              </a:extLst>
            </xdr:cNvPr>
            <xdr:cNvSpPr txBox="1"/>
          </xdr:nvSpPr>
          <xdr:spPr>
            <a:xfrm>
              <a:off x="3108968" y="9827263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"(" 𝒂_𝒕𝟐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45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B02585A-1CFC-4FCF-83C4-539A780D02DF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0B02585A-1CFC-4FCF-83C4-539A780D02DF}"/>
                </a:ext>
              </a:extLst>
            </xdr:cNvPr>
            <xdr:cNvSpPr txBox="1"/>
          </xdr:nvSpPr>
          <xdr:spPr>
            <a:xfrm>
              <a:off x="5415282" y="98357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46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A6277152-B7AA-4B8B-B623-A72B2D825F71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A6277152-B7AA-4B8B-B623-A72B2D825F71}"/>
                </a:ext>
              </a:extLst>
            </xdr:cNvPr>
            <xdr:cNvSpPr txBox="1"/>
          </xdr:nvSpPr>
          <xdr:spPr>
            <a:xfrm>
              <a:off x="242993" y="10060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1A7F3-02D6-41C0-93B9-5D91D3402B31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1A7F3-02D6-41C0-93B9-5D91D3402B31}"/>
                </a:ext>
              </a:extLst>
            </xdr:cNvPr>
            <xdr:cNvSpPr txBox="1"/>
          </xdr:nvSpPr>
          <xdr:spPr>
            <a:xfrm>
              <a:off x="243840" y="102903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09EB62-79AA-446B-9631-E12DFEE74289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6F09EB62-79AA-446B-9631-E12DFEE74289}"/>
                </a:ext>
              </a:extLst>
            </xdr:cNvPr>
            <xdr:cNvSpPr txBox="1"/>
          </xdr:nvSpPr>
          <xdr:spPr>
            <a:xfrm>
              <a:off x="243840" y="105181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49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977DE84-236C-4DF2-9E80-720939939A83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B977DE84-236C-4DF2-9E80-720939939A83}"/>
                </a:ext>
              </a:extLst>
            </xdr:cNvPr>
            <xdr:cNvSpPr txBox="1"/>
          </xdr:nvSpPr>
          <xdr:spPr>
            <a:xfrm>
              <a:off x="243840" y="10745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7A198A5-3B47-4757-9B1B-80ED3E012ADB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7A198A5-3B47-4757-9B1B-80ED3E012ADB}"/>
                </a:ext>
              </a:extLst>
            </xdr:cNvPr>
            <xdr:cNvSpPr txBox="1"/>
          </xdr:nvSpPr>
          <xdr:spPr>
            <a:xfrm>
              <a:off x="243840" y="109736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52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7F51CF34-50CF-4A99-8AA1-D0F80ED37707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7F51CF34-50CF-4A99-8AA1-D0F80ED37707}"/>
                </a:ext>
              </a:extLst>
            </xdr:cNvPr>
            <xdr:cNvSpPr txBox="1"/>
          </xdr:nvSpPr>
          <xdr:spPr>
            <a:xfrm>
              <a:off x="236220" y="11430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800CBF1-11F0-442B-A095-EE94FCF83B79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0800CBF1-11F0-442B-A095-EE94FCF83B79}"/>
                </a:ext>
              </a:extLst>
            </xdr:cNvPr>
            <xdr:cNvSpPr txBox="1"/>
          </xdr:nvSpPr>
          <xdr:spPr>
            <a:xfrm>
              <a:off x="228600" y="11660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54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69988415-7550-4336-82CA-E5F53F9F48A3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69988415-7550-4336-82CA-E5F53F9F48A3}"/>
                </a:ext>
              </a:extLst>
            </xdr:cNvPr>
            <xdr:cNvSpPr txBox="1"/>
          </xdr:nvSpPr>
          <xdr:spPr>
            <a:xfrm>
              <a:off x="228600" y="118888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55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84B0579-BDC7-48B7-97B3-AAC53888D99B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84B0579-BDC7-48B7-97B3-AAC53888D99B}"/>
                </a:ext>
              </a:extLst>
            </xdr:cNvPr>
            <xdr:cNvSpPr txBox="1"/>
          </xdr:nvSpPr>
          <xdr:spPr>
            <a:xfrm>
              <a:off x="220980" y="121174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51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754A8C12-5875-45CC-859C-689630EDDE16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754A8C12-5875-45CC-859C-689630EDDE16}"/>
                </a:ext>
              </a:extLst>
            </xdr:cNvPr>
            <xdr:cNvSpPr txBox="1"/>
          </xdr:nvSpPr>
          <xdr:spPr>
            <a:xfrm>
              <a:off x="243840" y="11202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11D8537-96AE-4239-B285-79EB79653D75}"/>
                </a:ext>
              </a:extLst>
            </xdr:cNvPr>
            <xdr:cNvSpPr txBox="1"/>
          </xdr:nvSpPr>
          <xdr:spPr>
            <a:xfrm>
              <a:off x="834560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11D8537-96AE-4239-B285-79EB79653D75}"/>
                </a:ext>
              </a:extLst>
            </xdr:cNvPr>
            <xdr:cNvSpPr txBox="1"/>
          </xdr:nvSpPr>
          <xdr:spPr>
            <a:xfrm>
              <a:off x="8345604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45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6ED17DF-66F7-472A-BAE0-4AD7F1F631E1}"/>
                </a:ext>
              </a:extLst>
            </xdr:cNvPr>
            <xdr:cNvSpPr txBox="1"/>
          </xdr:nvSpPr>
          <xdr:spPr>
            <a:xfrm>
              <a:off x="944711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6ED17DF-66F7-472A-BAE0-4AD7F1F631E1}"/>
                </a:ext>
              </a:extLst>
            </xdr:cNvPr>
            <xdr:cNvSpPr txBox="1"/>
          </xdr:nvSpPr>
          <xdr:spPr>
            <a:xfrm>
              <a:off x="9447111" y="98357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45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17EB3D4-F880-4C95-8F21-23F9406E327E}"/>
                </a:ext>
              </a:extLst>
            </xdr:cNvPr>
            <xdr:cNvSpPr txBox="1"/>
          </xdr:nvSpPr>
          <xdr:spPr>
            <a:xfrm>
              <a:off x="1017101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F17EB3D4-F880-4C95-8F21-23F9406E327E}"/>
                </a:ext>
              </a:extLst>
            </xdr:cNvPr>
            <xdr:cNvSpPr txBox="1"/>
          </xdr:nvSpPr>
          <xdr:spPr>
            <a:xfrm>
              <a:off x="10171010" y="98357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45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3F234AD-CF94-4457-A693-554104E302C9}"/>
                </a:ext>
              </a:extLst>
            </xdr:cNvPr>
            <xdr:cNvSpPr txBox="1"/>
          </xdr:nvSpPr>
          <xdr:spPr>
            <a:xfrm>
              <a:off x="1111589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3F234AD-CF94-4457-A693-554104E302C9}"/>
                </a:ext>
              </a:extLst>
            </xdr:cNvPr>
            <xdr:cNvSpPr txBox="1"/>
          </xdr:nvSpPr>
          <xdr:spPr>
            <a:xfrm>
              <a:off x="11115890" y="98357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45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5BD6988-06E0-402E-8AE8-B6DBF7E22B07}"/>
                </a:ext>
              </a:extLst>
            </xdr:cNvPr>
            <xdr:cNvSpPr txBox="1"/>
          </xdr:nvSpPr>
          <xdr:spPr>
            <a:xfrm>
              <a:off x="1238251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5BD6988-06E0-402E-8AE8-B6DBF7E22B07}"/>
                </a:ext>
              </a:extLst>
            </xdr:cNvPr>
            <xdr:cNvSpPr txBox="1"/>
          </xdr:nvSpPr>
          <xdr:spPr>
            <a:xfrm>
              <a:off x="12382514" y="98272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45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97F2E30-976B-4376-97B9-064AA8B33BDA}"/>
                </a:ext>
              </a:extLst>
            </xdr:cNvPr>
            <xdr:cNvSpPr txBox="1"/>
          </xdr:nvSpPr>
          <xdr:spPr>
            <a:xfrm>
              <a:off x="1323341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597F2E30-976B-4376-97B9-064AA8B33BDA}"/>
                </a:ext>
              </a:extLst>
            </xdr:cNvPr>
            <xdr:cNvSpPr txBox="1"/>
          </xdr:nvSpPr>
          <xdr:spPr>
            <a:xfrm>
              <a:off x="13233413" y="98187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524945</xdr:colOff>
      <xdr:row>54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5D689584-5B01-4B35-835B-9606AA036A42}"/>
                </a:ext>
              </a:extLst>
            </xdr:cNvPr>
            <xdr:cNvSpPr txBox="1"/>
          </xdr:nvSpPr>
          <xdr:spPr>
            <a:xfrm>
              <a:off x="14427212" y="1190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5D689584-5B01-4B35-835B-9606AA036A42}"/>
                </a:ext>
              </a:extLst>
            </xdr:cNvPr>
            <xdr:cNvSpPr txBox="1"/>
          </xdr:nvSpPr>
          <xdr:spPr>
            <a:xfrm>
              <a:off x="14427212" y="1190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25399</xdr:colOff>
      <xdr:row>53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FA3AFB9-E0F0-4AB8-93A7-83C6CDB5D555}"/>
                </a:ext>
              </a:extLst>
            </xdr:cNvPr>
            <xdr:cNvSpPr txBox="1"/>
          </xdr:nvSpPr>
          <xdr:spPr>
            <a:xfrm>
              <a:off x="13927666" y="11675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6FA3AFB9-E0F0-4AB8-93A7-83C6CDB5D555}"/>
                </a:ext>
              </a:extLst>
            </xdr:cNvPr>
            <xdr:cNvSpPr txBox="1"/>
          </xdr:nvSpPr>
          <xdr:spPr>
            <a:xfrm>
              <a:off x="13927666" y="11675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𝜼_𝟐 (𝒂_𝒕𝟐)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60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1929D3E5-4876-4EE1-97A0-6F6E334D4C87}"/>
                </a:ext>
              </a:extLst>
            </xdr:cNvPr>
            <xdr:cNvSpPr txBox="1"/>
          </xdr:nvSpPr>
          <xdr:spPr>
            <a:xfrm>
              <a:off x="3107275" y="13152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1929D3E5-4876-4EE1-97A0-6F6E334D4C87}"/>
                </a:ext>
              </a:extLst>
            </xdr:cNvPr>
            <xdr:cNvSpPr txBox="1"/>
          </xdr:nvSpPr>
          <xdr:spPr>
            <a:xfrm>
              <a:off x="3107275" y="13152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"(" 𝒂_𝒕𝟓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60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5AF3D900-BB5D-4B7A-A3EC-0E6B1AF284BF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5AF3D900-BB5D-4B7A-A3EC-0E6B1AF284BF}"/>
                </a:ext>
              </a:extLst>
            </xdr:cNvPr>
            <xdr:cNvSpPr txBox="1"/>
          </xdr:nvSpPr>
          <xdr:spPr>
            <a:xfrm>
              <a:off x="5415282" y="131275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61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F64ED0D5-A075-4CC6-A432-B87AAD68858B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F64ED0D5-A075-4CC6-A432-B87AAD68858B}"/>
                </a:ext>
              </a:extLst>
            </xdr:cNvPr>
            <xdr:cNvSpPr txBox="1"/>
          </xdr:nvSpPr>
          <xdr:spPr>
            <a:xfrm>
              <a:off x="242993" y="13351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9E6A9DA-F72C-4ECD-98E2-B2FA4744D183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59E6A9DA-F72C-4ECD-98E2-B2FA4744D183}"/>
                </a:ext>
              </a:extLst>
            </xdr:cNvPr>
            <xdr:cNvSpPr txBox="1"/>
          </xdr:nvSpPr>
          <xdr:spPr>
            <a:xfrm>
              <a:off x="243840" y="135822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9BD8412-2D13-41DA-845D-B70569201C00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59BD8412-2D13-41DA-845D-B70569201C00}"/>
                </a:ext>
              </a:extLst>
            </xdr:cNvPr>
            <xdr:cNvSpPr txBox="1"/>
          </xdr:nvSpPr>
          <xdr:spPr>
            <a:xfrm>
              <a:off x="243840" y="138099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5D5DBA3-3C84-4D56-8946-E0137671256B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A5D5DBA3-3C84-4D56-8946-E0137671256B}"/>
                </a:ext>
              </a:extLst>
            </xdr:cNvPr>
            <xdr:cNvSpPr txBox="1"/>
          </xdr:nvSpPr>
          <xdr:spPr>
            <a:xfrm>
              <a:off x="243840" y="14036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E04492B-64A5-4384-8477-17677115200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DE04492B-64A5-4384-8477-17677115200B}"/>
                </a:ext>
              </a:extLst>
            </xdr:cNvPr>
            <xdr:cNvSpPr txBox="1"/>
          </xdr:nvSpPr>
          <xdr:spPr>
            <a:xfrm>
              <a:off x="243840" y="142654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67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0AC97DC-9562-4F03-9E3A-55E5A969E92F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90AC97DC-9562-4F03-9E3A-55E5A969E92F}"/>
                </a:ext>
              </a:extLst>
            </xdr:cNvPr>
            <xdr:cNvSpPr txBox="1"/>
          </xdr:nvSpPr>
          <xdr:spPr>
            <a:xfrm>
              <a:off x="236220" y="14722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B44D16A-A7FA-4A5C-AC16-C7B0C6038911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3B44D16A-A7FA-4A5C-AC16-C7B0C6038911}"/>
                </a:ext>
              </a:extLst>
            </xdr:cNvPr>
            <xdr:cNvSpPr txBox="1"/>
          </xdr:nvSpPr>
          <xdr:spPr>
            <a:xfrm>
              <a:off x="228600" y="14952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69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471B2CF-971B-4D44-AB78-A27DBE3F55B2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A471B2CF-971B-4D44-AB78-A27DBE3F55B2}"/>
                </a:ext>
              </a:extLst>
            </xdr:cNvPr>
            <xdr:cNvSpPr txBox="1"/>
          </xdr:nvSpPr>
          <xdr:spPr>
            <a:xfrm>
              <a:off x="228600" y="151807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70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C22D5D1-E96F-4676-A2AB-16B73B41BE50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2C22D5D1-E96F-4676-A2AB-16B73B41BE50}"/>
                </a:ext>
              </a:extLst>
            </xdr:cNvPr>
            <xdr:cNvSpPr txBox="1"/>
          </xdr:nvSpPr>
          <xdr:spPr>
            <a:xfrm>
              <a:off x="220980" y="154093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66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40520976-AC6B-4204-B996-3D8E9EC9EAB7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40520976-AC6B-4204-B996-3D8E9EC9EAB7}"/>
                </a:ext>
              </a:extLst>
            </xdr:cNvPr>
            <xdr:cNvSpPr txBox="1"/>
          </xdr:nvSpPr>
          <xdr:spPr>
            <a:xfrm>
              <a:off x="243840" y="14494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448746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3B233247-69E5-493E-8920-DA3C508238C2}"/>
                </a:ext>
              </a:extLst>
            </xdr:cNvPr>
            <xdr:cNvSpPr txBox="1"/>
          </xdr:nvSpPr>
          <xdr:spPr>
            <a:xfrm>
              <a:off x="8627546" y="1316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3B233247-69E5-493E-8920-DA3C508238C2}"/>
                </a:ext>
              </a:extLst>
            </xdr:cNvPr>
            <xdr:cNvSpPr txBox="1"/>
          </xdr:nvSpPr>
          <xdr:spPr>
            <a:xfrm>
              <a:off x="8627546" y="13161436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60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AA0FC93-3B5B-44FE-A6B0-3298423A9089}"/>
                </a:ext>
              </a:extLst>
            </xdr:cNvPr>
            <xdr:cNvSpPr txBox="1"/>
          </xdr:nvSpPr>
          <xdr:spPr>
            <a:xfrm>
              <a:off x="944711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AA0FC93-3B5B-44FE-A6B0-3298423A9089}"/>
                </a:ext>
              </a:extLst>
            </xdr:cNvPr>
            <xdr:cNvSpPr txBox="1"/>
          </xdr:nvSpPr>
          <xdr:spPr>
            <a:xfrm>
              <a:off x="9447111" y="131275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60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1F3B545-372E-4777-A8DE-76A9E32876F2}"/>
                </a:ext>
              </a:extLst>
            </xdr:cNvPr>
            <xdr:cNvSpPr txBox="1"/>
          </xdr:nvSpPr>
          <xdr:spPr>
            <a:xfrm>
              <a:off x="1017101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11F3B545-372E-4777-A8DE-76A9E32876F2}"/>
                </a:ext>
              </a:extLst>
            </xdr:cNvPr>
            <xdr:cNvSpPr txBox="1"/>
          </xdr:nvSpPr>
          <xdr:spPr>
            <a:xfrm>
              <a:off x="10171010" y="131275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60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ECF40877-6CA0-4665-A834-0C9399D1E9E9}"/>
                </a:ext>
              </a:extLst>
            </xdr:cNvPr>
            <xdr:cNvSpPr txBox="1"/>
          </xdr:nvSpPr>
          <xdr:spPr>
            <a:xfrm>
              <a:off x="1111589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ECF40877-6CA0-4665-A834-0C9399D1E9E9}"/>
                </a:ext>
              </a:extLst>
            </xdr:cNvPr>
            <xdr:cNvSpPr txBox="1"/>
          </xdr:nvSpPr>
          <xdr:spPr>
            <a:xfrm>
              <a:off x="11115890" y="131275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60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3254749-E85C-4ED7-A4F2-CE51FF9E1E95}"/>
                </a:ext>
              </a:extLst>
            </xdr:cNvPr>
            <xdr:cNvSpPr txBox="1"/>
          </xdr:nvSpPr>
          <xdr:spPr>
            <a:xfrm>
              <a:off x="1238251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A3254749-E85C-4ED7-A4F2-CE51FF9E1E95}"/>
                </a:ext>
              </a:extLst>
            </xdr:cNvPr>
            <xdr:cNvSpPr txBox="1"/>
          </xdr:nvSpPr>
          <xdr:spPr>
            <a:xfrm>
              <a:off x="12382514" y="131191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60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9D1D061-B80A-44FB-8936-B85E59CAE7C7}"/>
                </a:ext>
              </a:extLst>
            </xdr:cNvPr>
            <xdr:cNvSpPr txBox="1"/>
          </xdr:nvSpPr>
          <xdr:spPr>
            <a:xfrm>
              <a:off x="1323341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79D1D061-B80A-44FB-8936-B85E59CAE7C7}"/>
                </a:ext>
              </a:extLst>
            </xdr:cNvPr>
            <xdr:cNvSpPr txBox="1"/>
          </xdr:nvSpPr>
          <xdr:spPr>
            <a:xfrm>
              <a:off x="13233413" y="131106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550349</xdr:colOff>
      <xdr:row>69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9BFB057D-75FF-49E2-AA41-E540A34FBA1F}"/>
                </a:ext>
              </a:extLst>
            </xdr:cNvPr>
            <xdr:cNvSpPr txBox="1"/>
          </xdr:nvSpPr>
          <xdr:spPr>
            <a:xfrm>
              <a:off x="14452616" y="1521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9BFB057D-75FF-49E2-AA41-E540A34FBA1F}"/>
                </a:ext>
              </a:extLst>
            </xdr:cNvPr>
            <xdr:cNvSpPr txBox="1"/>
          </xdr:nvSpPr>
          <xdr:spPr>
            <a:xfrm>
              <a:off x="14452616" y="1521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68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7F70A2-CAA2-499C-9243-F96B01BCDDCB}"/>
                </a:ext>
              </a:extLst>
            </xdr:cNvPr>
            <xdr:cNvSpPr txBox="1"/>
          </xdr:nvSpPr>
          <xdr:spPr>
            <a:xfrm>
              <a:off x="13927668" y="14977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B67F70A2-CAA2-499C-9243-F96B01BCDDCB}"/>
                </a:ext>
              </a:extLst>
            </xdr:cNvPr>
            <xdr:cNvSpPr txBox="1"/>
          </xdr:nvSpPr>
          <xdr:spPr>
            <a:xfrm>
              <a:off x="13927668" y="14977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𝜼_𝟓 (𝒂_𝒕𝟓)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75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57F1DF06-2EB9-47EC-BEC2-536B95F436CC}"/>
                </a:ext>
              </a:extLst>
            </xdr:cNvPr>
            <xdr:cNvSpPr txBox="1"/>
          </xdr:nvSpPr>
          <xdr:spPr>
            <a:xfrm>
              <a:off x="3107275" y="16454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57F1DF06-2EB9-47EC-BEC2-536B95F436CC}"/>
                </a:ext>
              </a:extLst>
            </xdr:cNvPr>
            <xdr:cNvSpPr txBox="1"/>
          </xdr:nvSpPr>
          <xdr:spPr>
            <a:xfrm>
              <a:off x="3107275" y="16454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"(" 𝒂_𝒕𝟕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973B04F-9EAB-405D-9720-0758BCE8317C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C973B04F-9EAB-405D-9720-0758BCE8317C}"/>
                </a:ext>
              </a:extLst>
            </xdr:cNvPr>
            <xdr:cNvSpPr txBox="1"/>
          </xdr:nvSpPr>
          <xdr:spPr>
            <a:xfrm>
              <a:off x="5415282" y="16419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BA3F780A-6F3E-4B50-8DFD-9F7B845720F1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BA3F780A-6F3E-4B50-8DFD-9F7B845720F1}"/>
                </a:ext>
              </a:extLst>
            </xdr:cNvPr>
            <xdr:cNvSpPr txBox="1"/>
          </xdr:nvSpPr>
          <xdr:spPr>
            <a:xfrm>
              <a:off x="242993" y="16643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483293BF-CE43-45DC-B1C1-9F72D5701A3A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483293BF-CE43-45DC-B1C1-9F72D5701A3A}"/>
                </a:ext>
              </a:extLst>
            </xdr:cNvPr>
            <xdr:cNvSpPr txBox="1"/>
          </xdr:nvSpPr>
          <xdr:spPr>
            <a:xfrm>
              <a:off x="243840" y="16874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D8EF40A-2F16-4B8F-93B3-D3EEA45E3C73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DD8EF40A-2F16-4B8F-93B3-D3EEA45E3C73}"/>
                </a:ext>
              </a:extLst>
            </xdr:cNvPr>
            <xdr:cNvSpPr txBox="1"/>
          </xdr:nvSpPr>
          <xdr:spPr>
            <a:xfrm>
              <a:off x="243840" y="17101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69CA232-8778-427D-8F9F-BD5091A8DA1F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969CA232-8778-427D-8F9F-BD5091A8DA1F}"/>
                </a:ext>
              </a:extLst>
            </xdr:cNvPr>
            <xdr:cNvSpPr txBox="1"/>
          </xdr:nvSpPr>
          <xdr:spPr>
            <a:xfrm>
              <a:off x="243840" y="17328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A71C4BB-1183-475A-80BA-BFBC0A15B0E1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CA71C4BB-1183-475A-80BA-BFBC0A15B0E1}"/>
                </a:ext>
              </a:extLst>
            </xdr:cNvPr>
            <xdr:cNvSpPr txBox="1"/>
          </xdr:nvSpPr>
          <xdr:spPr>
            <a:xfrm>
              <a:off x="243840" y="17557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C5218FE-AD4C-4208-A03B-24AF81DC07C4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7C5218FE-AD4C-4208-A03B-24AF81DC07C4}"/>
                </a:ext>
              </a:extLst>
            </xdr:cNvPr>
            <xdr:cNvSpPr txBox="1"/>
          </xdr:nvSpPr>
          <xdr:spPr>
            <a:xfrm>
              <a:off x="236220" y="18014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FD369-0CD8-406A-85CC-1F2E9F6E8109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47AFD369-0CD8-406A-85CC-1F2E9F6E8109}"/>
                </a:ext>
              </a:extLst>
            </xdr:cNvPr>
            <xdr:cNvSpPr txBox="1"/>
          </xdr:nvSpPr>
          <xdr:spPr>
            <a:xfrm>
              <a:off x="228600" y="18243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769B28B-CBEE-4168-B78D-21AF8B80A27F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C769B28B-CBEE-4168-B78D-21AF8B80A27F}"/>
                </a:ext>
              </a:extLst>
            </xdr:cNvPr>
            <xdr:cNvSpPr txBox="1"/>
          </xdr:nvSpPr>
          <xdr:spPr>
            <a:xfrm>
              <a:off x="228600" y="18472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85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4A8DDCF-171F-478A-B5E8-F61784A2130D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24A8DDCF-171F-478A-B5E8-F61784A2130D}"/>
                </a:ext>
              </a:extLst>
            </xdr:cNvPr>
            <xdr:cNvSpPr txBox="1"/>
          </xdr:nvSpPr>
          <xdr:spPr>
            <a:xfrm>
              <a:off x="220980" y="187011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A510449F-F3C3-4072-A6AD-5A231E0184F2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A510449F-F3C3-4072-A6AD-5A231E0184F2}"/>
                </a:ext>
              </a:extLst>
            </xdr:cNvPr>
            <xdr:cNvSpPr txBox="1"/>
          </xdr:nvSpPr>
          <xdr:spPr>
            <a:xfrm>
              <a:off x="243840" y="17785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FA7803B1-7B56-4868-9EA7-4BA92B2070FB}"/>
                </a:ext>
              </a:extLst>
            </xdr:cNvPr>
            <xdr:cNvSpPr txBox="1"/>
          </xdr:nvSpPr>
          <xdr:spPr>
            <a:xfrm>
              <a:off x="834560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FA7803B1-7B56-4868-9EA7-4BA92B2070FB}"/>
                </a:ext>
              </a:extLst>
            </xdr:cNvPr>
            <xdr:cNvSpPr txBox="1"/>
          </xdr:nvSpPr>
          <xdr:spPr>
            <a:xfrm>
              <a:off x="8345604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75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D1D3D2FC-1DAE-4CEB-BBCD-6EAF22FADA6F}"/>
                </a:ext>
              </a:extLst>
            </xdr:cNvPr>
            <xdr:cNvSpPr txBox="1"/>
          </xdr:nvSpPr>
          <xdr:spPr>
            <a:xfrm>
              <a:off x="944711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D1D3D2FC-1DAE-4CEB-BBCD-6EAF22FADA6F}"/>
                </a:ext>
              </a:extLst>
            </xdr:cNvPr>
            <xdr:cNvSpPr txBox="1"/>
          </xdr:nvSpPr>
          <xdr:spPr>
            <a:xfrm>
              <a:off x="9447111" y="164194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75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7F3D62DE-237B-4326-BCDD-A4CB698B467E}"/>
                </a:ext>
              </a:extLst>
            </xdr:cNvPr>
            <xdr:cNvSpPr txBox="1"/>
          </xdr:nvSpPr>
          <xdr:spPr>
            <a:xfrm>
              <a:off x="1017101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7F3D62DE-237B-4326-BCDD-A4CB698B467E}"/>
                </a:ext>
              </a:extLst>
            </xdr:cNvPr>
            <xdr:cNvSpPr txBox="1"/>
          </xdr:nvSpPr>
          <xdr:spPr>
            <a:xfrm>
              <a:off x="10171010" y="164194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75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0A4F720-0C11-48DB-AAE2-253449B0C949}"/>
                </a:ext>
              </a:extLst>
            </xdr:cNvPr>
            <xdr:cNvSpPr txBox="1"/>
          </xdr:nvSpPr>
          <xdr:spPr>
            <a:xfrm>
              <a:off x="1111589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60A4F720-0C11-48DB-AAE2-253449B0C949}"/>
                </a:ext>
              </a:extLst>
            </xdr:cNvPr>
            <xdr:cNvSpPr txBox="1"/>
          </xdr:nvSpPr>
          <xdr:spPr>
            <a:xfrm>
              <a:off x="11115890" y="164194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75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C84C0707-0715-4A24-818E-98B5E23F26DF}"/>
                </a:ext>
              </a:extLst>
            </xdr:cNvPr>
            <xdr:cNvSpPr txBox="1"/>
          </xdr:nvSpPr>
          <xdr:spPr>
            <a:xfrm>
              <a:off x="1238251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C84C0707-0715-4A24-818E-98B5E23F26DF}"/>
                </a:ext>
              </a:extLst>
            </xdr:cNvPr>
            <xdr:cNvSpPr txBox="1"/>
          </xdr:nvSpPr>
          <xdr:spPr>
            <a:xfrm>
              <a:off x="12382514" y="164109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75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EC547F-F301-4200-8719-1B613ECFAC9F}"/>
                </a:ext>
              </a:extLst>
            </xdr:cNvPr>
            <xdr:cNvSpPr txBox="1"/>
          </xdr:nvSpPr>
          <xdr:spPr>
            <a:xfrm>
              <a:off x="1323341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58EC547F-F301-4200-8719-1B613ECFAC9F}"/>
                </a:ext>
              </a:extLst>
            </xdr:cNvPr>
            <xdr:cNvSpPr txBox="1"/>
          </xdr:nvSpPr>
          <xdr:spPr>
            <a:xfrm>
              <a:off x="13233413" y="164024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541880</xdr:colOff>
      <xdr:row>84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9ADCD6B-7453-4416-92E6-4196F7D945E4}"/>
                </a:ext>
              </a:extLst>
            </xdr:cNvPr>
            <xdr:cNvSpPr txBox="1"/>
          </xdr:nvSpPr>
          <xdr:spPr>
            <a:xfrm>
              <a:off x="14444147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9ADCD6B-7453-4416-92E6-4196F7D945E4}"/>
                </a:ext>
              </a:extLst>
            </xdr:cNvPr>
            <xdr:cNvSpPr txBox="1"/>
          </xdr:nvSpPr>
          <xdr:spPr>
            <a:xfrm>
              <a:off x="14444147" y="1851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33868</xdr:colOff>
      <xdr:row>83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98A080DD-67E4-4BD0-A2B1-D555FBCB8A9A}"/>
                </a:ext>
              </a:extLst>
            </xdr:cNvPr>
            <xdr:cNvSpPr txBox="1"/>
          </xdr:nvSpPr>
          <xdr:spPr>
            <a:xfrm>
              <a:off x="13936135" y="18279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98A080DD-67E4-4BD0-A2B1-D555FBCB8A9A}"/>
                </a:ext>
              </a:extLst>
            </xdr:cNvPr>
            <xdr:cNvSpPr txBox="1"/>
          </xdr:nvSpPr>
          <xdr:spPr>
            <a:xfrm>
              <a:off x="13936135" y="18279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𝜼_𝟕 (𝒂_𝒕𝟕)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550329</xdr:colOff>
      <xdr:row>31</xdr:row>
      <xdr:rowOff>21165</xdr:rowOff>
    </xdr:from>
    <xdr:ext cx="1546834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161DD264-9A09-491C-AFF0-AB22D9CD6840}"/>
                </a:ext>
              </a:extLst>
            </xdr:cNvPr>
            <xdr:cNvSpPr txBox="1"/>
          </xdr:nvSpPr>
          <xdr:spPr>
            <a:xfrm>
              <a:off x="20336929" y="6786032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161DD264-9A09-491C-AFF0-AB22D9CD6840}"/>
                </a:ext>
              </a:extLst>
            </xdr:cNvPr>
            <xdr:cNvSpPr txBox="1"/>
          </xdr:nvSpPr>
          <xdr:spPr>
            <a:xfrm>
              <a:off x="20336929" y="6786032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,𝒙_𝟏𝟑,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46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18EDC4F-66EA-47BD-BAD3-BC4023E6F3B5}"/>
                </a:ext>
              </a:extLst>
            </xdr:cNvPr>
            <xdr:cNvSpPr txBox="1"/>
          </xdr:nvSpPr>
          <xdr:spPr>
            <a:xfrm>
              <a:off x="1534582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718EDC4F-66EA-47BD-BAD3-BC4023E6F3B5}"/>
                </a:ext>
              </a:extLst>
            </xdr:cNvPr>
            <xdr:cNvSpPr txBox="1"/>
          </xdr:nvSpPr>
          <xdr:spPr>
            <a:xfrm>
              <a:off x="15345826" y="101659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61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2A83D59-1720-471D-854F-F29D48AA08A6}"/>
                </a:ext>
              </a:extLst>
            </xdr:cNvPr>
            <xdr:cNvSpPr txBox="1"/>
          </xdr:nvSpPr>
          <xdr:spPr>
            <a:xfrm>
              <a:off x="1534582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C2A83D59-1720-471D-854F-F29D48AA08A6}"/>
                </a:ext>
              </a:extLst>
            </xdr:cNvPr>
            <xdr:cNvSpPr txBox="1"/>
          </xdr:nvSpPr>
          <xdr:spPr>
            <a:xfrm>
              <a:off x="15345826" y="134577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76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BBEC7DB-8ECA-4A42-AB45-DA97F87AF8DF}"/>
                </a:ext>
              </a:extLst>
            </xdr:cNvPr>
            <xdr:cNvSpPr txBox="1"/>
          </xdr:nvSpPr>
          <xdr:spPr>
            <a:xfrm>
              <a:off x="1534582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BBEC7DB-8ECA-4A42-AB45-DA97F87AF8DF}"/>
                </a:ext>
              </a:extLst>
            </xdr:cNvPr>
            <xdr:cNvSpPr txBox="1"/>
          </xdr:nvSpPr>
          <xdr:spPr>
            <a:xfrm>
              <a:off x="15345826" y="167496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20</xdr:col>
      <xdr:colOff>175259</xdr:colOff>
      <xdr:row>49</xdr:row>
      <xdr:rowOff>72811</xdr:rowOff>
    </xdr:from>
    <xdr:ext cx="1900649" cy="2475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49EB937-FFEE-4952-B0CE-E70B69056253}"/>
                </a:ext>
              </a:extLst>
            </xdr:cNvPr>
            <xdr:cNvSpPr txBox="1"/>
          </xdr:nvSpPr>
          <xdr:spPr>
            <a:xfrm>
              <a:off x="19081326" y="10825478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𝒃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14:m>
                <m:oMath xmlns:m="http://schemas.openxmlformats.org/officeDocument/2006/math">
                  <m:sSubSup>
                    <m:sSubSup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𝑺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</m:sub>
                    <m:sup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𝟔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𝟏𝟑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𝟒</m:t>
                      </m:r>
                    </m:sup>
                  </m:sSubSup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𝜼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𝒂</m:t>
                      </m:r>
                    </m:e>
                    <m:sub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𝒕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</m:t>
                      </m:r>
                    </m:sub>
                  </m:sSub>
                </m:oMath>
              </a14:m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D49EB937-FFEE-4952-B0CE-E70B69056253}"/>
                </a:ext>
              </a:extLst>
            </xdr:cNvPr>
            <xdr:cNvSpPr txBox="1"/>
          </xdr:nvSpPr>
          <xdr:spPr>
            <a:xfrm>
              <a:off x="19081326" y="10825478"/>
              <a:ext cx="1900649" cy="2475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𝒃_𝒕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=R(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𝑺_𝒕^(𝟑,𝟔,𝟏𝟑,𝟒)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)+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𝜼_𝟐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𝒂_𝒕𝟐</a:t>
              </a:r>
              <a:r>
                <a:rPr lang="en-US" sz="1400" b="1">
                  <a:latin typeface="Cambria Math" panose="02040503050406030204" pitchFamily="18" charset="0"/>
                  <a:ea typeface="Cambria Math" panose="02040503050406030204" pitchFamily="18" charset="0"/>
                </a:rPr>
                <a:t>),</a:t>
              </a:r>
            </a:p>
          </xdr:txBody>
        </xdr:sp>
      </mc:Fallback>
    </mc:AlternateContent>
    <xdr:clientData/>
  </xdr:oneCellAnchor>
  <xdr:oneCellAnchor>
    <xdr:from>
      <xdr:col>22</xdr:col>
      <xdr:colOff>628232</xdr:colOff>
      <xdr:row>49</xdr:row>
      <xdr:rowOff>113453</xdr:rowOff>
    </xdr:from>
    <xdr:ext cx="1684564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42048ABE-CEC3-4EE0-80BC-7B23236162A5}"/>
                </a:ext>
              </a:extLst>
            </xdr:cNvPr>
            <xdr:cNvSpPr txBox="1"/>
          </xdr:nvSpPr>
          <xdr:spPr>
            <a:xfrm>
              <a:off x="2104983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𝒕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∈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𝒁</m:t>
                  </m:r>
                  <m:r>
                    <a:rPr lang="en-US" sz="14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,   </m:t>
                  </m:r>
                  <m:r>
                    <a:rPr lang="en-US" sz="1400" b="1" i="1">
                      <a:latin typeface="Cambria Math" panose="02040503050406030204" pitchFamily="18" charset="0"/>
                    </a:rPr>
                    <m:t>𝒕</m:t>
                  </m:r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</m:t>
                  </m:r>
                  <m:d>
                    <m:dPr>
                      <m:begChr m:val="{"/>
                      <m:endChr m:val="}"/>
                      <m:ctrlP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 …, </m:t>
                      </m:r>
                      <m:r>
                        <a:rPr lang="en-US" sz="14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𝒎</m:t>
                      </m:r>
                    </m:e>
                  </m:d>
                  <m:r>
                    <a:rPr lang="en-US" sz="14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 </m:t>
                  </m:r>
                </m:oMath>
              </a14:m>
              <a:r>
                <a:rPr lang="en-US" sz="1400" b="1"/>
                <a:t> </a:t>
              </a:r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42048ABE-CEC3-4EE0-80BC-7B23236162A5}"/>
                </a:ext>
              </a:extLst>
            </xdr:cNvPr>
            <xdr:cNvSpPr txBox="1"/>
          </xdr:nvSpPr>
          <xdr:spPr>
            <a:xfrm>
              <a:off x="21049832" y="10842413"/>
              <a:ext cx="1684564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𝒕∈𝒁,   </a:t>
              </a:r>
              <a:r>
                <a:rPr lang="en-US" sz="1400" b="1" i="0">
                  <a:latin typeface="Cambria Math" panose="02040503050406030204" pitchFamily="18" charset="0"/>
                </a:rPr>
                <a:t>𝒕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∈{𝟏, …, 𝒎}   </a:t>
              </a:r>
              <a:r>
                <a:rPr lang="en-US" sz="1400" b="1"/>
                <a:t> </a:t>
              </a:r>
            </a:p>
          </xdr:txBody>
        </xdr:sp>
      </mc:Fallback>
    </mc:AlternateContent>
    <xdr:clientData/>
  </xdr:oneCellAnchor>
  <xdr:oneCellAnchor>
    <xdr:from>
      <xdr:col>3</xdr:col>
      <xdr:colOff>457208</xdr:colOff>
      <xdr:row>90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7E17F79-94AD-4E82-B8FD-2D13D12B5862}"/>
                </a:ext>
              </a:extLst>
            </xdr:cNvPr>
            <xdr:cNvSpPr txBox="1"/>
          </xdr:nvSpPr>
          <xdr:spPr>
            <a:xfrm>
              <a:off x="3107275" y="19756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67E17F79-94AD-4E82-B8FD-2D13D12B5862}"/>
                </a:ext>
              </a:extLst>
            </xdr:cNvPr>
            <xdr:cNvSpPr txBox="1"/>
          </xdr:nvSpPr>
          <xdr:spPr>
            <a:xfrm>
              <a:off x="3107275" y="19756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"(" 𝒂_𝒕𝟖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90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8ED5BFA-8023-401F-92F6-BF1DF975E455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08ED5BFA-8023-401F-92F6-BF1DF975E455}"/>
                </a:ext>
              </a:extLst>
            </xdr:cNvPr>
            <xdr:cNvSpPr txBox="1"/>
          </xdr:nvSpPr>
          <xdr:spPr>
            <a:xfrm>
              <a:off x="5415282" y="1971124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91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7649233-89FF-4BBB-9FD3-F85144E7F22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7649233-89FF-4BBB-9FD3-F85144E7F224}"/>
                </a:ext>
              </a:extLst>
            </xdr:cNvPr>
            <xdr:cNvSpPr txBox="1"/>
          </xdr:nvSpPr>
          <xdr:spPr>
            <a:xfrm>
              <a:off x="242993" y="199356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EA2CCBD3-63B2-4ED2-A4FC-68B669D21EA0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EA2CCBD3-63B2-4ED2-A4FC-68B669D21EA0}"/>
                </a:ext>
              </a:extLst>
            </xdr:cNvPr>
            <xdr:cNvSpPr txBox="1"/>
          </xdr:nvSpPr>
          <xdr:spPr>
            <a:xfrm>
              <a:off x="243840" y="2016590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B19DEAEA-CB3E-4F01-B199-A109A435A0B2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B19DEAEA-CB3E-4F01-B199-A109A435A0B2}"/>
                </a:ext>
              </a:extLst>
            </xdr:cNvPr>
            <xdr:cNvSpPr txBox="1"/>
          </xdr:nvSpPr>
          <xdr:spPr>
            <a:xfrm>
              <a:off x="243840" y="2039366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868ECE-C892-429A-8775-10ABD9D9CE19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6A868ECE-C892-429A-8775-10ABD9D9CE19}"/>
                </a:ext>
              </a:extLst>
            </xdr:cNvPr>
            <xdr:cNvSpPr txBox="1"/>
          </xdr:nvSpPr>
          <xdr:spPr>
            <a:xfrm>
              <a:off x="243840" y="206205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A85242D9-FE9C-46BC-9DBC-C15FC4CAAF0D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A85242D9-FE9C-46BC-9DBC-C15FC4CAAF0D}"/>
                </a:ext>
              </a:extLst>
            </xdr:cNvPr>
            <xdr:cNvSpPr txBox="1"/>
          </xdr:nvSpPr>
          <xdr:spPr>
            <a:xfrm>
              <a:off x="243840" y="208491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97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5320926-FFC9-47CD-BE65-346FADC7A0D3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55320926-FFC9-47CD-BE65-346FADC7A0D3}"/>
                </a:ext>
              </a:extLst>
            </xdr:cNvPr>
            <xdr:cNvSpPr txBox="1"/>
          </xdr:nvSpPr>
          <xdr:spPr>
            <a:xfrm>
              <a:off x="236220" y="213063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9E4260DC-021B-411B-AA24-CE8B415EC6F8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9E4260DC-021B-411B-AA24-CE8B415EC6F8}"/>
                </a:ext>
              </a:extLst>
            </xdr:cNvPr>
            <xdr:cNvSpPr txBox="1"/>
          </xdr:nvSpPr>
          <xdr:spPr>
            <a:xfrm>
              <a:off x="228600" y="215358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99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2EF1B9A-D687-41BD-9638-D2B5F800EE95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92EF1B9A-D687-41BD-9638-D2B5F800EE95}"/>
                </a:ext>
              </a:extLst>
            </xdr:cNvPr>
            <xdr:cNvSpPr txBox="1"/>
          </xdr:nvSpPr>
          <xdr:spPr>
            <a:xfrm>
              <a:off x="228600" y="2176441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100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C6403CA-24A0-4E2E-996C-00908247FB1A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BC6403CA-24A0-4E2E-996C-00908247FB1A}"/>
                </a:ext>
              </a:extLst>
            </xdr:cNvPr>
            <xdr:cNvSpPr txBox="1"/>
          </xdr:nvSpPr>
          <xdr:spPr>
            <a:xfrm>
              <a:off x="220980" y="2199301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96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1BF8F3E9-7016-4F0F-BB5A-063D2860EC9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1BF8F3E9-7016-4F0F-BB5A-063D2860EC9B}"/>
                </a:ext>
              </a:extLst>
            </xdr:cNvPr>
            <xdr:cNvSpPr txBox="1"/>
          </xdr:nvSpPr>
          <xdr:spPr>
            <a:xfrm>
              <a:off x="243840" y="2107776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AF1C9EDD-42DA-423F-858E-108A9B05BE32}"/>
                </a:ext>
              </a:extLst>
            </xdr:cNvPr>
            <xdr:cNvSpPr txBox="1"/>
          </xdr:nvSpPr>
          <xdr:spPr>
            <a:xfrm>
              <a:off x="834560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AF1C9EDD-42DA-423F-858E-108A9B05BE32}"/>
                </a:ext>
              </a:extLst>
            </xdr:cNvPr>
            <xdr:cNvSpPr txBox="1"/>
          </xdr:nvSpPr>
          <xdr:spPr>
            <a:xfrm>
              <a:off x="8345604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90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09171-3BEB-4CBB-92F2-763C11338AE8}"/>
                </a:ext>
              </a:extLst>
            </xdr:cNvPr>
            <xdr:cNvSpPr txBox="1"/>
          </xdr:nvSpPr>
          <xdr:spPr>
            <a:xfrm>
              <a:off x="944711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69F09171-3BEB-4CBB-92F2-763C11338AE8}"/>
                </a:ext>
              </a:extLst>
            </xdr:cNvPr>
            <xdr:cNvSpPr txBox="1"/>
          </xdr:nvSpPr>
          <xdr:spPr>
            <a:xfrm>
              <a:off x="9447111" y="1971124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90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F133943-88EF-4FA5-8DEB-57C7E63851D3}"/>
                </a:ext>
              </a:extLst>
            </xdr:cNvPr>
            <xdr:cNvSpPr txBox="1"/>
          </xdr:nvSpPr>
          <xdr:spPr>
            <a:xfrm>
              <a:off x="1017101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F133943-88EF-4FA5-8DEB-57C7E63851D3}"/>
                </a:ext>
              </a:extLst>
            </xdr:cNvPr>
            <xdr:cNvSpPr txBox="1"/>
          </xdr:nvSpPr>
          <xdr:spPr>
            <a:xfrm>
              <a:off x="10171010" y="1971124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90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193148F-A22A-43CB-86A7-8039FF6340A1}"/>
                </a:ext>
              </a:extLst>
            </xdr:cNvPr>
            <xdr:cNvSpPr txBox="1"/>
          </xdr:nvSpPr>
          <xdr:spPr>
            <a:xfrm>
              <a:off x="1111589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193148F-A22A-43CB-86A7-8039FF6340A1}"/>
                </a:ext>
              </a:extLst>
            </xdr:cNvPr>
            <xdr:cNvSpPr txBox="1"/>
          </xdr:nvSpPr>
          <xdr:spPr>
            <a:xfrm>
              <a:off x="11115890" y="1971124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90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C1BEF94E-3DB5-4042-ACE1-4241675DBD8A}"/>
                </a:ext>
              </a:extLst>
            </xdr:cNvPr>
            <xdr:cNvSpPr txBox="1"/>
          </xdr:nvSpPr>
          <xdr:spPr>
            <a:xfrm>
              <a:off x="1238251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C1BEF94E-3DB5-4042-ACE1-4241675DBD8A}"/>
                </a:ext>
              </a:extLst>
            </xdr:cNvPr>
            <xdr:cNvSpPr txBox="1"/>
          </xdr:nvSpPr>
          <xdr:spPr>
            <a:xfrm>
              <a:off x="12382514" y="1970278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90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48BAFB6-E51E-43AC-B9AB-978C5436C013}"/>
                </a:ext>
              </a:extLst>
            </xdr:cNvPr>
            <xdr:cNvSpPr txBox="1"/>
          </xdr:nvSpPr>
          <xdr:spPr>
            <a:xfrm>
              <a:off x="1323341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48BAFB6-E51E-43AC-B9AB-978C5436C013}"/>
                </a:ext>
              </a:extLst>
            </xdr:cNvPr>
            <xdr:cNvSpPr txBox="1"/>
          </xdr:nvSpPr>
          <xdr:spPr>
            <a:xfrm>
              <a:off x="13233413" y="1969431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533413</xdr:colOff>
      <xdr:row>99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9FEB160-2A2A-40D8-A081-148147B04BF2}"/>
                </a:ext>
              </a:extLst>
            </xdr:cNvPr>
            <xdr:cNvSpPr txBox="1"/>
          </xdr:nvSpPr>
          <xdr:spPr>
            <a:xfrm>
              <a:off x="1456268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9FEB160-2A2A-40D8-A081-148147B04BF2}"/>
                </a:ext>
              </a:extLst>
            </xdr:cNvPr>
            <xdr:cNvSpPr txBox="1"/>
          </xdr:nvSpPr>
          <xdr:spPr>
            <a:xfrm>
              <a:off x="14562680" y="21814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42335</xdr:colOff>
      <xdr:row>98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8623CAEC-27FD-4F08-8110-ADBAF9AB6D4E}"/>
                </a:ext>
              </a:extLst>
            </xdr:cNvPr>
            <xdr:cNvSpPr txBox="1"/>
          </xdr:nvSpPr>
          <xdr:spPr>
            <a:xfrm>
              <a:off x="13944602" y="21581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8623CAEC-27FD-4F08-8110-ADBAF9AB6D4E}"/>
                </a:ext>
              </a:extLst>
            </xdr:cNvPr>
            <xdr:cNvSpPr txBox="1"/>
          </xdr:nvSpPr>
          <xdr:spPr>
            <a:xfrm>
              <a:off x="13944602" y="21581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𝜼_𝟖 (𝒂_𝒕𝟖)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91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B648717-140A-4E13-8DF1-55CDEE829A2D}"/>
                </a:ext>
              </a:extLst>
            </xdr:cNvPr>
            <xdr:cNvSpPr txBox="1"/>
          </xdr:nvSpPr>
          <xdr:spPr>
            <a:xfrm>
              <a:off x="1534582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9B648717-140A-4E13-8DF1-55CDEE829A2D}"/>
                </a:ext>
              </a:extLst>
            </xdr:cNvPr>
            <xdr:cNvSpPr txBox="1"/>
          </xdr:nvSpPr>
          <xdr:spPr>
            <a:xfrm>
              <a:off x="15345826" y="2004144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457208</xdr:colOff>
      <xdr:row>105</xdr:row>
      <xdr:rowOff>12703</xdr:rowOff>
    </xdr:from>
    <xdr:ext cx="54175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08FFC01-B93F-47CD-B0FC-5916559D354C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08FFC01-B93F-47CD-B0FC-5916559D354C}"/>
                </a:ext>
              </a:extLst>
            </xdr:cNvPr>
            <xdr:cNvSpPr txBox="1"/>
          </xdr:nvSpPr>
          <xdr:spPr>
            <a:xfrm>
              <a:off x="3107275" y="23058970"/>
              <a:ext cx="54175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105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1EBB3C-A8C9-408F-B4C5-001BEFA88EC2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251EBB3C-A8C9-408F-B4C5-001BEFA88EC2}"/>
                </a:ext>
              </a:extLst>
            </xdr:cNvPr>
            <xdr:cNvSpPr txBox="1"/>
          </xdr:nvSpPr>
          <xdr:spPr>
            <a:xfrm>
              <a:off x="5415282" y="2300308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106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215099DD-47B0-4B46-81D0-CEA6E735D8DA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215099DD-47B0-4B46-81D0-CEA6E735D8DA}"/>
                </a:ext>
              </a:extLst>
            </xdr:cNvPr>
            <xdr:cNvSpPr txBox="1"/>
          </xdr:nvSpPr>
          <xdr:spPr>
            <a:xfrm>
              <a:off x="242993" y="232274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C12B784-4412-4B30-B694-700042BA785F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8C12B784-4412-4B30-B694-700042BA785F}"/>
                </a:ext>
              </a:extLst>
            </xdr:cNvPr>
            <xdr:cNvSpPr txBox="1"/>
          </xdr:nvSpPr>
          <xdr:spPr>
            <a:xfrm>
              <a:off x="243840" y="2345774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6FC71E2A-B3F2-4397-ACEF-C84158DB34A5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6FC71E2A-B3F2-4397-ACEF-C84158DB34A5}"/>
                </a:ext>
              </a:extLst>
            </xdr:cNvPr>
            <xdr:cNvSpPr txBox="1"/>
          </xdr:nvSpPr>
          <xdr:spPr>
            <a:xfrm>
              <a:off x="243840" y="2368550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109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17A14F0-C88D-4677-85E9-19AF01E30650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D17A14F0-C88D-4677-85E9-19AF01E30650}"/>
                </a:ext>
              </a:extLst>
            </xdr:cNvPr>
            <xdr:cNvSpPr txBox="1"/>
          </xdr:nvSpPr>
          <xdr:spPr>
            <a:xfrm>
              <a:off x="243840" y="239124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0E86D48-F286-46A1-8B03-439BE7F73639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F0E86D48-F286-46A1-8B03-439BE7F73639}"/>
                </a:ext>
              </a:extLst>
            </xdr:cNvPr>
            <xdr:cNvSpPr txBox="1"/>
          </xdr:nvSpPr>
          <xdr:spPr>
            <a:xfrm>
              <a:off x="243840" y="241410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112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8CFE69D8-5396-49D2-81B9-56CC564EA04D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8CFE69D8-5396-49D2-81B9-56CC564EA04D}"/>
                </a:ext>
              </a:extLst>
            </xdr:cNvPr>
            <xdr:cNvSpPr txBox="1"/>
          </xdr:nvSpPr>
          <xdr:spPr>
            <a:xfrm>
              <a:off x="236220" y="245982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48E5CED-B04F-4459-A611-CF3248B7E77D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E48E5CED-B04F-4459-A611-CF3248B7E77D}"/>
                </a:ext>
              </a:extLst>
            </xdr:cNvPr>
            <xdr:cNvSpPr txBox="1"/>
          </xdr:nvSpPr>
          <xdr:spPr>
            <a:xfrm>
              <a:off x="228600" y="248276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00BE5EF9-EA79-47D7-A5ED-2E85F3A650E8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00BE5EF9-EA79-47D7-A5ED-2E85F3A650E8}"/>
                </a:ext>
              </a:extLst>
            </xdr:cNvPr>
            <xdr:cNvSpPr txBox="1"/>
          </xdr:nvSpPr>
          <xdr:spPr>
            <a:xfrm>
              <a:off x="228600" y="2505625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115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69A3F6-7967-4F9F-89FE-D258F573C1FB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0D69A3F6-7967-4F9F-89FE-D258F573C1FB}"/>
                </a:ext>
              </a:extLst>
            </xdr:cNvPr>
            <xdr:cNvSpPr txBox="1"/>
          </xdr:nvSpPr>
          <xdr:spPr>
            <a:xfrm>
              <a:off x="220980" y="2528485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111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3C704AA-7DDA-4DDC-B3CA-649B1F2B425E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23C704AA-7DDA-4DDC-B3CA-649B1F2B425E}"/>
                </a:ext>
              </a:extLst>
            </xdr:cNvPr>
            <xdr:cNvSpPr txBox="1"/>
          </xdr:nvSpPr>
          <xdr:spPr>
            <a:xfrm>
              <a:off x="243840" y="2436960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DE74AFD0-FFB9-4584-B345-8544919194CB}"/>
                </a:ext>
              </a:extLst>
            </xdr:cNvPr>
            <xdr:cNvSpPr txBox="1"/>
          </xdr:nvSpPr>
          <xdr:spPr>
            <a:xfrm>
              <a:off x="834560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DE74AFD0-FFB9-4584-B345-8544919194CB}"/>
                </a:ext>
              </a:extLst>
            </xdr:cNvPr>
            <xdr:cNvSpPr txBox="1"/>
          </xdr:nvSpPr>
          <xdr:spPr>
            <a:xfrm>
              <a:off x="8345604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105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02CF9AF8-2DD3-4349-B9F3-17B9A7890F0C}"/>
                </a:ext>
              </a:extLst>
            </xdr:cNvPr>
            <xdr:cNvSpPr txBox="1"/>
          </xdr:nvSpPr>
          <xdr:spPr>
            <a:xfrm>
              <a:off x="944711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02CF9AF8-2DD3-4349-B9F3-17B9A7890F0C}"/>
                </a:ext>
              </a:extLst>
            </xdr:cNvPr>
            <xdr:cNvSpPr txBox="1"/>
          </xdr:nvSpPr>
          <xdr:spPr>
            <a:xfrm>
              <a:off x="9447111" y="2300308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105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1EACE53-5FA0-4A17-B66C-24BC1A7B4898}"/>
                </a:ext>
              </a:extLst>
            </xdr:cNvPr>
            <xdr:cNvSpPr txBox="1"/>
          </xdr:nvSpPr>
          <xdr:spPr>
            <a:xfrm>
              <a:off x="1017101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01EACE53-5FA0-4A17-B66C-24BC1A7B4898}"/>
                </a:ext>
              </a:extLst>
            </xdr:cNvPr>
            <xdr:cNvSpPr txBox="1"/>
          </xdr:nvSpPr>
          <xdr:spPr>
            <a:xfrm>
              <a:off x="10171010" y="2300308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105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B238532-D6CD-4E80-ADB0-7CEB838A3838}"/>
                </a:ext>
              </a:extLst>
            </xdr:cNvPr>
            <xdr:cNvSpPr txBox="1"/>
          </xdr:nvSpPr>
          <xdr:spPr>
            <a:xfrm>
              <a:off x="1111589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DB238532-D6CD-4E80-ADB0-7CEB838A3838}"/>
                </a:ext>
              </a:extLst>
            </xdr:cNvPr>
            <xdr:cNvSpPr txBox="1"/>
          </xdr:nvSpPr>
          <xdr:spPr>
            <a:xfrm>
              <a:off x="11115890" y="2300308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105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18A1AE7-32ED-466B-83C9-DED7A94DB621}"/>
                </a:ext>
              </a:extLst>
            </xdr:cNvPr>
            <xdr:cNvSpPr txBox="1"/>
          </xdr:nvSpPr>
          <xdr:spPr>
            <a:xfrm>
              <a:off x="1238251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518A1AE7-32ED-466B-83C9-DED7A94DB621}"/>
                </a:ext>
              </a:extLst>
            </xdr:cNvPr>
            <xdr:cNvSpPr txBox="1"/>
          </xdr:nvSpPr>
          <xdr:spPr>
            <a:xfrm>
              <a:off x="12382514" y="2299462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105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598BF2A6-3469-4A77-ABB6-436F0CCC2C44}"/>
                </a:ext>
              </a:extLst>
            </xdr:cNvPr>
            <xdr:cNvSpPr txBox="1"/>
          </xdr:nvSpPr>
          <xdr:spPr>
            <a:xfrm>
              <a:off x="1323341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598BF2A6-3469-4A77-ABB6-436F0CCC2C44}"/>
                </a:ext>
              </a:extLst>
            </xdr:cNvPr>
            <xdr:cNvSpPr txBox="1"/>
          </xdr:nvSpPr>
          <xdr:spPr>
            <a:xfrm>
              <a:off x="13233413" y="2298615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533412</xdr:colOff>
      <xdr:row>114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AD68ED7-7569-4370-BE5D-7618FEDF982F}"/>
                </a:ext>
              </a:extLst>
            </xdr:cNvPr>
            <xdr:cNvSpPr txBox="1"/>
          </xdr:nvSpPr>
          <xdr:spPr>
            <a:xfrm>
              <a:off x="14562679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CAD68ED7-7569-4370-BE5D-7618FEDF982F}"/>
                </a:ext>
              </a:extLst>
            </xdr:cNvPr>
            <xdr:cNvSpPr txBox="1"/>
          </xdr:nvSpPr>
          <xdr:spPr>
            <a:xfrm>
              <a:off x="14562679" y="25116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25401</xdr:colOff>
      <xdr:row>113</xdr:row>
      <xdr:rowOff>8467</xdr:rowOff>
    </xdr:from>
    <xdr:ext cx="1395510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6D5E9D3-CD1D-4BE9-A13D-750777E0493B}"/>
                </a:ext>
              </a:extLst>
            </xdr:cNvPr>
            <xdr:cNvSpPr txBox="1"/>
          </xdr:nvSpPr>
          <xdr:spPr>
            <a:xfrm>
              <a:off x="14054668" y="2488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86D5E9D3-CD1D-4BE9-A13D-750777E0493B}"/>
                </a:ext>
              </a:extLst>
            </xdr:cNvPr>
            <xdr:cNvSpPr txBox="1"/>
          </xdr:nvSpPr>
          <xdr:spPr>
            <a:xfrm>
              <a:off x="14054668" y="24883534"/>
              <a:ext cx="1395510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(𝒂_𝒕𝟗)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106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87B119E-5DA5-40B1-99BD-70049FCA6526}"/>
                </a:ext>
              </a:extLst>
            </xdr:cNvPr>
            <xdr:cNvSpPr txBox="1"/>
          </xdr:nvSpPr>
          <xdr:spPr>
            <a:xfrm>
              <a:off x="1534582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E87B119E-5DA5-40B1-99BD-70049FCA6526}"/>
                </a:ext>
              </a:extLst>
            </xdr:cNvPr>
            <xdr:cNvSpPr txBox="1"/>
          </xdr:nvSpPr>
          <xdr:spPr>
            <a:xfrm>
              <a:off x="15345826" y="2333328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364074</xdr:colOff>
      <xdr:row>120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C01A4B-6D3B-4796-815B-3BF89DB380E9}"/>
                </a:ext>
              </a:extLst>
            </xdr:cNvPr>
            <xdr:cNvSpPr txBox="1"/>
          </xdr:nvSpPr>
          <xdr:spPr>
            <a:xfrm>
              <a:off x="3014141" y="26360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D1C01A4B-6D3B-4796-815B-3BF89DB380E9}"/>
                </a:ext>
              </a:extLst>
            </xdr:cNvPr>
            <xdr:cNvSpPr txBox="1"/>
          </xdr:nvSpPr>
          <xdr:spPr>
            <a:xfrm>
              <a:off x="3014141" y="26360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"(" 𝒂_𝒕𝟏𝟎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120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70501C80-7519-4D93-9C61-15A6CA1BA9C3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70501C80-7519-4D93-9C61-15A6CA1BA9C3}"/>
                </a:ext>
              </a:extLst>
            </xdr:cNvPr>
            <xdr:cNvSpPr txBox="1"/>
          </xdr:nvSpPr>
          <xdr:spPr>
            <a:xfrm>
              <a:off x="5415282" y="2629492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121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E0E14F73-75E4-4051-9FF5-2269F90D8A46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E0E14F73-75E4-4051-9FF5-2269F90D8A46}"/>
                </a:ext>
              </a:extLst>
            </xdr:cNvPr>
            <xdr:cNvSpPr txBox="1"/>
          </xdr:nvSpPr>
          <xdr:spPr>
            <a:xfrm>
              <a:off x="242993" y="265192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8ACB7DCB-32B6-4288-9554-EAC7F928F272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8ACB7DCB-32B6-4288-9554-EAC7F928F272}"/>
                </a:ext>
              </a:extLst>
            </xdr:cNvPr>
            <xdr:cNvSpPr txBox="1"/>
          </xdr:nvSpPr>
          <xdr:spPr>
            <a:xfrm>
              <a:off x="243840" y="2674958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BDE3037-C0B1-48E1-BE80-EBE3BAB549C6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BDE3037-C0B1-48E1-BE80-EBE3BAB549C6}"/>
                </a:ext>
              </a:extLst>
            </xdr:cNvPr>
            <xdr:cNvSpPr txBox="1"/>
          </xdr:nvSpPr>
          <xdr:spPr>
            <a:xfrm>
              <a:off x="243840" y="2697734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CDE657DD-19B0-4BCC-8601-FB977E595386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CDE657DD-19B0-4BCC-8601-FB977E595386}"/>
                </a:ext>
              </a:extLst>
            </xdr:cNvPr>
            <xdr:cNvSpPr txBox="1"/>
          </xdr:nvSpPr>
          <xdr:spPr>
            <a:xfrm>
              <a:off x="243840" y="272042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B7F7F1D-AD64-4B1C-A60C-B9516C2C5D0B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DB7F7F1D-AD64-4B1C-A60C-B9516C2C5D0B}"/>
                </a:ext>
              </a:extLst>
            </xdr:cNvPr>
            <xdr:cNvSpPr txBox="1"/>
          </xdr:nvSpPr>
          <xdr:spPr>
            <a:xfrm>
              <a:off x="243840" y="274328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127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56AEBE18-CB3E-460E-900E-590025B5AC59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56AEBE18-CB3E-460E-900E-590025B5AC59}"/>
                </a:ext>
              </a:extLst>
            </xdr:cNvPr>
            <xdr:cNvSpPr txBox="1"/>
          </xdr:nvSpPr>
          <xdr:spPr>
            <a:xfrm>
              <a:off x="236220" y="278900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448AA1EC-8ABF-4EAF-BDB9-043A035635CC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448AA1EC-8ABF-4EAF-BDB9-043A035635CC}"/>
                </a:ext>
              </a:extLst>
            </xdr:cNvPr>
            <xdr:cNvSpPr txBox="1"/>
          </xdr:nvSpPr>
          <xdr:spPr>
            <a:xfrm>
              <a:off x="228600" y="281194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129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0029B5-A466-4587-938E-05590C3FCE31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C70029B5-A466-4587-938E-05590C3FCE31}"/>
                </a:ext>
              </a:extLst>
            </xdr:cNvPr>
            <xdr:cNvSpPr txBox="1"/>
          </xdr:nvSpPr>
          <xdr:spPr>
            <a:xfrm>
              <a:off x="228600" y="2834809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130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FFD4670-513F-47BC-B8C3-7417E6F22DA4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8FFD4670-513F-47BC-B8C3-7417E6F22DA4}"/>
                </a:ext>
              </a:extLst>
            </xdr:cNvPr>
            <xdr:cNvSpPr txBox="1"/>
          </xdr:nvSpPr>
          <xdr:spPr>
            <a:xfrm>
              <a:off x="220980" y="2857669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126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318EAE-BB6B-4AE6-943E-86B8DC7494E4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EE318EAE-BB6B-4AE6-943E-86B8DC7494E4}"/>
                </a:ext>
              </a:extLst>
            </xdr:cNvPr>
            <xdr:cNvSpPr txBox="1"/>
          </xdr:nvSpPr>
          <xdr:spPr>
            <a:xfrm>
              <a:off x="243840" y="2766144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A1A1B425-7A19-4174-9555-894F0DCED2E1}"/>
                </a:ext>
              </a:extLst>
            </xdr:cNvPr>
            <xdr:cNvSpPr txBox="1"/>
          </xdr:nvSpPr>
          <xdr:spPr>
            <a:xfrm>
              <a:off x="834560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A1A1B425-7A19-4174-9555-894F0DCED2E1}"/>
                </a:ext>
              </a:extLst>
            </xdr:cNvPr>
            <xdr:cNvSpPr txBox="1"/>
          </xdr:nvSpPr>
          <xdr:spPr>
            <a:xfrm>
              <a:off x="8345604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120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43AE7F35-0940-455F-96A8-B7D8BA091624}"/>
                </a:ext>
              </a:extLst>
            </xdr:cNvPr>
            <xdr:cNvSpPr txBox="1"/>
          </xdr:nvSpPr>
          <xdr:spPr>
            <a:xfrm>
              <a:off x="944711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43AE7F35-0940-455F-96A8-B7D8BA091624}"/>
                </a:ext>
              </a:extLst>
            </xdr:cNvPr>
            <xdr:cNvSpPr txBox="1"/>
          </xdr:nvSpPr>
          <xdr:spPr>
            <a:xfrm>
              <a:off x="9447111" y="2629492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120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6514A10-CF5E-425B-8918-AF08FAAB223D}"/>
                </a:ext>
              </a:extLst>
            </xdr:cNvPr>
            <xdr:cNvSpPr txBox="1"/>
          </xdr:nvSpPr>
          <xdr:spPr>
            <a:xfrm>
              <a:off x="1017101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6514A10-CF5E-425B-8918-AF08FAAB223D}"/>
                </a:ext>
              </a:extLst>
            </xdr:cNvPr>
            <xdr:cNvSpPr txBox="1"/>
          </xdr:nvSpPr>
          <xdr:spPr>
            <a:xfrm>
              <a:off x="10171010" y="2629492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120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2511FA1-BCEE-4EB8-B4C3-6179F96FABC0}"/>
                </a:ext>
              </a:extLst>
            </xdr:cNvPr>
            <xdr:cNvSpPr txBox="1"/>
          </xdr:nvSpPr>
          <xdr:spPr>
            <a:xfrm>
              <a:off x="1111589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32511FA1-BCEE-4EB8-B4C3-6179F96FABC0}"/>
                </a:ext>
              </a:extLst>
            </xdr:cNvPr>
            <xdr:cNvSpPr txBox="1"/>
          </xdr:nvSpPr>
          <xdr:spPr>
            <a:xfrm>
              <a:off x="11115890" y="2629492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120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3872163-13C7-43BE-89A2-66FF5071D7F1}"/>
                </a:ext>
              </a:extLst>
            </xdr:cNvPr>
            <xdr:cNvSpPr txBox="1"/>
          </xdr:nvSpPr>
          <xdr:spPr>
            <a:xfrm>
              <a:off x="1238251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C3872163-13C7-43BE-89A2-66FF5071D7F1}"/>
                </a:ext>
              </a:extLst>
            </xdr:cNvPr>
            <xdr:cNvSpPr txBox="1"/>
          </xdr:nvSpPr>
          <xdr:spPr>
            <a:xfrm>
              <a:off x="12382514" y="2628646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120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72B31B81-4D78-4C03-9759-F835CB586842}"/>
                </a:ext>
              </a:extLst>
            </xdr:cNvPr>
            <xdr:cNvSpPr txBox="1"/>
          </xdr:nvSpPr>
          <xdr:spPr>
            <a:xfrm>
              <a:off x="1323341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72B31B81-4D78-4C03-9759-F835CB586842}"/>
                </a:ext>
              </a:extLst>
            </xdr:cNvPr>
            <xdr:cNvSpPr txBox="1"/>
          </xdr:nvSpPr>
          <xdr:spPr>
            <a:xfrm>
              <a:off x="13233413" y="2627799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567283</xdr:colOff>
      <xdr:row>129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0CCC8C57-20B5-4394-B04B-6E47D9F6C605}"/>
                </a:ext>
              </a:extLst>
            </xdr:cNvPr>
            <xdr:cNvSpPr txBox="1"/>
          </xdr:nvSpPr>
          <xdr:spPr>
            <a:xfrm>
              <a:off x="14655816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0CCC8C57-20B5-4394-B04B-6E47D9F6C605}"/>
                </a:ext>
              </a:extLst>
            </xdr:cNvPr>
            <xdr:cNvSpPr txBox="1"/>
          </xdr:nvSpPr>
          <xdr:spPr>
            <a:xfrm>
              <a:off x="14655816" y="28418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128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98FE374-049F-40E2-9C93-A5C57E7DCCD1}"/>
                </a:ext>
              </a:extLst>
            </xdr:cNvPr>
            <xdr:cNvSpPr txBox="1"/>
          </xdr:nvSpPr>
          <xdr:spPr>
            <a:xfrm>
              <a:off x="14097000" y="28185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898FE374-049F-40E2-9C93-A5C57E7DCCD1}"/>
                </a:ext>
              </a:extLst>
            </xdr:cNvPr>
            <xdr:cNvSpPr txBox="1"/>
          </xdr:nvSpPr>
          <xdr:spPr>
            <a:xfrm>
              <a:off x="14097000" y="28185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𝜼_𝟏𝟎 (𝒂_𝒕𝟏𝟎)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121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D039D53-D0BB-4904-9591-EA69D9C167C9}"/>
                </a:ext>
              </a:extLst>
            </xdr:cNvPr>
            <xdr:cNvSpPr txBox="1"/>
          </xdr:nvSpPr>
          <xdr:spPr>
            <a:xfrm>
              <a:off x="1534582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7D039D53-D0BB-4904-9591-EA69D9C167C9}"/>
                </a:ext>
              </a:extLst>
            </xdr:cNvPr>
            <xdr:cNvSpPr txBox="1"/>
          </xdr:nvSpPr>
          <xdr:spPr>
            <a:xfrm>
              <a:off x="15345826" y="2662512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135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134CA93B-E88B-4A2B-9A84-4AE6EDEBB9DE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134CA93B-E88B-4A2B-9A84-4AE6EDEBB9DE}"/>
                </a:ext>
              </a:extLst>
            </xdr:cNvPr>
            <xdr:cNvSpPr txBox="1"/>
          </xdr:nvSpPr>
          <xdr:spPr>
            <a:xfrm>
              <a:off x="3022608" y="29662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"(" 𝒂_𝒕𝟏𝟏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135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2AC735CD-8C43-46BC-B276-5F40987EF459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2AC735CD-8C43-46BC-B276-5F40987EF459}"/>
                </a:ext>
              </a:extLst>
            </xdr:cNvPr>
            <xdr:cNvSpPr txBox="1"/>
          </xdr:nvSpPr>
          <xdr:spPr>
            <a:xfrm>
              <a:off x="5415282" y="2958676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136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A9E69FA6-8680-4E04-AAB5-135DD8C9265D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A9E69FA6-8680-4E04-AAB5-135DD8C9265D}"/>
                </a:ext>
              </a:extLst>
            </xdr:cNvPr>
            <xdr:cNvSpPr txBox="1"/>
          </xdr:nvSpPr>
          <xdr:spPr>
            <a:xfrm>
              <a:off x="242993" y="298111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499C629-B7F4-4319-8DD9-D5EE837E5D0F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8499C629-B7F4-4319-8DD9-D5EE837E5D0F}"/>
                </a:ext>
              </a:extLst>
            </xdr:cNvPr>
            <xdr:cNvSpPr txBox="1"/>
          </xdr:nvSpPr>
          <xdr:spPr>
            <a:xfrm>
              <a:off x="243840" y="3004142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4190E52A-0454-4905-815E-E8ACE401C12B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4190E52A-0454-4905-815E-E8ACE401C12B}"/>
                </a:ext>
              </a:extLst>
            </xdr:cNvPr>
            <xdr:cNvSpPr txBox="1"/>
          </xdr:nvSpPr>
          <xdr:spPr>
            <a:xfrm>
              <a:off x="243840" y="3026918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139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380B6D6F-EE74-49F0-9477-D4CCB1C16660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380B6D6F-EE74-49F0-9477-D4CCB1C16660}"/>
                </a:ext>
              </a:extLst>
            </xdr:cNvPr>
            <xdr:cNvSpPr txBox="1"/>
          </xdr:nvSpPr>
          <xdr:spPr>
            <a:xfrm>
              <a:off x="243840" y="304960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32D9BE1-11F5-413C-BCCB-67643187B520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E32D9BE1-11F5-413C-BCCB-67643187B520}"/>
                </a:ext>
              </a:extLst>
            </xdr:cNvPr>
            <xdr:cNvSpPr txBox="1"/>
          </xdr:nvSpPr>
          <xdr:spPr>
            <a:xfrm>
              <a:off x="243840" y="307246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142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003AE817-7AF3-41B8-A3D7-019F98886FD6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003AE817-7AF3-41B8-A3D7-019F98886FD6}"/>
                </a:ext>
              </a:extLst>
            </xdr:cNvPr>
            <xdr:cNvSpPr txBox="1"/>
          </xdr:nvSpPr>
          <xdr:spPr>
            <a:xfrm>
              <a:off x="236220" y="311818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78EFD53-F36E-418E-8379-A3967488AF99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878EFD53-F36E-418E-8379-A3967488AF99}"/>
                </a:ext>
              </a:extLst>
            </xdr:cNvPr>
            <xdr:cNvSpPr txBox="1"/>
          </xdr:nvSpPr>
          <xdr:spPr>
            <a:xfrm>
              <a:off x="228600" y="314113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144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E2E8614-1EE0-424D-82F8-2B737587D1AD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8E2E8614-1EE0-424D-82F8-2B737587D1AD}"/>
                </a:ext>
              </a:extLst>
            </xdr:cNvPr>
            <xdr:cNvSpPr txBox="1"/>
          </xdr:nvSpPr>
          <xdr:spPr>
            <a:xfrm>
              <a:off x="228600" y="3163993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145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89C833B5-530A-485F-8DC9-DA4D086BD740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89C833B5-530A-485F-8DC9-DA4D086BD740}"/>
                </a:ext>
              </a:extLst>
            </xdr:cNvPr>
            <xdr:cNvSpPr txBox="1"/>
          </xdr:nvSpPr>
          <xdr:spPr>
            <a:xfrm>
              <a:off x="220980" y="3186853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141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152E2F24-B060-488D-B59A-3127E9C2B94A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152E2F24-B060-488D-B59A-3127E9C2B94A}"/>
                </a:ext>
              </a:extLst>
            </xdr:cNvPr>
            <xdr:cNvSpPr txBox="1"/>
          </xdr:nvSpPr>
          <xdr:spPr>
            <a:xfrm>
              <a:off x="243840" y="3095328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341ED6D-B1E7-4306-BE88-BFC913E4621B}"/>
                </a:ext>
              </a:extLst>
            </xdr:cNvPr>
            <xdr:cNvSpPr txBox="1"/>
          </xdr:nvSpPr>
          <xdr:spPr>
            <a:xfrm>
              <a:off x="834560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3341ED6D-B1E7-4306-BE88-BFC913E4621B}"/>
                </a:ext>
              </a:extLst>
            </xdr:cNvPr>
            <xdr:cNvSpPr txBox="1"/>
          </xdr:nvSpPr>
          <xdr:spPr>
            <a:xfrm>
              <a:off x="8345604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135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58D41AE6-FDDA-4F3A-A48F-EFA73DD7269A}"/>
                </a:ext>
              </a:extLst>
            </xdr:cNvPr>
            <xdr:cNvSpPr txBox="1"/>
          </xdr:nvSpPr>
          <xdr:spPr>
            <a:xfrm>
              <a:off x="944711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58D41AE6-FDDA-4F3A-A48F-EFA73DD7269A}"/>
                </a:ext>
              </a:extLst>
            </xdr:cNvPr>
            <xdr:cNvSpPr txBox="1"/>
          </xdr:nvSpPr>
          <xdr:spPr>
            <a:xfrm>
              <a:off x="9447111" y="2958676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135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41DC05D-B769-4366-8E17-999CE19892EA}"/>
                </a:ext>
              </a:extLst>
            </xdr:cNvPr>
            <xdr:cNvSpPr txBox="1"/>
          </xdr:nvSpPr>
          <xdr:spPr>
            <a:xfrm>
              <a:off x="1017101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741DC05D-B769-4366-8E17-999CE19892EA}"/>
                </a:ext>
              </a:extLst>
            </xdr:cNvPr>
            <xdr:cNvSpPr txBox="1"/>
          </xdr:nvSpPr>
          <xdr:spPr>
            <a:xfrm>
              <a:off x="10171010" y="2958676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135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BD46471-3500-4277-A369-2928F76A37E4}"/>
                </a:ext>
              </a:extLst>
            </xdr:cNvPr>
            <xdr:cNvSpPr txBox="1"/>
          </xdr:nvSpPr>
          <xdr:spPr>
            <a:xfrm>
              <a:off x="1111589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2BD46471-3500-4277-A369-2928F76A37E4}"/>
                </a:ext>
              </a:extLst>
            </xdr:cNvPr>
            <xdr:cNvSpPr txBox="1"/>
          </xdr:nvSpPr>
          <xdr:spPr>
            <a:xfrm>
              <a:off x="11115890" y="2958676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135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002592BD-C8D7-4CF0-9D23-FDDD25DCD28C}"/>
                </a:ext>
              </a:extLst>
            </xdr:cNvPr>
            <xdr:cNvSpPr txBox="1"/>
          </xdr:nvSpPr>
          <xdr:spPr>
            <a:xfrm>
              <a:off x="1238251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002592BD-C8D7-4CF0-9D23-FDDD25DCD28C}"/>
                </a:ext>
              </a:extLst>
            </xdr:cNvPr>
            <xdr:cNvSpPr txBox="1"/>
          </xdr:nvSpPr>
          <xdr:spPr>
            <a:xfrm>
              <a:off x="12382514" y="2957830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135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6614C7E-2AD0-4A40-AF25-844800C10801}"/>
                </a:ext>
              </a:extLst>
            </xdr:cNvPr>
            <xdr:cNvSpPr txBox="1"/>
          </xdr:nvSpPr>
          <xdr:spPr>
            <a:xfrm>
              <a:off x="1323341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76614C7E-2AD0-4A40-AF25-844800C10801}"/>
                </a:ext>
              </a:extLst>
            </xdr:cNvPr>
            <xdr:cNvSpPr txBox="1"/>
          </xdr:nvSpPr>
          <xdr:spPr>
            <a:xfrm>
              <a:off x="13233413" y="2956983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567281</xdr:colOff>
      <xdr:row>144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7FA291B-2C28-48FE-B61E-1C84C18F5CB1}"/>
                </a:ext>
              </a:extLst>
            </xdr:cNvPr>
            <xdr:cNvSpPr txBox="1"/>
          </xdr:nvSpPr>
          <xdr:spPr>
            <a:xfrm>
              <a:off x="14655814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7FA291B-2C28-48FE-B61E-1C84C18F5CB1}"/>
                </a:ext>
              </a:extLst>
            </xdr:cNvPr>
            <xdr:cNvSpPr txBox="1"/>
          </xdr:nvSpPr>
          <xdr:spPr>
            <a:xfrm>
              <a:off x="14655814" y="31720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143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32768509-4A1B-443C-85AD-F1070F8A85D1}"/>
                </a:ext>
              </a:extLst>
            </xdr:cNvPr>
            <xdr:cNvSpPr txBox="1"/>
          </xdr:nvSpPr>
          <xdr:spPr>
            <a:xfrm>
              <a:off x="14097000" y="31487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32768509-4A1B-443C-85AD-F1070F8A85D1}"/>
                </a:ext>
              </a:extLst>
            </xdr:cNvPr>
            <xdr:cNvSpPr txBox="1"/>
          </xdr:nvSpPr>
          <xdr:spPr>
            <a:xfrm>
              <a:off x="14097000" y="31487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𝜼_𝟏𝟏 (𝒂_𝒕𝟏𝟏)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136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3389830-8C54-4558-9DF9-529DDB15F988}"/>
                </a:ext>
              </a:extLst>
            </xdr:cNvPr>
            <xdr:cNvSpPr txBox="1"/>
          </xdr:nvSpPr>
          <xdr:spPr>
            <a:xfrm>
              <a:off x="1534582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3389830-8C54-4558-9DF9-529DDB15F988}"/>
                </a:ext>
              </a:extLst>
            </xdr:cNvPr>
            <xdr:cNvSpPr txBox="1"/>
          </xdr:nvSpPr>
          <xdr:spPr>
            <a:xfrm>
              <a:off x="15345826" y="2991696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372541</xdr:colOff>
      <xdr:row>150</xdr:row>
      <xdr:rowOff>12703</xdr:rowOff>
    </xdr:from>
    <xdr:ext cx="676147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F6D0770E-9BA5-4AB1-9113-483BFFE4A1F5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F6D0770E-9BA5-4AB1-9113-483BFFE4A1F5}"/>
                </a:ext>
              </a:extLst>
            </xdr:cNvPr>
            <xdr:cNvSpPr txBox="1"/>
          </xdr:nvSpPr>
          <xdr:spPr>
            <a:xfrm>
              <a:off x="3022608" y="32964970"/>
              <a:ext cx="676147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"(" 𝒂_𝒕𝟏𝟐 ")"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150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641A6D5-FF6C-458C-956C-0DC068F4109A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7641A6D5-FF6C-458C-956C-0DC068F4109A}"/>
                </a:ext>
              </a:extLst>
            </xdr:cNvPr>
            <xdr:cNvSpPr txBox="1"/>
          </xdr:nvSpPr>
          <xdr:spPr>
            <a:xfrm>
              <a:off x="5415282" y="328786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151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F12F6915-D6CD-4C58-BF6F-D0FB585A6B62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F12F6915-D6CD-4C58-BF6F-D0FB585A6B62}"/>
                </a:ext>
              </a:extLst>
            </xdr:cNvPr>
            <xdr:cNvSpPr txBox="1"/>
          </xdr:nvSpPr>
          <xdr:spPr>
            <a:xfrm>
              <a:off x="242993" y="33102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152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1B2E655-8159-4F3C-AF2E-748239103661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41B2E655-8159-4F3C-AF2E-748239103661}"/>
                </a:ext>
              </a:extLst>
            </xdr:cNvPr>
            <xdr:cNvSpPr txBox="1"/>
          </xdr:nvSpPr>
          <xdr:spPr>
            <a:xfrm>
              <a:off x="243840" y="333332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153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CEADE061-066C-430E-AC11-1F5F97524FF1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CEADE061-066C-430E-AC11-1F5F97524FF1}"/>
                </a:ext>
              </a:extLst>
            </xdr:cNvPr>
            <xdr:cNvSpPr txBox="1"/>
          </xdr:nvSpPr>
          <xdr:spPr>
            <a:xfrm>
              <a:off x="243840" y="335610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154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597EBA37-47C4-4AB7-99FC-1E7BEA561568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597EBA37-47C4-4AB7-99FC-1E7BEA561568}"/>
                </a:ext>
              </a:extLst>
            </xdr:cNvPr>
            <xdr:cNvSpPr txBox="1"/>
          </xdr:nvSpPr>
          <xdr:spPr>
            <a:xfrm>
              <a:off x="243840" y="33787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155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CC2C479-BD0F-442F-948E-8D12DFA8FB86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9CC2C479-BD0F-442F-948E-8D12DFA8FB86}"/>
                </a:ext>
              </a:extLst>
            </xdr:cNvPr>
            <xdr:cNvSpPr txBox="1"/>
          </xdr:nvSpPr>
          <xdr:spPr>
            <a:xfrm>
              <a:off x="243840" y="34016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157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AC40FF9-3F92-495C-9F86-36AF2C4DE0E3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AC40FF9-3F92-495C-9F86-36AF2C4DE0E3}"/>
                </a:ext>
              </a:extLst>
            </xdr:cNvPr>
            <xdr:cNvSpPr txBox="1"/>
          </xdr:nvSpPr>
          <xdr:spPr>
            <a:xfrm>
              <a:off x="236220" y="34473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158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D21A981E-59D4-4F22-9FE2-719CD316A1EF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D21A981E-59D4-4F22-9FE2-719CD316A1EF}"/>
                </a:ext>
              </a:extLst>
            </xdr:cNvPr>
            <xdr:cNvSpPr txBox="1"/>
          </xdr:nvSpPr>
          <xdr:spPr>
            <a:xfrm>
              <a:off x="228600" y="347031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228600</xdr:colOff>
      <xdr:row>159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7277B38C-1EEA-4C1E-B8B3-D8AD6F484FE3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7277B38C-1EEA-4C1E-B8B3-D8AD6F484FE3}"/>
                </a:ext>
              </a:extLst>
            </xdr:cNvPr>
            <xdr:cNvSpPr txBox="1"/>
          </xdr:nvSpPr>
          <xdr:spPr>
            <a:xfrm>
              <a:off x="228600" y="34931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220980</xdr:colOff>
      <xdr:row>160</xdr:row>
      <xdr:rowOff>16934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B6A8733F-1E5E-4C42-B299-E144B28B4D2F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B6A8733F-1E5E-4C42-B299-E144B28B4D2F}"/>
                </a:ext>
              </a:extLst>
            </xdr:cNvPr>
            <xdr:cNvSpPr txBox="1"/>
          </xdr:nvSpPr>
          <xdr:spPr>
            <a:xfrm>
              <a:off x="220980" y="35160374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156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F8587A4-2BDA-4F82-9902-2A28966DFC6B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AF8587A4-2BDA-4F82-9902-2A28966DFC6B}"/>
                </a:ext>
              </a:extLst>
            </xdr:cNvPr>
            <xdr:cNvSpPr txBox="1"/>
          </xdr:nvSpPr>
          <xdr:spPr>
            <a:xfrm>
              <a:off x="243840" y="342451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397944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A7A9D6F-0EB2-400A-9081-2F891F928204}"/>
                </a:ext>
              </a:extLst>
            </xdr:cNvPr>
            <xdr:cNvSpPr txBox="1"/>
          </xdr:nvSpPr>
          <xdr:spPr>
            <a:xfrm>
              <a:off x="834560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DA7A9D6F-0EB2-400A-9081-2F891F928204}"/>
                </a:ext>
              </a:extLst>
            </xdr:cNvPr>
            <xdr:cNvSpPr txBox="1"/>
          </xdr:nvSpPr>
          <xdr:spPr>
            <a:xfrm>
              <a:off x="8345604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𝑴_𝟏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211671</xdr:colOff>
      <xdr:row>150</xdr:row>
      <xdr:rowOff>21169</xdr:rowOff>
    </xdr:from>
    <xdr:ext cx="46474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6652D68F-E8AE-46EB-AA1B-FCDDAB63AD4B}"/>
                </a:ext>
              </a:extLst>
            </xdr:cNvPr>
            <xdr:cNvSpPr txBox="1"/>
          </xdr:nvSpPr>
          <xdr:spPr>
            <a:xfrm>
              <a:off x="944711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𝑴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𝚺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6652D68F-E8AE-46EB-AA1B-FCDDAB63AD4B}"/>
                </a:ext>
              </a:extLst>
            </xdr:cNvPr>
            <xdr:cNvSpPr txBox="1"/>
          </xdr:nvSpPr>
          <xdr:spPr>
            <a:xfrm>
              <a:off x="9447111" y="32878609"/>
              <a:ext cx="46474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𝑴_𝟐 (𝚺)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59270</xdr:colOff>
      <xdr:row>150</xdr:row>
      <xdr:rowOff>21169</xdr:rowOff>
    </xdr:from>
    <xdr:ext cx="77348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45CE9400-3D43-4CDF-883F-2C839020CC29}"/>
                </a:ext>
              </a:extLst>
            </xdr:cNvPr>
            <xdr:cNvSpPr txBox="1"/>
          </xdr:nvSpPr>
          <xdr:spPr>
            <a:xfrm>
              <a:off x="1017101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45CE9400-3D43-4CDF-883F-2C839020CC29}"/>
                </a:ext>
              </a:extLst>
            </xdr:cNvPr>
            <xdr:cNvSpPr txBox="1"/>
          </xdr:nvSpPr>
          <xdr:spPr>
            <a:xfrm>
              <a:off x="10171010" y="32878609"/>
              <a:ext cx="77348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𝑲_𝟏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59270</xdr:colOff>
      <xdr:row>150</xdr:row>
      <xdr:rowOff>21169</xdr:rowOff>
    </xdr:from>
    <xdr:ext cx="77348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9329A593-7365-4247-850E-72727E1AE57F}"/>
                </a:ext>
              </a:extLst>
            </xdr:cNvPr>
            <xdr:cNvSpPr txBox="1"/>
          </xdr:nvSpPr>
          <xdr:spPr>
            <a:xfrm>
              <a:off x="1111589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𝑲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𝑴𝒆𝒂𝒏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9329A593-7365-4247-850E-72727E1AE57F}"/>
                </a:ext>
              </a:extLst>
            </xdr:cNvPr>
            <xdr:cNvSpPr txBox="1"/>
          </xdr:nvSpPr>
          <xdr:spPr>
            <a:xfrm>
              <a:off x="11115890" y="32878609"/>
              <a:ext cx="77348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𝑲_𝟐 (𝑴𝒆𝒂𝒏)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381014</xdr:colOff>
      <xdr:row>150</xdr:row>
      <xdr:rowOff>12702</xdr:rowOff>
    </xdr:from>
    <xdr:ext cx="12933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5D03919B-81E3-42F2-9BCC-D51E4007F113}"/>
                </a:ext>
              </a:extLst>
            </xdr:cNvPr>
            <xdr:cNvSpPr txBox="1"/>
          </xdr:nvSpPr>
          <xdr:spPr>
            <a:xfrm>
              <a:off x="1238251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𝜽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5D03919B-81E3-42F2-9BCC-D51E4007F113}"/>
                </a:ext>
              </a:extLst>
            </xdr:cNvPr>
            <xdr:cNvSpPr txBox="1"/>
          </xdr:nvSpPr>
          <xdr:spPr>
            <a:xfrm>
              <a:off x="12382514" y="32870142"/>
              <a:ext cx="12933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355613</xdr:colOff>
      <xdr:row>150</xdr:row>
      <xdr:rowOff>4235</xdr:rowOff>
    </xdr:from>
    <xdr:ext cx="1260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981297BC-1659-434B-9AB7-5570DD03C710}"/>
                </a:ext>
              </a:extLst>
            </xdr:cNvPr>
            <xdr:cNvSpPr txBox="1"/>
          </xdr:nvSpPr>
          <xdr:spPr>
            <a:xfrm>
              <a:off x="1323341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𝜸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981297BC-1659-434B-9AB7-5570DD03C710}"/>
                </a:ext>
              </a:extLst>
            </xdr:cNvPr>
            <xdr:cNvSpPr txBox="1"/>
          </xdr:nvSpPr>
          <xdr:spPr>
            <a:xfrm>
              <a:off x="13233413" y="32861675"/>
              <a:ext cx="1260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584217</xdr:colOff>
      <xdr:row>159</xdr:row>
      <xdr:rowOff>12702</xdr:rowOff>
    </xdr:from>
    <xdr:ext cx="33150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505AC62-1A25-4600-AE03-776D71F79EBA}"/>
                </a:ext>
              </a:extLst>
            </xdr:cNvPr>
            <xdr:cNvSpPr txBox="1"/>
          </xdr:nvSpPr>
          <xdr:spPr>
            <a:xfrm>
              <a:off x="1467275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𝜽</m:t>
                  </m:r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 /</m:t>
                  </m:r>
                </m:oMath>
              </a14:m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en-US" sz="12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𝜸</m:t>
                  </m:r>
                </m:oMath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F505AC62-1A25-4600-AE03-776D71F79EBA}"/>
                </a:ext>
              </a:extLst>
            </xdr:cNvPr>
            <xdr:cNvSpPr txBox="1"/>
          </xdr:nvSpPr>
          <xdr:spPr>
            <a:xfrm>
              <a:off x="14672750" y="35022369"/>
              <a:ext cx="33150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𝜽 /</a:t>
              </a:r>
              <a:r>
                <a:rPr lang="en-US" sz="1200" b="1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𝜸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14</xdr:col>
      <xdr:colOff>8467</xdr:colOff>
      <xdr:row>158</xdr:row>
      <xdr:rowOff>8467</xdr:rowOff>
    </xdr:from>
    <xdr:ext cx="1529906" cy="1944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D64447C-BA10-4BC6-9ADF-08F11A45DDA3}"/>
                </a:ext>
              </a:extLst>
            </xdr:cNvPr>
            <xdr:cNvSpPr txBox="1"/>
          </xdr:nvSpPr>
          <xdr:spPr>
            <a:xfrm>
              <a:off x="14097000" y="34789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𝑹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D64447C-BA10-4BC6-9ADF-08F11A45DDA3}"/>
                </a:ext>
              </a:extLst>
            </xdr:cNvPr>
            <xdr:cNvSpPr txBox="1"/>
          </xdr:nvSpPr>
          <xdr:spPr>
            <a:xfrm>
              <a:off x="14097000" y="34789534"/>
              <a:ext cx="1529906" cy="1944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𝑹(𝑺_𝒕^(𝟑,𝟔,𝟏𝟑,𝟒))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𝜼_𝟏𝟐 (𝒂_𝒕𝟏𝟐)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15</xdr:col>
      <xdr:colOff>143926</xdr:colOff>
      <xdr:row>151</xdr:row>
      <xdr:rowOff>122765</xdr:rowOff>
    </xdr:from>
    <xdr:ext cx="996363" cy="4403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EB2E0268-CAC2-454B-BE6B-42A235E3EC6A}"/>
                </a:ext>
              </a:extLst>
            </xdr:cNvPr>
            <xdr:cNvSpPr txBox="1"/>
          </xdr:nvSpPr>
          <xdr:spPr>
            <a:xfrm>
              <a:off x="1534582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f>
                      <m:f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𝜽</m:t>
                        </m:r>
                      </m:num>
                      <m:den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𝜸</m:t>
                        </m:r>
                      </m:den>
                    </m:f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EB2E0268-CAC2-454B-BE6B-42A235E3EC6A}"/>
                </a:ext>
              </a:extLst>
            </xdr:cNvPr>
            <xdr:cNvSpPr txBox="1"/>
          </xdr:nvSpPr>
          <xdr:spPr>
            <a:xfrm>
              <a:off x="15345826" y="33208805"/>
              <a:ext cx="996363" cy="440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𝒊𝒇(𝜽/𝜸&lt;𝒄𝒓𝟏)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12</xdr:col>
      <xdr:colOff>484295</xdr:colOff>
      <xdr:row>164</xdr:row>
      <xdr:rowOff>32175</xdr:rowOff>
    </xdr:from>
    <xdr:ext cx="78486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7FF08A3F-6FBF-402A-B92B-91F8687DDE72}"/>
                </a:ext>
              </a:extLst>
            </xdr:cNvPr>
            <xdr:cNvSpPr txBox="1"/>
          </xdr:nvSpPr>
          <xdr:spPr>
            <a:xfrm>
              <a:off x="12485795" y="3924469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7FF08A3F-6FBF-402A-B92B-91F8687DDE72}"/>
                </a:ext>
              </a:extLst>
            </xdr:cNvPr>
            <xdr:cNvSpPr txBox="1"/>
          </xdr:nvSpPr>
          <xdr:spPr>
            <a:xfrm>
              <a:off x="12485795" y="39244695"/>
              <a:ext cx="78486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12</xdr:col>
      <xdr:colOff>212516</xdr:colOff>
      <xdr:row>167</xdr:row>
      <xdr:rowOff>23708</xdr:rowOff>
    </xdr:from>
    <xdr:ext cx="1310640" cy="379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E42F56A-7078-4965-AD4F-F0AE9A31D51F}"/>
                </a:ext>
              </a:extLst>
            </xdr:cNvPr>
            <xdr:cNvSpPr txBox="1"/>
          </xdr:nvSpPr>
          <xdr:spPr>
            <a:xfrm>
              <a:off x="12214016" y="3992202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𝒂𝒓𝒈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𝒖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∈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𝑷</m:t>
                            </m:r>
                          </m:lim>
                        </m:limLow>
                      </m:fName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(</m:t>
                        </m:r>
                        <m:f>
                          <m:f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𝜽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𝜸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𝒖</m:t>
                                </m:r>
                              </m:sub>
                            </m:sSub>
                          </m:den>
                        </m:f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func>
                    <m:r>
                      <a:rPr lang="en-US" sz="1200" b="1" i="1">
                        <a:latin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2E42F56A-7078-4965-AD4F-F0AE9A31D51F}"/>
                </a:ext>
              </a:extLst>
            </xdr:cNvPr>
            <xdr:cNvSpPr txBox="1"/>
          </xdr:nvSpPr>
          <xdr:spPr>
            <a:xfrm>
              <a:off x="12214016" y="39922028"/>
              <a:ext cx="1310640" cy="379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𝒂𝒓𝒈  (𝐦𝐢𝐧)┬(𝒖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∈𝑷)⁡〖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𝜽_</a:t>
              </a:r>
              <a:r>
                <a:rPr lang="en-US" sz="1200" b="1" i="0">
                  <a:latin typeface="Cambria Math" panose="02040503050406030204" pitchFamily="18" charset="0"/>
                </a:rPr>
                <a:t>𝒖/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𝜸_</a:t>
              </a:r>
              <a:r>
                <a:rPr lang="en-US" sz="1200" b="1" i="0">
                  <a:latin typeface="Cambria Math" panose="02040503050406030204" pitchFamily="18" charset="0"/>
                </a:rPr>
                <a:t>𝒖 )〗= 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11</xdr:col>
      <xdr:colOff>228610</xdr:colOff>
      <xdr:row>164</xdr:row>
      <xdr:rowOff>139705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A86E7DB9-9C09-4CAB-B061-F06DCA756267}"/>
                </a:ext>
              </a:extLst>
            </xdr:cNvPr>
            <xdr:cNvSpPr txBox="1"/>
          </xdr:nvSpPr>
          <xdr:spPr>
            <a:xfrm>
              <a:off x="11285230" y="3935222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A86E7DB9-9C09-4CAB-B061-F06DCA756267}"/>
                </a:ext>
              </a:extLst>
            </xdr:cNvPr>
            <xdr:cNvSpPr txBox="1"/>
          </xdr:nvSpPr>
          <xdr:spPr>
            <a:xfrm>
              <a:off x="11285230" y="3935222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321747</xdr:colOff>
      <xdr:row>167</xdr:row>
      <xdr:rowOff>139705</xdr:rowOff>
    </xdr:from>
    <xdr:ext cx="2840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448FDE1-B10C-4C55-BD77-5B79DCEE2D75}"/>
                </a:ext>
              </a:extLst>
            </xdr:cNvPr>
            <xdr:cNvSpPr txBox="1"/>
          </xdr:nvSpPr>
          <xdr:spPr>
            <a:xfrm>
              <a:off x="11378367" y="4003802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8448FDE1-B10C-4C55-BD77-5B79DCEE2D75}"/>
                </a:ext>
              </a:extLst>
            </xdr:cNvPr>
            <xdr:cNvSpPr txBox="1"/>
          </xdr:nvSpPr>
          <xdr:spPr>
            <a:xfrm>
              <a:off x="11378367" y="40038025"/>
              <a:ext cx="2840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𝒒=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203212</xdr:colOff>
      <xdr:row>176</xdr:row>
      <xdr:rowOff>21165</xdr:rowOff>
    </xdr:from>
    <xdr:ext cx="473015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BD10549A-0C9F-4D91-902A-AB7928DE7467}"/>
                </a:ext>
              </a:extLst>
            </xdr:cNvPr>
            <xdr:cNvSpPr txBox="1"/>
          </xdr:nvSpPr>
          <xdr:spPr>
            <a:xfrm>
              <a:off x="13081012" y="417940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BD10549A-0C9F-4D91-902A-AB7928DE7467}"/>
                </a:ext>
              </a:extLst>
            </xdr:cNvPr>
            <xdr:cNvSpPr txBox="1"/>
          </xdr:nvSpPr>
          <xdr:spPr>
            <a:xfrm>
              <a:off x="13081012" y="41794005"/>
              <a:ext cx="473015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262477</xdr:colOff>
      <xdr:row>181</xdr:row>
      <xdr:rowOff>21169</xdr:rowOff>
    </xdr:from>
    <xdr:ext cx="39408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91ABB851-59CE-493E-A7AA-A793725D5A4F}"/>
                </a:ext>
              </a:extLst>
            </xdr:cNvPr>
            <xdr:cNvSpPr txBox="1"/>
          </xdr:nvSpPr>
          <xdr:spPr>
            <a:xfrm>
              <a:off x="13140277" y="429370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91ABB851-59CE-493E-A7AA-A793725D5A4F}"/>
                </a:ext>
              </a:extLst>
            </xdr:cNvPr>
            <xdr:cNvSpPr txBox="1"/>
          </xdr:nvSpPr>
          <xdr:spPr>
            <a:xfrm>
              <a:off x="13140277" y="42937009"/>
              <a:ext cx="39408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|𝑷|=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694286</xdr:colOff>
      <xdr:row>174</xdr:row>
      <xdr:rowOff>224370</xdr:rowOff>
    </xdr:from>
    <xdr:ext cx="89614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64DDB1E-2FF1-499A-9928-D88B29F5C94B}"/>
                </a:ext>
              </a:extLst>
            </xdr:cNvPr>
            <xdr:cNvSpPr txBox="1"/>
          </xdr:nvSpPr>
          <xdr:spPr>
            <a:xfrm>
              <a:off x="13572086" y="4154001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</m:oMath>
                </m:oMathPara>
              </a14:m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B64DDB1E-2FF1-499A-9928-D88B29F5C94B}"/>
                </a:ext>
              </a:extLst>
            </xdr:cNvPr>
            <xdr:cNvSpPr txBox="1"/>
          </xdr:nvSpPr>
          <xdr:spPr>
            <a:xfrm>
              <a:off x="13572086" y="41540010"/>
              <a:ext cx="89614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𝒄𝒓𝒊𝒕=𝒄𝒓𝟏</a:t>
              </a:r>
              <a:endParaRPr lang="en-US" sz="14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220132</xdr:colOff>
      <xdr:row>178</xdr:row>
      <xdr:rowOff>25401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8A220E89-1D8F-4800-9DFE-EBAB6A193480}"/>
                </a:ext>
              </a:extLst>
            </xdr:cNvPr>
            <xdr:cNvSpPr txBox="1"/>
          </xdr:nvSpPr>
          <xdr:spPr>
            <a:xfrm>
              <a:off x="13097932" y="422554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8A220E89-1D8F-4800-9DFE-EBAB6A193480}"/>
                </a:ext>
              </a:extLst>
            </xdr:cNvPr>
            <xdr:cNvSpPr txBox="1"/>
          </xdr:nvSpPr>
          <xdr:spPr>
            <a:xfrm>
              <a:off x="13097932" y="4225544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262470</xdr:colOff>
      <xdr:row>178</xdr:row>
      <xdr:rowOff>25401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FC793B6-D378-4D95-BCBF-297854F4BF59}"/>
                </a:ext>
              </a:extLst>
            </xdr:cNvPr>
            <xdr:cNvSpPr txBox="1"/>
          </xdr:nvSpPr>
          <xdr:spPr>
            <a:xfrm>
              <a:off x="14596537" y="3903980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FC793B6-D378-4D95-BCBF-297854F4BF59}"/>
                </a:ext>
              </a:extLst>
            </xdr:cNvPr>
            <xdr:cNvSpPr txBox="1"/>
          </xdr:nvSpPr>
          <xdr:spPr>
            <a:xfrm>
              <a:off x="14596537" y="3903980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228613</xdr:colOff>
      <xdr:row>177</xdr:row>
      <xdr:rowOff>21165</xdr:rowOff>
    </xdr:from>
    <xdr:ext cx="443391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095B4169-297D-41D5-A40F-0423228A92DA}"/>
                </a:ext>
              </a:extLst>
            </xdr:cNvPr>
            <xdr:cNvSpPr txBox="1"/>
          </xdr:nvSpPr>
          <xdr:spPr>
            <a:xfrm>
              <a:off x="13106413" y="420226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095B4169-297D-41D5-A40F-0423228A92DA}"/>
                </a:ext>
              </a:extLst>
            </xdr:cNvPr>
            <xdr:cNvSpPr txBox="1"/>
          </xdr:nvSpPr>
          <xdr:spPr>
            <a:xfrm>
              <a:off x="13106413" y="42022605"/>
              <a:ext cx="443391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𝒄𝒓𝟏=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321735</xdr:colOff>
      <xdr:row>180</xdr:row>
      <xdr:rowOff>25401</xdr:rowOff>
    </xdr:from>
    <xdr:ext cx="2982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F3AD70BB-ECE8-4134-862B-32C720A91095}"/>
                </a:ext>
              </a:extLst>
            </xdr:cNvPr>
            <xdr:cNvSpPr txBox="1"/>
          </xdr:nvSpPr>
          <xdr:spPr>
            <a:xfrm>
              <a:off x="13199535" y="427126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F3AD70BB-ECE8-4134-862B-32C720A91095}"/>
                </a:ext>
              </a:extLst>
            </xdr:cNvPr>
            <xdr:cNvSpPr txBox="1"/>
          </xdr:nvSpPr>
          <xdr:spPr>
            <a:xfrm>
              <a:off x="13199535" y="42712641"/>
              <a:ext cx="2982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178649</xdr:colOff>
      <xdr:row>180</xdr:row>
      <xdr:rowOff>16934</xdr:rowOff>
    </xdr:from>
    <xdr:ext cx="118423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4C4CED85-4BDE-4F03-A70E-4B7FEC093BA3}"/>
                </a:ext>
              </a:extLst>
            </xdr:cNvPr>
            <xdr:cNvSpPr txBox="1"/>
          </xdr:nvSpPr>
          <xdr:spPr>
            <a:xfrm>
              <a:off x="14512716" y="39488534"/>
              <a:ext cx="11842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 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4C4CED85-4BDE-4F03-A70E-4B7FEC093BA3}"/>
                </a:ext>
              </a:extLst>
            </xdr:cNvPr>
            <xdr:cNvSpPr txBox="1"/>
          </xdr:nvSpPr>
          <xdr:spPr>
            <a:xfrm>
              <a:off x="14512716" y="39488534"/>
              <a:ext cx="118423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 / 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423343</xdr:colOff>
      <xdr:row>175</xdr:row>
      <xdr:rowOff>12703</xdr:rowOff>
    </xdr:from>
    <xdr:ext cx="5750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BBFF27B2-1023-47CF-8125-3C193FC4DAEA}"/>
                </a:ext>
              </a:extLst>
            </xdr:cNvPr>
            <xdr:cNvSpPr txBox="1"/>
          </xdr:nvSpPr>
          <xdr:spPr>
            <a:xfrm>
              <a:off x="3073410" y="383413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𝜼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𝒂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  <m:r>
                      <m:rPr>
                        <m:nor/>
                      </m:rPr>
                      <a:rPr lang="en-US" sz="1200" b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  <m:r>
                      <m:rPr>
                        <m:nor/>
                      </m:rPr>
                      <a:rPr lang="en-US" sz="12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BBFF27B2-1023-47CF-8125-3C193FC4DAEA}"/>
                </a:ext>
              </a:extLst>
            </xdr:cNvPr>
            <xdr:cNvSpPr txBox="1"/>
          </xdr:nvSpPr>
          <xdr:spPr>
            <a:xfrm>
              <a:off x="3073410" y="38341303"/>
              <a:ext cx="5750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𝜼_𝟗 "(" 𝒂_𝒕𝟗 ") "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431802</xdr:colOff>
      <xdr:row>175</xdr:row>
      <xdr:rowOff>21169</xdr:rowOff>
    </xdr:from>
    <xdr:ext cx="180883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64D677F3-5E80-4370-A3BD-8F56DFCEFCFB}"/>
                </a:ext>
              </a:extLst>
            </xdr:cNvPr>
            <xdr:cNvSpPr txBox="1"/>
          </xdr:nvSpPr>
          <xdr:spPr>
            <a:xfrm>
              <a:off x="5415282" y="41565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64D677F3-5E80-4370-A3BD-8F56DFCEFCFB}"/>
                </a:ext>
              </a:extLst>
            </xdr:cNvPr>
            <xdr:cNvSpPr txBox="1"/>
          </xdr:nvSpPr>
          <xdr:spPr>
            <a:xfrm>
              <a:off x="5415282" y="41565409"/>
              <a:ext cx="180883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242993</xdr:colOff>
      <xdr:row>176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B6423510-65F6-4458-8D44-82314B579569}"/>
                </a:ext>
              </a:extLst>
            </xdr:cNvPr>
            <xdr:cNvSpPr txBox="1"/>
          </xdr:nvSpPr>
          <xdr:spPr>
            <a:xfrm>
              <a:off x="242993" y="41789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B6423510-65F6-4458-8D44-82314B579569}"/>
                </a:ext>
              </a:extLst>
            </xdr:cNvPr>
            <xdr:cNvSpPr txBox="1"/>
          </xdr:nvSpPr>
          <xdr:spPr>
            <a:xfrm>
              <a:off x="242993" y="417897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177</xdr:row>
      <xdr:rowOff>18628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280EE580-0E9C-492E-8F80-E9D740023A19}"/>
                </a:ext>
              </a:extLst>
            </xdr:cNvPr>
            <xdr:cNvSpPr txBox="1"/>
          </xdr:nvSpPr>
          <xdr:spPr>
            <a:xfrm>
              <a:off x="243840" y="42020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280EE580-0E9C-492E-8F80-E9D740023A19}"/>
                </a:ext>
              </a:extLst>
            </xdr:cNvPr>
            <xdr:cNvSpPr txBox="1"/>
          </xdr:nvSpPr>
          <xdr:spPr>
            <a:xfrm>
              <a:off x="243840" y="42020068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𝒃_𝟐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178</xdr:row>
      <xdr:rowOff>17780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C2841E9-8AD5-4A82-BB7C-68A8FB886364}"/>
                </a:ext>
              </a:extLst>
            </xdr:cNvPr>
            <xdr:cNvSpPr txBox="1"/>
          </xdr:nvSpPr>
          <xdr:spPr>
            <a:xfrm>
              <a:off x="243840" y="42247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DC2841E9-8AD5-4A82-BB7C-68A8FB886364}"/>
                </a:ext>
              </a:extLst>
            </xdr:cNvPr>
            <xdr:cNvSpPr txBox="1"/>
          </xdr:nvSpPr>
          <xdr:spPr>
            <a:xfrm>
              <a:off x="243840" y="42247820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𝒃_𝟑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179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C62CE951-1E47-4B70-8531-DE6DDF4982DF}"/>
                </a:ext>
              </a:extLst>
            </xdr:cNvPr>
            <xdr:cNvSpPr txBox="1"/>
          </xdr:nvSpPr>
          <xdr:spPr>
            <a:xfrm>
              <a:off x="243840" y="42474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C62CE951-1E47-4B70-8531-DE6DDF4982DF}"/>
                </a:ext>
              </a:extLst>
            </xdr:cNvPr>
            <xdr:cNvSpPr txBox="1"/>
          </xdr:nvSpPr>
          <xdr:spPr>
            <a:xfrm>
              <a:off x="243840" y="424747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𝒃_𝟒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180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BC26C37E-F381-4113-BD95-6C8B794C871A}"/>
                </a:ext>
              </a:extLst>
            </xdr:cNvPr>
            <xdr:cNvSpPr txBox="1"/>
          </xdr:nvSpPr>
          <xdr:spPr>
            <a:xfrm>
              <a:off x="243840" y="42703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BC26C37E-F381-4113-BD95-6C8B794C871A}"/>
                </a:ext>
              </a:extLst>
            </xdr:cNvPr>
            <xdr:cNvSpPr txBox="1"/>
          </xdr:nvSpPr>
          <xdr:spPr>
            <a:xfrm>
              <a:off x="243840" y="427033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𝒃_𝟓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236220</xdr:colOff>
      <xdr:row>182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E8943E0-B711-4D67-B36D-B3E836FD1813}"/>
                </a:ext>
              </a:extLst>
            </xdr:cNvPr>
            <xdr:cNvSpPr txBox="1"/>
          </xdr:nvSpPr>
          <xdr:spPr>
            <a:xfrm>
              <a:off x="236220" y="43160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0E8943E0-B711-4D67-B36D-B3E836FD1813}"/>
                </a:ext>
              </a:extLst>
            </xdr:cNvPr>
            <xdr:cNvSpPr txBox="1"/>
          </xdr:nvSpPr>
          <xdr:spPr>
            <a:xfrm>
              <a:off x="236220" y="431605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𝒃_𝟕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183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7C3AB4B9-1C29-48B0-AB55-F89ED9EB87D5}"/>
                </a:ext>
              </a:extLst>
            </xdr:cNvPr>
            <xdr:cNvSpPr txBox="1"/>
          </xdr:nvSpPr>
          <xdr:spPr>
            <a:xfrm>
              <a:off x="237067" y="43389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7C3AB4B9-1C29-48B0-AB55-F89ED9EB87D5}"/>
                </a:ext>
              </a:extLst>
            </xdr:cNvPr>
            <xdr:cNvSpPr txBox="1"/>
          </xdr:nvSpPr>
          <xdr:spPr>
            <a:xfrm>
              <a:off x="237067" y="433899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𝒃_𝟖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237067</xdr:colOff>
      <xdr:row>184</xdr:row>
      <xdr:rowOff>16934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EB6AB9C-5EBE-4673-AD7D-3240B12A9379}"/>
                </a:ext>
              </a:extLst>
            </xdr:cNvPr>
            <xdr:cNvSpPr txBox="1"/>
          </xdr:nvSpPr>
          <xdr:spPr>
            <a:xfrm>
              <a:off x="237067" y="43618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9EB6AB9C-5EBE-4673-AD7D-3240B12A9379}"/>
                </a:ext>
              </a:extLst>
            </xdr:cNvPr>
            <xdr:cNvSpPr txBox="1"/>
          </xdr:nvSpPr>
          <xdr:spPr>
            <a:xfrm>
              <a:off x="237067" y="43618574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𝒃_𝟗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212513</xdr:colOff>
      <xdr:row>184</xdr:row>
      <xdr:rowOff>228599</xdr:rowOff>
    </xdr:from>
    <xdr:ext cx="26815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B5283BCC-94AA-4B40-8CE8-A32B455B5A17}"/>
                </a:ext>
              </a:extLst>
            </xdr:cNvPr>
            <xdr:cNvSpPr txBox="1"/>
          </xdr:nvSpPr>
          <xdr:spPr>
            <a:xfrm>
              <a:off x="212513" y="438302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B5283BCC-94AA-4B40-8CE8-A32B455B5A17}"/>
                </a:ext>
              </a:extLst>
            </xdr:cNvPr>
            <xdr:cNvSpPr txBox="1"/>
          </xdr:nvSpPr>
          <xdr:spPr>
            <a:xfrm>
              <a:off x="212513" y="43830239"/>
              <a:ext cx="26815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𝒃_𝟏𝟎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243840</xdr:colOff>
      <xdr:row>181</xdr:row>
      <xdr:rowOff>16087</xdr:rowOff>
    </xdr:from>
    <xdr:ext cx="200952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17156A48-6502-4D01-8992-122C83BB9920}"/>
                </a:ext>
              </a:extLst>
            </xdr:cNvPr>
            <xdr:cNvSpPr txBox="1"/>
          </xdr:nvSpPr>
          <xdr:spPr>
            <a:xfrm>
              <a:off x="243840" y="42931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17156A48-6502-4D01-8992-122C83BB9920}"/>
                </a:ext>
              </a:extLst>
            </xdr:cNvPr>
            <xdr:cNvSpPr txBox="1"/>
          </xdr:nvSpPr>
          <xdr:spPr>
            <a:xfrm>
              <a:off x="243840" y="42931927"/>
              <a:ext cx="200952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𝒃_𝟔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34704</xdr:colOff>
      <xdr:row>175</xdr:row>
      <xdr:rowOff>4235</xdr:rowOff>
    </xdr:from>
    <xdr:ext cx="1299971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46EF97C9-3EE3-49A8-B75C-B9BD6497F119}"/>
                </a:ext>
              </a:extLst>
            </xdr:cNvPr>
            <xdr:cNvSpPr txBox="1"/>
          </xdr:nvSpPr>
          <xdr:spPr>
            <a:xfrm>
              <a:off x="6850371" y="38332835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46EF97C9-3EE3-49A8-B75C-B9BD6497F119}"/>
                </a:ext>
              </a:extLst>
            </xdr:cNvPr>
            <xdr:cNvSpPr txBox="1"/>
          </xdr:nvSpPr>
          <xdr:spPr>
            <a:xfrm>
              <a:off x="6850371" y="38332835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8</xdr:col>
      <xdr:colOff>9303</xdr:colOff>
      <xdr:row>175</xdr:row>
      <xdr:rowOff>4235</xdr:rowOff>
    </xdr:from>
    <xdr:ext cx="1528816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696C8044-B0BC-4FFB-9031-80BCC6A41D63}"/>
                </a:ext>
              </a:extLst>
            </xdr:cNvPr>
            <xdr:cNvSpPr txBox="1"/>
          </xdr:nvSpPr>
          <xdr:spPr>
            <a:xfrm>
              <a:off x="8188103" y="38332835"/>
              <a:ext cx="1528816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𝑹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696C8044-B0BC-4FFB-9031-80BCC6A41D63}"/>
                </a:ext>
              </a:extLst>
            </xdr:cNvPr>
            <xdr:cNvSpPr txBox="1"/>
          </xdr:nvSpPr>
          <xdr:spPr>
            <a:xfrm>
              <a:off x="8188103" y="38332835"/>
              <a:ext cx="1528816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〖𝑹(𝑺〗_𝒕^((𝟑,𝟔,𝟏𝟑,𝟒)+𝟗))(𝑺𝒊𝒈𝒎)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244684</xdr:colOff>
      <xdr:row>186</xdr:row>
      <xdr:rowOff>148166</xdr:rowOff>
    </xdr:from>
    <xdr:ext cx="1848776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BEA3CEA4-1924-41BA-A3AB-D47440BDF349}"/>
                </a:ext>
              </a:extLst>
            </xdr:cNvPr>
            <xdr:cNvSpPr txBox="1"/>
          </xdr:nvSpPr>
          <xdr:spPr>
            <a:xfrm>
              <a:off x="13122484" y="4420700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𝒊𝒇</m:t>
                    </m:r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𝑺𝑬𝑻</m:t>
                            </m:r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&lt;</m:t>
                        </m:r>
                        <m:r>
                          <a:rPr lang="el-G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𝝒</m:t>
                        </m:r>
                      </m:e>
                    </m:d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&amp; (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𝒄𝒓𝒊𝒕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𝜹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BEA3CEA4-1924-41BA-A3AB-D47440BDF349}"/>
                </a:ext>
              </a:extLst>
            </xdr:cNvPr>
            <xdr:cNvSpPr txBox="1"/>
          </xdr:nvSpPr>
          <xdr:spPr>
            <a:xfrm>
              <a:off x="13122484" y="44207006"/>
              <a:ext cx="1848776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𝒊𝒇(|𝑺𝑬𝑻|&lt;</a:t>
              </a:r>
              <a:r>
                <a:rPr lang="el-G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𝝒)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&amp; (𝒄𝒓𝒊𝒕&gt;𝜹)</a:t>
              </a:r>
              <a:endParaRPr lang="en-US" sz="12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169340</xdr:colOff>
      <xdr:row>179</xdr:row>
      <xdr:rowOff>21169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EF926AF9-F0EF-4671-99AC-B18323710ABB}"/>
                </a:ext>
              </a:extLst>
            </xdr:cNvPr>
            <xdr:cNvSpPr txBox="1"/>
          </xdr:nvSpPr>
          <xdr:spPr>
            <a:xfrm>
              <a:off x="13047140" y="424798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EF926AF9-F0EF-4671-99AC-B18323710ABB}"/>
                </a:ext>
              </a:extLst>
            </xdr:cNvPr>
            <xdr:cNvSpPr txBox="1"/>
          </xdr:nvSpPr>
          <xdr:spPr>
            <a:xfrm>
              <a:off x="13047140" y="4247980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13</xdr:col>
      <xdr:colOff>313261</xdr:colOff>
      <xdr:row>183</xdr:row>
      <xdr:rowOff>4235</xdr:rowOff>
    </xdr:from>
    <xdr:ext cx="334771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015E470-63F1-4653-9E21-5219E1268035}"/>
                </a:ext>
              </a:extLst>
            </xdr:cNvPr>
            <xdr:cNvSpPr txBox="1"/>
          </xdr:nvSpPr>
          <xdr:spPr>
            <a:xfrm>
              <a:off x="13191061" y="433772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𝛞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015E470-63F1-4653-9E21-5219E1268035}"/>
                </a:ext>
              </a:extLst>
            </xdr:cNvPr>
            <xdr:cNvSpPr txBox="1"/>
          </xdr:nvSpPr>
          <xdr:spPr>
            <a:xfrm>
              <a:off x="13191061" y="43377275"/>
              <a:ext cx="334771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𝛞</a:t>
              </a: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313261</xdr:colOff>
      <xdr:row>182</xdr:row>
      <xdr:rowOff>12702</xdr:rowOff>
    </xdr:from>
    <xdr:ext cx="327013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A33F978A-30E7-4459-8799-60A1121B13E4}"/>
                </a:ext>
              </a:extLst>
            </xdr:cNvPr>
            <xdr:cNvSpPr txBox="1"/>
          </xdr:nvSpPr>
          <xdr:spPr>
            <a:xfrm>
              <a:off x="13191061" y="431571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𝜹</m:t>
                    </m:r>
                    <m:r>
                      <a:rPr lang="en-US" sz="1400" b="1" i="0">
                        <a:latin typeface="Cambria Math" panose="02040503050406030204" pitchFamily="18" charset="0"/>
                        <a:ea typeface="Cambria Math" panose="02040503050406030204" pitchFamily="18" charset="0"/>
                        <a:cs typeface="Arial" panose="020B0604020202020204" pitchFamily="34" charset="0"/>
                      </a:rPr>
                      <m:t>=</m:t>
                    </m:r>
                  </m:oMath>
                </m:oMathPara>
              </a14:m>
              <a:endParaRPr lang="en-US" sz="1400" b="1" i="0">
                <a:latin typeface="Cambria Math" panose="02040503050406030204" pitchFamily="18" charset="0"/>
                <a:ea typeface="Cambria Math" panose="02040503050406030204" pitchFamily="18" charset="0"/>
                <a:cs typeface="Arial" panose="020B0604020202020204" pitchFamily="34" charset="0"/>
              </a:endParaRPr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A33F978A-30E7-4459-8799-60A1121B13E4}"/>
                </a:ext>
              </a:extLst>
            </xdr:cNvPr>
            <xdr:cNvSpPr txBox="1"/>
          </xdr:nvSpPr>
          <xdr:spPr>
            <a:xfrm>
              <a:off x="13191061" y="43157142"/>
              <a:ext cx="327013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  <a:cs typeface="Arial" panose="020B0604020202020204" pitchFamily="34" charset="0"/>
                </a:rPr>
                <a:t>𝜹=</a:t>
              </a:r>
            </a:p>
          </xdr:txBody>
        </xdr:sp>
      </mc:Fallback>
    </mc:AlternateContent>
    <xdr:clientData/>
  </xdr:oneCellAnchor>
  <xdr:oneCellAnchor>
    <xdr:from>
      <xdr:col>10</xdr:col>
      <xdr:colOff>406400</xdr:colOff>
      <xdr:row>175</xdr:row>
      <xdr:rowOff>4233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623CA288-D97C-489E-9FEC-7335C39C1F50}"/>
                </a:ext>
              </a:extLst>
            </xdr:cNvPr>
            <xdr:cNvSpPr txBox="1"/>
          </xdr:nvSpPr>
          <xdr:spPr>
            <a:xfrm>
              <a:off x="10998200" y="383328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623CA288-D97C-489E-9FEC-7335C39C1F50}"/>
                </a:ext>
              </a:extLst>
            </xdr:cNvPr>
            <xdr:cNvSpPr txBox="1"/>
          </xdr:nvSpPr>
          <xdr:spPr>
            <a:xfrm>
              <a:off x="10998200" y="38332833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527468</xdr:colOff>
      <xdr:row>175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0FAF8AA6-865A-42CD-8FFC-BBB564CD823D}"/>
                </a:ext>
              </a:extLst>
            </xdr:cNvPr>
            <xdr:cNvSpPr txBox="1"/>
          </xdr:nvSpPr>
          <xdr:spPr>
            <a:xfrm>
              <a:off x="527468" y="38336220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0FAF8AA6-865A-42CD-8FFC-BBB564CD823D}"/>
                </a:ext>
              </a:extLst>
            </xdr:cNvPr>
            <xdr:cNvSpPr txBox="1"/>
          </xdr:nvSpPr>
          <xdr:spPr>
            <a:xfrm>
              <a:off x="527468" y="38336220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150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76AEB6-66AC-42B2-83D5-2937FFC2EBDA}"/>
                </a:ext>
              </a:extLst>
            </xdr:cNvPr>
            <xdr:cNvSpPr txBox="1"/>
          </xdr:nvSpPr>
          <xdr:spPr>
            <a:xfrm>
              <a:off x="527476" y="3295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9576AEB6-66AC-42B2-83D5-2937FFC2EBDA}"/>
                </a:ext>
              </a:extLst>
            </xdr:cNvPr>
            <xdr:cNvSpPr txBox="1"/>
          </xdr:nvSpPr>
          <xdr:spPr>
            <a:xfrm>
              <a:off x="527476" y="3295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60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A38B83DF-89D4-44CF-9F9B-30C64D526D1C}"/>
                </a:ext>
              </a:extLst>
            </xdr:cNvPr>
            <xdr:cNvSpPr txBox="1"/>
          </xdr:nvSpPr>
          <xdr:spPr>
            <a:xfrm>
              <a:off x="6841903" y="13144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𝟓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A38B83DF-89D4-44CF-9F9B-30C64D526D1C}"/>
                </a:ext>
              </a:extLst>
            </xdr:cNvPr>
            <xdr:cNvSpPr txBox="1"/>
          </xdr:nvSpPr>
          <xdr:spPr>
            <a:xfrm>
              <a:off x="6841903" y="13144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𝒃_𝒕^((𝟑,𝟔,𝟏𝟑,𝟒)+𝟓)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26236</xdr:colOff>
      <xdr:row>75</xdr:row>
      <xdr:rowOff>4235</xdr:rowOff>
    </xdr:from>
    <xdr:ext cx="1299971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2DCE3C24-B921-4DD5-A950-80F31ADBEC4F}"/>
                </a:ext>
              </a:extLst>
            </xdr:cNvPr>
            <xdr:cNvSpPr txBox="1"/>
          </xdr:nvSpPr>
          <xdr:spPr>
            <a:xfrm>
              <a:off x="6841903" y="16446502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𝟕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2DCE3C24-B921-4DD5-A950-80F31ADBEC4F}"/>
                </a:ext>
              </a:extLst>
            </xdr:cNvPr>
            <xdr:cNvSpPr txBox="1"/>
          </xdr:nvSpPr>
          <xdr:spPr>
            <a:xfrm>
              <a:off x="6841903" y="16446502"/>
              <a:ext cx="1299971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𝒃_𝒕^((𝟑,𝟔,𝟏𝟑,𝟒)+𝟕)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835</xdr:colOff>
      <xdr:row>90</xdr:row>
      <xdr:rowOff>4235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0F316505-A450-4A4D-AAB9-B3093FB166EC}"/>
                </a:ext>
              </a:extLst>
            </xdr:cNvPr>
            <xdr:cNvSpPr txBox="1"/>
          </xdr:nvSpPr>
          <xdr:spPr>
            <a:xfrm>
              <a:off x="6816502" y="19748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𝟖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0F316505-A450-4A4D-AAB9-B3093FB166EC}"/>
                </a:ext>
              </a:extLst>
            </xdr:cNvPr>
            <xdr:cNvSpPr txBox="1"/>
          </xdr:nvSpPr>
          <xdr:spPr>
            <a:xfrm>
              <a:off x="6816502" y="19748502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𝒃_𝒕^((𝟑,𝟔,𝟏𝟑,𝟒)+𝟖)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104</xdr:row>
      <xdr:rowOff>224368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B0F9F7E-5120-444B-8B84-39CEDCA473EF}"/>
                </a:ext>
              </a:extLst>
            </xdr:cNvPr>
            <xdr:cNvSpPr txBox="1"/>
          </xdr:nvSpPr>
          <xdr:spPr>
            <a:xfrm>
              <a:off x="6824969" y="23042035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𝟗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DB0F9F7E-5120-444B-8B84-39CEDCA473EF}"/>
                </a:ext>
              </a:extLst>
            </xdr:cNvPr>
            <xdr:cNvSpPr txBox="1"/>
          </xdr:nvSpPr>
          <xdr:spPr>
            <a:xfrm>
              <a:off x="6824969" y="23042035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𝒃_𝒕^((𝟑,𝟔,𝟏𝟑,𝟒)+𝟗)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120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83E81DC-1B0F-4E80-9D78-2370B0603886}"/>
                </a:ext>
              </a:extLst>
            </xdr:cNvPr>
            <xdr:cNvSpPr txBox="1"/>
          </xdr:nvSpPr>
          <xdr:spPr>
            <a:xfrm>
              <a:off x="6824969" y="26352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𝟏𝟎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583E81DC-1B0F-4E80-9D78-2370B0603886}"/>
                </a:ext>
              </a:extLst>
            </xdr:cNvPr>
            <xdr:cNvSpPr txBox="1"/>
          </xdr:nvSpPr>
          <xdr:spPr>
            <a:xfrm>
              <a:off x="6824969" y="26352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𝒃_𝒕^((𝟑,𝟔,𝟏𝟑,𝟒)+𝟏𝟎)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135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B4426B6-4C67-46F3-A4A7-2C1980693C67}"/>
                </a:ext>
              </a:extLst>
            </xdr:cNvPr>
            <xdr:cNvSpPr txBox="1"/>
          </xdr:nvSpPr>
          <xdr:spPr>
            <a:xfrm>
              <a:off x="6824969" y="29654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𝟏𝟏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DB4426B6-4C67-46F3-A4A7-2C1980693C67}"/>
                </a:ext>
              </a:extLst>
            </xdr:cNvPr>
            <xdr:cNvSpPr txBox="1"/>
          </xdr:nvSpPr>
          <xdr:spPr>
            <a:xfrm>
              <a:off x="6824969" y="29654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𝒃_𝒕^((𝟑,𝟔,𝟏𝟑,𝟒)+𝟏𝟏)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9302</xdr:colOff>
      <xdr:row>150</xdr:row>
      <xdr:rowOff>4235</xdr:rowOff>
    </xdr:from>
    <xdr:ext cx="1367169" cy="227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85040F2A-15B4-4A0C-B937-1ACC8F6BC7BE}"/>
                </a:ext>
              </a:extLst>
            </xdr:cNvPr>
            <xdr:cNvSpPr txBox="1"/>
          </xdr:nvSpPr>
          <xdr:spPr>
            <a:xfrm>
              <a:off x="6824969" y="32956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d>
                          <m:d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𝟔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𝟏𝟑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𝟒</m:t>
                            </m:r>
                          </m:e>
                        </m:d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85040F2A-15B4-4A0C-B937-1ACC8F6BC7BE}"/>
                </a:ext>
              </a:extLst>
            </xdr:cNvPr>
            <xdr:cNvSpPr txBox="1"/>
          </xdr:nvSpPr>
          <xdr:spPr>
            <a:xfrm>
              <a:off x="6824969" y="32956502"/>
              <a:ext cx="1367169" cy="227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𝒃_𝒕^((𝟑,𝟔,𝟏𝟑,𝟒)+𝟏𝟐)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21</xdr:col>
      <xdr:colOff>609601</xdr:colOff>
      <xdr:row>46</xdr:row>
      <xdr:rowOff>16934</xdr:rowOff>
    </xdr:from>
    <xdr:ext cx="1546834" cy="1806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F618EBE-5C3B-441D-ACF9-78F2D9F6481A}"/>
                </a:ext>
              </a:extLst>
            </xdr:cNvPr>
            <xdr:cNvSpPr txBox="1"/>
          </xdr:nvSpPr>
          <xdr:spPr>
            <a:xfrm>
              <a:off x="20396201" y="10083801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</a:rPr>
                      <m:t>𝒙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𝑷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/</m:t>
                    </m:r>
                    <m:r>
                      <m:rPr>
                        <m:lit/>
                      </m:rP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{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5F618EBE-5C3B-441D-ACF9-78F2D9F6481A}"/>
                </a:ext>
              </a:extLst>
            </xdr:cNvPr>
            <xdr:cNvSpPr txBox="1"/>
          </xdr:nvSpPr>
          <xdr:spPr>
            <a:xfrm>
              <a:off x="20396201" y="10083801"/>
              <a:ext cx="1546834" cy="1806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∈𝑷 /\ \{𝒙_𝟑, 𝒙_𝟔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,𝒙_𝟏𝟑,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45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6A366CF6-B218-46D8-9068-E5BA47CB0527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6A366CF6-B218-46D8-9068-E5BA47CB0527}"/>
                </a:ext>
              </a:extLst>
            </xdr:cNvPr>
            <xdr:cNvSpPr txBox="1"/>
          </xdr:nvSpPr>
          <xdr:spPr>
            <a:xfrm>
              <a:off x="527476" y="654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16934</xdr:colOff>
      <xdr:row>45</xdr:row>
      <xdr:rowOff>0</xdr:rowOff>
    </xdr:from>
    <xdr:ext cx="1299971" cy="2302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7426022A-9C0E-4D89-8EA7-63D3035937E5}"/>
                </a:ext>
              </a:extLst>
            </xdr:cNvPr>
            <xdr:cNvSpPr txBox="1"/>
          </xdr:nvSpPr>
          <xdr:spPr>
            <a:xfrm>
              <a:off x="6832601" y="9838267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(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)+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𝟐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7426022A-9C0E-4D89-8EA7-63D3035937E5}"/>
                </a:ext>
              </a:extLst>
            </xdr:cNvPr>
            <xdr:cNvSpPr txBox="1"/>
          </xdr:nvSpPr>
          <xdr:spPr>
            <a:xfrm>
              <a:off x="6832601" y="9838267"/>
              <a:ext cx="1299971" cy="2302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𝒃_𝒕^((𝟑,𝟔,𝟏𝟑,𝟒)+𝟐) 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60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8F903A33-D354-4F00-804B-C06254331196}"/>
                </a:ext>
              </a:extLst>
            </xdr:cNvPr>
            <xdr:cNvSpPr txBox="1"/>
          </xdr:nvSpPr>
          <xdr:spPr>
            <a:xfrm>
              <a:off x="527476" y="984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8F903A33-D354-4F00-804B-C06254331196}"/>
                </a:ext>
              </a:extLst>
            </xdr:cNvPr>
            <xdr:cNvSpPr txBox="1"/>
          </xdr:nvSpPr>
          <xdr:spPr>
            <a:xfrm>
              <a:off x="527476" y="984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75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3F0D281D-1331-4273-9BE3-DD3D9F4A8504}"/>
                </a:ext>
              </a:extLst>
            </xdr:cNvPr>
            <xdr:cNvSpPr txBox="1"/>
          </xdr:nvSpPr>
          <xdr:spPr>
            <a:xfrm>
              <a:off x="527476" y="13147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3F0D281D-1331-4273-9BE3-DD3D9F4A8504}"/>
                </a:ext>
              </a:extLst>
            </xdr:cNvPr>
            <xdr:cNvSpPr txBox="1"/>
          </xdr:nvSpPr>
          <xdr:spPr>
            <a:xfrm>
              <a:off x="527476" y="13147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90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A6BB5E78-1A21-4AA2-B8B0-16584DFDAE95}"/>
                </a:ext>
              </a:extLst>
            </xdr:cNvPr>
            <xdr:cNvSpPr txBox="1"/>
          </xdr:nvSpPr>
          <xdr:spPr>
            <a:xfrm>
              <a:off x="527476" y="1644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A6BB5E78-1A21-4AA2-B8B0-16584DFDAE95}"/>
                </a:ext>
              </a:extLst>
            </xdr:cNvPr>
            <xdr:cNvSpPr txBox="1"/>
          </xdr:nvSpPr>
          <xdr:spPr>
            <a:xfrm>
              <a:off x="527476" y="16449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105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2341AAF-0A4D-455B-8EF7-9E4BE317686C}"/>
                </a:ext>
              </a:extLst>
            </xdr:cNvPr>
            <xdr:cNvSpPr txBox="1"/>
          </xdr:nvSpPr>
          <xdr:spPr>
            <a:xfrm>
              <a:off x="527476" y="19751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92341AAF-0A4D-455B-8EF7-9E4BE317686C}"/>
                </a:ext>
              </a:extLst>
            </xdr:cNvPr>
            <xdr:cNvSpPr txBox="1"/>
          </xdr:nvSpPr>
          <xdr:spPr>
            <a:xfrm>
              <a:off x="527476" y="19751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120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8C140984-C402-41A4-9C31-572B529DCD78}"/>
                </a:ext>
              </a:extLst>
            </xdr:cNvPr>
            <xdr:cNvSpPr txBox="1"/>
          </xdr:nvSpPr>
          <xdr:spPr>
            <a:xfrm>
              <a:off x="527476" y="2305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8C140984-C402-41A4-9C31-572B529DCD78}"/>
                </a:ext>
              </a:extLst>
            </xdr:cNvPr>
            <xdr:cNvSpPr txBox="1"/>
          </xdr:nvSpPr>
          <xdr:spPr>
            <a:xfrm>
              <a:off x="527476" y="23053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527476</xdr:colOff>
      <xdr:row>135</xdr:row>
      <xdr:rowOff>7620</xdr:rowOff>
    </xdr:from>
    <xdr:ext cx="1286634" cy="2123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9868FFD-34D9-4AB8-8B3D-9B68A7D5563A}"/>
                </a:ext>
              </a:extLst>
            </xdr:cNvPr>
            <xdr:cNvSpPr txBox="1"/>
          </xdr:nvSpPr>
          <xdr:spPr>
            <a:xfrm>
              <a:off x="527476" y="2635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𝑹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𝒕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𝟔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𝟏𝟑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𝟒</m:t>
                        </m:r>
                      </m:sup>
                    </m:sSubSup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𝑺𝒊𝒈𝒎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B9868FFD-34D9-4AB8-8B3D-9B68A7D5563A}"/>
                </a:ext>
              </a:extLst>
            </xdr:cNvPr>
            <xdr:cNvSpPr txBox="1"/>
          </xdr:nvSpPr>
          <xdr:spPr>
            <a:xfrm>
              <a:off x="527476" y="26355887"/>
              <a:ext cx="1286634" cy="2123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𝑹(𝑺_𝒕^(𝟑,𝟔,𝟏𝟑,𝟒))(𝑺𝒊𝒈𝒎)</a:t>
              </a:r>
              <a:endParaRPr lang="en-US" sz="12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BDFCEB-79EF-48E7-A5BF-9B5E48C3268C}"/>
                </a:ext>
              </a:extLst>
            </xdr:cNvPr>
            <xdr:cNvSpPr txBox="1"/>
          </xdr:nvSpPr>
          <xdr:spPr>
            <a:xfrm>
              <a:off x="8475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64F1E05-4A34-4A02-B31D-C731E974D7C9}"/>
                </a:ext>
              </a:extLst>
            </xdr:cNvPr>
            <xdr:cNvSpPr txBox="1"/>
          </xdr:nvSpPr>
          <xdr:spPr>
            <a:xfrm>
              <a:off x="17238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192193</xdr:colOff>
      <xdr:row>0</xdr:row>
      <xdr:rowOff>193041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19304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E20307F-EB50-48D1-A7FB-7CA85DF59991}"/>
                </a:ext>
              </a:extLst>
            </xdr:cNvPr>
            <xdr:cNvSpPr txBox="1"/>
          </xdr:nvSpPr>
          <xdr:spPr>
            <a:xfrm>
              <a:off x="2577253" y="19304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215053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503DEE4-AF83-43E1-9CF7-A2A347CEA096}"/>
                </a:ext>
              </a:extLst>
            </xdr:cNvPr>
            <xdr:cNvSpPr txBox="1"/>
          </xdr:nvSpPr>
          <xdr:spPr>
            <a:xfrm>
              <a:off x="3476413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198119</xdr:colOff>
      <xdr:row>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6122814-6A8F-494E-80DA-F64552AE670E}"/>
                </a:ext>
              </a:extLst>
            </xdr:cNvPr>
            <xdr:cNvSpPr txBox="1"/>
          </xdr:nvSpPr>
          <xdr:spPr>
            <a:xfrm>
              <a:off x="4335779" y="19304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352213</xdr:colOff>
      <xdr:row>0</xdr:row>
      <xdr:rowOff>193041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7995073" y="19304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37B37B2-13EA-42BF-9865-019A6FA38B93}"/>
                </a:ext>
              </a:extLst>
            </xdr:cNvPr>
            <xdr:cNvSpPr txBox="1"/>
          </xdr:nvSpPr>
          <xdr:spPr>
            <a:xfrm>
              <a:off x="7995073" y="19304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27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71742225-669A-482B-A1F8-61B49E15D82B}"/>
                </a:ext>
              </a:extLst>
            </xdr:cNvPr>
            <xdr:cNvSpPr txBox="1"/>
          </xdr:nvSpPr>
          <xdr:spPr>
            <a:xfrm>
              <a:off x="173567" y="43273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2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5FF74F9-E930-40BC-8866-902233A5CA95}"/>
                </a:ext>
              </a:extLst>
            </xdr:cNvPr>
            <xdr:cNvSpPr txBox="1"/>
          </xdr:nvSpPr>
          <xdr:spPr>
            <a:xfrm>
              <a:off x="173567" y="45254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723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FBAF7F09-ACAE-4E97-818B-6B2A24742F34}"/>
                </a:ext>
              </a:extLst>
            </xdr:cNvPr>
            <xdr:cNvSpPr txBox="1"/>
          </xdr:nvSpPr>
          <xdr:spPr>
            <a:xfrm>
              <a:off x="173567" y="47235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4921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0EE8E0D-2027-42BA-A604-EE34C7F0DFC7}"/>
                </a:ext>
              </a:extLst>
            </xdr:cNvPr>
            <xdr:cNvSpPr txBox="1"/>
          </xdr:nvSpPr>
          <xdr:spPr>
            <a:xfrm>
              <a:off x="173567" y="49216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119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B86D55D-B830-4B27-9C87-024696EC2E42}"/>
                </a:ext>
              </a:extLst>
            </xdr:cNvPr>
            <xdr:cNvSpPr txBox="1"/>
          </xdr:nvSpPr>
          <xdr:spPr>
            <a:xfrm>
              <a:off x="173567" y="51197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317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0CFABC9-393B-4079-B909-6295A0714524}"/>
                </a:ext>
              </a:extLst>
            </xdr:cNvPr>
            <xdr:cNvSpPr txBox="1"/>
          </xdr:nvSpPr>
          <xdr:spPr>
            <a:xfrm>
              <a:off x="165947" y="53179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5516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A6E9FBC-0E1D-4356-861D-6A0FB0D0AD02}"/>
                </a:ext>
              </a:extLst>
            </xdr:cNvPr>
            <xdr:cNvSpPr txBox="1"/>
          </xdr:nvSpPr>
          <xdr:spPr>
            <a:xfrm>
              <a:off x="173567" y="55160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714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91B38FD-F315-4AA5-9667-082FCA5DC99F}"/>
                </a:ext>
              </a:extLst>
            </xdr:cNvPr>
            <xdr:cNvSpPr txBox="1"/>
          </xdr:nvSpPr>
          <xdr:spPr>
            <a:xfrm>
              <a:off x="173567" y="57141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5912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AFE6EBD-C8AA-43C2-9513-6F2C35EDBCC8}"/>
                </a:ext>
              </a:extLst>
            </xdr:cNvPr>
            <xdr:cNvSpPr txBox="1"/>
          </xdr:nvSpPr>
          <xdr:spPr>
            <a:xfrm>
              <a:off x="173567" y="59122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30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1103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3026243-33A4-403E-80A2-6324948E14AF}"/>
                </a:ext>
              </a:extLst>
            </xdr:cNvPr>
            <xdr:cNvSpPr txBox="1"/>
          </xdr:nvSpPr>
          <xdr:spPr>
            <a:xfrm>
              <a:off x="139699" y="61103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F184F27E-8A12-4B01-B3A1-7CB8A9AD7C35}"/>
                </a:ext>
              </a:extLst>
            </xdr:cNvPr>
            <xdr:cNvSpPr txBox="1"/>
          </xdr:nvSpPr>
          <xdr:spPr>
            <a:xfrm>
              <a:off x="17356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5511247C-C4A7-4CD1-AACA-357493CA8127}"/>
                </a:ext>
              </a:extLst>
            </xdr:cNvPr>
            <xdr:cNvSpPr txBox="1"/>
          </xdr:nvSpPr>
          <xdr:spPr>
            <a:xfrm>
              <a:off x="1735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79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E610FD94-9902-400C-A13D-7BECD81BA7DE}"/>
                </a:ext>
              </a:extLst>
            </xdr:cNvPr>
            <xdr:cNvSpPr txBox="1"/>
          </xdr:nvSpPr>
          <xdr:spPr>
            <a:xfrm>
              <a:off x="173567" y="7916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989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163622B3-CA20-4A50-912E-CBB1A7AA22ED}"/>
                </a:ext>
              </a:extLst>
            </xdr:cNvPr>
            <xdr:cNvSpPr txBox="1"/>
          </xdr:nvSpPr>
          <xdr:spPr>
            <a:xfrm>
              <a:off x="173567" y="9897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18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9241F39A-3A8B-4169-A4AC-FE01D5D4EA94}"/>
                </a:ext>
              </a:extLst>
            </xdr:cNvPr>
            <xdr:cNvSpPr txBox="1"/>
          </xdr:nvSpPr>
          <xdr:spPr>
            <a:xfrm>
              <a:off x="173567" y="11878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81B250A0-A838-49CB-945B-9CA571C40B46}"/>
                </a:ext>
              </a:extLst>
            </xdr:cNvPr>
            <xdr:cNvSpPr txBox="1"/>
          </xdr:nvSpPr>
          <xdr:spPr>
            <a:xfrm>
              <a:off x="16594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754A595-C5FA-4B2F-9E5B-248DCA82BDF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9C548CE0-B6C8-48C1-AEA5-75B3155E9578}"/>
                </a:ext>
              </a:extLst>
            </xdr:cNvPr>
            <xdr:cNvSpPr txBox="1"/>
          </xdr:nvSpPr>
          <xdr:spPr>
            <a:xfrm>
              <a:off x="1735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88E1406-A135-4093-B330-CDF4570F1B47}"/>
                </a:ext>
              </a:extLst>
            </xdr:cNvPr>
            <xdr:cNvSpPr txBox="1"/>
          </xdr:nvSpPr>
          <xdr:spPr>
            <a:xfrm>
              <a:off x="1735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D2E9384F-D9D1-4E65-975E-9B8DB9E77B69}"/>
                </a:ext>
              </a:extLst>
            </xdr:cNvPr>
            <xdr:cNvSpPr txBox="1"/>
          </xdr:nvSpPr>
          <xdr:spPr>
            <a:xfrm>
              <a:off x="1396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1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1538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E5CD2649-978C-4A98-91BF-52A4F19961F1}"/>
                </a:ext>
              </a:extLst>
            </xdr:cNvPr>
            <xdr:cNvSpPr txBox="1"/>
          </xdr:nvSpPr>
          <xdr:spPr>
            <a:xfrm>
              <a:off x="7115387" y="3953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2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077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1C1EBDB6-0BFD-490A-8BA5-E57D303FD63F}"/>
                </a:ext>
              </a:extLst>
            </xdr:cNvPr>
            <xdr:cNvSpPr txBox="1"/>
          </xdr:nvSpPr>
          <xdr:spPr>
            <a:xfrm>
              <a:off x="7107767" y="5935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348827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99168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745783A7-DCF8-45A2-B646-88A9B799ED67}"/>
                </a:ext>
              </a:extLst>
            </xdr:cNvPr>
            <xdr:cNvSpPr txBox="1"/>
          </xdr:nvSpPr>
          <xdr:spPr>
            <a:xfrm>
              <a:off x="799168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9840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C988D9B5-BB36-42F6-B983-216AF159D20A}"/>
                </a:ext>
              </a:extLst>
            </xdr:cNvPr>
            <xdr:cNvSpPr txBox="1"/>
          </xdr:nvSpPr>
          <xdr:spPr>
            <a:xfrm>
              <a:off x="79840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9840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0F95090C-A510-4FD7-B45A-7CF2EB51E013}"/>
                </a:ext>
              </a:extLst>
            </xdr:cNvPr>
            <xdr:cNvSpPr txBox="1"/>
          </xdr:nvSpPr>
          <xdr:spPr>
            <a:xfrm>
              <a:off x="79840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077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E1C92B8-1418-4B79-B533-2E529CAB01F9}"/>
                </a:ext>
              </a:extLst>
            </xdr:cNvPr>
            <xdr:cNvSpPr txBox="1"/>
          </xdr:nvSpPr>
          <xdr:spPr>
            <a:xfrm>
              <a:off x="7107767" y="13859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7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07767" y="1584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9713359A-0556-41F6-8A09-B1CB38E23262}"/>
                </a:ext>
              </a:extLst>
            </xdr:cNvPr>
            <xdr:cNvSpPr txBox="1"/>
          </xdr:nvSpPr>
          <xdr:spPr>
            <a:xfrm>
              <a:off x="7107767" y="15841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8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077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5101124B-52C2-4F40-86D8-3244EC88986C}"/>
                </a:ext>
              </a:extLst>
            </xdr:cNvPr>
            <xdr:cNvSpPr txBox="1"/>
          </xdr:nvSpPr>
          <xdr:spPr>
            <a:xfrm>
              <a:off x="7107767" y="17822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9</xdr:row>
      <xdr:rowOff>197272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077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91C91687-AC5D-4AEC-800D-02233BFC4997}"/>
                </a:ext>
              </a:extLst>
            </xdr:cNvPr>
            <xdr:cNvSpPr txBox="1"/>
          </xdr:nvSpPr>
          <xdr:spPr>
            <a:xfrm>
              <a:off x="7107767" y="19803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307339</xdr:colOff>
      <xdr:row>10</xdr:row>
      <xdr:rowOff>197272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738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824915E-E2B4-4040-8771-D4FA9ABD1B4F}"/>
                </a:ext>
              </a:extLst>
            </xdr:cNvPr>
            <xdr:cNvSpPr txBox="1"/>
          </xdr:nvSpPr>
          <xdr:spPr>
            <a:xfrm>
              <a:off x="7073899" y="217847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212512</xdr:colOff>
      <xdr:row>1</xdr:row>
      <xdr:rowOff>10161</xdr:rowOff>
    </xdr:from>
    <xdr:ext cx="47673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1411719-1CB5-4604-8791-57A486D9E77D}"/>
                </a:ext>
              </a:extLst>
            </xdr:cNvPr>
            <xdr:cNvSpPr txBox="1"/>
          </xdr:nvSpPr>
          <xdr:spPr>
            <a:xfrm>
              <a:off x="10720492" y="208281"/>
              <a:ext cx="47673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𝑺𝑬𝑻=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11010</xdr:colOff>
      <xdr:row>1</xdr:row>
      <xdr:rowOff>10161</xdr:rowOff>
    </xdr:from>
    <xdr:ext cx="93519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{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𝟔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𝟏𝟑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𝟒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352B986C-41CF-4BAE-A758-B1FF55DA37BD}"/>
                </a:ext>
              </a:extLst>
            </xdr:cNvPr>
            <xdr:cNvSpPr txBox="1"/>
          </xdr:nvSpPr>
          <xdr:spPr>
            <a:xfrm>
              <a:off x="11395290" y="208281"/>
              <a:ext cx="93519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{𝟑,𝟔,𝟏𝟑,𝟒,𝟗}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169340</xdr:colOff>
      <xdr:row>2</xdr:row>
      <xdr:rowOff>5929</xdr:rowOff>
    </xdr:from>
    <xdr:ext cx="572529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𝑺𝑬𝑻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|=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BC90A21-68CE-4D1B-8E48-90F14A163214}"/>
                </a:ext>
              </a:extLst>
            </xdr:cNvPr>
            <xdr:cNvSpPr txBox="1"/>
          </xdr:nvSpPr>
          <xdr:spPr>
            <a:xfrm>
              <a:off x="10677320" y="402169"/>
              <a:ext cx="572529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|𝑺𝑬𝑻|=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88713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91FE4F6E-AE13-4B95-BF5C-E6C0653F25D1}"/>
                </a:ext>
              </a:extLst>
            </xdr:cNvPr>
            <xdr:cNvSpPr txBox="1"/>
          </xdr:nvSpPr>
          <xdr:spPr>
            <a:xfrm>
              <a:off x="88713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7476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609BA31-8587-419F-820B-17E4A1FCB603}"/>
                </a:ext>
              </a:extLst>
            </xdr:cNvPr>
            <xdr:cNvSpPr txBox="1"/>
          </xdr:nvSpPr>
          <xdr:spPr>
            <a:xfrm>
              <a:off x="97476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352213</xdr:colOff>
      <xdr:row>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6239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62A5BEE2-2796-4DA3-AC91-5EAFC45BBEEB}"/>
                </a:ext>
              </a:extLst>
            </xdr:cNvPr>
            <xdr:cNvSpPr txBox="1"/>
          </xdr:nvSpPr>
          <xdr:spPr>
            <a:xfrm>
              <a:off x="10623973" y="19304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60960</xdr:colOff>
      <xdr:row>17</xdr:row>
      <xdr:rowOff>99060</xdr:rowOff>
    </xdr:from>
    <xdr:ext cx="2505558" cy="2180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𝒀</m:t>
                    </m:r>
                    <m:d>
                      <m:dPr>
                        <m:ctrlP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𝒑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3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𝟎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𝒚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 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3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,…,</m:t>
                    </m:r>
                    <m:sSub>
                      <m:sSubPr>
                        <m:ctrlP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</m:e>
                      <m:sub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𝒑</m:t>
                        </m:r>
                        <m:r>
                          <a:rPr lang="en-US" sz="13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</m:sub>
                    </m:sSub>
                    <m:r>
                      <a:rPr lang="en-US" sz="13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5908546F-75AC-4BEE-9F8F-E59C63DF91B3}"/>
                </a:ext>
              </a:extLst>
            </xdr:cNvPr>
            <xdr:cNvSpPr txBox="1"/>
          </xdr:nvSpPr>
          <xdr:spPr>
            <a:xfrm>
              <a:off x="3322320" y="3825240"/>
              <a:ext cx="2505558" cy="2180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𝒀(𝟐𝒑−𝟏)=(</a:t>
              </a:r>
              <a:r>
                <a:rPr lang="en-US" sz="13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𝒚_𝟎, …,𝒚_(𝒑,), 𝒓_𝟏,…,𝒓_(𝒑,)</a:t>
              </a:r>
              <a:r>
                <a:rPr lang="en-US" sz="13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3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CD57DE37-5E2C-46A5-AA78-0CFED7112320}"/>
                </a:ext>
              </a:extLst>
            </xdr:cNvPr>
            <xdr:cNvSpPr txBox="1"/>
          </xdr:nvSpPr>
          <xdr:spPr>
            <a:xfrm>
              <a:off x="8398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𝒚_𝟎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F33C746-1FA2-4431-B115-62A96FCA8D4C}"/>
                </a:ext>
              </a:extLst>
            </xdr:cNvPr>
            <xdr:cNvSpPr txBox="1"/>
          </xdr:nvSpPr>
          <xdr:spPr>
            <a:xfrm>
              <a:off x="17161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184573</xdr:colOff>
      <xdr:row>20</xdr:row>
      <xdr:rowOff>193041</xdr:rowOff>
    </xdr:from>
    <xdr:ext cx="53912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1249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8E7AE9E-2C4F-475C-8B26-9E6154DCF0E7}"/>
                </a:ext>
              </a:extLst>
            </xdr:cNvPr>
            <xdr:cNvSpPr txBox="1"/>
          </xdr:nvSpPr>
          <xdr:spPr>
            <a:xfrm>
              <a:off x="2569633" y="4124961"/>
              <a:ext cx="53912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207433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8A8A7E50-D247-406D-984F-99DB261B2A19}"/>
                </a:ext>
              </a:extLst>
            </xdr:cNvPr>
            <xdr:cNvSpPr txBox="1"/>
          </xdr:nvSpPr>
          <xdr:spPr>
            <a:xfrm>
              <a:off x="3468793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190499</xdr:colOff>
      <xdr:row>20</xdr:row>
      <xdr:rowOff>193041</xdr:rowOff>
    </xdr:from>
    <xdr:ext cx="47750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1387E30B-07DB-4D1F-AECE-66FE13AC2FDB}"/>
                </a:ext>
              </a:extLst>
            </xdr:cNvPr>
            <xdr:cNvSpPr txBox="1"/>
          </xdr:nvSpPr>
          <xdr:spPr>
            <a:xfrm>
              <a:off x="4328159" y="4124961"/>
              <a:ext cx="47750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𝒚_𝟒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336973</xdr:colOff>
      <xdr:row>20</xdr:row>
      <xdr:rowOff>193041</xdr:rowOff>
    </xdr:from>
    <xdr:ext cx="19101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1249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EC10DB6-F614-4738-B1D3-C517C5A89203}"/>
                </a:ext>
              </a:extLst>
            </xdr:cNvPr>
            <xdr:cNvSpPr txBox="1"/>
          </xdr:nvSpPr>
          <xdr:spPr>
            <a:xfrm>
              <a:off x="5350933" y="4124961"/>
              <a:ext cx="19101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9F7A51EF-9978-48FB-A58F-F75EC2AC605D}"/>
                </a:ext>
              </a:extLst>
            </xdr:cNvPr>
            <xdr:cNvSpPr txBox="1"/>
          </xdr:nvSpPr>
          <xdr:spPr>
            <a:xfrm>
              <a:off x="62272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035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11FCA4DC-51CE-4909-856F-7140A2C27643}"/>
                </a:ext>
              </a:extLst>
            </xdr:cNvPr>
            <xdr:cNvSpPr txBox="1"/>
          </xdr:nvSpPr>
          <xdr:spPr>
            <a:xfrm>
              <a:off x="71035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336973</xdr:colOff>
      <xdr:row>20</xdr:row>
      <xdr:rowOff>193041</xdr:rowOff>
    </xdr:from>
    <xdr:ext cx="191014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79798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𝒓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C938B04E-69B9-4FC2-B019-2143ABBE84E6}"/>
                </a:ext>
              </a:extLst>
            </xdr:cNvPr>
            <xdr:cNvSpPr txBox="1"/>
          </xdr:nvSpPr>
          <xdr:spPr>
            <a:xfrm>
              <a:off x="7979833" y="4124961"/>
              <a:ext cx="191014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𝒓_𝟒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Y31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239" t="s">
        <v>46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25" ht="15.6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  <c r="Q2" s="242" t="s">
        <v>45</v>
      </c>
      <c r="R2" s="243"/>
      <c r="S2" s="244"/>
      <c r="T2" s="244"/>
      <c r="Y2" s="245"/>
    </row>
    <row r="3" spans="1:25" ht="15.6" x14ac:dyDescent="0.3">
      <c r="A3" s="246"/>
      <c r="B3" s="247">
        <v>70</v>
      </c>
      <c r="C3" s="248">
        <v>1</v>
      </c>
      <c r="D3" s="248">
        <v>4</v>
      </c>
      <c r="E3" s="247">
        <v>130</v>
      </c>
      <c r="F3" s="247">
        <v>322</v>
      </c>
      <c r="G3" s="248">
        <v>0</v>
      </c>
      <c r="H3" s="248">
        <v>2</v>
      </c>
      <c r="I3" s="247">
        <v>109</v>
      </c>
      <c r="J3" s="248">
        <v>0</v>
      </c>
      <c r="K3" s="247">
        <v>2.4</v>
      </c>
      <c r="L3" s="248">
        <v>2</v>
      </c>
      <c r="M3" s="247">
        <v>3</v>
      </c>
      <c r="N3" s="248">
        <v>3</v>
      </c>
      <c r="O3" s="249">
        <v>2</v>
      </c>
      <c r="Q3" s="242" t="s">
        <v>42</v>
      </c>
      <c r="R3" s="244"/>
      <c r="S3" s="244"/>
      <c r="T3" s="244"/>
    </row>
    <row r="4" spans="1:25" ht="15.6" x14ac:dyDescent="0.3">
      <c r="A4" s="246"/>
      <c r="B4" s="247">
        <v>67</v>
      </c>
      <c r="C4" s="248">
        <v>0</v>
      </c>
      <c r="D4" s="248">
        <v>3</v>
      </c>
      <c r="E4" s="247">
        <v>115</v>
      </c>
      <c r="F4" s="247">
        <v>564</v>
      </c>
      <c r="G4" s="248">
        <v>0</v>
      </c>
      <c r="H4" s="248">
        <v>2</v>
      </c>
      <c r="I4" s="247">
        <v>160</v>
      </c>
      <c r="J4" s="248">
        <v>0</v>
      </c>
      <c r="K4" s="247">
        <v>1.6</v>
      </c>
      <c r="L4" s="248">
        <v>2</v>
      </c>
      <c r="M4" s="247">
        <v>0</v>
      </c>
      <c r="N4" s="248">
        <v>7</v>
      </c>
      <c r="O4" s="249">
        <v>1</v>
      </c>
      <c r="Q4" s="244"/>
      <c r="R4" s="244"/>
      <c r="S4" s="244"/>
      <c r="T4" s="244"/>
    </row>
    <row r="5" spans="1:25" ht="15.6" x14ac:dyDescent="0.3">
      <c r="A5" s="246"/>
      <c r="B5" s="247">
        <v>57</v>
      </c>
      <c r="C5" s="248">
        <v>1</v>
      </c>
      <c r="D5" s="248">
        <v>2</v>
      </c>
      <c r="E5" s="247">
        <v>124</v>
      </c>
      <c r="F5" s="247">
        <v>261</v>
      </c>
      <c r="G5" s="248">
        <v>0</v>
      </c>
      <c r="H5" s="248">
        <v>0</v>
      </c>
      <c r="I5" s="247">
        <v>141</v>
      </c>
      <c r="J5" s="248">
        <v>0</v>
      </c>
      <c r="K5" s="247">
        <v>0.3</v>
      </c>
      <c r="L5" s="248">
        <v>1</v>
      </c>
      <c r="M5" s="247">
        <v>0</v>
      </c>
      <c r="N5" s="248">
        <v>7</v>
      </c>
      <c r="O5" s="249">
        <v>2</v>
      </c>
      <c r="Q5" s="250" t="s">
        <v>49</v>
      </c>
      <c r="R5" s="250"/>
      <c r="S5" s="250"/>
      <c r="T5" s="251">
        <v>1</v>
      </c>
    </row>
    <row r="6" spans="1:25" ht="15.6" x14ac:dyDescent="0.3">
      <c r="A6" s="246"/>
      <c r="B6" s="247">
        <v>64</v>
      </c>
      <c r="C6" s="248">
        <v>1</v>
      </c>
      <c r="D6" s="248">
        <v>4</v>
      </c>
      <c r="E6" s="247">
        <v>128</v>
      </c>
      <c r="F6" s="247">
        <v>263</v>
      </c>
      <c r="G6" s="248">
        <v>0</v>
      </c>
      <c r="H6" s="248">
        <v>0</v>
      </c>
      <c r="I6" s="247">
        <v>105</v>
      </c>
      <c r="J6" s="248">
        <v>1</v>
      </c>
      <c r="K6" s="247">
        <v>0.2</v>
      </c>
      <c r="L6" s="248">
        <v>2</v>
      </c>
      <c r="M6" s="247">
        <v>1</v>
      </c>
      <c r="N6" s="248">
        <v>7</v>
      </c>
      <c r="O6" s="249">
        <v>1</v>
      </c>
      <c r="Q6" s="250" t="s">
        <v>50</v>
      </c>
      <c r="R6" s="250"/>
      <c r="S6" s="250"/>
      <c r="T6" s="252">
        <v>0</v>
      </c>
    </row>
    <row r="7" spans="1:25" ht="15.6" x14ac:dyDescent="0.3">
      <c r="A7" s="246"/>
      <c r="B7" s="247">
        <v>74</v>
      </c>
      <c r="C7" s="248">
        <v>0</v>
      </c>
      <c r="D7" s="248">
        <v>2</v>
      </c>
      <c r="E7" s="247">
        <v>120</v>
      </c>
      <c r="F7" s="247">
        <v>269</v>
      </c>
      <c r="G7" s="248">
        <v>0</v>
      </c>
      <c r="H7" s="248">
        <v>2</v>
      </c>
      <c r="I7" s="247">
        <v>121</v>
      </c>
      <c r="J7" s="248">
        <v>1</v>
      </c>
      <c r="K7" s="247">
        <v>0.2</v>
      </c>
      <c r="L7" s="248">
        <v>1</v>
      </c>
      <c r="M7" s="247">
        <v>1</v>
      </c>
      <c r="N7" s="248">
        <v>3</v>
      </c>
      <c r="O7" s="249">
        <v>1</v>
      </c>
    </row>
    <row r="8" spans="1:25" ht="15.6" x14ac:dyDescent="0.3">
      <c r="A8" s="246"/>
      <c r="B8" s="247">
        <v>65</v>
      </c>
      <c r="C8" s="248">
        <v>1</v>
      </c>
      <c r="D8" s="248">
        <v>4</v>
      </c>
      <c r="E8" s="247">
        <v>120</v>
      </c>
      <c r="F8" s="247">
        <v>177</v>
      </c>
      <c r="G8" s="248">
        <v>0</v>
      </c>
      <c r="H8" s="248">
        <v>0</v>
      </c>
      <c r="I8" s="247">
        <v>140</v>
      </c>
      <c r="J8" s="248">
        <v>0</v>
      </c>
      <c r="K8" s="247">
        <v>0.4</v>
      </c>
      <c r="L8" s="248">
        <v>1</v>
      </c>
      <c r="M8" s="247">
        <v>0</v>
      </c>
      <c r="N8" s="248">
        <v>7</v>
      </c>
      <c r="O8" s="249">
        <v>1</v>
      </c>
    </row>
    <row r="9" spans="1:25" ht="15.6" x14ac:dyDescent="0.3">
      <c r="A9" s="246"/>
      <c r="B9" s="247">
        <v>56</v>
      </c>
      <c r="C9" s="248">
        <v>1</v>
      </c>
      <c r="D9" s="248">
        <v>3</v>
      </c>
      <c r="E9" s="247">
        <v>130</v>
      </c>
      <c r="F9" s="247">
        <v>256</v>
      </c>
      <c r="G9" s="248">
        <v>1</v>
      </c>
      <c r="H9" s="248">
        <v>2</v>
      </c>
      <c r="I9" s="247">
        <v>142</v>
      </c>
      <c r="J9" s="248">
        <v>1</v>
      </c>
      <c r="K9" s="247">
        <v>0.6</v>
      </c>
      <c r="L9" s="248">
        <v>2</v>
      </c>
      <c r="M9" s="247">
        <v>1</v>
      </c>
      <c r="N9" s="248">
        <v>6</v>
      </c>
      <c r="O9" s="249">
        <v>2</v>
      </c>
    </row>
    <row r="10" spans="1:25" ht="15.6" x14ac:dyDescent="0.3">
      <c r="A10" s="246"/>
      <c r="B10" s="247">
        <v>59</v>
      </c>
      <c r="C10" s="248">
        <v>1</v>
      </c>
      <c r="D10" s="248">
        <v>4</v>
      </c>
      <c r="E10" s="247">
        <v>110</v>
      </c>
      <c r="F10" s="247">
        <v>239</v>
      </c>
      <c r="G10" s="248">
        <v>0</v>
      </c>
      <c r="H10" s="248">
        <v>2</v>
      </c>
      <c r="I10" s="247">
        <v>142</v>
      </c>
      <c r="J10" s="248">
        <v>1</v>
      </c>
      <c r="K10" s="247">
        <v>1.2</v>
      </c>
      <c r="L10" s="248">
        <v>2</v>
      </c>
      <c r="M10" s="247">
        <v>1</v>
      </c>
      <c r="N10" s="248">
        <v>7</v>
      </c>
      <c r="O10" s="249">
        <v>2</v>
      </c>
    </row>
    <row r="11" spans="1:25" ht="15.6" x14ac:dyDescent="0.3">
      <c r="A11" s="246"/>
      <c r="B11" s="247">
        <v>60</v>
      </c>
      <c r="C11" s="248">
        <v>1</v>
      </c>
      <c r="D11" s="248">
        <v>4</v>
      </c>
      <c r="E11" s="247">
        <v>140</v>
      </c>
      <c r="F11" s="247">
        <v>293</v>
      </c>
      <c r="G11" s="248">
        <v>0</v>
      </c>
      <c r="H11" s="248">
        <v>2</v>
      </c>
      <c r="I11" s="247">
        <v>170</v>
      </c>
      <c r="J11" s="248">
        <v>0</v>
      </c>
      <c r="K11" s="247">
        <v>1.2</v>
      </c>
      <c r="L11" s="248">
        <v>2</v>
      </c>
      <c r="M11" s="247">
        <v>2</v>
      </c>
      <c r="N11" s="248">
        <v>7</v>
      </c>
      <c r="O11" s="249">
        <v>2</v>
      </c>
    </row>
    <row r="12" spans="1:25" ht="15.6" x14ac:dyDescent="0.3">
      <c r="A12" s="246"/>
      <c r="B12" s="247">
        <v>63</v>
      </c>
      <c r="C12" s="248">
        <v>0</v>
      </c>
      <c r="D12" s="248">
        <v>4</v>
      </c>
      <c r="E12" s="247">
        <v>150</v>
      </c>
      <c r="F12" s="247">
        <v>407</v>
      </c>
      <c r="G12" s="248">
        <v>0</v>
      </c>
      <c r="H12" s="248">
        <v>2</v>
      </c>
      <c r="I12" s="247">
        <v>154</v>
      </c>
      <c r="J12" s="248">
        <v>0</v>
      </c>
      <c r="K12" s="247">
        <v>4</v>
      </c>
      <c r="L12" s="248">
        <v>2</v>
      </c>
      <c r="M12" s="247">
        <v>3</v>
      </c>
      <c r="N12" s="248">
        <v>7</v>
      </c>
      <c r="O12" s="249">
        <v>2</v>
      </c>
    </row>
    <row r="13" spans="1:25" ht="15.6" x14ac:dyDescent="0.3">
      <c r="A13" s="244"/>
      <c r="B13" s="253">
        <v>1</v>
      </c>
      <c r="C13" s="253">
        <v>0</v>
      </c>
      <c r="D13" s="253">
        <v>0</v>
      </c>
      <c r="E13" s="253">
        <v>1</v>
      </c>
      <c r="F13" s="253">
        <v>1</v>
      </c>
      <c r="G13" s="253">
        <v>0</v>
      </c>
      <c r="H13" s="253">
        <v>0</v>
      </c>
      <c r="I13" s="253">
        <v>1</v>
      </c>
      <c r="J13" s="253">
        <v>0</v>
      </c>
      <c r="K13" s="253">
        <v>1</v>
      </c>
      <c r="L13" s="253">
        <v>0</v>
      </c>
      <c r="M13" s="253">
        <v>1</v>
      </c>
      <c r="N13" s="253">
        <v>0</v>
      </c>
      <c r="O13" s="244"/>
    </row>
    <row r="17" spans="1:19" ht="15.6" x14ac:dyDescent="0.3">
      <c r="A17" s="244"/>
      <c r="B17" s="250" t="s">
        <v>47</v>
      </c>
      <c r="C17" s="250"/>
      <c r="D17" s="250"/>
      <c r="E17" s="250"/>
      <c r="F17" s="251">
        <v>6</v>
      </c>
      <c r="G17" s="244"/>
      <c r="H17" s="244"/>
      <c r="I17" s="244"/>
      <c r="J17" s="244"/>
      <c r="K17" s="244"/>
      <c r="L17" s="250" t="s">
        <v>48</v>
      </c>
      <c r="M17" s="250"/>
      <c r="N17" s="250"/>
      <c r="O17" s="250"/>
      <c r="P17" s="252">
        <v>7</v>
      </c>
      <c r="Q17" s="244"/>
      <c r="R17" s="244"/>
      <c r="S17" s="244"/>
    </row>
    <row r="18" spans="1:19" ht="15.6" x14ac:dyDescent="0.3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</row>
    <row r="19" spans="1:19" ht="15.6" x14ac:dyDescent="0.3">
      <c r="A19" s="254" t="s">
        <v>44</v>
      </c>
      <c r="B19" s="254"/>
      <c r="C19" s="254"/>
      <c r="D19" s="254"/>
      <c r="E19" s="254"/>
      <c r="F19" s="254"/>
      <c r="G19" s="254"/>
      <c r="H19" s="254"/>
      <c r="I19" s="244"/>
      <c r="J19" s="244"/>
      <c r="K19" s="254" t="s">
        <v>43</v>
      </c>
      <c r="L19" s="254"/>
      <c r="M19" s="254"/>
      <c r="N19" s="254"/>
      <c r="O19" s="254"/>
      <c r="P19" s="254"/>
      <c r="Q19" s="254"/>
      <c r="R19" s="254"/>
      <c r="S19" s="254"/>
    </row>
    <row r="20" spans="1:19" ht="15.6" x14ac:dyDescent="0.3">
      <c r="A20" s="240" t="s">
        <v>7</v>
      </c>
      <c r="B20" s="241"/>
      <c r="C20" s="241"/>
      <c r="D20" s="241"/>
      <c r="E20" s="241"/>
      <c r="F20" s="241"/>
      <c r="G20" s="241"/>
      <c r="H20" s="241" t="s">
        <v>41</v>
      </c>
      <c r="I20" s="244"/>
      <c r="J20" s="244"/>
      <c r="K20" s="240" t="s">
        <v>7</v>
      </c>
      <c r="L20" s="241"/>
      <c r="M20" s="241"/>
      <c r="N20" s="241"/>
      <c r="O20" s="241"/>
      <c r="P20" s="241"/>
      <c r="Q20" s="241"/>
      <c r="R20" s="241"/>
      <c r="S20" s="240" t="s">
        <v>41</v>
      </c>
    </row>
    <row r="21" spans="1:19" ht="15.6" x14ac:dyDescent="0.3">
      <c r="A21" s="246"/>
      <c r="B21" s="247">
        <v>70</v>
      </c>
      <c r="C21" s="247">
        <v>130</v>
      </c>
      <c r="D21" s="247">
        <v>322</v>
      </c>
      <c r="E21" s="247">
        <v>109</v>
      </c>
      <c r="F21" s="247">
        <v>2.4</v>
      </c>
      <c r="G21" s="247">
        <v>3</v>
      </c>
      <c r="H21" s="249">
        <v>2</v>
      </c>
      <c r="I21" s="244"/>
      <c r="J21" s="244"/>
      <c r="K21" s="246"/>
      <c r="L21" s="248">
        <v>1</v>
      </c>
      <c r="M21" s="248">
        <v>4</v>
      </c>
      <c r="N21" s="248">
        <v>0</v>
      </c>
      <c r="O21" s="248">
        <v>2</v>
      </c>
      <c r="P21" s="248">
        <v>0</v>
      </c>
      <c r="Q21" s="248">
        <v>2</v>
      </c>
      <c r="R21" s="248">
        <v>3</v>
      </c>
      <c r="S21" s="249">
        <v>2</v>
      </c>
    </row>
    <row r="22" spans="1:19" ht="15.6" x14ac:dyDescent="0.3">
      <c r="A22" s="246"/>
      <c r="B22" s="247">
        <v>67</v>
      </c>
      <c r="C22" s="247">
        <v>115</v>
      </c>
      <c r="D22" s="247">
        <v>564</v>
      </c>
      <c r="E22" s="247">
        <v>160</v>
      </c>
      <c r="F22" s="247">
        <v>1.6</v>
      </c>
      <c r="G22" s="247">
        <v>0</v>
      </c>
      <c r="H22" s="249">
        <v>1</v>
      </c>
      <c r="I22" s="244"/>
      <c r="J22" s="244"/>
      <c r="K22" s="246"/>
      <c r="L22" s="248">
        <v>0</v>
      </c>
      <c r="M22" s="248">
        <v>3</v>
      </c>
      <c r="N22" s="248">
        <v>0</v>
      </c>
      <c r="O22" s="248">
        <v>2</v>
      </c>
      <c r="P22" s="248">
        <v>0</v>
      </c>
      <c r="Q22" s="248">
        <v>2</v>
      </c>
      <c r="R22" s="248">
        <v>7</v>
      </c>
      <c r="S22" s="249">
        <v>1</v>
      </c>
    </row>
    <row r="23" spans="1:19" ht="15.6" x14ac:dyDescent="0.3">
      <c r="A23" s="246"/>
      <c r="B23" s="247">
        <v>57</v>
      </c>
      <c r="C23" s="247">
        <v>124</v>
      </c>
      <c r="D23" s="247">
        <v>261</v>
      </c>
      <c r="E23" s="247">
        <v>141</v>
      </c>
      <c r="F23" s="247">
        <v>0.3</v>
      </c>
      <c r="G23" s="247">
        <v>0</v>
      </c>
      <c r="H23" s="249">
        <v>2</v>
      </c>
      <c r="I23" s="244"/>
      <c r="J23" s="244"/>
      <c r="K23" s="246"/>
      <c r="L23" s="248">
        <v>1</v>
      </c>
      <c r="M23" s="248">
        <v>2</v>
      </c>
      <c r="N23" s="248">
        <v>0</v>
      </c>
      <c r="O23" s="248">
        <v>0</v>
      </c>
      <c r="P23" s="248">
        <v>0</v>
      </c>
      <c r="Q23" s="248">
        <v>1</v>
      </c>
      <c r="R23" s="248">
        <v>7</v>
      </c>
      <c r="S23" s="249">
        <v>2</v>
      </c>
    </row>
    <row r="24" spans="1:19" ht="15.6" x14ac:dyDescent="0.3">
      <c r="A24" s="246"/>
      <c r="B24" s="247">
        <v>64</v>
      </c>
      <c r="C24" s="247">
        <v>128</v>
      </c>
      <c r="D24" s="247">
        <v>263</v>
      </c>
      <c r="E24" s="247">
        <v>105</v>
      </c>
      <c r="F24" s="247">
        <v>0.2</v>
      </c>
      <c r="G24" s="247">
        <v>1</v>
      </c>
      <c r="H24" s="249">
        <v>1</v>
      </c>
      <c r="I24" s="244"/>
      <c r="J24" s="244"/>
      <c r="K24" s="246"/>
      <c r="L24" s="248">
        <v>1</v>
      </c>
      <c r="M24" s="248">
        <v>4</v>
      </c>
      <c r="N24" s="248">
        <v>0</v>
      </c>
      <c r="O24" s="248">
        <v>0</v>
      </c>
      <c r="P24" s="248">
        <v>1</v>
      </c>
      <c r="Q24" s="248">
        <v>2</v>
      </c>
      <c r="R24" s="248">
        <v>7</v>
      </c>
      <c r="S24" s="249">
        <v>1</v>
      </c>
    </row>
    <row r="25" spans="1:19" ht="15.6" x14ac:dyDescent="0.3">
      <c r="A25" s="246"/>
      <c r="B25" s="247">
        <v>74</v>
      </c>
      <c r="C25" s="247">
        <v>120</v>
      </c>
      <c r="D25" s="247">
        <v>269</v>
      </c>
      <c r="E25" s="247">
        <v>121</v>
      </c>
      <c r="F25" s="247">
        <v>0.2</v>
      </c>
      <c r="G25" s="247">
        <v>1</v>
      </c>
      <c r="H25" s="249">
        <v>1</v>
      </c>
      <c r="I25" s="244"/>
      <c r="J25" s="244"/>
      <c r="K25" s="246"/>
      <c r="L25" s="248">
        <v>0</v>
      </c>
      <c r="M25" s="248">
        <v>2</v>
      </c>
      <c r="N25" s="248">
        <v>0</v>
      </c>
      <c r="O25" s="248">
        <v>2</v>
      </c>
      <c r="P25" s="248">
        <v>1</v>
      </c>
      <c r="Q25" s="248">
        <v>1</v>
      </c>
      <c r="R25" s="248">
        <v>3</v>
      </c>
      <c r="S25" s="249">
        <v>1</v>
      </c>
    </row>
    <row r="26" spans="1:19" ht="15.6" x14ac:dyDescent="0.3">
      <c r="A26" s="246"/>
      <c r="B26" s="247">
        <v>65</v>
      </c>
      <c r="C26" s="247">
        <v>120</v>
      </c>
      <c r="D26" s="247">
        <v>177</v>
      </c>
      <c r="E26" s="247">
        <v>140</v>
      </c>
      <c r="F26" s="247">
        <v>0.4</v>
      </c>
      <c r="G26" s="247">
        <v>0</v>
      </c>
      <c r="H26" s="249">
        <v>1</v>
      </c>
      <c r="I26" s="244"/>
      <c r="J26" s="244"/>
      <c r="K26" s="246"/>
      <c r="L26" s="248">
        <v>1</v>
      </c>
      <c r="M26" s="248">
        <v>4</v>
      </c>
      <c r="N26" s="248">
        <v>0</v>
      </c>
      <c r="O26" s="248">
        <v>0</v>
      </c>
      <c r="P26" s="248">
        <v>0</v>
      </c>
      <c r="Q26" s="248">
        <v>1</v>
      </c>
      <c r="R26" s="248">
        <v>7</v>
      </c>
      <c r="S26" s="249">
        <v>1</v>
      </c>
    </row>
    <row r="27" spans="1:19" ht="15.6" x14ac:dyDescent="0.3">
      <c r="A27" s="246"/>
      <c r="B27" s="247">
        <v>56</v>
      </c>
      <c r="C27" s="247">
        <v>130</v>
      </c>
      <c r="D27" s="247">
        <v>256</v>
      </c>
      <c r="E27" s="247">
        <v>142</v>
      </c>
      <c r="F27" s="247">
        <v>0.6</v>
      </c>
      <c r="G27" s="247">
        <v>1</v>
      </c>
      <c r="H27" s="249">
        <v>2</v>
      </c>
      <c r="I27" s="244"/>
      <c r="J27" s="244"/>
      <c r="K27" s="246"/>
      <c r="L27" s="248">
        <v>1</v>
      </c>
      <c r="M27" s="248">
        <v>3</v>
      </c>
      <c r="N27" s="248">
        <v>1</v>
      </c>
      <c r="O27" s="248">
        <v>2</v>
      </c>
      <c r="P27" s="248">
        <v>1</v>
      </c>
      <c r="Q27" s="248">
        <v>2</v>
      </c>
      <c r="R27" s="248">
        <v>6</v>
      </c>
      <c r="S27" s="249">
        <v>2</v>
      </c>
    </row>
    <row r="28" spans="1:19" ht="15.6" x14ac:dyDescent="0.3">
      <c r="A28" s="246"/>
      <c r="B28" s="247">
        <v>59</v>
      </c>
      <c r="C28" s="247">
        <v>110</v>
      </c>
      <c r="D28" s="247">
        <v>239</v>
      </c>
      <c r="E28" s="247">
        <v>142</v>
      </c>
      <c r="F28" s="247">
        <v>1.2</v>
      </c>
      <c r="G28" s="247">
        <v>1</v>
      </c>
      <c r="H28" s="249">
        <v>2</v>
      </c>
      <c r="I28" s="244"/>
      <c r="J28" s="244"/>
      <c r="K28" s="246"/>
      <c r="L28" s="248">
        <v>1</v>
      </c>
      <c r="M28" s="248">
        <v>4</v>
      </c>
      <c r="N28" s="248">
        <v>0</v>
      </c>
      <c r="O28" s="248">
        <v>2</v>
      </c>
      <c r="P28" s="248">
        <v>1</v>
      </c>
      <c r="Q28" s="248">
        <v>2</v>
      </c>
      <c r="R28" s="248">
        <v>7</v>
      </c>
      <c r="S28" s="249">
        <v>2</v>
      </c>
    </row>
    <row r="29" spans="1:19" ht="15.6" x14ac:dyDescent="0.3">
      <c r="A29" s="246"/>
      <c r="B29" s="247">
        <v>60</v>
      </c>
      <c r="C29" s="247">
        <v>140</v>
      </c>
      <c r="D29" s="247">
        <v>293</v>
      </c>
      <c r="E29" s="247">
        <v>170</v>
      </c>
      <c r="F29" s="247">
        <v>1.2</v>
      </c>
      <c r="G29" s="247">
        <v>2</v>
      </c>
      <c r="H29" s="249">
        <v>2</v>
      </c>
      <c r="I29" s="244"/>
      <c r="J29" s="244"/>
      <c r="K29" s="246"/>
      <c r="L29" s="248">
        <v>1</v>
      </c>
      <c r="M29" s="248">
        <v>4</v>
      </c>
      <c r="N29" s="248">
        <v>0</v>
      </c>
      <c r="O29" s="248">
        <v>2</v>
      </c>
      <c r="P29" s="248">
        <v>0</v>
      </c>
      <c r="Q29" s="248">
        <v>2</v>
      </c>
      <c r="R29" s="248">
        <v>7</v>
      </c>
      <c r="S29" s="249">
        <v>2</v>
      </c>
    </row>
    <row r="30" spans="1:19" ht="15.6" x14ac:dyDescent="0.3">
      <c r="A30" s="246"/>
      <c r="B30" s="247">
        <v>63</v>
      </c>
      <c r="C30" s="247">
        <v>150</v>
      </c>
      <c r="D30" s="247">
        <v>407</v>
      </c>
      <c r="E30" s="247">
        <v>154</v>
      </c>
      <c r="F30" s="247">
        <v>4</v>
      </c>
      <c r="G30" s="247">
        <v>3</v>
      </c>
      <c r="H30" s="249">
        <v>2</v>
      </c>
      <c r="I30" s="244"/>
      <c r="J30" s="244"/>
      <c r="K30" s="246"/>
      <c r="L30" s="248">
        <v>0</v>
      </c>
      <c r="M30" s="248">
        <v>4</v>
      </c>
      <c r="N30" s="248">
        <v>0</v>
      </c>
      <c r="O30" s="248">
        <v>2</v>
      </c>
      <c r="P30" s="248">
        <v>0</v>
      </c>
      <c r="Q30" s="248">
        <v>2</v>
      </c>
      <c r="R30" s="248">
        <v>7</v>
      </c>
      <c r="S30" s="249">
        <v>2</v>
      </c>
    </row>
    <row r="31" spans="1:19" ht="15.6" x14ac:dyDescent="0.3">
      <c r="A31" s="244"/>
      <c r="B31" s="253">
        <v>1</v>
      </c>
      <c r="C31" s="253">
        <v>1</v>
      </c>
      <c r="D31" s="253">
        <v>1</v>
      </c>
      <c r="E31" s="253">
        <v>1</v>
      </c>
      <c r="F31" s="253">
        <v>1</v>
      </c>
      <c r="G31" s="253">
        <v>1</v>
      </c>
      <c r="H31" s="244"/>
      <c r="I31" s="244"/>
      <c r="J31" s="244"/>
      <c r="K31" s="244"/>
      <c r="L31" s="253">
        <v>0</v>
      </c>
      <c r="M31" s="253">
        <v>0</v>
      </c>
      <c r="N31" s="253">
        <v>0</v>
      </c>
      <c r="O31" s="253">
        <v>0</v>
      </c>
      <c r="P31" s="253">
        <v>0</v>
      </c>
      <c r="Q31" s="253">
        <v>0</v>
      </c>
      <c r="R31" s="253">
        <v>0</v>
      </c>
      <c r="S31" s="244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W93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255" t="s">
        <v>44</v>
      </c>
      <c r="B1" s="255"/>
      <c r="C1" s="255"/>
      <c r="D1" s="255"/>
      <c r="E1" s="255"/>
      <c r="F1" s="255"/>
      <c r="G1" s="255"/>
      <c r="H1" s="255"/>
      <c r="I1" s="244"/>
      <c r="J1" s="244"/>
      <c r="K1" s="244"/>
      <c r="L1" s="244"/>
      <c r="M1" s="244"/>
      <c r="N1" s="244"/>
      <c r="O1" s="244"/>
      <c r="P1" s="244"/>
    </row>
    <row r="2" spans="1:17" ht="15.6" x14ac:dyDescent="0.3">
      <c r="A2" s="240" t="s">
        <v>7</v>
      </c>
      <c r="B2" s="241"/>
      <c r="C2" s="241"/>
      <c r="D2" s="241"/>
      <c r="E2" s="241"/>
      <c r="F2" s="241"/>
      <c r="G2" s="241"/>
      <c r="H2" s="241" t="s">
        <v>41</v>
      </c>
      <c r="I2" s="244"/>
      <c r="J2" s="244"/>
      <c r="K2" s="242" t="s">
        <v>45</v>
      </c>
      <c r="P2" s="244"/>
    </row>
    <row r="3" spans="1:17" ht="15.6" x14ac:dyDescent="0.3">
      <c r="A3" s="246"/>
      <c r="B3" s="247">
        <v>70</v>
      </c>
      <c r="C3" s="247">
        <v>130</v>
      </c>
      <c r="D3" s="247">
        <v>322</v>
      </c>
      <c r="E3" s="247">
        <v>109</v>
      </c>
      <c r="F3" s="247">
        <v>2.4</v>
      </c>
      <c r="G3" s="247">
        <v>3</v>
      </c>
      <c r="H3" s="249">
        <v>2</v>
      </c>
      <c r="I3" s="244"/>
      <c r="J3" s="244"/>
      <c r="K3" s="242" t="s">
        <v>42</v>
      </c>
      <c r="M3" s="250" t="s">
        <v>58</v>
      </c>
      <c r="N3" s="250"/>
      <c r="O3" s="250"/>
      <c r="P3" s="250"/>
      <c r="Q3" s="251">
        <v>1</v>
      </c>
    </row>
    <row r="4" spans="1:17" ht="15.6" x14ac:dyDescent="0.3">
      <c r="A4" s="246"/>
      <c r="B4" s="247">
        <v>67</v>
      </c>
      <c r="C4" s="247">
        <v>115</v>
      </c>
      <c r="D4" s="247">
        <v>564</v>
      </c>
      <c r="E4" s="247">
        <v>160</v>
      </c>
      <c r="F4" s="247">
        <v>1.6</v>
      </c>
      <c r="G4" s="247">
        <v>0</v>
      </c>
      <c r="H4" s="249">
        <v>1</v>
      </c>
      <c r="I4" s="244"/>
      <c r="J4" s="244"/>
      <c r="P4" s="244"/>
    </row>
    <row r="5" spans="1:17" ht="15.6" x14ac:dyDescent="0.3">
      <c r="A5" s="246"/>
      <c r="B5" s="247">
        <v>57</v>
      </c>
      <c r="C5" s="247">
        <v>124</v>
      </c>
      <c r="D5" s="247">
        <v>261</v>
      </c>
      <c r="E5" s="247">
        <v>141</v>
      </c>
      <c r="F5" s="247">
        <v>0.3</v>
      </c>
      <c r="G5" s="247">
        <v>0</v>
      </c>
      <c r="H5" s="249">
        <v>2</v>
      </c>
      <c r="I5" s="244"/>
      <c r="J5" s="244"/>
      <c r="P5" s="244"/>
    </row>
    <row r="6" spans="1:17" ht="15.6" x14ac:dyDescent="0.3">
      <c r="A6" s="246"/>
      <c r="B6" s="247">
        <v>64</v>
      </c>
      <c r="C6" s="247">
        <v>128</v>
      </c>
      <c r="D6" s="247">
        <v>263</v>
      </c>
      <c r="E6" s="247">
        <v>105</v>
      </c>
      <c r="F6" s="247">
        <v>0.2</v>
      </c>
      <c r="G6" s="247">
        <v>1</v>
      </c>
      <c r="H6" s="249">
        <v>1</v>
      </c>
      <c r="I6" s="244"/>
      <c r="J6" s="244"/>
      <c r="K6" s="256" t="s">
        <v>51</v>
      </c>
      <c r="L6" s="257"/>
      <c r="M6" s="257"/>
      <c r="N6" s="257"/>
      <c r="O6" s="258"/>
      <c r="P6" s="244"/>
    </row>
    <row r="7" spans="1:17" ht="15.6" x14ac:dyDescent="0.3">
      <c r="A7" s="246"/>
      <c r="B7" s="247">
        <v>74</v>
      </c>
      <c r="C7" s="247">
        <v>120</v>
      </c>
      <c r="D7" s="247">
        <v>269</v>
      </c>
      <c r="E7" s="247">
        <v>121</v>
      </c>
      <c r="F7" s="247">
        <v>0.2</v>
      </c>
      <c r="G7" s="247">
        <v>1</v>
      </c>
      <c r="H7" s="249">
        <v>1</v>
      </c>
      <c r="I7" s="244"/>
      <c r="J7" s="244"/>
      <c r="K7" s="240" t="s">
        <v>7</v>
      </c>
      <c r="L7" s="246"/>
      <c r="M7" s="246"/>
      <c r="N7" s="246"/>
      <c r="O7" s="246"/>
      <c r="P7" s="244"/>
    </row>
    <row r="8" spans="1:17" ht="15.6" x14ac:dyDescent="0.3">
      <c r="A8" s="246"/>
      <c r="B8" s="247">
        <v>65</v>
      </c>
      <c r="C8" s="247">
        <v>120</v>
      </c>
      <c r="D8" s="247">
        <v>177</v>
      </c>
      <c r="E8" s="247">
        <v>140</v>
      </c>
      <c r="F8" s="247">
        <v>0.4</v>
      </c>
      <c r="G8" s="247">
        <v>0</v>
      </c>
      <c r="H8" s="249">
        <v>1</v>
      </c>
      <c r="I8" s="244"/>
      <c r="J8" s="244"/>
      <c r="K8" s="241"/>
      <c r="L8" s="248">
        <v>56</v>
      </c>
      <c r="M8" s="248">
        <v>63</v>
      </c>
      <c r="N8" s="248">
        <v>74</v>
      </c>
      <c r="O8" s="259">
        <v>0.63492099999999996</v>
      </c>
      <c r="P8" s="244"/>
    </row>
    <row r="9" spans="1:17" ht="15.6" x14ac:dyDescent="0.3">
      <c r="A9" s="246"/>
      <c r="B9" s="247">
        <v>56</v>
      </c>
      <c r="C9" s="247">
        <v>130</v>
      </c>
      <c r="D9" s="247">
        <v>256</v>
      </c>
      <c r="E9" s="247">
        <v>142</v>
      </c>
      <c r="F9" s="247">
        <v>0.6</v>
      </c>
      <c r="G9" s="247">
        <v>1</v>
      </c>
      <c r="H9" s="249">
        <v>2</v>
      </c>
      <c r="I9" s="244"/>
      <c r="J9" s="244"/>
      <c r="K9" s="241"/>
      <c r="L9" s="248">
        <v>110</v>
      </c>
      <c r="M9" s="248">
        <v>120</v>
      </c>
      <c r="N9" s="248">
        <v>150</v>
      </c>
      <c r="O9" s="259">
        <v>0.41269800000000001</v>
      </c>
      <c r="P9" s="244"/>
    </row>
    <row r="10" spans="1:17" ht="15.6" x14ac:dyDescent="0.3">
      <c r="A10" s="246"/>
      <c r="B10" s="247">
        <v>59</v>
      </c>
      <c r="C10" s="247">
        <v>110</v>
      </c>
      <c r="D10" s="247">
        <v>239</v>
      </c>
      <c r="E10" s="247">
        <v>142</v>
      </c>
      <c r="F10" s="247">
        <v>1.2</v>
      </c>
      <c r="G10" s="247">
        <v>1</v>
      </c>
      <c r="H10" s="249">
        <v>2</v>
      </c>
      <c r="I10" s="244"/>
      <c r="J10" s="244"/>
      <c r="K10" s="241"/>
      <c r="L10" s="248">
        <v>177</v>
      </c>
      <c r="M10" s="248">
        <v>177</v>
      </c>
      <c r="N10" s="248">
        <v>564</v>
      </c>
      <c r="O10" s="259">
        <v>0.214286</v>
      </c>
      <c r="P10" s="244"/>
    </row>
    <row r="11" spans="1:17" ht="15.6" x14ac:dyDescent="0.3">
      <c r="A11" s="246"/>
      <c r="B11" s="247">
        <v>60</v>
      </c>
      <c r="C11" s="247">
        <v>140</v>
      </c>
      <c r="D11" s="247">
        <v>293</v>
      </c>
      <c r="E11" s="247">
        <v>170</v>
      </c>
      <c r="F11" s="247">
        <v>1.2</v>
      </c>
      <c r="G11" s="247">
        <v>2</v>
      </c>
      <c r="H11" s="249">
        <v>2</v>
      </c>
      <c r="I11" s="244"/>
      <c r="J11" s="244"/>
      <c r="K11" s="241"/>
      <c r="L11" s="248">
        <v>105</v>
      </c>
      <c r="M11" s="248">
        <v>140</v>
      </c>
      <c r="N11" s="248">
        <v>170</v>
      </c>
      <c r="O11" s="259">
        <v>0.41269800000000001</v>
      </c>
      <c r="P11" s="244"/>
    </row>
    <row r="12" spans="1:17" ht="15.6" x14ac:dyDescent="0.3">
      <c r="A12" s="246"/>
      <c r="B12" s="247">
        <v>63</v>
      </c>
      <c r="C12" s="247">
        <v>150</v>
      </c>
      <c r="D12" s="247">
        <v>407</v>
      </c>
      <c r="E12" s="247">
        <v>154</v>
      </c>
      <c r="F12" s="247">
        <v>4</v>
      </c>
      <c r="G12" s="247">
        <v>3</v>
      </c>
      <c r="H12" s="249">
        <v>2</v>
      </c>
      <c r="I12" s="244"/>
      <c r="J12" s="244"/>
      <c r="K12" s="241"/>
      <c r="L12" s="248">
        <v>0.2</v>
      </c>
      <c r="M12" s="248">
        <v>0.4</v>
      </c>
      <c r="N12" s="248">
        <v>4</v>
      </c>
      <c r="O12" s="259">
        <v>0.41269800000000001</v>
      </c>
      <c r="P12" s="244"/>
    </row>
    <row r="13" spans="1:17" ht="15.6" x14ac:dyDescent="0.3">
      <c r="A13" s="244"/>
      <c r="B13" s="253">
        <v>1</v>
      </c>
      <c r="C13" s="253">
        <v>1</v>
      </c>
      <c r="D13" s="253">
        <v>1</v>
      </c>
      <c r="E13" s="253">
        <v>1</v>
      </c>
      <c r="F13" s="253">
        <v>1</v>
      </c>
      <c r="G13" s="253">
        <v>1</v>
      </c>
      <c r="H13" s="244"/>
      <c r="I13" s="244"/>
      <c r="J13" s="244"/>
      <c r="K13" s="241"/>
      <c r="L13" s="248">
        <v>0</v>
      </c>
      <c r="M13" s="248">
        <v>0</v>
      </c>
      <c r="N13" s="248">
        <v>3</v>
      </c>
      <c r="O13" s="259">
        <v>0.28571400000000002</v>
      </c>
      <c r="P13" s="244"/>
    </row>
    <row r="14" spans="1:17" ht="15.6" x14ac:dyDescent="0.3">
      <c r="A14" s="244"/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</row>
    <row r="15" spans="1:17" ht="15.6" x14ac:dyDescent="0.3">
      <c r="A15" s="244"/>
      <c r="B15" s="244"/>
      <c r="C15" s="244"/>
      <c r="D15" s="244"/>
      <c r="E15" s="244"/>
      <c r="F15" s="244"/>
      <c r="G15" s="244"/>
      <c r="H15" s="244"/>
      <c r="I15" s="260"/>
      <c r="J15" s="244"/>
      <c r="K15" s="244"/>
      <c r="L15" s="244"/>
      <c r="M15" s="244"/>
      <c r="N15" s="244"/>
      <c r="O15" s="244"/>
      <c r="P15" s="244"/>
    </row>
    <row r="16" spans="1:17" ht="15.6" x14ac:dyDescent="0.3">
      <c r="A16" s="244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</row>
    <row r="17" spans="1:23" ht="15.6" x14ac:dyDescent="0.3">
      <c r="A17" s="240" t="s">
        <v>7</v>
      </c>
      <c r="B17" s="240"/>
      <c r="C17" s="240" t="s">
        <v>41</v>
      </c>
      <c r="E17" s="240" t="s">
        <v>7</v>
      </c>
      <c r="F17" s="240"/>
      <c r="G17" s="240" t="s">
        <v>41</v>
      </c>
      <c r="I17" s="240" t="s">
        <v>7</v>
      </c>
      <c r="J17" s="240"/>
      <c r="K17" s="240" t="s">
        <v>41</v>
      </c>
      <c r="L17" s="244"/>
      <c r="M17" s="240" t="s">
        <v>7</v>
      </c>
      <c r="N17" s="240"/>
      <c r="O17" s="240" t="s">
        <v>41</v>
      </c>
      <c r="P17" s="244"/>
      <c r="Q17" s="240" t="s">
        <v>7</v>
      </c>
      <c r="R17" s="240"/>
      <c r="S17" s="240" t="s">
        <v>41</v>
      </c>
      <c r="U17" s="240" t="s">
        <v>7</v>
      </c>
      <c r="V17" s="240"/>
      <c r="W17" s="240" t="s">
        <v>41</v>
      </c>
    </row>
    <row r="18" spans="1:23" ht="16.2" thickBot="1" x14ac:dyDescent="0.35">
      <c r="A18" s="246"/>
      <c r="B18" s="247">
        <v>56</v>
      </c>
      <c r="C18" s="249">
        <v>2</v>
      </c>
      <c r="E18" s="246"/>
      <c r="F18" s="247">
        <v>110</v>
      </c>
      <c r="G18" s="249">
        <v>2</v>
      </c>
      <c r="I18" s="261"/>
      <c r="J18" s="262">
        <v>177</v>
      </c>
      <c r="K18" s="263">
        <v>1</v>
      </c>
      <c r="L18" s="244"/>
      <c r="M18" s="246"/>
      <c r="N18" s="247">
        <v>105</v>
      </c>
      <c r="O18" s="249">
        <v>1</v>
      </c>
      <c r="P18" s="244"/>
      <c r="Q18" s="246"/>
      <c r="R18" s="247">
        <v>0.2</v>
      </c>
      <c r="S18" s="249">
        <v>1</v>
      </c>
      <c r="U18" s="246"/>
      <c r="V18" s="247">
        <v>0</v>
      </c>
      <c r="W18" s="249">
        <v>1</v>
      </c>
    </row>
    <row r="19" spans="1:23" ht="15.6" x14ac:dyDescent="0.3">
      <c r="A19" s="246"/>
      <c r="B19" s="247">
        <v>57</v>
      </c>
      <c r="C19" s="249">
        <v>2</v>
      </c>
      <c r="E19" s="246"/>
      <c r="F19" s="247">
        <v>115</v>
      </c>
      <c r="G19" s="249">
        <v>1</v>
      </c>
      <c r="I19" s="246"/>
      <c r="J19" s="264">
        <v>239</v>
      </c>
      <c r="K19" s="265">
        <v>2</v>
      </c>
      <c r="L19" s="244"/>
      <c r="M19" s="246"/>
      <c r="N19" s="247">
        <v>109</v>
      </c>
      <c r="O19" s="249">
        <v>2</v>
      </c>
      <c r="P19" s="244"/>
      <c r="Q19" s="246"/>
      <c r="R19" s="247">
        <v>0.2</v>
      </c>
      <c r="S19" s="249">
        <v>1</v>
      </c>
      <c r="U19" s="266"/>
      <c r="V19" s="247">
        <v>0</v>
      </c>
      <c r="W19" s="249">
        <v>2</v>
      </c>
    </row>
    <row r="20" spans="1:23" ht="16.2" thickBot="1" x14ac:dyDescent="0.35">
      <c r="A20" s="246"/>
      <c r="B20" s="247">
        <v>59</v>
      </c>
      <c r="C20" s="249">
        <v>2</v>
      </c>
      <c r="E20" s="246"/>
      <c r="F20" s="247">
        <v>120</v>
      </c>
      <c r="G20" s="249">
        <v>1</v>
      </c>
      <c r="I20" s="246"/>
      <c r="J20" s="247">
        <v>256</v>
      </c>
      <c r="K20" s="249">
        <v>2</v>
      </c>
      <c r="L20" s="244"/>
      <c r="M20" s="246"/>
      <c r="N20" s="247">
        <v>121</v>
      </c>
      <c r="O20" s="249">
        <v>1</v>
      </c>
      <c r="P20" s="244"/>
      <c r="Q20" s="266"/>
      <c r="R20" s="247">
        <v>0.3</v>
      </c>
      <c r="S20" s="249">
        <v>2</v>
      </c>
      <c r="U20" s="261"/>
      <c r="V20" s="262">
        <v>0</v>
      </c>
      <c r="W20" s="263">
        <v>1</v>
      </c>
    </row>
    <row r="21" spans="1:23" ht="16.2" thickBot="1" x14ac:dyDescent="0.35">
      <c r="A21" s="246"/>
      <c r="B21" s="247">
        <v>60</v>
      </c>
      <c r="C21" s="249">
        <v>2</v>
      </c>
      <c r="E21" s="261"/>
      <c r="F21" s="262">
        <v>120</v>
      </c>
      <c r="G21" s="263">
        <v>1</v>
      </c>
      <c r="I21" s="266"/>
      <c r="J21" s="247">
        <v>261</v>
      </c>
      <c r="K21" s="249">
        <v>2</v>
      </c>
      <c r="L21" s="244"/>
      <c r="M21" s="261"/>
      <c r="N21" s="262">
        <v>140</v>
      </c>
      <c r="O21" s="263">
        <v>1</v>
      </c>
      <c r="P21" s="244"/>
      <c r="Q21" s="261"/>
      <c r="R21" s="262">
        <v>0.4</v>
      </c>
      <c r="S21" s="263">
        <v>1</v>
      </c>
      <c r="U21" s="246"/>
      <c r="V21" s="264">
        <v>1</v>
      </c>
      <c r="W21" s="265">
        <v>1</v>
      </c>
    </row>
    <row r="22" spans="1:23" ht="16.2" thickBot="1" x14ac:dyDescent="0.35">
      <c r="A22" s="261"/>
      <c r="B22" s="262">
        <v>63</v>
      </c>
      <c r="C22" s="263">
        <v>2</v>
      </c>
      <c r="E22" s="266"/>
      <c r="F22" s="264">
        <v>124</v>
      </c>
      <c r="G22" s="265">
        <v>2</v>
      </c>
      <c r="I22" s="246"/>
      <c r="J22" s="247">
        <v>263</v>
      </c>
      <c r="K22" s="249">
        <v>1</v>
      </c>
      <c r="L22" s="244"/>
      <c r="M22" s="266"/>
      <c r="N22" s="264">
        <v>141</v>
      </c>
      <c r="O22" s="265">
        <v>2</v>
      </c>
      <c r="P22" s="244"/>
      <c r="Q22" s="246"/>
      <c r="R22" s="264">
        <v>0.6</v>
      </c>
      <c r="S22" s="265">
        <v>2</v>
      </c>
      <c r="U22" s="246"/>
      <c r="V22" s="247">
        <v>1</v>
      </c>
      <c r="W22" s="249">
        <v>1</v>
      </c>
    </row>
    <row r="23" spans="1:23" ht="15.6" x14ac:dyDescent="0.3">
      <c r="A23" s="266"/>
      <c r="B23" s="264">
        <v>64</v>
      </c>
      <c r="C23" s="265">
        <v>1</v>
      </c>
      <c r="E23" s="246"/>
      <c r="F23" s="247">
        <v>128</v>
      </c>
      <c r="G23" s="249">
        <v>1</v>
      </c>
      <c r="I23" s="246"/>
      <c r="J23" s="247">
        <v>269</v>
      </c>
      <c r="K23" s="249">
        <v>1</v>
      </c>
      <c r="L23" s="244"/>
      <c r="M23" s="246"/>
      <c r="N23" s="247">
        <v>142</v>
      </c>
      <c r="O23" s="249">
        <v>2</v>
      </c>
      <c r="P23" s="244"/>
      <c r="Q23" s="246"/>
      <c r="R23" s="247">
        <v>1.2</v>
      </c>
      <c r="S23" s="249">
        <v>2</v>
      </c>
      <c r="U23" s="246"/>
      <c r="V23" s="247">
        <v>1</v>
      </c>
      <c r="W23" s="249">
        <v>2</v>
      </c>
    </row>
    <row r="24" spans="1:23" ht="15.6" x14ac:dyDescent="0.3">
      <c r="A24" s="246"/>
      <c r="B24" s="247">
        <v>65</v>
      </c>
      <c r="C24" s="249">
        <v>1</v>
      </c>
      <c r="E24" s="246"/>
      <c r="F24" s="247">
        <v>130</v>
      </c>
      <c r="G24" s="249">
        <v>2</v>
      </c>
      <c r="I24" s="246"/>
      <c r="J24" s="247">
        <v>293</v>
      </c>
      <c r="K24" s="249">
        <v>2</v>
      </c>
      <c r="L24" s="244"/>
      <c r="M24" s="246"/>
      <c r="N24" s="247">
        <v>142</v>
      </c>
      <c r="O24" s="249">
        <v>2</v>
      </c>
      <c r="P24" s="244"/>
      <c r="Q24" s="246"/>
      <c r="R24" s="247">
        <v>1.2</v>
      </c>
      <c r="S24" s="249">
        <v>2</v>
      </c>
      <c r="U24" s="246"/>
      <c r="V24" s="247">
        <v>1</v>
      </c>
      <c r="W24" s="249">
        <v>2</v>
      </c>
    </row>
    <row r="25" spans="1:23" ht="15.6" x14ac:dyDescent="0.3">
      <c r="A25" s="246"/>
      <c r="B25" s="247">
        <v>67</v>
      </c>
      <c r="C25" s="249">
        <v>1</v>
      </c>
      <c r="E25" s="246"/>
      <c r="F25" s="247">
        <v>130</v>
      </c>
      <c r="G25" s="249">
        <v>2</v>
      </c>
      <c r="I25" s="246"/>
      <c r="J25" s="247">
        <v>322</v>
      </c>
      <c r="K25" s="249">
        <v>2</v>
      </c>
      <c r="L25" s="244"/>
      <c r="M25" s="246"/>
      <c r="N25" s="247">
        <v>154</v>
      </c>
      <c r="O25" s="249">
        <v>2</v>
      </c>
      <c r="P25" s="244"/>
      <c r="Q25" s="246"/>
      <c r="R25" s="247">
        <v>1.6</v>
      </c>
      <c r="S25" s="249">
        <v>1</v>
      </c>
      <c r="U25" s="246"/>
      <c r="V25" s="247">
        <v>2</v>
      </c>
      <c r="W25" s="249">
        <v>2</v>
      </c>
    </row>
    <row r="26" spans="1:23" ht="15.6" x14ac:dyDescent="0.3">
      <c r="A26" s="246"/>
      <c r="B26" s="247">
        <v>70</v>
      </c>
      <c r="C26" s="249">
        <v>2</v>
      </c>
      <c r="E26" s="246"/>
      <c r="F26" s="247">
        <v>140</v>
      </c>
      <c r="G26" s="249">
        <v>2</v>
      </c>
      <c r="I26" s="246"/>
      <c r="J26" s="247">
        <v>407</v>
      </c>
      <c r="K26" s="249">
        <v>2</v>
      </c>
      <c r="L26" s="244"/>
      <c r="M26" s="246"/>
      <c r="N26" s="247">
        <v>160</v>
      </c>
      <c r="O26" s="249">
        <v>1</v>
      </c>
      <c r="P26" s="244"/>
      <c r="Q26" s="246"/>
      <c r="R26" s="247">
        <v>2.4</v>
      </c>
      <c r="S26" s="249">
        <v>2</v>
      </c>
      <c r="U26" s="246"/>
      <c r="V26" s="247">
        <v>3</v>
      </c>
      <c r="W26" s="249">
        <v>2</v>
      </c>
    </row>
    <row r="27" spans="1:23" ht="15.6" x14ac:dyDescent="0.3">
      <c r="A27" s="246"/>
      <c r="B27" s="247">
        <v>74</v>
      </c>
      <c r="C27" s="249">
        <v>1</v>
      </c>
      <c r="E27" s="246"/>
      <c r="F27" s="247">
        <v>150</v>
      </c>
      <c r="G27" s="249">
        <v>2</v>
      </c>
      <c r="I27" s="246"/>
      <c r="J27" s="247">
        <v>564</v>
      </c>
      <c r="K27" s="249">
        <v>1</v>
      </c>
      <c r="M27" s="246"/>
      <c r="N27" s="247">
        <v>170</v>
      </c>
      <c r="O27" s="249">
        <v>2</v>
      </c>
      <c r="P27" s="244"/>
      <c r="Q27" s="246"/>
      <c r="R27" s="247">
        <v>4</v>
      </c>
      <c r="S27" s="249">
        <v>2</v>
      </c>
      <c r="U27" s="246"/>
      <c r="V27" s="247">
        <v>3</v>
      </c>
      <c r="W27" s="249">
        <v>2</v>
      </c>
    </row>
    <row r="28" spans="1:23" ht="15.6" x14ac:dyDescent="0.3">
      <c r="A28" s="244"/>
      <c r="B28" s="244"/>
      <c r="C28" s="244"/>
      <c r="E28" s="244"/>
      <c r="F28" s="244"/>
      <c r="G28" s="244"/>
      <c r="I28" s="244"/>
      <c r="J28" s="244"/>
      <c r="K28" s="244"/>
      <c r="M28" s="244"/>
      <c r="N28" s="244"/>
      <c r="O28" s="244"/>
      <c r="P28" s="244"/>
      <c r="Q28" s="244"/>
      <c r="R28" s="244"/>
      <c r="S28" s="244"/>
      <c r="U28" s="244"/>
      <c r="V28" s="244"/>
      <c r="W28" s="244"/>
    </row>
    <row r="29" spans="1:23" ht="15.6" x14ac:dyDescent="0.3">
      <c r="A29" s="267"/>
      <c r="B29" s="268">
        <f>AVERAGE(B22,B23)</f>
        <v>63.5</v>
      </c>
      <c r="C29" s="244"/>
      <c r="E29" s="267"/>
      <c r="F29" s="268">
        <f>AVERAGE(F21,F22)</f>
        <v>122</v>
      </c>
      <c r="G29" s="244"/>
      <c r="I29" s="267"/>
      <c r="J29" s="268">
        <f>AVERAGE(J18,J19)</f>
        <v>208</v>
      </c>
      <c r="K29" s="244"/>
      <c r="M29" s="267"/>
      <c r="N29" s="268">
        <f>AVERAGE(N21,N22)</f>
        <v>140.5</v>
      </c>
      <c r="O29" s="244"/>
      <c r="P29" s="244"/>
      <c r="Q29" s="267"/>
      <c r="R29" s="268">
        <f>AVERAGE(R21,R22)</f>
        <v>0.5</v>
      </c>
      <c r="S29" s="244"/>
      <c r="U29" s="267"/>
      <c r="V29" s="268">
        <f>AVERAGE(V20,V21)</f>
        <v>0.5</v>
      </c>
      <c r="W29" s="244"/>
    </row>
    <row r="33" spans="1:8" ht="15.6" x14ac:dyDescent="0.3">
      <c r="A33" s="269" t="s">
        <v>52</v>
      </c>
      <c r="B33" s="269"/>
      <c r="C33" s="269"/>
      <c r="D33" s="269"/>
      <c r="E33" s="269"/>
      <c r="F33" s="269"/>
      <c r="G33" s="269"/>
      <c r="H33" s="269"/>
    </row>
    <row r="34" spans="1:8" ht="15.6" x14ac:dyDescent="0.3">
      <c r="A34" s="240" t="s">
        <v>7</v>
      </c>
      <c r="B34" s="240"/>
      <c r="C34" s="240"/>
      <c r="D34" s="240"/>
      <c r="E34" s="240"/>
      <c r="F34" s="240"/>
      <c r="G34" s="240"/>
      <c r="H34" s="241" t="s">
        <v>41</v>
      </c>
    </row>
    <row r="35" spans="1:8" ht="15.6" x14ac:dyDescent="0.3">
      <c r="A35" s="246"/>
      <c r="B35" s="270">
        <f>IF(B3&lt;$B$29,1,2)</f>
        <v>2</v>
      </c>
      <c r="C35" s="270">
        <f t="shared" ref="C35:C44" si="0">IF(C3&lt;$F$29,1,2)</f>
        <v>2</v>
      </c>
      <c r="D35" s="270">
        <f t="shared" ref="D35:D44" si="1">IF(D3&lt;$J$29,1,2)</f>
        <v>2</v>
      </c>
      <c r="E35" s="270">
        <f t="shared" ref="E35:E44" si="2">IF(E3&lt;$N$29,1,2)</f>
        <v>1</v>
      </c>
      <c r="F35" s="270">
        <f t="shared" ref="F35:F44" si="3">IF(F3&lt;$R$29,1,2)</f>
        <v>2</v>
      </c>
      <c r="G35" s="270">
        <f t="shared" ref="G35:G44" si="4">IF(G3&lt;$V$29,1,2)</f>
        <v>2</v>
      </c>
      <c r="H35" s="249">
        <v>2</v>
      </c>
    </row>
    <row r="36" spans="1:8" ht="15.6" x14ac:dyDescent="0.3">
      <c r="A36" s="246"/>
      <c r="B36" s="270">
        <f t="shared" ref="B36:B44" si="5">IF(B4&lt;$B$29,1,2)</f>
        <v>2</v>
      </c>
      <c r="C36" s="270">
        <f t="shared" si="0"/>
        <v>1</v>
      </c>
      <c r="D36" s="270">
        <f t="shared" si="1"/>
        <v>2</v>
      </c>
      <c r="E36" s="270">
        <f t="shared" si="2"/>
        <v>2</v>
      </c>
      <c r="F36" s="270">
        <f t="shared" si="3"/>
        <v>2</v>
      </c>
      <c r="G36" s="270">
        <f t="shared" si="4"/>
        <v>1</v>
      </c>
      <c r="H36" s="249">
        <v>1</v>
      </c>
    </row>
    <row r="37" spans="1:8" ht="15.6" x14ac:dyDescent="0.3">
      <c r="A37" s="246"/>
      <c r="B37" s="270">
        <f t="shared" si="5"/>
        <v>1</v>
      </c>
      <c r="C37" s="270">
        <f t="shared" si="0"/>
        <v>2</v>
      </c>
      <c r="D37" s="270">
        <f t="shared" si="1"/>
        <v>2</v>
      </c>
      <c r="E37" s="270">
        <f t="shared" si="2"/>
        <v>2</v>
      </c>
      <c r="F37" s="270">
        <f t="shared" si="3"/>
        <v>1</v>
      </c>
      <c r="G37" s="270">
        <f t="shared" si="4"/>
        <v>1</v>
      </c>
      <c r="H37" s="249">
        <v>2</v>
      </c>
    </row>
    <row r="38" spans="1:8" ht="15.6" x14ac:dyDescent="0.3">
      <c r="A38" s="246"/>
      <c r="B38" s="270">
        <f t="shared" si="5"/>
        <v>2</v>
      </c>
      <c r="C38" s="270">
        <f t="shared" si="0"/>
        <v>2</v>
      </c>
      <c r="D38" s="270">
        <f t="shared" si="1"/>
        <v>2</v>
      </c>
      <c r="E38" s="270">
        <f t="shared" si="2"/>
        <v>1</v>
      </c>
      <c r="F38" s="270">
        <f t="shared" si="3"/>
        <v>1</v>
      </c>
      <c r="G38" s="270">
        <f t="shared" si="4"/>
        <v>2</v>
      </c>
      <c r="H38" s="249">
        <v>1</v>
      </c>
    </row>
    <row r="39" spans="1:8" ht="15.6" x14ac:dyDescent="0.3">
      <c r="A39" s="246"/>
      <c r="B39" s="270">
        <f t="shared" si="5"/>
        <v>2</v>
      </c>
      <c r="C39" s="270">
        <f t="shared" si="0"/>
        <v>1</v>
      </c>
      <c r="D39" s="270">
        <f t="shared" si="1"/>
        <v>2</v>
      </c>
      <c r="E39" s="270">
        <f t="shared" si="2"/>
        <v>1</v>
      </c>
      <c r="F39" s="270">
        <f t="shared" si="3"/>
        <v>1</v>
      </c>
      <c r="G39" s="270">
        <f t="shared" si="4"/>
        <v>2</v>
      </c>
      <c r="H39" s="249">
        <v>1</v>
      </c>
    </row>
    <row r="40" spans="1:8" ht="15.6" x14ac:dyDescent="0.3">
      <c r="A40" s="246"/>
      <c r="B40" s="270">
        <f t="shared" si="5"/>
        <v>2</v>
      </c>
      <c r="C40" s="270">
        <f t="shared" si="0"/>
        <v>1</v>
      </c>
      <c r="D40" s="270">
        <f t="shared" si="1"/>
        <v>1</v>
      </c>
      <c r="E40" s="270">
        <f t="shared" si="2"/>
        <v>1</v>
      </c>
      <c r="F40" s="270">
        <f t="shared" si="3"/>
        <v>1</v>
      </c>
      <c r="G40" s="270">
        <f t="shared" si="4"/>
        <v>1</v>
      </c>
      <c r="H40" s="249">
        <v>1</v>
      </c>
    </row>
    <row r="41" spans="1:8" ht="15.6" x14ac:dyDescent="0.3">
      <c r="A41" s="246"/>
      <c r="B41" s="270">
        <f t="shared" si="5"/>
        <v>1</v>
      </c>
      <c r="C41" s="270">
        <f t="shared" si="0"/>
        <v>2</v>
      </c>
      <c r="D41" s="270">
        <f t="shared" si="1"/>
        <v>2</v>
      </c>
      <c r="E41" s="270">
        <f t="shared" si="2"/>
        <v>2</v>
      </c>
      <c r="F41" s="270">
        <f t="shared" si="3"/>
        <v>2</v>
      </c>
      <c r="G41" s="270">
        <f t="shared" si="4"/>
        <v>2</v>
      </c>
      <c r="H41" s="249">
        <v>2</v>
      </c>
    </row>
    <row r="42" spans="1:8" ht="15.6" x14ac:dyDescent="0.3">
      <c r="A42" s="246"/>
      <c r="B42" s="270">
        <f t="shared" si="5"/>
        <v>1</v>
      </c>
      <c r="C42" s="270">
        <f t="shared" si="0"/>
        <v>1</v>
      </c>
      <c r="D42" s="270">
        <f t="shared" si="1"/>
        <v>2</v>
      </c>
      <c r="E42" s="270">
        <f t="shared" si="2"/>
        <v>2</v>
      </c>
      <c r="F42" s="270">
        <f t="shared" si="3"/>
        <v>2</v>
      </c>
      <c r="G42" s="270">
        <f t="shared" si="4"/>
        <v>2</v>
      </c>
      <c r="H42" s="249">
        <v>2</v>
      </c>
    </row>
    <row r="43" spans="1:8" ht="15.6" x14ac:dyDescent="0.3">
      <c r="A43" s="246"/>
      <c r="B43" s="270">
        <f t="shared" si="5"/>
        <v>1</v>
      </c>
      <c r="C43" s="270">
        <f t="shared" si="0"/>
        <v>2</v>
      </c>
      <c r="D43" s="270">
        <f t="shared" si="1"/>
        <v>2</v>
      </c>
      <c r="E43" s="270">
        <f t="shared" si="2"/>
        <v>2</v>
      </c>
      <c r="F43" s="270">
        <f t="shared" si="3"/>
        <v>2</v>
      </c>
      <c r="G43" s="270">
        <f t="shared" si="4"/>
        <v>2</v>
      </c>
      <c r="H43" s="249">
        <v>2</v>
      </c>
    </row>
    <row r="44" spans="1:8" ht="15.6" x14ac:dyDescent="0.3">
      <c r="A44" s="246"/>
      <c r="B44" s="270">
        <f t="shared" si="5"/>
        <v>1</v>
      </c>
      <c r="C44" s="270">
        <f t="shared" si="0"/>
        <v>2</v>
      </c>
      <c r="D44" s="270">
        <f t="shared" si="1"/>
        <v>2</v>
      </c>
      <c r="E44" s="270">
        <f t="shared" si="2"/>
        <v>2</v>
      </c>
      <c r="F44" s="270">
        <f t="shared" si="3"/>
        <v>2</v>
      </c>
      <c r="G44" s="270">
        <f t="shared" si="4"/>
        <v>2</v>
      </c>
      <c r="H44" s="249">
        <v>2</v>
      </c>
    </row>
    <row r="47" spans="1:8" ht="15.6" x14ac:dyDescent="0.3">
      <c r="A47" s="269" t="s">
        <v>53</v>
      </c>
      <c r="B47" s="269"/>
      <c r="C47" s="269"/>
      <c r="D47" s="269"/>
      <c r="E47" s="269"/>
      <c r="F47" s="269"/>
      <c r="G47" s="269"/>
      <c r="H47" s="269"/>
    </row>
    <row r="48" spans="1:8" ht="15.6" x14ac:dyDescent="0.3">
      <c r="A48" s="240" t="s">
        <v>7</v>
      </c>
      <c r="B48" s="240"/>
      <c r="C48" s="240"/>
      <c r="D48" s="240"/>
      <c r="E48" s="240"/>
      <c r="F48" s="240"/>
      <c r="G48" s="240"/>
      <c r="H48" s="241" t="s">
        <v>41</v>
      </c>
    </row>
    <row r="49" spans="1:8" ht="15.6" x14ac:dyDescent="0.3">
      <c r="A49" s="246"/>
      <c r="B49" s="271">
        <f>IF(B4&lt;$B$29,1,2)</f>
        <v>2</v>
      </c>
      <c r="C49" s="271">
        <f>IF(C4&lt;$F$29,1,2)</f>
        <v>1</v>
      </c>
      <c r="D49" s="271">
        <f>IF(D4&lt;$J$29,1,2)</f>
        <v>2</v>
      </c>
      <c r="E49" s="271">
        <f>IF(E4&lt;$N$29,1,2)</f>
        <v>2</v>
      </c>
      <c r="F49" s="271">
        <f>IF(F4&lt;$R$29,1,2)</f>
        <v>2</v>
      </c>
      <c r="G49" s="271">
        <f>IF(G4&lt;$V$29,1,2)</f>
        <v>1</v>
      </c>
      <c r="H49" s="249">
        <v>1</v>
      </c>
    </row>
    <row r="50" spans="1:8" ht="15.6" x14ac:dyDescent="0.3">
      <c r="A50" s="246"/>
      <c r="B50" s="271">
        <f>IF(B6&lt;$B$29,1,2)</f>
        <v>2</v>
      </c>
      <c r="C50" s="271">
        <f>IF(C6&lt;$F$29,1,2)</f>
        <v>2</v>
      </c>
      <c r="D50" s="271">
        <f>IF(D6&lt;$J$29,1,2)</f>
        <v>2</v>
      </c>
      <c r="E50" s="271">
        <f>IF(E6&lt;$N$29,1,2)</f>
        <v>1</v>
      </c>
      <c r="F50" s="271">
        <f>IF(F6&lt;$R$29,1,2)</f>
        <v>1</v>
      </c>
      <c r="G50" s="271">
        <f>IF(G6&lt;$V$29,1,2)</f>
        <v>2</v>
      </c>
      <c r="H50" s="249">
        <v>1</v>
      </c>
    </row>
    <row r="51" spans="1:8" ht="15.6" x14ac:dyDescent="0.3">
      <c r="A51" s="246"/>
      <c r="B51" s="271">
        <f>IF(B7&lt;$B$29,1,2)</f>
        <v>2</v>
      </c>
      <c r="C51" s="271">
        <f>IF(C7&lt;$F$29,1,2)</f>
        <v>1</v>
      </c>
      <c r="D51" s="271">
        <f>IF(D7&lt;$J$29,1,2)</f>
        <v>2</v>
      </c>
      <c r="E51" s="271">
        <f>IF(E7&lt;$N$29,1,2)</f>
        <v>1</v>
      </c>
      <c r="F51" s="271">
        <f>IF(F7&lt;$R$29,1,2)</f>
        <v>1</v>
      </c>
      <c r="G51" s="271">
        <f>IF(G7&lt;$V$29,1,2)</f>
        <v>2</v>
      </c>
      <c r="H51" s="249">
        <v>1</v>
      </c>
    </row>
    <row r="52" spans="1:8" ht="16.2" thickBot="1" x14ac:dyDescent="0.35">
      <c r="A52" s="261"/>
      <c r="B52" s="272">
        <f>IF(B8&lt;$B$29,1,2)</f>
        <v>2</v>
      </c>
      <c r="C52" s="272">
        <f>IF(C8&lt;$F$29,1,2)</f>
        <v>1</v>
      </c>
      <c r="D52" s="272">
        <f>IF(D8&lt;$J$29,1,2)</f>
        <v>1</v>
      </c>
      <c r="E52" s="272">
        <f>IF(E8&lt;$N$29,1,2)</f>
        <v>1</v>
      </c>
      <c r="F52" s="272">
        <f>IF(F8&lt;$R$29,1,2)</f>
        <v>1</v>
      </c>
      <c r="G52" s="272">
        <f>IF(G8&lt;$V$29,1,2)</f>
        <v>1</v>
      </c>
      <c r="H52" s="263">
        <v>1</v>
      </c>
    </row>
    <row r="53" spans="1:8" ht="15.6" x14ac:dyDescent="0.3">
      <c r="A53" s="266"/>
      <c r="B53" s="273">
        <f>IF(B3&lt;$B$29,1,2)</f>
        <v>2</v>
      </c>
      <c r="C53" s="273">
        <f>IF(C3&lt;$F$29,1,2)</f>
        <v>2</v>
      </c>
      <c r="D53" s="273">
        <f>IF(D3&lt;$J$29,1,2)</f>
        <v>2</v>
      </c>
      <c r="E53" s="273">
        <f>IF(E3&lt;$N$29,1,2)</f>
        <v>1</v>
      </c>
      <c r="F53" s="273">
        <f>IF(F3&lt;$R$29,1,2)</f>
        <v>2</v>
      </c>
      <c r="G53" s="273">
        <f>IF(G3&lt;$V$29,1,2)</f>
        <v>2</v>
      </c>
      <c r="H53" s="265">
        <v>2</v>
      </c>
    </row>
    <row r="54" spans="1:8" ht="15.6" x14ac:dyDescent="0.3">
      <c r="A54" s="246"/>
      <c r="B54" s="271">
        <f>IF(B5&lt;$B$29,1,2)</f>
        <v>1</v>
      </c>
      <c r="C54" s="271">
        <f>IF(C5&lt;$F$29,1,2)</f>
        <v>2</v>
      </c>
      <c r="D54" s="271">
        <f>IF(D5&lt;$J$29,1,2)</f>
        <v>2</v>
      </c>
      <c r="E54" s="271">
        <f>IF(E5&lt;$N$29,1,2)</f>
        <v>2</v>
      </c>
      <c r="F54" s="271">
        <f>IF(F5&lt;$R$29,1,2)</f>
        <v>1</v>
      </c>
      <c r="G54" s="271">
        <f>IF(G5&lt;$V$29,1,2)</f>
        <v>1</v>
      </c>
      <c r="H54" s="249">
        <v>2</v>
      </c>
    </row>
    <row r="55" spans="1:8" ht="15.6" x14ac:dyDescent="0.3">
      <c r="A55" s="246"/>
      <c r="B55" s="271">
        <f>IF(B9&lt;$B$29,1,2)</f>
        <v>1</v>
      </c>
      <c r="C55" s="271">
        <f>IF(C9&lt;$F$29,1,2)</f>
        <v>2</v>
      </c>
      <c r="D55" s="271">
        <f>IF(D9&lt;$J$29,1,2)</f>
        <v>2</v>
      </c>
      <c r="E55" s="271">
        <f>IF(E9&lt;$N$29,1,2)</f>
        <v>2</v>
      </c>
      <c r="F55" s="271">
        <f>IF(F9&lt;$R$29,1,2)</f>
        <v>2</v>
      </c>
      <c r="G55" s="271">
        <f>IF(G9&lt;$V$29,1,2)</f>
        <v>2</v>
      </c>
      <c r="H55" s="249">
        <v>2</v>
      </c>
    </row>
    <row r="56" spans="1:8" ht="15.6" x14ac:dyDescent="0.3">
      <c r="A56" s="246"/>
      <c r="B56" s="271">
        <f>IF(B10&lt;$B$29,1,2)</f>
        <v>1</v>
      </c>
      <c r="C56" s="271">
        <f>IF(C10&lt;$F$29,1,2)</f>
        <v>1</v>
      </c>
      <c r="D56" s="271">
        <f>IF(D10&lt;$J$29,1,2)</f>
        <v>2</v>
      </c>
      <c r="E56" s="271">
        <f>IF(E10&lt;$N$29,1,2)</f>
        <v>2</v>
      </c>
      <c r="F56" s="271">
        <f>IF(F10&lt;$R$29,1,2)</f>
        <v>2</v>
      </c>
      <c r="G56" s="271">
        <f>IF(G10&lt;$V$29,1,2)</f>
        <v>2</v>
      </c>
      <c r="H56" s="249">
        <v>2</v>
      </c>
    </row>
    <row r="57" spans="1:8" ht="15.6" x14ac:dyDescent="0.3">
      <c r="A57" s="246"/>
      <c r="B57" s="271">
        <f>IF(B11&lt;$B$29,1,2)</f>
        <v>1</v>
      </c>
      <c r="C57" s="271">
        <f>IF(C11&lt;$F$29,1,2)</f>
        <v>2</v>
      </c>
      <c r="D57" s="271">
        <f>IF(D11&lt;$J$29,1,2)</f>
        <v>2</v>
      </c>
      <c r="E57" s="271">
        <f>IF(E11&lt;$N$29,1,2)</f>
        <v>2</v>
      </c>
      <c r="F57" s="271">
        <f>IF(F11&lt;$R$29,1,2)</f>
        <v>2</v>
      </c>
      <c r="G57" s="271">
        <f>IF(G11&lt;$V$29,1,2)</f>
        <v>2</v>
      </c>
      <c r="H57" s="249">
        <v>2</v>
      </c>
    </row>
    <row r="58" spans="1:8" ht="15.6" x14ac:dyDescent="0.3">
      <c r="A58" s="246"/>
      <c r="B58" s="271">
        <f>IF(B12&lt;$B$29,1,2)</f>
        <v>1</v>
      </c>
      <c r="C58" s="271">
        <f>IF(C12&lt;$F$29,1,2)</f>
        <v>2</v>
      </c>
      <c r="D58" s="271">
        <f>IF(D12&lt;$J$29,1,2)</f>
        <v>2</v>
      </c>
      <c r="E58" s="271">
        <f>IF(E12&lt;$N$29,1,2)</f>
        <v>2</v>
      </c>
      <c r="F58" s="271">
        <f>IF(F12&lt;$R$29,1,2)</f>
        <v>2</v>
      </c>
      <c r="G58" s="271">
        <f>IF(G12&lt;$V$29,1,2)</f>
        <v>2</v>
      </c>
      <c r="H58" s="249">
        <v>2</v>
      </c>
    </row>
    <row r="62" spans="1:8" ht="15.6" x14ac:dyDescent="0.3">
      <c r="A62" s="269" t="s">
        <v>54</v>
      </c>
      <c r="B62" s="269"/>
      <c r="C62" s="269"/>
      <c r="D62" s="269"/>
      <c r="E62" s="269"/>
      <c r="F62" s="269"/>
      <c r="G62" s="269"/>
      <c r="H62" s="269"/>
    </row>
    <row r="63" spans="1:8" ht="15.6" x14ac:dyDescent="0.3">
      <c r="A63" s="241" t="s">
        <v>55</v>
      </c>
      <c r="B63" s="241" t="s">
        <v>3</v>
      </c>
      <c r="C63" s="241" t="s">
        <v>3</v>
      </c>
      <c r="D63" s="241" t="s">
        <v>3</v>
      </c>
      <c r="E63" s="241" t="s">
        <v>3</v>
      </c>
      <c r="F63" s="241" t="s">
        <v>3</v>
      </c>
      <c r="G63" s="241" t="s">
        <v>3</v>
      </c>
      <c r="H63" s="241" t="s">
        <v>41</v>
      </c>
    </row>
    <row r="64" spans="1:8" ht="19.95" customHeight="1" x14ac:dyDescent="0.3">
      <c r="A64" s="274"/>
      <c r="B64" s="275">
        <f>COUNTIFS(B$49:B$58, 1+MOD(INT((ROW()-ROW($B$64))/2),2), $H$49:$H$58, VALUE(RIGHT($H64,1)))</f>
        <v>0</v>
      </c>
      <c r="C64" s="275">
        <f t="shared" ref="B64:G67" si="6">COUNTIFS(C$49:C$58, 1+MOD(INT((ROW()-ROW($B$64))/2),2), $H$49:$H$58, VALUE(RIGHT($H64,1)))</f>
        <v>3</v>
      </c>
      <c r="D64" s="275">
        <f t="shared" si="6"/>
        <v>1</v>
      </c>
      <c r="E64" s="275">
        <f t="shared" si="6"/>
        <v>3</v>
      </c>
      <c r="F64" s="275">
        <f t="shared" si="6"/>
        <v>3</v>
      </c>
      <c r="G64" s="275">
        <f t="shared" si="6"/>
        <v>2</v>
      </c>
      <c r="H64" s="249">
        <v>1</v>
      </c>
    </row>
    <row r="65" spans="1:8" ht="19.95" customHeight="1" thickBot="1" x14ac:dyDescent="0.35">
      <c r="A65" s="276"/>
      <c r="B65" s="277">
        <f t="shared" si="6"/>
        <v>5</v>
      </c>
      <c r="C65" s="277">
        <f t="shared" si="6"/>
        <v>1</v>
      </c>
      <c r="D65" s="277">
        <f t="shared" si="6"/>
        <v>0</v>
      </c>
      <c r="E65" s="277">
        <f t="shared" si="6"/>
        <v>1</v>
      </c>
      <c r="F65" s="277">
        <f t="shared" si="6"/>
        <v>1</v>
      </c>
      <c r="G65" s="277">
        <f t="shared" si="6"/>
        <v>1</v>
      </c>
      <c r="H65" s="263">
        <v>2</v>
      </c>
    </row>
    <row r="66" spans="1:8" ht="19.95" customHeight="1" x14ac:dyDescent="0.3">
      <c r="A66" s="278"/>
      <c r="B66" s="279">
        <f t="shared" si="6"/>
        <v>4</v>
      </c>
      <c r="C66" s="279">
        <f t="shared" si="6"/>
        <v>1</v>
      </c>
      <c r="D66" s="279">
        <f t="shared" si="6"/>
        <v>3</v>
      </c>
      <c r="E66" s="279">
        <f t="shared" si="6"/>
        <v>1</v>
      </c>
      <c r="F66" s="279">
        <f t="shared" si="6"/>
        <v>1</v>
      </c>
      <c r="G66" s="279">
        <f t="shared" si="6"/>
        <v>2</v>
      </c>
      <c r="H66" s="265">
        <v>1</v>
      </c>
    </row>
    <row r="67" spans="1:8" ht="19.95" customHeight="1" x14ac:dyDescent="0.3">
      <c r="A67" s="280"/>
      <c r="B67" s="275">
        <f t="shared" si="6"/>
        <v>1</v>
      </c>
      <c r="C67" s="275">
        <f t="shared" si="6"/>
        <v>5</v>
      </c>
      <c r="D67" s="275">
        <f t="shared" si="6"/>
        <v>6</v>
      </c>
      <c r="E67" s="275">
        <f t="shared" si="6"/>
        <v>5</v>
      </c>
      <c r="F67" s="275">
        <f t="shared" si="6"/>
        <v>5</v>
      </c>
      <c r="G67" s="275">
        <f t="shared" si="6"/>
        <v>5</v>
      </c>
      <c r="H67" s="249">
        <v>2</v>
      </c>
    </row>
    <row r="70" spans="1:8" ht="15.6" x14ac:dyDescent="0.3">
      <c r="A70" s="269" t="s">
        <v>57</v>
      </c>
      <c r="B70" s="269"/>
      <c r="C70" s="269"/>
      <c r="D70" s="269"/>
      <c r="E70" s="269"/>
      <c r="F70" s="269"/>
      <c r="G70" s="269"/>
    </row>
    <row r="71" spans="1:8" ht="15.6" x14ac:dyDescent="0.3">
      <c r="A71" s="246"/>
      <c r="B71" s="259">
        <v>0.63492099999999996</v>
      </c>
      <c r="C71" s="259">
        <v>0.41269800000000001</v>
      </c>
      <c r="D71" s="259">
        <v>0.214286</v>
      </c>
      <c r="E71" s="259">
        <v>0.41269800000000001</v>
      </c>
      <c r="F71" s="259">
        <v>0.41269800000000001</v>
      </c>
      <c r="G71" s="259">
        <v>0.28571400000000002</v>
      </c>
    </row>
    <row r="74" spans="1:8" ht="15.6" x14ac:dyDescent="0.3">
      <c r="A74" s="281" t="s">
        <v>56</v>
      </c>
      <c r="B74" s="282"/>
      <c r="C74" s="282"/>
      <c r="D74" s="282"/>
      <c r="E74" s="282"/>
      <c r="F74" s="282"/>
      <c r="G74" s="283"/>
    </row>
    <row r="75" spans="1:8" ht="34.200000000000003" customHeight="1" x14ac:dyDescent="0.3">
      <c r="A75" s="284" t="s">
        <v>73</v>
      </c>
      <c r="B75" s="241" t="s">
        <v>3</v>
      </c>
      <c r="C75" s="241" t="s">
        <v>3</v>
      </c>
      <c r="D75" s="241" t="s">
        <v>3</v>
      </c>
      <c r="E75" s="241" t="s">
        <v>3</v>
      </c>
      <c r="F75" s="241" t="s">
        <v>3</v>
      </c>
      <c r="G75" s="241" t="s">
        <v>3</v>
      </c>
    </row>
    <row r="76" spans="1:8" ht="19.95" customHeight="1" x14ac:dyDescent="0.3">
      <c r="A76" s="246"/>
      <c r="B76" s="285">
        <f>B$71*(B$64/COUNTIF($H$3:$H$12,1) - B$65/COUNTIF($H$3:$H$12,2))</f>
        <v>-0.52910083333333335</v>
      </c>
      <c r="C76" s="285">
        <f t="shared" ref="C76:G76" si="7">C$71*(C$64/COUNTIF($H$3:$H$12,1) - C$65/COUNTIF($H$3:$H$12,2))</f>
        <v>0.24074050000000002</v>
      </c>
      <c r="D76" s="285">
        <f>D$71*(D$64/COUNTIF($H$3:$H$12,1) - D$65/COUNTIF($H$3:$H$12,2))</f>
        <v>5.3571500000000001E-2</v>
      </c>
      <c r="E76" s="285">
        <f t="shared" si="7"/>
        <v>0.24074050000000002</v>
      </c>
      <c r="F76" s="285">
        <f t="shared" si="7"/>
        <v>0.24074050000000002</v>
      </c>
      <c r="G76" s="285">
        <f t="shared" si="7"/>
        <v>9.5238000000000017E-2</v>
      </c>
    </row>
    <row r="77" spans="1:8" ht="19.95" customHeight="1" x14ac:dyDescent="0.3">
      <c r="A77" s="246"/>
      <c r="B77" s="285">
        <f>B$71*(B$66/COUNTIF($H$3:$H$12,1) - B$67/COUNTIF($H$3:$H$12,2))</f>
        <v>0.52910083333333335</v>
      </c>
      <c r="C77" s="285">
        <f>C$71*(C$66/COUNTIF($H$3:$H$12,1) - C$67/COUNTIF($H$3:$H$12,2))</f>
        <v>-0.24074050000000002</v>
      </c>
      <c r="D77" s="285">
        <f t="shared" ref="D77:G77" si="8">D$71*(D$66/COUNTIF($H$3:$H$12,1) - D$67/COUNTIF($H$3:$H$12,2))</f>
        <v>-5.3571500000000001E-2</v>
      </c>
      <c r="E77" s="285">
        <f t="shared" si="8"/>
        <v>-0.24074050000000002</v>
      </c>
      <c r="F77" s="285">
        <f t="shared" si="8"/>
        <v>-0.24074050000000002</v>
      </c>
      <c r="G77" s="285">
        <f t="shared" si="8"/>
        <v>-9.5238000000000017E-2</v>
      </c>
    </row>
    <row r="78" spans="1:8" ht="18" customHeight="1" x14ac:dyDescent="0.3"/>
    <row r="79" spans="1:8" ht="18" customHeight="1" x14ac:dyDescent="0.3"/>
    <row r="81" spans="1:15" ht="15.6" x14ac:dyDescent="0.3">
      <c r="A81" s="269" t="s">
        <v>72</v>
      </c>
      <c r="B81" s="269"/>
      <c r="C81" s="269"/>
      <c r="D81" s="269"/>
      <c r="E81" s="269"/>
      <c r="F81" s="269"/>
      <c r="G81" s="269"/>
      <c r="H81" s="269"/>
    </row>
    <row r="82" spans="1:15" ht="15.6" x14ac:dyDescent="0.3">
      <c r="A82" s="240" t="s">
        <v>7</v>
      </c>
      <c r="B82" s="241"/>
      <c r="C82" s="241"/>
      <c r="D82" s="241"/>
      <c r="E82" s="241"/>
      <c r="F82" s="241"/>
      <c r="G82" s="241"/>
      <c r="H82" s="241" t="s">
        <v>41</v>
      </c>
    </row>
    <row r="83" spans="1:15" ht="15.6" x14ac:dyDescent="0.3">
      <c r="A83" s="246"/>
      <c r="B83" s="247">
        <f>IFERROR(IF(B35=1, B$76, IF(B35=2, B$77, "Error!!!")), "Error!!!")</f>
        <v>0.52910083333333335</v>
      </c>
      <c r="C83" s="247">
        <f t="shared" ref="C83:G83" si="9">IFERROR(IF(C35=1, C$76, IF(C35=2, C$77, "Error!!!")), "Error!!!")</f>
        <v>-0.24074050000000002</v>
      </c>
      <c r="D83" s="247">
        <f t="shared" si="9"/>
        <v>-5.3571500000000001E-2</v>
      </c>
      <c r="E83" s="247">
        <f t="shared" si="9"/>
        <v>0.24074050000000002</v>
      </c>
      <c r="F83" s="247">
        <f t="shared" si="9"/>
        <v>-0.24074050000000002</v>
      </c>
      <c r="G83" s="247">
        <f t="shared" si="9"/>
        <v>-9.5238000000000017E-2</v>
      </c>
      <c r="H83" s="249">
        <v>2</v>
      </c>
      <c r="O83" s="286"/>
    </row>
    <row r="84" spans="1:15" ht="15.6" x14ac:dyDescent="0.3">
      <c r="A84" s="246"/>
      <c r="B84" s="247">
        <f t="shared" ref="B84:G92" si="10">IFERROR(IF(B36=1, B$76, IF(B36=2, B$77, "Error!!!")), "Error!!!")</f>
        <v>0.52910083333333335</v>
      </c>
      <c r="C84" s="247">
        <f>IFERROR(IF(C36=1, C$76, IF(C36=2, C$77, "Error!!!")), "Error!!!")</f>
        <v>0.24074050000000002</v>
      </c>
      <c r="D84" s="247">
        <f t="shared" si="10"/>
        <v>-5.3571500000000001E-2</v>
      </c>
      <c r="E84" s="247">
        <f t="shared" si="10"/>
        <v>-0.24074050000000002</v>
      </c>
      <c r="F84" s="247">
        <f t="shared" si="10"/>
        <v>-0.24074050000000002</v>
      </c>
      <c r="G84" s="247">
        <f t="shared" si="10"/>
        <v>9.5238000000000017E-2</v>
      </c>
      <c r="H84" s="249">
        <v>1</v>
      </c>
      <c r="O84" s="286"/>
    </row>
    <row r="85" spans="1:15" ht="15.6" x14ac:dyDescent="0.3">
      <c r="A85" s="246"/>
      <c r="B85" s="247">
        <f t="shared" si="10"/>
        <v>-0.52910083333333335</v>
      </c>
      <c r="C85" s="247">
        <f t="shared" si="10"/>
        <v>-0.24074050000000002</v>
      </c>
      <c r="D85" s="247">
        <f t="shared" si="10"/>
        <v>-5.3571500000000001E-2</v>
      </c>
      <c r="E85" s="247">
        <f t="shared" si="10"/>
        <v>-0.24074050000000002</v>
      </c>
      <c r="F85" s="247">
        <f t="shared" si="10"/>
        <v>0.24074050000000002</v>
      </c>
      <c r="G85" s="247">
        <f t="shared" si="10"/>
        <v>9.5238000000000017E-2</v>
      </c>
      <c r="H85" s="249">
        <v>2</v>
      </c>
      <c r="O85" s="286"/>
    </row>
    <row r="86" spans="1:15" ht="15.6" x14ac:dyDescent="0.3">
      <c r="A86" s="246"/>
      <c r="B86" s="247">
        <f t="shared" si="10"/>
        <v>0.52910083333333335</v>
      </c>
      <c r="C86" s="247">
        <f t="shared" si="10"/>
        <v>-0.24074050000000002</v>
      </c>
      <c r="D86" s="247">
        <f t="shared" si="10"/>
        <v>-5.3571500000000001E-2</v>
      </c>
      <c r="E86" s="247">
        <f t="shared" si="10"/>
        <v>0.24074050000000002</v>
      </c>
      <c r="F86" s="247">
        <f t="shared" si="10"/>
        <v>0.24074050000000002</v>
      </c>
      <c r="G86" s="247">
        <f t="shared" si="10"/>
        <v>-9.5238000000000017E-2</v>
      </c>
      <c r="H86" s="249">
        <v>1</v>
      </c>
    </row>
    <row r="87" spans="1:15" ht="15.6" x14ac:dyDescent="0.3">
      <c r="A87" s="246"/>
      <c r="B87" s="247">
        <f t="shared" si="10"/>
        <v>0.52910083333333335</v>
      </c>
      <c r="C87" s="247">
        <f t="shared" si="10"/>
        <v>0.24074050000000002</v>
      </c>
      <c r="D87" s="247">
        <f t="shared" si="10"/>
        <v>-5.3571500000000001E-2</v>
      </c>
      <c r="E87" s="247">
        <f t="shared" si="10"/>
        <v>0.24074050000000002</v>
      </c>
      <c r="F87" s="247">
        <f t="shared" si="10"/>
        <v>0.24074050000000002</v>
      </c>
      <c r="G87" s="247">
        <f t="shared" si="10"/>
        <v>-9.5238000000000017E-2</v>
      </c>
      <c r="H87" s="249">
        <v>1</v>
      </c>
    </row>
    <row r="88" spans="1:15" ht="15.6" x14ac:dyDescent="0.3">
      <c r="A88" s="246"/>
      <c r="B88" s="247">
        <f t="shared" si="10"/>
        <v>0.52910083333333335</v>
      </c>
      <c r="C88" s="247">
        <f t="shared" si="10"/>
        <v>0.24074050000000002</v>
      </c>
      <c r="D88" s="247">
        <f t="shared" si="10"/>
        <v>5.3571500000000001E-2</v>
      </c>
      <c r="E88" s="247">
        <f t="shared" si="10"/>
        <v>0.24074050000000002</v>
      </c>
      <c r="F88" s="247">
        <f t="shared" si="10"/>
        <v>0.24074050000000002</v>
      </c>
      <c r="G88" s="247">
        <f t="shared" si="10"/>
        <v>9.5238000000000017E-2</v>
      </c>
      <c r="H88" s="249">
        <v>1</v>
      </c>
    </row>
    <row r="89" spans="1:15" ht="15.6" x14ac:dyDescent="0.3">
      <c r="A89" s="246"/>
      <c r="B89" s="247">
        <f t="shared" si="10"/>
        <v>-0.52910083333333335</v>
      </c>
      <c r="C89" s="247">
        <f t="shared" si="10"/>
        <v>-0.24074050000000002</v>
      </c>
      <c r="D89" s="247">
        <f t="shared" si="10"/>
        <v>-5.3571500000000001E-2</v>
      </c>
      <c r="E89" s="247">
        <f t="shared" si="10"/>
        <v>-0.24074050000000002</v>
      </c>
      <c r="F89" s="247">
        <f t="shared" si="10"/>
        <v>-0.24074050000000002</v>
      </c>
      <c r="G89" s="247">
        <f t="shared" si="10"/>
        <v>-9.5238000000000017E-2</v>
      </c>
      <c r="H89" s="249">
        <v>2</v>
      </c>
    </row>
    <row r="90" spans="1:15" ht="15.6" x14ac:dyDescent="0.3">
      <c r="A90" s="246"/>
      <c r="B90" s="247">
        <f t="shared" si="10"/>
        <v>-0.52910083333333335</v>
      </c>
      <c r="C90" s="247">
        <f t="shared" si="10"/>
        <v>0.24074050000000002</v>
      </c>
      <c r="D90" s="247">
        <f t="shared" si="10"/>
        <v>-5.3571500000000001E-2</v>
      </c>
      <c r="E90" s="247">
        <f t="shared" si="10"/>
        <v>-0.24074050000000002</v>
      </c>
      <c r="F90" s="247">
        <f t="shared" si="10"/>
        <v>-0.24074050000000002</v>
      </c>
      <c r="G90" s="247">
        <f t="shared" si="10"/>
        <v>-9.5238000000000017E-2</v>
      </c>
      <c r="H90" s="249">
        <v>2</v>
      </c>
    </row>
    <row r="91" spans="1:15" ht="15.6" x14ac:dyDescent="0.3">
      <c r="A91" s="246"/>
      <c r="B91" s="247">
        <f t="shared" si="10"/>
        <v>-0.52910083333333335</v>
      </c>
      <c r="C91" s="247">
        <f t="shared" si="10"/>
        <v>-0.24074050000000002</v>
      </c>
      <c r="D91" s="247">
        <f t="shared" si="10"/>
        <v>-5.3571500000000001E-2</v>
      </c>
      <c r="E91" s="247">
        <f t="shared" si="10"/>
        <v>-0.24074050000000002</v>
      </c>
      <c r="F91" s="247">
        <f t="shared" si="10"/>
        <v>-0.24074050000000002</v>
      </c>
      <c r="G91" s="247">
        <f t="shared" si="10"/>
        <v>-9.5238000000000017E-2</v>
      </c>
      <c r="H91" s="249">
        <v>2</v>
      </c>
    </row>
    <row r="92" spans="1:15" ht="15.6" x14ac:dyDescent="0.3">
      <c r="A92" s="246"/>
      <c r="B92" s="247">
        <f t="shared" si="10"/>
        <v>-0.52910083333333335</v>
      </c>
      <c r="C92" s="247">
        <f t="shared" si="10"/>
        <v>-0.24074050000000002</v>
      </c>
      <c r="D92" s="247">
        <f t="shared" si="10"/>
        <v>-5.3571500000000001E-2</v>
      </c>
      <c r="E92" s="247">
        <f t="shared" si="10"/>
        <v>-0.24074050000000002</v>
      </c>
      <c r="F92" s="247">
        <f t="shared" si="10"/>
        <v>-0.24074050000000002</v>
      </c>
      <c r="G92" s="247">
        <f t="shared" si="10"/>
        <v>-9.5238000000000017E-2</v>
      </c>
      <c r="H92" s="249">
        <v>2</v>
      </c>
    </row>
    <row r="93" spans="1:15" ht="15.6" x14ac:dyDescent="0.3">
      <c r="A93" s="244"/>
      <c r="B93" s="253">
        <v>1</v>
      </c>
      <c r="C93" s="253">
        <v>1</v>
      </c>
      <c r="D93" s="253">
        <v>1</v>
      </c>
      <c r="E93" s="253">
        <v>1</v>
      </c>
      <c r="F93" s="253">
        <v>1</v>
      </c>
      <c r="G93" s="253">
        <v>1</v>
      </c>
      <c r="H93" s="244"/>
    </row>
  </sheetData>
  <sortState xmlns:xlrd2="http://schemas.microsoft.com/office/spreadsheetml/2017/richdata2" ref="A49:H58">
    <sortCondition ref="H49:H58"/>
  </sortState>
  <mergeCells count="9">
    <mergeCell ref="A81:H81"/>
    <mergeCell ref="A1:H1"/>
    <mergeCell ref="A62:H62"/>
    <mergeCell ref="M3:P3"/>
    <mergeCell ref="A74:G74"/>
    <mergeCell ref="A70:G70"/>
    <mergeCell ref="K6:O6"/>
    <mergeCell ref="A33:H33"/>
    <mergeCell ref="A47:H47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903A-9876-4C2A-8584-D818B9D90EE1}">
  <sheetPr>
    <tabColor rgb="FFBF8F00"/>
    <pageSetUpPr fitToPage="1"/>
  </sheetPr>
  <dimension ref="A1:R80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255" t="s">
        <v>43</v>
      </c>
      <c r="B1" s="255"/>
      <c r="C1" s="255"/>
      <c r="D1" s="255"/>
      <c r="E1" s="255"/>
      <c r="F1" s="255"/>
      <c r="G1" s="255"/>
      <c r="H1" s="255"/>
      <c r="I1" s="255"/>
    </row>
    <row r="2" spans="1:18" ht="15.6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0" t="s">
        <v>41</v>
      </c>
      <c r="L2" s="242" t="s">
        <v>45</v>
      </c>
    </row>
    <row r="3" spans="1:18" ht="15.6" x14ac:dyDescent="0.3">
      <c r="A3" s="246"/>
      <c r="B3" s="248">
        <v>1</v>
      </c>
      <c r="C3" s="248">
        <v>4</v>
      </c>
      <c r="D3" s="248">
        <v>0</v>
      </c>
      <c r="E3" s="248">
        <v>2</v>
      </c>
      <c r="F3" s="248">
        <v>0</v>
      </c>
      <c r="G3" s="248">
        <v>2</v>
      </c>
      <c r="H3" s="248">
        <v>3</v>
      </c>
      <c r="I3" s="249">
        <v>2</v>
      </c>
      <c r="L3" s="242" t="s">
        <v>42</v>
      </c>
      <c r="N3" s="250" t="s">
        <v>59</v>
      </c>
      <c r="O3" s="250"/>
      <c r="P3" s="250"/>
      <c r="Q3" s="250"/>
      <c r="R3" s="252">
        <v>0</v>
      </c>
    </row>
    <row r="4" spans="1:18" ht="15.6" x14ac:dyDescent="0.3">
      <c r="A4" s="246"/>
      <c r="B4" s="248">
        <v>0</v>
      </c>
      <c r="C4" s="248">
        <v>3</v>
      </c>
      <c r="D4" s="248">
        <v>0</v>
      </c>
      <c r="E4" s="248">
        <v>2</v>
      </c>
      <c r="F4" s="248">
        <v>0</v>
      </c>
      <c r="G4" s="248">
        <v>2</v>
      </c>
      <c r="H4" s="248">
        <v>7</v>
      </c>
      <c r="I4" s="249">
        <v>1</v>
      </c>
    </row>
    <row r="5" spans="1:18" ht="15.6" x14ac:dyDescent="0.3">
      <c r="A5" s="246"/>
      <c r="B5" s="248">
        <v>1</v>
      </c>
      <c r="C5" s="248">
        <v>2</v>
      </c>
      <c r="D5" s="248">
        <v>0</v>
      </c>
      <c r="E5" s="248">
        <v>0</v>
      </c>
      <c r="F5" s="248">
        <v>0</v>
      </c>
      <c r="G5" s="248">
        <v>1</v>
      </c>
      <c r="H5" s="248">
        <v>7</v>
      </c>
      <c r="I5" s="249">
        <v>2</v>
      </c>
    </row>
    <row r="6" spans="1:18" ht="15.6" x14ac:dyDescent="0.3">
      <c r="A6" s="246"/>
      <c r="B6" s="248">
        <v>1</v>
      </c>
      <c r="C6" s="248">
        <v>4</v>
      </c>
      <c r="D6" s="248">
        <v>0</v>
      </c>
      <c r="E6" s="248">
        <v>0</v>
      </c>
      <c r="F6" s="248">
        <v>1</v>
      </c>
      <c r="G6" s="248">
        <v>2</v>
      </c>
      <c r="H6" s="248">
        <v>7</v>
      </c>
      <c r="I6" s="249">
        <v>1</v>
      </c>
    </row>
    <row r="7" spans="1:18" ht="15.6" x14ac:dyDescent="0.3">
      <c r="A7" s="246"/>
      <c r="B7" s="248">
        <v>0</v>
      </c>
      <c r="C7" s="248">
        <v>2</v>
      </c>
      <c r="D7" s="248">
        <v>0</v>
      </c>
      <c r="E7" s="248">
        <v>2</v>
      </c>
      <c r="F7" s="248">
        <v>1</v>
      </c>
      <c r="G7" s="248">
        <v>1</v>
      </c>
      <c r="H7" s="248">
        <v>3</v>
      </c>
      <c r="I7" s="249">
        <v>1</v>
      </c>
    </row>
    <row r="8" spans="1:18" ht="15.6" x14ac:dyDescent="0.3">
      <c r="A8" s="246"/>
      <c r="B8" s="248">
        <v>1</v>
      </c>
      <c r="C8" s="248">
        <v>4</v>
      </c>
      <c r="D8" s="248">
        <v>0</v>
      </c>
      <c r="E8" s="248">
        <v>0</v>
      </c>
      <c r="F8" s="248">
        <v>0</v>
      </c>
      <c r="G8" s="248">
        <v>1</v>
      </c>
      <c r="H8" s="248">
        <v>7</v>
      </c>
      <c r="I8" s="249">
        <v>1</v>
      </c>
    </row>
    <row r="9" spans="1:18" ht="15.6" x14ac:dyDescent="0.3">
      <c r="A9" s="246"/>
      <c r="B9" s="248">
        <v>1</v>
      </c>
      <c r="C9" s="248">
        <v>3</v>
      </c>
      <c r="D9" s="248">
        <v>1</v>
      </c>
      <c r="E9" s="248">
        <v>2</v>
      </c>
      <c r="F9" s="248">
        <v>1</v>
      </c>
      <c r="G9" s="248">
        <v>2</v>
      </c>
      <c r="H9" s="248">
        <v>6</v>
      </c>
      <c r="I9" s="249">
        <v>2</v>
      </c>
    </row>
    <row r="10" spans="1:18" ht="15.6" x14ac:dyDescent="0.3">
      <c r="A10" s="246"/>
      <c r="B10" s="248">
        <v>1</v>
      </c>
      <c r="C10" s="248">
        <v>4</v>
      </c>
      <c r="D10" s="248">
        <v>0</v>
      </c>
      <c r="E10" s="248">
        <v>2</v>
      </c>
      <c r="F10" s="248">
        <v>1</v>
      </c>
      <c r="G10" s="248">
        <v>2</v>
      </c>
      <c r="H10" s="248">
        <v>7</v>
      </c>
      <c r="I10" s="249">
        <v>2</v>
      </c>
    </row>
    <row r="11" spans="1:18" ht="15.6" x14ac:dyDescent="0.3">
      <c r="A11" s="246"/>
      <c r="B11" s="248">
        <v>1</v>
      </c>
      <c r="C11" s="248">
        <v>4</v>
      </c>
      <c r="D11" s="248">
        <v>0</v>
      </c>
      <c r="E11" s="248">
        <v>2</v>
      </c>
      <c r="F11" s="248">
        <v>0</v>
      </c>
      <c r="G11" s="248">
        <v>2</v>
      </c>
      <c r="H11" s="248">
        <v>7</v>
      </c>
      <c r="I11" s="249">
        <v>2</v>
      </c>
    </row>
    <row r="12" spans="1:18" ht="15.6" x14ac:dyDescent="0.3">
      <c r="A12" s="246"/>
      <c r="B12" s="248">
        <v>0</v>
      </c>
      <c r="C12" s="248">
        <v>4</v>
      </c>
      <c r="D12" s="248">
        <v>0</v>
      </c>
      <c r="E12" s="248">
        <v>2</v>
      </c>
      <c r="F12" s="248">
        <v>0</v>
      </c>
      <c r="G12" s="248">
        <v>2</v>
      </c>
      <c r="H12" s="248">
        <v>7</v>
      </c>
      <c r="I12" s="249">
        <v>2</v>
      </c>
    </row>
    <row r="13" spans="1:18" ht="15.6" x14ac:dyDescent="0.3">
      <c r="A13" s="244"/>
      <c r="B13" s="253">
        <v>0</v>
      </c>
      <c r="C13" s="253">
        <v>0</v>
      </c>
      <c r="D13" s="253">
        <v>0</v>
      </c>
      <c r="E13" s="253">
        <v>0</v>
      </c>
      <c r="F13" s="253">
        <v>0</v>
      </c>
      <c r="G13" s="253">
        <v>0</v>
      </c>
      <c r="H13" s="253">
        <v>0</v>
      </c>
      <c r="I13" s="244"/>
    </row>
    <row r="17" spans="1:18" ht="15.6" x14ac:dyDescent="0.3">
      <c r="A17" s="254" t="s">
        <v>43</v>
      </c>
      <c r="B17" s="254"/>
      <c r="C17" s="254"/>
      <c r="D17" s="254"/>
      <c r="E17" s="254"/>
      <c r="F17" s="254"/>
      <c r="G17" s="254"/>
      <c r="H17" s="254"/>
      <c r="I17" s="254"/>
    </row>
    <row r="18" spans="1:18" ht="15.6" x14ac:dyDescent="0.3">
      <c r="A18" s="240" t="s">
        <v>7</v>
      </c>
      <c r="B18" s="241"/>
      <c r="C18" s="241"/>
      <c r="D18" s="241"/>
      <c r="E18" s="241"/>
      <c r="F18" s="241"/>
      <c r="G18" s="241"/>
      <c r="H18" s="241"/>
      <c r="I18" s="240" t="s">
        <v>41</v>
      </c>
    </row>
    <row r="19" spans="1:18" ht="15.6" x14ac:dyDescent="0.3">
      <c r="A19" s="246"/>
      <c r="B19" s="287">
        <v>0</v>
      </c>
      <c r="C19" s="287">
        <v>3</v>
      </c>
      <c r="D19" s="287">
        <v>0</v>
      </c>
      <c r="E19" s="287">
        <v>2</v>
      </c>
      <c r="F19" s="287">
        <v>0</v>
      </c>
      <c r="G19" s="287">
        <v>2</v>
      </c>
      <c r="H19" s="287">
        <v>7</v>
      </c>
      <c r="I19" s="249">
        <v>1</v>
      </c>
    </row>
    <row r="20" spans="1:18" ht="15.6" x14ac:dyDescent="0.3">
      <c r="A20" s="246"/>
      <c r="B20" s="287">
        <v>1</v>
      </c>
      <c r="C20" s="287">
        <v>4</v>
      </c>
      <c r="D20" s="287">
        <v>0</v>
      </c>
      <c r="E20" s="287">
        <v>0</v>
      </c>
      <c r="F20" s="287">
        <v>1</v>
      </c>
      <c r="G20" s="287">
        <v>2</v>
      </c>
      <c r="H20" s="287">
        <v>7</v>
      </c>
      <c r="I20" s="249">
        <v>1</v>
      </c>
    </row>
    <row r="21" spans="1:18" ht="15.6" x14ac:dyDescent="0.3">
      <c r="A21" s="246"/>
      <c r="B21" s="287">
        <v>0</v>
      </c>
      <c r="C21" s="287">
        <v>2</v>
      </c>
      <c r="D21" s="287">
        <v>0</v>
      </c>
      <c r="E21" s="287">
        <v>2</v>
      </c>
      <c r="F21" s="287">
        <v>1</v>
      </c>
      <c r="G21" s="287">
        <v>1</v>
      </c>
      <c r="H21" s="287">
        <v>3</v>
      </c>
      <c r="I21" s="249">
        <v>1</v>
      </c>
    </row>
    <row r="22" spans="1:18" ht="16.2" thickBot="1" x14ac:dyDescent="0.35">
      <c r="A22" s="261"/>
      <c r="B22" s="288">
        <v>1</v>
      </c>
      <c r="C22" s="288">
        <v>4</v>
      </c>
      <c r="D22" s="288">
        <v>0</v>
      </c>
      <c r="E22" s="288">
        <v>0</v>
      </c>
      <c r="F22" s="288">
        <v>0</v>
      </c>
      <c r="G22" s="288">
        <v>1</v>
      </c>
      <c r="H22" s="288">
        <v>7</v>
      </c>
      <c r="I22" s="263">
        <v>1</v>
      </c>
    </row>
    <row r="23" spans="1:18" ht="15.6" x14ac:dyDescent="0.3">
      <c r="A23" s="266"/>
      <c r="B23" s="289">
        <v>1</v>
      </c>
      <c r="C23" s="289">
        <v>4</v>
      </c>
      <c r="D23" s="289">
        <v>0</v>
      </c>
      <c r="E23" s="289">
        <v>2</v>
      </c>
      <c r="F23" s="289">
        <v>0</v>
      </c>
      <c r="G23" s="289">
        <v>2</v>
      </c>
      <c r="H23" s="289">
        <v>3</v>
      </c>
      <c r="I23" s="265">
        <v>2</v>
      </c>
    </row>
    <row r="24" spans="1:18" ht="15.6" x14ac:dyDescent="0.3">
      <c r="A24" s="246"/>
      <c r="B24" s="287">
        <v>1</v>
      </c>
      <c r="C24" s="287">
        <v>2</v>
      </c>
      <c r="D24" s="287">
        <v>0</v>
      </c>
      <c r="E24" s="287">
        <v>0</v>
      </c>
      <c r="F24" s="287">
        <v>0</v>
      </c>
      <c r="G24" s="287">
        <v>1</v>
      </c>
      <c r="H24" s="287">
        <v>7</v>
      </c>
      <c r="I24" s="249">
        <v>2</v>
      </c>
    </row>
    <row r="25" spans="1:18" ht="15.6" x14ac:dyDescent="0.3">
      <c r="A25" s="246"/>
      <c r="B25" s="287">
        <v>1</v>
      </c>
      <c r="C25" s="287">
        <v>3</v>
      </c>
      <c r="D25" s="287">
        <v>1</v>
      </c>
      <c r="E25" s="287">
        <v>2</v>
      </c>
      <c r="F25" s="287">
        <v>1</v>
      </c>
      <c r="G25" s="287">
        <v>2</v>
      </c>
      <c r="H25" s="287">
        <v>6</v>
      </c>
      <c r="I25" s="249">
        <v>2</v>
      </c>
    </row>
    <row r="26" spans="1:18" ht="15.6" x14ac:dyDescent="0.3">
      <c r="A26" s="246"/>
      <c r="B26" s="287">
        <v>1</v>
      </c>
      <c r="C26" s="287">
        <v>4</v>
      </c>
      <c r="D26" s="287">
        <v>0</v>
      </c>
      <c r="E26" s="287">
        <v>2</v>
      </c>
      <c r="F26" s="287">
        <v>1</v>
      </c>
      <c r="G26" s="287">
        <v>2</v>
      </c>
      <c r="H26" s="287">
        <v>7</v>
      </c>
      <c r="I26" s="249">
        <v>2</v>
      </c>
    </row>
    <row r="27" spans="1:18" ht="15.6" x14ac:dyDescent="0.3">
      <c r="A27" s="246"/>
      <c r="B27" s="287">
        <v>1</v>
      </c>
      <c r="C27" s="287">
        <v>4</v>
      </c>
      <c r="D27" s="287">
        <v>0</v>
      </c>
      <c r="E27" s="287">
        <v>2</v>
      </c>
      <c r="F27" s="287">
        <v>0</v>
      </c>
      <c r="G27" s="287">
        <v>2</v>
      </c>
      <c r="H27" s="287">
        <v>7</v>
      </c>
      <c r="I27" s="249">
        <v>2</v>
      </c>
    </row>
    <row r="28" spans="1:18" ht="15.6" x14ac:dyDescent="0.3">
      <c r="A28" s="246"/>
      <c r="B28" s="287">
        <v>0</v>
      </c>
      <c r="C28" s="287">
        <v>4</v>
      </c>
      <c r="D28" s="287">
        <v>0</v>
      </c>
      <c r="E28" s="287">
        <v>2</v>
      </c>
      <c r="F28" s="287">
        <v>0</v>
      </c>
      <c r="G28" s="287">
        <v>2</v>
      </c>
      <c r="H28" s="287">
        <v>7</v>
      </c>
      <c r="I28" s="249">
        <v>2</v>
      </c>
    </row>
    <row r="32" spans="1:18" ht="19.95" customHeight="1" x14ac:dyDescent="0.3">
      <c r="A32" s="269" t="s">
        <v>60</v>
      </c>
      <c r="B32" s="269"/>
      <c r="C32" s="269"/>
      <c r="D32" s="269"/>
      <c r="E32" s="269"/>
      <c r="F32" s="269"/>
      <c r="G32" s="269"/>
      <c r="H32" s="269"/>
      <c r="I32" s="269"/>
      <c r="L32" s="269" t="s">
        <v>68</v>
      </c>
      <c r="M32" s="269"/>
      <c r="N32" s="269"/>
      <c r="O32" s="269"/>
      <c r="P32" s="269"/>
      <c r="Q32" s="269"/>
      <c r="R32" s="269"/>
    </row>
    <row r="33" spans="1:18" ht="19.95" customHeight="1" x14ac:dyDescent="0.3">
      <c r="A33" s="241" t="s">
        <v>55</v>
      </c>
      <c r="B33" s="241" t="s">
        <v>0</v>
      </c>
      <c r="C33" s="241" t="s">
        <v>1</v>
      </c>
      <c r="D33" s="241" t="s">
        <v>0</v>
      </c>
      <c r="E33" s="241" t="s">
        <v>2</v>
      </c>
      <c r="F33" s="241" t="s">
        <v>0</v>
      </c>
      <c r="G33" s="241" t="s">
        <v>3</v>
      </c>
      <c r="H33" s="241" t="s">
        <v>4</v>
      </c>
      <c r="I33" s="241" t="s">
        <v>41</v>
      </c>
      <c r="L33" s="290" t="s">
        <v>61</v>
      </c>
      <c r="M33" s="290" t="s">
        <v>62</v>
      </c>
      <c r="N33" s="290" t="s">
        <v>63</v>
      </c>
      <c r="O33" s="290" t="s">
        <v>64</v>
      </c>
      <c r="P33" s="290" t="s">
        <v>65</v>
      </c>
      <c r="Q33" s="290" t="s">
        <v>66</v>
      </c>
      <c r="R33" s="290" t="s">
        <v>67</v>
      </c>
    </row>
    <row r="34" spans="1:18" ht="22.95" customHeight="1" x14ac:dyDescent="0.3">
      <c r="A34" s="246"/>
      <c r="B34" s="275" cm="1">
        <f t="array" ref="B34">IFERROR(SUMPRODUCT(((B$19:B$28)*1=INDEX($L$34:$L$35,INT((ROW()-34)/2)+1))*((($I$19:$I$28)*1)=1+MOD(ROW()-34,2))),"")</f>
        <v>2</v>
      </c>
      <c r="C34" s="275" cm="1">
        <f t="array" ref="C34">IFERROR(SUMPRODUCT(((C$19:C$28)*1=INDEX($M$34:$M$36,INT((ROW()-34)/2)+1))*((($I$19:$I$28)*1)=1+MOD(ROW()-34,2))),"")</f>
        <v>1</v>
      </c>
      <c r="D34" s="275" cm="1">
        <f t="array" ref="D34">IFERROR(SUMPRODUCT(((D$19:D$28)*1=INDEX($N$34:$N$35,INT((ROW()-34)/2)+1))*((($I$19:$I$28)*1)=1+MOD(ROW()-34,2))),"")</f>
        <v>4</v>
      </c>
      <c r="E34" s="275" cm="1">
        <f t="array" ref="E34">IFERROR(SUMPRODUCT(((E$19:E$28)*1=INDEX($O$34:$O$35,INT((ROW()-34)/2)+1))*((($I$19:$I$28)*1)=1+MOD(ROW()-34,2))),"")</f>
        <v>2</v>
      </c>
      <c r="F34" s="275" cm="1">
        <f t="array" ref="F34">IFERROR(SUMPRODUCT(((F$19:F$28)*1=INDEX($P$34:$P$35,INT((ROW()-34)/2)+1))*((($I$19:$I$28)*1)=1+MOD(ROW()-34,2))),"")</f>
        <v>2</v>
      </c>
      <c r="G34" s="275" cm="1">
        <f t="array" ref="G34">IFERROR(SUMPRODUCT(((G$19:G$28)*1=INDEX($Q$34:$Q$35,INT((ROW()-34)/2)+1))*((($I$19:$I$28)*1)=1+MOD(ROW()-34,2))),"")</f>
        <v>2</v>
      </c>
      <c r="H34" s="275" cm="1">
        <f t="array" ref="H34">IFERROR(SUMPRODUCT(((H$19:H$28)*1=INDEX($R$34:$R$36,INT((ROW()-34)/2)+1))*((($I$19:$I$28)*1)=1+MOD(ROW()-34,2))),"")</f>
        <v>1</v>
      </c>
      <c r="I34" s="249">
        <v>1</v>
      </c>
      <c r="L34" s="291">
        <v>0</v>
      </c>
      <c r="M34" s="291">
        <v>2</v>
      </c>
      <c r="N34" s="291">
        <v>0</v>
      </c>
      <c r="O34" s="291">
        <v>0</v>
      </c>
      <c r="P34" s="291">
        <v>0</v>
      </c>
      <c r="Q34" s="291">
        <v>1</v>
      </c>
      <c r="R34" s="291">
        <v>3</v>
      </c>
    </row>
    <row r="35" spans="1:18" ht="22.95" customHeight="1" thickBot="1" x14ac:dyDescent="0.35">
      <c r="A35" s="261"/>
      <c r="B35" s="277" cm="1">
        <f t="array" ref="B35">IFERROR(SUMPRODUCT(((B$19:B$28)*1=INDEX($L$34:$L$35,INT((ROW()-34)/2)+1))*((($I$19:$I$28)*1)=1+MOD(ROW()-34,2))),"")</f>
        <v>1</v>
      </c>
      <c r="C35" s="277" cm="1">
        <f t="array" ref="C35">IFERROR(SUMPRODUCT(((C$19:C$28)*1=INDEX($M$34:$M$36,INT((ROW()-34)/2)+1))*((($I$19:$I$28)*1)=1+MOD(ROW()-34,2))),"")</f>
        <v>1</v>
      </c>
      <c r="D35" s="277" cm="1">
        <f t="array" ref="D35">IFERROR(SUMPRODUCT(((D$19:D$28)*1=INDEX($N$34:$N$35,INT((ROW()-34)/2)+1))*((($I$19:$I$28)*1)=1+MOD(ROW()-34,2))),"")</f>
        <v>5</v>
      </c>
      <c r="E35" s="277" cm="1">
        <f t="array" ref="E35">IFERROR(SUMPRODUCT(((E$19:E$28)*1=INDEX($O$34:$O$35,INT((ROW()-34)/2)+1))*((($I$19:$I$28)*1)=1+MOD(ROW()-34,2))),"")</f>
        <v>1</v>
      </c>
      <c r="F35" s="277" cm="1">
        <f t="array" ref="F35">IFERROR(SUMPRODUCT(((F$19:F$28)*1=INDEX($P$34:$P$35,INT((ROW()-34)/2)+1))*((($I$19:$I$28)*1)=1+MOD(ROW()-34,2))),"")</f>
        <v>4</v>
      </c>
      <c r="G35" s="277" cm="1">
        <f t="array" ref="G35">IFERROR(SUMPRODUCT(((G$19:G$28)*1=INDEX($Q$34:$Q$35,INT((ROW()-34)/2)+1))*((($I$19:$I$28)*1)=1+MOD(ROW()-34,2))),"")</f>
        <v>1</v>
      </c>
      <c r="H35" s="277" cm="1">
        <f t="array" ref="H35">IFERROR(SUMPRODUCT(((H$19:H$28)*1=INDEX($R$34:$R$36,INT((ROW()-34)/2)+1))*((($I$19:$I$28)*1)=1+MOD(ROW()-34,2))),"")</f>
        <v>1</v>
      </c>
      <c r="I35" s="263">
        <v>2</v>
      </c>
      <c r="L35" s="291">
        <v>1</v>
      </c>
      <c r="M35" s="291">
        <v>3</v>
      </c>
      <c r="N35" s="291">
        <v>1</v>
      </c>
      <c r="O35" s="291">
        <v>2</v>
      </c>
      <c r="P35" s="291">
        <v>1</v>
      </c>
      <c r="Q35" s="291">
        <v>2</v>
      </c>
      <c r="R35" s="291">
        <v>6</v>
      </c>
    </row>
    <row r="36" spans="1:18" ht="22.95" customHeight="1" x14ac:dyDescent="0.3">
      <c r="A36" s="266"/>
      <c r="B36" s="279" cm="1">
        <f t="array" ref="B36">IFERROR(SUMPRODUCT(((B$19:B$28)*1=INDEX($L$34:$L$35,INT((ROW()-34)/2)+1))*((($I$19:$I$28)*1)=1+MOD(ROW()-34,2))),"")</f>
        <v>2</v>
      </c>
      <c r="C36" s="279" cm="1">
        <f t="array" ref="C36">IFERROR(SUMPRODUCT(((C$19:C$28)*1=INDEX($M$34:$M$36,INT((ROW()-34)/2)+1))*((($I$19:$I$28)*1)=1+MOD(ROW()-34,2))),"")</f>
        <v>1</v>
      </c>
      <c r="D36" s="279" cm="1">
        <f t="array" ref="D36">IFERROR(SUMPRODUCT(((D$19:D$28)*1=INDEX($N$34:$N$35,INT((ROW()-34)/2)+1))*((($I$19:$I$28)*1)=1+MOD(ROW()-34,2))),"")</f>
        <v>0</v>
      </c>
      <c r="E36" s="279" cm="1">
        <f t="array" ref="E36">IFERROR(SUMPRODUCT(((E$19:E$28)*1=INDEX($O$34:$O$35,INT((ROW()-34)/2)+1))*((($I$19:$I$28)*1)=1+MOD(ROW()-34,2))),"")</f>
        <v>2</v>
      </c>
      <c r="F36" s="279" cm="1">
        <f t="array" ref="F36">IFERROR(SUMPRODUCT(((F$19:F$28)*1=INDEX($P$34:$P$35,INT((ROW()-34)/2)+1))*((($I$19:$I$28)*1)=1+MOD(ROW()-34,2))),"")</f>
        <v>2</v>
      </c>
      <c r="G36" s="279" cm="1">
        <f t="array" ref="G36">IFERROR(SUMPRODUCT(((G$19:G$28)*1=INDEX($Q$34:$Q$35,INT((ROW()-34)/2)+1))*((($I$19:$I$28)*1)=1+MOD(ROW()-34,2))),"")</f>
        <v>2</v>
      </c>
      <c r="H36" s="279" cm="1">
        <f t="array" ref="H36">IFERROR(SUMPRODUCT(((H$19:H$28)*1=INDEX($R$34:$R$36,INT((ROW()-34)/2)+1))*((($I$19:$I$28)*1)=1+MOD(ROW()-34,2))),"")</f>
        <v>0</v>
      </c>
      <c r="I36" s="265">
        <v>1</v>
      </c>
      <c r="L36" s="291"/>
      <c r="M36" s="291">
        <v>4</v>
      </c>
      <c r="N36" s="291"/>
      <c r="O36" s="291"/>
      <c r="P36" s="291"/>
      <c r="Q36" s="291"/>
      <c r="R36" s="291">
        <v>7</v>
      </c>
    </row>
    <row r="37" spans="1:18" ht="22.95" customHeight="1" thickBot="1" x14ac:dyDescent="0.35">
      <c r="A37" s="261"/>
      <c r="B37" s="277" cm="1">
        <f t="array" ref="B37">IFERROR(SUMPRODUCT(((B$19:B$28)*1=INDEX($L$34:$L$35,INT((ROW()-34)/2)+1))*((($I$19:$I$28)*1)=1+MOD(ROW()-34,2))),"")</f>
        <v>5</v>
      </c>
      <c r="C37" s="277" cm="1">
        <f t="array" ref="C37">IFERROR(SUMPRODUCT(((C$19:C$28)*1=INDEX($M$34:$M$36,INT((ROW()-34)/2)+1))*((($I$19:$I$28)*1)=1+MOD(ROW()-34,2))),"")</f>
        <v>1</v>
      </c>
      <c r="D37" s="277" cm="1">
        <f t="array" ref="D37">IFERROR(SUMPRODUCT(((D$19:D$28)*1=INDEX($N$34:$N$35,INT((ROW()-34)/2)+1))*((($I$19:$I$28)*1)=1+MOD(ROW()-34,2))),"")</f>
        <v>1</v>
      </c>
      <c r="E37" s="277" cm="1">
        <f t="array" ref="E37">IFERROR(SUMPRODUCT(((E$19:E$28)*1=INDEX($O$34:$O$35,INT((ROW()-34)/2)+1))*((($I$19:$I$28)*1)=1+MOD(ROW()-34,2))),"")</f>
        <v>5</v>
      </c>
      <c r="F37" s="277" cm="1">
        <f t="array" ref="F37">IFERROR(SUMPRODUCT(((F$19:F$28)*1=INDEX($P$34:$P$35,INT((ROW()-34)/2)+1))*((($I$19:$I$28)*1)=1+MOD(ROW()-34,2))),"")</f>
        <v>2</v>
      </c>
      <c r="G37" s="277" cm="1">
        <f t="array" ref="G37">IFERROR(SUMPRODUCT(((G$19:G$28)*1=INDEX($Q$34:$Q$35,INT((ROW()-34)/2)+1))*((($I$19:$I$28)*1)=1+MOD(ROW()-34,2))),"")</f>
        <v>5</v>
      </c>
      <c r="H37" s="277" cm="1">
        <f t="array" ref="H37">IFERROR(SUMPRODUCT(((H$19:H$28)*1=INDEX($R$34:$R$36,INT((ROW()-34)/2)+1))*((($I$19:$I$28)*1)=1+MOD(ROW()-34,2))),"")</f>
        <v>1</v>
      </c>
      <c r="I37" s="263">
        <v>2</v>
      </c>
    </row>
    <row r="38" spans="1:18" ht="22.95" customHeight="1" x14ac:dyDescent="0.3">
      <c r="A38" s="266"/>
      <c r="B38" s="279"/>
      <c r="C38" s="279" cm="1">
        <f t="array" ref="C38">IFERROR(SUMPRODUCT(((C$19:C$28)*1=INDEX($M$34:$M$36,INT((ROW()-34)/2)+1))*((($I$19:$I$28)*1)=1+MOD(ROW()-34,2))),"")</f>
        <v>2</v>
      </c>
      <c r="D38" s="279"/>
      <c r="E38" s="279"/>
      <c r="F38" s="279"/>
      <c r="G38" s="279"/>
      <c r="H38" s="279" cm="1">
        <f t="array" ref="H38">IFERROR(SUMPRODUCT(((H$19:H$28)*1=INDEX($R$34:$R$36,INT((ROW()-34)/2)+1))*((($I$19:$I$28)*1)=1+MOD(ROW()-34,2))),"")</f>
        <v>3</v>
      </c>
      <c r="I38" s="265">
        <v>1</v>
      </c>
    </row>
    <row r="39" spans="1:18" ht="22.95" customHeight="1" thickBot="1" x14ac:dyDescent="0.35">
      <c r="A39" s="261"/>
      <c r="B39" s="277"/>
      <c r="C39" s="277" cm="1">
        <f t="array" ref="C39">IFERROR(SUMPRODUCT(((C$19:C$28)*1=INDEX($M$34:$M$36,INT((ROW()-34)/2)+1))*((($I$19:$I$28)*1)=1+MOD(ROW()-34,2))),"")</f>
        <v>4</v>
      </c>
      <c r="D39" s="277"/>
      <c r="E39" s="277"/>
      <c r="F39" s="277"/>
      <c r="G39" s="277"/>
      <c r="H39" s="277" cm="1">
        <f t="array" ref="H39">IFERROR(SUMPRODUCT(((H$19:H$28)*1=INDEX($R$34:$R$36,INT((ROW()-34)/2)+1))*((($I$19:$I$28)*1)=1+MOD(ROW()-34,2))),"")</f>
        <v>4</v>
      </c>
      <c r="I39" s="249">
        <v>2</v>
      </c>
    </row>
    <row r="41" spans="1:18" ht="14.4" customHeight="1" x14ac:dyDescent="0.3"/>
    <row r="43" spans="1:18" ht="18" customHeight="1" x14ac:dyDescent="0.3">
      <c r="A43" s="246"/>
      <c r="B43" s="240"/>
      <c r="C43" s="240"/>
      <c r="D43" s="240"/>
      <c r="E43" s="240"/>
      <c r="F43" s="240"/>
      <c r="G43" s="240"/>
      <c r="H43" s="240"/>
    </row>
    <row r="44" spans="1:18" ht="19.95" customHeight="1" x14ac:dyDescent="0.3">
      <c r="A44" s="246"/>
      <c r="B44" s="292">
        <f>COUNTA(_xlfn.UNIQUE(B3:B12))</f>
        <v>2</v>
      </c>
      <c r="C44" s="292">
        <f t="shared" ref="C44:H44" si="0">COUNTA(_xlfn.UNIQUE(C3:C12))</f>
        <v>3</v>
      </c>
      <c r="D44" s="292">
        <f t="shared" si="0"/>
        <v>2</v>
      </c>
      <c r="E44" s="292">
        <f t="shared" si="0"/>
        <v>2</v>
      </c>
      <c r="F44" s="292">
        <f t="shared" si="0"/>
        <v>2</v>
      </c>
      <c r="G44" s="292">
        <f t="shared" si="0"/>
        <v>2</v>
      </c>
      <c r="H44" s="292">
        <f t="shared" si="0"/>
        <v>3</v>
      </c>
      <c r="J44" s="293" t="s">
        <v>11</v>
      </c>
      <c r="K44" s="240">
        <v>4</v>
      </c>
    </row>
    <row r="45" spans="1:18" ht="19.95" customHeight="1" x14ac:dyDescent="0.3">
      <c r="A45" s="246"/>
      <c r="B45" s="292">
        <f t="shared" ref="B45:H45" si="1">COUNTA(_xlfn.UNIQUE(B19:B22))</f>
        <v>2</v>
      </c>
      <c r="C45" s="292">
        <f t="shared" si="1"/>
        <v>3</v>
      </c>
      <c r="D45" s="292">
        <f t="shared" si="1"/>
        <v>1</v>
      </c>
      <c r="E45" s="292">
        <f t="shared" si="1"/>
        <v>2</v>
      </c>
      <c r="F45" s="292">
        <f t="shared" si="1"/>
        <v>2</v>
      </c>
      <c r="G45" s="292">
        <f t="shared" si="1"/>
        <v>2</v>
      </c>
      <c r="H45" s="292">
        <f t="shared" si="1"/>
        <v>2</v>
      </c>
      <c r="J45" s="293" t="s">
        <v>12</v>
      </c>
      <c r="K45" s="294">
        <v>6</v>
      </c>
    </row>
    <row r="46" spans="1:18" ht="19.95" customHeight="1" x14ac:dyDescent="0.3">
      <c r="A46" s="246"/>
      <c r="B46" s="295">
        <f t="shared" ref="B46:H46" si="2">COUNTA(_xlfn.UNIQUE(B23:B28))</f>
        <v>2</v>
      </c>
      <c r="C46" s="295">
        <f t="shared" si="2"/>
        <v>3</v>
      </c>
      <c r="D46" s="295">
        <f t="shared" si="2"/>
        <v>2</v>
      </c>
      <c r="E46" s="295">
        <f t="shared" si="2"/>
        <v>2</v>
      </c>
      <c r="F46" s="295">
        <f t="shared" si="2"/>
        <v>2</v>
      </c>
      <c r="G46" s="295">
        <f t="shared" si="2"/>
        <v>2</v>
      </c>
      <c r="H46" s="295">
        <f t="shared" si="2"/>
        <v>3</v>
      </c>
    </row>
    <row r="47" spans="1:18" ht="19.95" customHeight="1" x14ac:dyDescent="0.3">
      <c r="A47" s="246"/>
      <c r="B47" s="292">
        <f>IFERROR(IF(B$44&gt;2, ($K44-B45+1)*($K44-B45), $K44*($K44-1)), "Error!!!")</f>
        <v>12</v>
      </c>
      <c r="C47" s="292">
        <f t="shared" ref="B47:H48" si="3">IFERROR(IF(C$44&gt;2, ($K44-C45+1)*($K44-C45), $K44*($K44-1)), "Error!!!")</f>
        <v>2</v>
      </c>
      <c r="D47" s="292">
        <f t="shared" si="3"/>
        <v>12</v>
      </c>
      <c r="E47" s="292">
        <f t="shared" si="3"/>
        <v>12</v>
      </c>
      <c r="F47" s="292">
        <f t="shared" si="3"/>
        <v>12</v>
      </c>
      <c r="G47" s="292">
        <f t="shared" si="3"/>
        <v>12</v>
      </c>
      <c r="H47" s="292">
        <f t="shared" si="3"/>
        <v>6</v>
      </c>
    </row>
    <row r="48" spans="1:18" ht="19.95" customHeight="1" x14ac:dyDescent="0.3">
      <c r="A48" s="246"/>
      <c r="B48" s="292">
        <f t="shared" si="3"/>
        <v>30</v>
      </c>
      <c r="C48" s="292">
        <f t="shared" si="3"/>
        <v>12</v>
      </c>
      <c r="D48" s="292">
        <f t="shared" si="3"/>
        <v>30</v>
      </c>
      <c r="E48" s="292">
        <f t="shared" si="3"/>
        <v>30</v>
      </c>
      <c r="F48" s="292">
        <f t="shared" si="3"/>
        <v>30</v>
      </c>
      <c r="G48" s="292">
        <f t="shared" si="3"/>
        <v>30</v>
      </c>
      <c r="H48" s="292">
        <f t="shared" si="3"/>
        <v>12</v>
      </c>
    </row>
    <row r="49" spans="1:8" ht="13.95" customHeight="1" x14ac:dyDescent="0.3"/>
    <row r="50" spans="1:8" ht="13.95" customHeight="1" x14ac:dyDescent="0.3"/>
    <row r="51" spans="1:8" ht="13.95" customHeight="1" x14ac:dyDescent="0.3"/>
    <row r="52" spans="1:8" ht="18" customHeight="1" x14ac:dyDescent="0.3">
      <c r="A52" s="269" t="s">
        <v>69</v>
      </c>
      <c r="B52" s="269"/>
      <c r="C52" s="269"/>
      <c r="D52" s="269"/>
      <c r="E52" s="269"/>
      <c r="F52" s="269"/>
      <c r="G52" s="269"/>
      <c r="H52" s="269"/>
    </row>
    <row r="53" spans="1:8" ht="18" customHeight="1" x14ac:dyDescent="0.3">
      <c r="A53" s="241" t="s">
        <v>70</v>
      </c>
      <c r="B53" s="241"/>
      <c r="C53" s="241"/>
      <c r="D53" s="241"/>
      <c r="E53" s="241"/>
      <c r="F53" s="241"/>
      <c r="G53" s="241"/>
      <c r="H53" s="241"/>
    </row>
    <row r="54" spans="1:8" ht="19.95" customHeight="1" x14ac:dyDescent="0.3">
      <c r="A54" s="246"/>
      <c r="B54" s="296">
        <f>1-((B34*B35+B36*B37+B38*B39)/(2*$K$44*$K$45))</f>
        <v>0.75</v>
      </c>
      <c r="C54" s="296">
        <f t="shared" ref="C54:H54" si="4">1-((C34*C35+C36*C37+C38*C39)/(2*$K$44*$K$45))</f>
        <v>0.79166666666666663</v>
      </c>
      <c r="D54" s="296">
        <f t="shared" si="4"/>
        <v>0.58333333333333326</v>
      </c>
      <c r="E54" s="296">
        <f t="shared" si="4"/>
        <v>0.75</v>
      </c>
      <c r="F54" s="296">
        <f t="shared" si="4"/>
        <v>0.75</v>
      </c>
      <c r="G54" s="296">
        <f t="shared" si="4"/>
        <v>0.75</v>
      </c>
      <c r="H54" s="296">
        <f t="shared" si="4"/>
        <v>0.72916666666666674</v>
      </c>
    </row>
    <row r="55" spans="1:8" ht="19.95" customHeight="1" x14ac:dyDescent="0.3">
      <c r="A55" s="246"/>
      <c r="B55" s="296">
        <f>IFERROR(IF(B47+B48&gt;0, ((B34*(B34-1)+B35*(B35-1))+(B36*(B36-1)+B37*(B37-1))+(B38*(B38-1)+B39*(B39-1)))/(B47+B48), 0), "Error!!!")</f>
        <v>0.5714285714285714</v>
      </c>
      <c r="C55" s="296">
        <f>IFERROR(IF(C47+C48&gt;0, ((C34*(C34-1)+C35*(C35-1))+(C36*(C36-1)+C37*(C37-1))+(C38*(C38-1)+C39*(C39-1)))/(C47+C48), 0), "Error!!!")</f>
        <v>1</v>
      </c>
      <c r="D55" s="296">
        <f t="shared" ref="D55:H55" si="5">IFERROR(IF(D47+D48&gt;0, ((D34*(D34-1)+D35*(D35-1))+(D36*(D36-1)+D37*(D37-1))+(D38*(D38-1)+D39*(D39-1)))/(D47+D48), 0), "Error!!!")</f>
        <v>0.76190476190476186</v>
      </c>
      <c r="E55" s="296">
        <f t="shared" si="5"/>
        <v>0.5714285714285714</v>
      </c>
      <c r="F55" s="296">
        <f t="shared" si="5"/>
        <v>0.42857142857142855</v>
      </c>
      <c r="G55" s="296">
        <f t="shared" si="5"/>
        <v>0.5714285714285714</v>
      </c>
      <c r="H55" s="296">
        <f t="shared" si="5"/>
        <v>1</v>
      </c>
    </row>
    <row r="56" spans="1:8" ht="19.95" customHeight="1" x14ac:dyDescent="0.3">
      <c r="A56" s="266"/>
      <c r="B56" s="297">
        <f>B54*B55</f>
        <v>0.42857142857142855</v>
      </c>
      <c r="C56" s="297">
        <f>C54*C55</f>
        <v>0.79166666666666663</v>
      </c>
      <c r="D56" s="297">
        <f t="shared" ref="D56:F56" si="6">D54*D55</f>
        <v>0.44444444444444436</v>
      </c>
      <c r="E56" s="297">
        <f t="shared" si="6"/>
        <v>0.42857142857142855</v>
      </c>
      <c r="F56" s="297">
        <f t="shared" si="6"/>
        <v>0.3214285714285714</v>
      </c>
      <c r="G56" s="297">
        <f>G54*G55</f>
        <v>0.42857142857142855</v>
      </c>
      <c r="H56" s="297">
        <f>H54*H55</f>
        <v>0.72916666666666674</v>
      </c>
    </row>
    <row r="60" spans="1:8" ht="19.95" customHeight="1" x14ac:dyDescent="0.3">
      <c r="A60" s="269" t="s">
        <v>71</v>
      </c>
      <c r="B60" s="269"/>
      <c r="C60" s="269"/>
      <c r="D60" s="269"/>
      <c r="E60" s="269"/>
      <c r="F60" s="269"/>
      <c r="G60" s="269"/>
      <c r="H60" s="269"/>
    </row>
    <row r="61" spans="1:8" ht="34.799999999999997" customHeight="1" x14ac:dyDescent="0.3">
      <c r="A61" s="284" t="s">
        <v>73</v>
      </c>
      <c r="B61" s="241" t="s">
        <v>0</v>
      </c>
      <c r="C61" s="241" t="s">
        <v>1</v>
      </c>
      <c r="D61" s="241" t="s">
        <v>0</v>
      </c>
      <c r="E61" s="241" t="s">
        <v>2</v>
      </c>
      <c r="F61" s="241" t="s">
        <v>0</v>
      </c>
      <c r="G61" s="241" t="s">
        <v>3</v>
      </c>
      <c r="H61" s="241" t="s">
        <v>4</v>
      </c>
    </row>
    <row r="62" spans="1:8" ht="19.95" customHeight="1" x14ac:dyDescent="0.3">
      <c r="A62" s="246"/>
      <c r="B62" s="285">
        <f>B$56*(B$34/COUNTIF($I$3:$I$12,1) - B$35/COUNTIF($I$3:$I$12,2))</f>
        <v>0.14285714285714288</v>
      </c>
      <c r="C62" s="285">
        <f>C$56*(C$34/COUNTIF($I$3:$I$12,1) - C$35/COUNTIF($I$3:$I$12,2))</f>
        <v>6.5972222222222224E-2</v>
      </c>
      <c r="D62" s="285">
        <f t="shared" ref="D62:G62" si="7">D$56*(D$34/COUNTIF($I$3:$I$12,1) - D$35/COUNTIF($I$3:$I$12,2))</f>
        <v>7.4074074074074042E-2</v>
      </c>
      <c r="E62" s="285">
        <f>E$56*(E$34/COUNTIF($I$3:$I$12,1) - E$35/COUNTIF($I$3:$I$12,2))</f>
        <v>0.14285714285714288</v>
      </c>
      <c r="F62" s="285">
        <f t="shared" si="7"/>
        <v>-5.3571428571428555E-2</v>
      </c>
      <c r="G62" s="285">
        <f t="shared" si="7"/>
        <v>0.14285714285714288</v>
      </c>
      <c r="H62" s="285">
        <f>H$56*(H$34/COUNTIF($I$3:$I$12,1) - H$35/COUNTIF($I$3:$I$12,2))</f>
        <v>6.0763888888888902E-2</v>
      </c>
    </row>
    <row r="63" spans="1:8" ht="19.95" customHeight="1" x14ac:dyDescent="0.3">
      <c r="A63" s="246"/>
      <c r="B63" s="285">
        <f>B$56*(B$36/COUNTIF($I$3:$I$12,1) - B$37/COUNTIF($I$3:$I$12,2))</f>
        <v>-0.14285714285714288</v>
      </c>
      <c r="C63" s="285">
        <f>C$56*(C$36/COUNTIF($I$3:$I$12,1) - C$37/COUNTIF($I$3:$I$12,2))</f>
        <v>6.5972222222222224E-2</v>
      </c>
      <c r="D63" s="285">
        <f t="shared" ref="D63:H63" si="8">D$56*(D$36/COUNTIF($I$3:$I$12,1) - D$37/COUNTIF($I$3:$I$12,2))</f>
        <v>-7.4074074074074056E-2</v>
      </c>
      <c r="E63" s="285">
        <f t="shared" si="8"/>
        <v>-0.14285714285714288</v>
      </c>
      <c r="F63" s="285">
        <f t="shared" si="8"/>
        <v>5.3571428571428575E-2</v>
      </c>
      <c r="G63" s="285">
        <f t="shared" si="8"/>
        <v>-0.14285714285714288</v>
      </c>
      <c r="H63" s="285">
        <f t="shared" si="8"/>
        <v>-0.12152777777777779</v>
      </c>
    </row>
    <row r="64" spans="1:8" ht="19.95" customHeight="1" x14ac:dyDescent="0.3">
      <c r="A64" s="246"/>
      <c r="B64" s="285"/>
      <c r="C64" s="285">
        <f>C$56*(C$38/COUNTIF($I$3:$I$12,1) - C$39/COUNTIF($I$3:$I$12,2))</f>
        <v>-0.13194444444444442</v>
      </c>
      <c r="D64" s="285"/>
      <c r="E64" s="285"/>
      <c r="F64" s="285"/>
      <c r="G64" s="285"/>
      <c r="H64" s="285">
        <f>H$56*(H$38/COUNTIF($I$3:$I$12,1) - H$39/COUNTIF($I$3:$I$12,2))</f>
        <v>6.0763888888888923E-2</v>
      </c>
    </row>
    <row r="68" spans="1:9" ht="15.6" x14ac:dyDescent="0.3">
      <c r="A68" s="269" t="s">
        <v>74</v>
      </c>
      <c r="B68" s="269"/>
      <c r="C68" s="269"/>
      <c r="D68" s="269"/>
      <c r="E68" s="269"/>
      <c r="F68" s="269"/>
      <c r="G68" s="269"/>
      <c r="H68" s="269"/>
      <c r="I68" s="269"/>
    </row>
    <row r="69" spans="1:9" ht="15.6" x14ac:dyDescent="0.3">
      <c r="A69" s="240" t="s">
        <v>7</v>
      </c>
      <c r="B69" s="241"/>
      <c r="C69" s="241"/>
      <c r="D69" s="241"/>
      <c r="E69" s="241"/>
      <c r="F69" s="241"/>
      <c r="G69" s="241"/>
      <c r="H69" s="241"/>
      <c r="I69" s="240" t="s">
        <v>41</v>
      </c>
    </row>
    <row r="70" spans="1:9" ht="15.6" x14ac:dyDescent="0.3">
      <c r="A70" s="246"/>
      <c r="B70" s="248">
        <f>IFERROR(IF(B3=0, B$62, IF(B3=1, B$63, "Error!!!")), "Error!!!")</f>
        <v>-0.14285714285714288</v>
      </c>
      <c r="C70" s="248">
        <f>IFERROR(IF(C3=2, C$62, IF(C3=3, C$63, IF(C3=4, C$64, "Error!!!"))), "Error!!!")</f>
        <v>-0.13194444444444442</v>
      </c>
      <c r="D70" s="248">
        <f>IFERROR(IF(D3=0, D$62, IF(D3=1, D$63, "Error!!!")), "Error!!!")</f>
        <v>7.4074074074074042E-2</v>
      </c>
      <c r="E70" s="248">
        <f>IFERROR(IF(E3=0, E$62, IF(E3=2, E$63, "Error!!!")), "Error!!!")</f>
        <v>-0.14285714285714288</v>
      </c>
      <c r="F70" s="248">
        <f>IFERROR(IF(F3=0, F$62, IF(F3=1, F$63, "Error!!!")), "Error!!!")</f>
        <v>-5.3571428571428555E-2</v>
      </c>
      <c r="G70" s="248">
        <f>IFERROR(IF(G3=1, G$62, IF(G3=2, G$63, "Error!!!")), "Error!!!")</f>
        <v>-0.14285714285714288</v>
      </c>
      <c r="H70" s="248">
        <f>IFERROR(IF(H3=3, H$62, IF(H3=6, H$63, IF(H3=7, H$64, "Error!!!"))), "Error!!!")</f>
        <v>6.0763888888888902E-2</v>
      </c>
      <c r="I70" s="249">
        <v>2</v>
      </c>
    </row>
    <row r="71" spans="1:9" ht="15.6" x14ac:dyDescent="0.3">
      <c r="A71" s="246"/>
      <c r="B71" s="248">
        <f t="shared" ref="B71:B79" si="9">IFERROR(IF(B4=0, B$62, IF(B4=1, B$63, "Error!!!")), "Error!!!")</f>
        <v>0.14285714285714288</v>
      </c>
      <c r="C71" s="248">
        <f t="shared" ref="C71:C79" si="10">IFERROR(IF(C4=2, C$62, IF(C4=3, C$63, IF(C4=4, C$64, "Error!!!"))), "Error!!!")</f>
        <v>6.5972222222222224E-2</v>
      </c>
      <c r="D71" s="248">
        <f t="shared" ref="D71:D79" si="11">IFERROR(IF(D4=0, D$62, IF(D4=1, D$63, "Error!!!")), "Error!!!")</f>
        <v>7.4074074074074042E-2</v>
      </c>
      <c r="E71" s="248">
        <f t="shared" ref="E71:E79" si="12">IFERROR(IF(E4=0, E$62, IF(E4=2, E$63, "Error!!!")), "Error!!!")</f>
        <v>-0.14285714285714288</v>
      </c>
      <c r="F71" s="248">
        <f t="shared" ref="F71:F79" si="13">IFERROR(IF(F4=0, F$62, IF(F4=1, F$63, "Error!!!")), "Error!!!")</f>
        <v>-5.3571428571428555E-2</v>
      </c>
      <c r="G71" s="248">
        <f t="shared" ref="G71:G79" si="14">IFERROR(IF(G4=1, G$62, IF(G4=2, G$63, "Error!!!")), "Error!!!")</f>
        <v>-0.14285714285714288</v>
      </c>
      <c r="H71" s="248">
        <f t="shared" ref="H71:H79" si="15">IFERROR(IF(H4=3, H$62, IF(H4=6, H$63, IF(H4=7, H$64, "Error!!!"))), "Error!!!")</f>
        <v>6.0763888888888923E-2</v>
      </c>
      <c r="I71" s="249">
        <v>1</v>
      </c>
    </row>
    <row r="72" spans="1:9" ht="15.6" x14ac:dyDescent="0.3">
      <c r="A72" s="246"/>
      <c r="B72" s="248">
        <f t="shared" si="9"/>
        <v>-0.14285714285714288</v>
      </c>
      <c r="C72" s="248">
        <f t="shared" si="10"/>
        <v>6.5972222222222224E-2</v>
      </c>
      <c r="D72" s="248">
        <f t="shared" si="11"/>
        <v>7.4074074074074042E-2</v>
      </c>
      <c r="E72" s="248">
        <f t="shared" si="12"/>
        <v>0.14285714285714288</v>
      </c>
      <c r="F72" s="248">
        <f t="shared" si="13"/>
        <v>-5.3571428571428555E-2</v>
      </c>
      <c r="G72" s="248">
        <f t="shared" si="14"/>
        <v>0.14285714285714288</v>
      </c>
      <c r="H72" s="248">
        <f t="shared" si="15"/>
        <v>6.0763888888888923E-2</v>
      </c>
      <c r="I72" s="249">
        <v>2</v>
      </c>
    </row>
    <row r="73" spans="1:9" ht="15.6" x14ac:dyDescent="0.3">
      <c r="A73" s="246"/>
      <c r="B73" s="248">
        <f t="shared" si="9"/>
        <v>-0.14285714285714288</v>
      </c>
      <c r="C73" s="248">
        <f t="shared" si="10"/>
        <v>-0.13194444444444442</v>
      </c>
      <c r="D73" s="248">
        <f t="shared" si="11"/>
        <v>7.4074074074074042E-2</v>
      </c>
      <c r="E73" s="248">
        <f t="shared" si="12"/>
        <v>0.14285714285714288</v>
      </c>
      <c r="F73" s="248">
        <f t="shared" si="13"/>
        <v>5.3571428571428575E-2</v>
      </c>
      <c r="G73" s="248">
        <f t="shared" si="14"/>
        <v>-0.14285714285714288</v>
      </c>
      <c r="H73" s="248">
        <f t="shared" si="15"/>
        <v>6.0763888888888923E-2</v>
      </c>
      <c r="I73" s="249">
        <v>1</v>
      </c>
    </row>
    <row r="74" spans="1:9" ht="15.6" x14ac:dyDescent="0.3">
      <c r="A74" s="246"/>
      <c r="B74" s="248">
        <f t="shared" si="9"/>
        <v>0.14285714285714288</v>
      </c>
      <c r="C74" s="248">
        <f t="shared" si="10"/>
        <v>6.5972222222222224E-2</v>
      </c>
      <c r="D74" s="248">
        <f t="shared" si="11"/>
        <v>7.4074074074074042E-2</v>
      </c>
      <c r="E74" s="248">
        <f t="shared" si="12"/>
        <v>-0.14285714285714288</v>
      </c>
      <c r="F74" s="248">
        <f t="shared" si="13"/>
        <v>5.3571428571428575E-2</v>
      </c>
      <c r="G74" s="248">
        <f t="shared" si="14"/>
        <v>0.14285714285714288</v>
      </c>
      <c r="H74" s="248">
        <f t="shared" si="15"/>
        <v>6.0763888888888902E-2</v>
      </c>
      <c r="I74" s="249">
        <v>1</v>
      </c>
    </row>
    <row r="75" spans="1:9" ht="15.6" x14ac:dyDescent="0.3">
      <c r="A75" s="246"/>
      <c r="B75" s="248">
        <f t="shared" si="9"/>
        <v>-0.14285714285714288</v>
      </c>
      <c r="C75" s="248">
        <f t="shared" si="10"/>
        <v>-0.13194444444444442</v>
      </c>
      <c r="D75" s="248">
        <f t="shared" si="11"/>
        <v>7.4074074074074042E-2</v>
      </c>
      <c r="E75" s="248">
        <f t="shared" si="12"/>
        <v>0.14285714285714288</v>
      </c>
      <c r="F75" s="248">
        <f t="shared" si="13"/>
        <v>-5.3571428571428555E-2</v>
      </c>
      <c r="G75" s="248">
        <f t="shared" si="14"/>
        <v>0.14285714285714288</v>
      </c>
      <c r="H75" s="248">
        <f t="shared" si="15"/>
        <v>6.0763888888888923E-2</v>
      </c>
      <c r="I75" s="249">
        <v>1</v>
      </c>
    </row>
    <row r="76" spans="1:9" ht="15.6" x14ac:dyDescent="0.3">
      <c r="A76" s="246"/>
      <c r="B76" s="248">
        <f t="shared" si="9"/>
        <v>-0.14285714285714288</v>
      </c>
      <c r="C76" s="248">
        <f t="shared" si="10"/>
        <v>6.5972222222222224E-2</v>
      </c>
      <c r="D76" s="248">
        <f t="shared" si="11"/>
        <v>-7.4074074074074056E-2</v>
      </c>
      <c r="E76" s="248">
        <f t="shared" si="12"/>
        <v>-0.14285714285714288</v>
      </c>
      <c r="F76" s="248">
        <f t="shared" si="13"/>
        <v>5.3571428571428575E-2</v>
      </c>
      <c r="G76" s="248">
        <f t="shared" si="14"/>
        <v>-0.14285714285714288</v>
      </c>
      <c r="H76" s="248">
        <f t="shared" si="15"/>
        <v>-0.12152777777777779</v>
      </c>
      <c r="I76" s="249">
        <v>2</v>
      </c>
    </row>
    <row r="77" spans="1:9" ht="15.6" x14ac:dyDescent="0.3">
      <c r="A77" s="246"/>
      <c r="B77" s="248">
        <f t="shared" si="9"/>
        <v>-0.14285714285714288</v>
      </c>
      <c r="C77" s="248">
        <f t="shared" si="10"/>
        <v>-0.13194444444444442</v>
      </c>
      <c r="D77" s="248">
        <f t="shared" si="11"/>
        <v>7.4074074074074042E-2</v>
      </c>
      <c r="E77" s="248">
        <f t="shared" si="12"/>
        <v>-0.14285714285714288</v>
      </c>
      <c r="F77" s="248">
        <f t="shared" si="13"/>
        <v>5.3571428571428575E-2</v>
      </c>
      <c r="G77" s="248">
        <f t="shared" si="14"/>
        <v>-0.14285714285714288</v>
      </c>
      <c r="H77" s="248">
        <f t="shared" si="15"/>
        <v>6.0763888888888923E-2</v>
      </c>
      <c r="I77" s="249">
        <v>2</v>
      </c>
    </row>
    <row r="78" spans="1:9" ht="15.6" x14ac:dyDescent="0.3">
      <c r="A78" s="246"/>
      <c r="B78" s="248">
        <f t="shared" si="9"/>
        <v>-0.14285714285714288</v>
      </c>
      <c r="C78" s="248">
        <f t="shared" si="10"/>
        <v>-0.13194444444444442</v>
      </c>
      <c r="D78" s="248">
        <f t="shared" si="11"/>
        <v>7.4074074074074042E-2</v>
      </c>
      <c r="E78" s="248">
        <f t="shared" si="12"/>
        <v>-0.14285714285714288</v>
      </c>
      <c r="F78" s="248">
        <f t="shared" si="13"/>
        <v>-5.3571428571428555E-2</v>
      </c>
      <c r="G78" s="248">
        <f t="shared" si="14"/>
        <v>-0.14285714285714288</v>
      </c>
      <c r="H78" s="248">
        <f t="shared" si="15"/>
        <v>6.0763888888888923E-2</v>
      </c>
      <c r="I78" s="249">
        <v>2</v>
      </c>
    </row>
    <row r="79" spans="1:9" ht="15.6" x14ac:dyDescent="0.3">
      <c r="A79" s="246"/>
      <c r="B79" s="248">
        <f t="shared" si="9"/>
        <v>0.14285714285714288</v>
      </c>
      <c r="C79" s="248">
        <f t="shared" si="10"/>
        <v>-0.13194444444444442</v>
      </c>
      <c r="D79" s="248">
        <f t="shared" si="11"/>
        <v>7.4074074074074042E-2</v>
      </c>
      <c r="E79" s="248">
        <f t="shared" si="12"/>
        <v>-0.14285714285714288</v>
      </c>
      <c r="F79" s="248">
        <f t="shared" si="13"/>
        <v>-5.3571428571428555E-2</v>
      </c>
      <c r="G79" s="248">
        <f t="shared" si="14"/>
        <v>-0.14285714285714288</v>
      </c>
      <c r="H79" s="248">
        <f t="shared" si="15"/>
        <v>6.0763888888888923E-2</v>
      </c>
      <c r="I79" s="249">
        <v>2</v>
      </c>
    </row>
    <row r="80" spans="1:9" ht="15.6" x14ac:dyDescent="0.3">
      <c r="A80" s="244"/>
      <c r="B80" s="253">
        <v>0</v>
      </c>
      <c r="C80" s="253">
        <v>0</v>
      </c>
      <c r="D80" s="253">
        <v>0</v>
      </c>
      <c r="E80" s="253">
        <v>0</v>
      </c>
      <c r="F80" s="253">
        <v>0</v>
      </c>
      <c r="G80" s="253">
        <v>0</v>
      </c>
      <c r="H80" s="253">
        <v>0</v>
      </c>
      <c r="I80" s="244"/>
    </row>
  </sheetData>
  <sortState xmlns:xlrd2="http://schemas.microsoft.com/office/spreadsheetml/2017/richdata2" ref="A19:I28">
    <sortCondition ref="I19:I28"/>
  </sortState>
  <mergeCells count="8">
    <mergeCell ref="A68:I68"/>
    <mergeCell ref="A52:H52"/>
    <mergeCell ref="A60:H60"/>
    <mergeCell ref="A1:I1"/>
    <mergeCell ref="N3:Q3"/>
    <mergeCell ref="A17:I17"/>
    <mergeCell ref="A32:I32"/>
    <mergeCell ref="L32:R32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O19"/>
  <sheetViews>
    <sheetView showGridLines="0" zoomScale="90" zoomScaleNormal="90" workbookViewId="0">
      <selection activeCell="A1" sqref="A1"/>
    </sheetView>
  </sheetViews>
  <sheetFormatPr defaultRowHeight="14.4" x14ac:dyDescent="0.3"/>
  <cols>
    <col min="2" max="14" width="12.77734375" customWidth="1"/>
  </cols>
  <sheetData>
    <row r="1" spans="1:15" ht="15.6" x14ac:dyDescent="0.3">
      <c r="A1" s="239" t="s">
        <v>75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15" ht="15.6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</row>
    <row r="3" spans="1:15" ht="18" customHeight="1" x14ac:dyDescent="0.3">
      <c r="A3" s="246"/>
      <c r="B3" s="247">
        <v>0.52910083333333335</v>
      </c>
      <c r="C3" s="248">
        <v>-0.14285714285714288</v>
      </c>
      <c r="D3" s="248">
        <v>-0.13194444444444442</v>
      </c>
      <c r="E3" s="247">
        <v>-0.24074050000000002</v>
      </c>
      <c r="F3" s="247">
        <v>-5.3571500000000001E-2</v>
      </c>
      <c r="G3" s="248">
        <v>7.4074074074074042E-2</v>
      </c>
      <c r="H3" s="248">
        <v>-0.14285714285714288</v>
      </c>
      <c r="I3" s="247">
        <v>0.24074050000000002</v>
      </c>
      <c r="J3" s="248">
        <v>-5.3571428571428555E-2</v>
      </c>
      <c r="K3" s="247">
        <v>-0.24074050000000002</v>
      </c>
      <c r="L3" s="248">
        <v>-0.14285714285714288</v>
      </c>
      <c r="M3" s="247">
        <v>-9.5238000000000017E-2</v>
      </c>
      <c r="N3" s="248">
        <v>6.0763888888888902E-2</v>
      </c>
      <c r="O3" s="249">
        <v>2</v>
      </c>
    </row>
    <row r="4" spans="1:15" ht="18" customHeight="1" x14ac:dyDescent="0.3">
      <c r="A4" s="246"/>
      <c r="B4" s="247">
        <v>0.52910083333333335</v>
      </c>
      <c r="C4" s="248">
        <v>0.14285714285714288</v>
      </c>
      <c r="D4" s="248">
        <v>6.5972222222222224E-2</v>
      </c>
      <c r="E4" s="247">
        <v>0.24074050000000002</v>
      </c>
      <c r="F4" s="247">
        <v>-5.3571500000000001E-2</v>
      </c>
      <c r="G4" s="248">
        <v>7.4074074074074042E-2</v>
      </c>
      <c r="H4" s="248">
        <v>-0.14285714285714288</v>
      </c>
      <c r="I4" s="247">
        <v>-0.24074050000000002</v>
      </c>
      <c r="J4" s="248">
        <v>-5.3571428571428555E-2</v>
      </c>
      <c r="K4" s="247">
        <v>-0.24074050000000002</v>
      </c>
      <c r="L4" s="248">
        <v>-0.14285714285714288</v>
      </c>
      <c r="M4" s="247">
        <v>9.5238000000000017E-2</v>
      </c>
      <c r="N4" s="248">
        <v>6.0763888888888923E-2</v>
      </c>
      <c r="O4" s="249">
        <v>1</v>
      </c>
    </row>
    <row r="5" spans="1:15" ht="18" customHeight="1" x14ac:dyDescent="0.3">
      <c r="A5" s="246"/>
      <c r="B5" s="247">
        <v>-0.52910083333333335</v>
      </c>
      <c r="C5" s="248">
        <v>-0.14285714285714288</v>
      </c>
      <c r="D5" s="248">
        <v>6.5972222222222224E-2</v>
      </c>
      <c r="E5" s="247">
        <v>-0.24074050000000002</v>
      </c>
      <c r="F5" s="247">
        <v>-5.3571500000000001E-2</v>
      </c>
      <c r="G5" s="248">
        <v>7.4074074074074042E-2</v>
      </c>
      <c r="H5" s="248">
        <v>0.14285714285714288</v>
      </c>
      <c r="I5" s="247">
        <v>-0.24074050000000002</v>
      </c>
      <c r="J5" s="248">
        <v>-5.3571428571428555E-2</v>
      </c>
      <c r="K5" s="247">
        <v>0.24074050000000002</v>
      </c>
      <c r="L5" s="248">
        <v>0.14285714285714288</v>
      </c>
      <c r="M5" s="247">
        <v>9.5238000000000017E-2</v>
      </c>
      <c r="N5" s="248">
        <v>6.0763888888888923E-2</v>
      </c>
      <c r="O5" s="249">
        <v>2</v>
      </c>
    </row>
    <row r="6" spans="1:15" ht="18" customHeight="1" x14ac:dyDescent="0.3">
      <c r="A6" s="246"/>
      <c r="B6" s="247">
        <v>0.52910083333333335</v>
      </c>
      <c r="C6" s="248">
        <v>-0.14285714285714288</v>
      </c>
      <c r="D6" s="248">
        <v>-0.13194444444444442</v>
      </c>
      <c r="E6" s="247">
        <v>-0.24074050000000002</v>
      </c>
      <c r="F6" s="247">
        <v>-5.3571500000000001E-2</v>
      </c>
      <c r="G6" s="248">
        <v>7.4074074074074042E-2</v>
      </c>
      <c r="H6" s="248">
        <v>0.14285714285714288</v>
      </c>
      <c r="I6" s="247">
        <v>0.24074050000000002</v>
      </c>
      <c r="J6" s="248">
        <v>5.3571428571428575E-2</v>
      </c>
      <c r="K6" s="247">
        <v>0.24074050000000002</v>
      </c>
      <c r="L6" s="248">
        <v>-0.14285714285714288</v>
      </c>
      <c r="M6" s="247">
        <v>-9.5238000000000017E-2</v>
      </c>
      <c r="N6" s="248">
        <v>6.0763888888888923E-2</v>
      </c>
      <c r="O6" s="249">
        <v>1</v>
      </c>
    </row>
    <row r="7" spans="1:15" ht="18" customHeight="1" x14ac:dyDescent="0.3">
      <c r="A7" s="246"/>
      <c r="B7" s="247">
        <v>0.52910083333333335</v>
      </c>
      <c r="C7" s="248">
        <v>0.14285714285714288</v>
      </c>
      <c r="D7" s="248">
        <v>6.5972222222222224E-2</v>
      </c>
      <c r="E7" s="247">
        <v>0.24074050000000002</v>
      </c>
      <c r="F7" s="247">
        <v>-5.3571500000000001E-2</v>
      </c>
      <c r="G7" s="248">
        <v>7.4074074074074042E-2</v>
      </c>
      <c r="H7" s="248">
        <v>-0.14285714285714288</v>
      </c>
      <c r="I7" s="247">
        <v>0.24074050000000002</v>
      </c>
      <c r="J7" s="248">
        <v>5.3571428571428575E-2</v>
      </c>
      <c r="K7" s="247">
        <v>0.24074050000000002</v>
      </c>
      <c r="L7" s="248">
        <v>0.14285714285714288</v>
      </c>
      <c r="M7" s="247">
        <v>-9.5238000000000017E-2</v>
      </c>
      <c r="N7" s="248">
        <v>6.0763888888888902E-2</v>
      </c>
      <c r="O7" s="249">
        <v>1</v>
      </c>
    </row>
    <row r="8" spans="1:15" ht="18" customHeight="1" x14ac:dyDescent="0.3">
      <c r="A8" s="246"/>
      <c r="B8" s="247">
        <v>0.52910083333333335</v>
      </c>
      <c r="C8" s="248">
        <v>-0.14285714285714288</v>
      </c>
      <c r="D8" s="248">
        <v>-0.13194444444444442</v>
      </c>
      <c r="E8" s="247">
        <v>0.24074050000000002</v>
      </c>
      <c r="F8" s="247">
        <v>5.3571500000000001E-2</v>
      </c>
      <c r="G8" s="248">
        <v>7.4074074074074042E-2</v>
      </c>
      <c r="H8" s="248">
        <v>0.14285714285714288</v>
      </c>
      <c r="I8" s="247">
        <v>0.24074050000000002</v>
      </c>
      <c r="J8" s="248">
        <v>-5.3571428571428555E-2</v>
      </c>
      <c r="K8" s="247">
        <v>0.24074050000000002</v>
      </c>
      <c r="L8" s="248">
        <v>0.14285714285714288</v>
      </c>
      <c r="M8" s="247">
        <v>9.5238000000000017E-2</v>
      </c>
      <c r="N8" s="248">
        <v>6.0763888888888923E-2</v>
      </c>
      <c r="O8" s="249">
        <v>1</v>
      </c>
    </row>
    <row r="9" spans="1:15" ht="18" customHeight="1" x14ac:dyDescent="0.3">
      <c r="A9" s="246"/>
      <c r="B9" s="247">
        <v>-0.52910083333333335</v>
      </c>
      <c r="C9" s="248">
        <v>-0.14285714285714288</v>
      </c>
      <c r="D9" s="248">
        <v>6.5972222222222224E-2</v>
      </c>
      <c r="E9" s="247">
        <v>-0.24074050000000002</v>
      </c>
      <c r="F9" s="247">
        <v>-5.3571500000000001E-2</v>
      </c>
      <c r="G9" s="248">
        <v>-7.4074074074074056E-2</v>
      </c>
      <c r="H9" s="248">
        <v>-0.14285714285714288</v>
      </c>
      <c r="I9" s="247">
        <v>-0.24074050000000002</v>
      </c>
      <c r="J9" s="248">
        <v>5.3571428571428575E-2</v>
      </c>
      <c r="K9" s="247">
        <v>-0.24074050000000002</v>
      </c>
      <c r="L9" s="248">
        <v>-0.14285714285714288</v>
      </c>
      <c r="M9" s="247">
        <v>-9.5238000000000017E-2</v>
      </c>
      <c r="N9" s="248">
        <v>-0.12152777777777779</v>
      </c>
      <c r="O9" s="249">
        <v>2</v>
      </c>
    </row>
    <row r="10" spans="1:15" ht="18" customHeight="1" x14ac:dyDescent="0.3">
      <c r="A10" s="246"/>
      <c r="B10" s="247">
        <v>-0.52910083333333335</v>
      </c>
      <c r="C10" s="248">
        <v>-0.14285714285714288</v>
      </c>
      <c r="D10" s="248">
        <v>-0.13194444444444442</v>
      </c>
      <c r="E10" s="247">
        <v>0.24074050000000002</v>
      </c>
      <c r="F10" s="247">
        <v>-5.3571500000000001E-2</v>
      </c>
      <c r="G10" s="248">
        <v>7.4074074074074042E-2</v>
      </c>
      <c r="H10" s="248">
        <v>-0.14285714285714288</v>
      </c>
      <c r="I10" s="247">
        <v>-0.24074050000000002</v>
      </c>
      <c r="J10" s="248">
        <v>5.3571428571428575E-2</v>
      </c>
      <c r="K10" s="247">
        <v>-0.24074050000000002</v>
      </c>
      <c r="L10" s="248">
        <v>-0.14285714285714288</v>
      </c>
      <c r="M10" s="247">
        <v>-9.5238000000000017E-2</v>
      </c>
      <c r="N10" s="248">
        <v>6.0763888888888923E-2</v>
      </c>
      <c r="O10" s="249">
        <v>2</v>
      </c>
    </row>
    <row r="11" spans="1:15" ht="18" customHeight="1" x14ac:dyDescent="0.3">
      <c r="A11" s="246"/>
      <c r="B11" s="247">
        <v>-0.52910083333333335</v>
      </c>
      <c r="C11" s="248">
        <v>-0.14285714285714288</v>
      </c>
      <c r="D11" s="248">
        <v>-0.13194444444444442</v>
      </c>
      <c r="E11" s="247">
        <v>-0.24074050000000002</v>
      </c>
      <c r="F11" s="247">
        <v>-5.3571500000000001E-2</v>
      </c>
      <c r="G11" s="248">
        <v>7.4074074074074042E-2</v>
      </c>
      <c r="H11" s="248">
        <v>-0.14285714285714288</v>
      </c>
      <c r="I11" s="247">
        <v>-0.24074050000000002</v>
      </c>
      <c r="J11" s="248">
        <v>-5.3571428571428555E-2</v>
      </c>
      <c r="K11" s="247">
        <v>-0.24074050000000002</v>
      </c>
      <c r="L11" s="248">
        <v>-0.14285714285714288</v>
      </c>
      <c r="M11" s="247">
        <v>-9.5238000000000017E-2</v>
      </c>
      <c r="N11" s="248">
        <v>6.0763888888888923E-2</v>
      </c>
      <c r="O11" s="249">
        <v>2</v>
      </c>
    </row>
    <row r="12" spans="1:15" ht="18" customHeight="1" x14ac:dyDescent="0.3">
      <c r="A12" s="246"/>
      <c r="B12" s="247">
        <v>-0.52910083333333335</v>
      </c>
      <c r="C12" s="248">
        <v>0.14285714285714288</v>
      </c>
      <c r="D12" s="248">
        <v>-0.13194444444444442</v>
      </c>
      <c r="E12" s="247">
        <v>-0.24074050000000002</v>
      </c>
      <c r="F12" s="247">
        <v>-5.3571500000000001E-2</v>
      </c>
      <c r="G12" s="248">
        <v>7.4074074074074042E-2</v>
      </c>
      <c r="H12" s="248">
        <v>-0.14285714285714288</v>
      </c>
      <c r="I12" s="247">
        <v>-0.24074050000000002</v>
      </c>
      <c r="J12" s="248">
        <v>-5.3571428571428555E-2</v>
      </c>
      <c r="K12" s="247">
        <v>-0.24074050000000002</v>
      </c>
      <c r="L12" s="248">
        <v>-0.14285714285714288</v>
      </c>
      <c r="M12" s="247">
        <v>-9.5238000000000017E-2</v>
      </c>
      <c r="N12" s="248">
        <v>6.0763888888888923E-2</v>
      </c>
      <c r="O12" s="249">
        <v>2</v>
      </c>
    </row>
    <row r="13" spans="1:15" ht="15.6" x14ac:dyDescent="0.3">
      <c r="A13" s="244"/>
      <c r="B13" s="253">
        <v>1</v>
      </c>
      <c r="C13" s="253">
        <v>0</v>
      </c>
      <c r="D13" s="253">
        <v>0</v>
      </c>
      <c r="E13" s="253">
        <v>1</v>
      </c>
      <c r="F13" s="253">
        <v>1</v>
      </c>
      <c r="G13" s="253">
        <v>0</v>
      </c>
      <c r="H13" s="253">
        <v>0</v>
      </c>
      <c r="I13" s="253">
        <v>1</v>
      </c>
      <c r="J13" s="253">
        <v>0</v>
      </c>
      <c r="K13" s="253">
        <v>1</v>
      </c>
      <c r="L13" s="253">
        <v>0</v>
      </c>
      <c r="M13" s="253">
        <v>1</v>
      </c>
      <c r="N13" s="253">
        <v>0</v>
      </c>
      <c r="O13" s="244"/>
    </row>
    <row r="16" spans="1:15" ht="15.6" x14ac:dyDescent="0.3">
      <c r="B16" s="269" t="s">
        <v>76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</row>
    <row r="17" spans="2:14" ht="15.6" x14ac:dyDescent="0.3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</row>
    <row r="18" spans="2:14" ht="15.6" x14ac:dyDescent="0.3">
      <c r="B18" s="247">
        <v>0.63492099999999996</v>
      </c>
      <c r="C18" s="248">
        <v>0.42857142857142855</v>
      </c>
      <c r="D18" s="248">
        <v>0.79166666666666663</v>
      </c>
      <c r="E18" s="247">
        <v>0.41269800000000001</v>
      </c>
      <c r="F18" s="247">
        <v>0.214286</v>
      </c>
      <c r="G18" s="248">
        <v>0.44444444444444436</v>
      </c>
      <c r="H18" s="248">
        <v>0.42857142857142855</v>
      </c>
      <c r="I18" s="247">
        <v>0.41269800000000001</v>
      </c>
      <c r="J18" s="248">
        <v>0.3214285714285714</v>
      </c>
      <c r="K18" s="247">
        <v>0.41269800000000001</v>
      </c>
      <c r="L18" s="248">
        <v>0.42857142857142855</v>
      </c>
      <c r="M18" s="247">
        <v>0.28571400000000002</v>
      </c>
      <c r="N18" s="248">
        <v>0.72916666666666674</v>
      </c>
    </row>
    <row r="19" spans="2:14" ht="15.6" x14ac:dyDescent="0.3">
      <c r="B19" s="298">
        <f>COUNTIF($B$18:$N$18, "&gt;" &amp; B18) + COUNTIF($B$18:B18, "=" &amp; B18)</f>
        <v>3</v>
      </c>
      <c r="C19" s="298">
        <f>COUNTIF($B$18:$N$18, "&gt;" &amp; C18) + COUNTIF($B$18:C18, "=" &amp; C18)</f>
        <v>5</v>
      </c>
      <c r="D19" s="299">
        <f>COUNTIF($B$18:$N$18, "&gt;" &amp; D18) + COUNTIF($B$18:D18, "=" &amp; D18)</f>
        <v>1</v>
      </c>
      <c r="E19" s="298">
        <f>COUNTIF($B$18:$N$18, "&gt;" &amp; E18) + COUNTIF($B$18:E18, "=" &amp; E18)</f>
        <v>8</v>
      </c>
      <c r="F19" s="298">
        <f>COUNTIF($B$18:$N$18, "&gt;" &amp; F18) + COUNTIF($B$18:F18, "=" &amp; F18)</f>
        <v>13</v>
      </c>
      <c r="G19" s="298">
        <f>COUNTIF($B$18:$N$18, "&gt;" &amp; G18) + COUNTIF($B$18:G18, "=" &amp; G18)</f>
        <v>4</v>
      </c>
      <c r="H19" s="298">
        <f>COUNTIF($B$18:$N$18, "&gt;" &amp; H18) + COUNTIF($B$18:H18, "=" &amp; H18)</f>
        <v>6</v>
      </c>
      <c r="I19" s="298">
        <f>COUNTIF($B$18:$N$18, "&gt;" &amp; I18) + COUNTIF($B$18:I18, "=" &amp; I18)</f>
        <v>9</v>
      </c>
      <c r="J19" s="298">
        <f>COUNTIF($B$18:$N$18, "&gt;" &amp; J18) + COUNTIF($B$18:J18, "=" &amp; J18)</f>
        <v>11</v>
      </c>
      <c r="K19" s="298">
        <f>COUNTIF($B$18:$N$18, "&gt;" &amp; K18) + COUNTIF($B$18:K18, "=" &amp; K18)</f>
        <v>10</v>
      </c>
      <c r="L19" s="298">
        <f>COUNTIF($B$18:$N$18, "&gt;" &amp; L18) + COUNTIF($B$18:L18, "=" &amp; L18)</f>
        <v>7</v>
      </c>
      <c r="M19" s="298">
        <f>COUNTIF($B$18:$N$18, "&gt;" &amp; M18) + COUNTIF($B$18:M18, "=" &amp; M18)</f>
        <v>12</v>
      </c>
      <c r="N19" s="298">
        <f>COUNTIF($B$18:$N$18, "&gt;" &amp; N18) + COUNTIF($B$18:N18, "=" &amp; N18)</f>
        <v>2</v>
      </c>
    </row>
  </sheetData>
  <sortState xmlns:xlrd2="http://schemas.microsoft.com/office/spreadsheetml/2017/richdata2" ref="A3:O13">
    <sortCondition ref="A3"/>
  </sortState>
  <mergeCells count="2">
    <mergeCell ref="A1:O1"/>
    <mergeCell ref="B16:N16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F7BF-B198-444F-BA33-51F68BF32690}">
  <sheetPr>
    <tabColor rgb="FFC55A11"/>
    <pageSetUpPr fitToPage="1"/>
  </sheetPr>
  <dimension ref="A1:AE721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5.77734375" customWidth="1"/>
    <col min="9" max="9" width="16.5546875" customWidth="1"/>
    <col min="10" max="10" width="12.77734375" customWidth="1"/>
    <col min="11" max="12" width="13.77734375" customWidth="1"/>
    <col min="13" max="14" width="12.77734375" customWidth="1"/>
    <col min="15" max="15" width="17.664062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6.554687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31" ht="18" customHeight="1" x14ac:dyDescent="0.3">
      <c r="A1" s="239" t="s">
        <v>75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31" ht="18" customHeight="1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  <c r="Q2" s="300" t="s">
        <v>11</v>
      </c>
      <c r="R2" s="301">
        <v>4</v>
      </c>
      <c r="U2" s="269" t="s">
        <v>19</v>
      </c>
      <c r="V2" s="269"/>
      <c r="W2" s="269"/>
      <c r="Z2" s="302" t="s">
        <v>30</v>
      </c>
      <c r="AA2" s="303"/>
      <c r="AB2" s="301"/>
      <c r="AC2" s="301"/>
    </row>
    <row r="3" spans="1:31" ht="18" customHeight="1" x14ac:dyDescent="0.3">
      <c r="A3" s="246"/>
      <c r="B3" s="304">
        <v>0.52910083333333335</v>
      </c>
      <c r="C3" s="304">
        <v>-0.14285714285714288</v>
      </c>
      <c r="D3" s="305">
        <v>-0.13194444444444442</v>
      </c>
      <c r="E3" s="304">
        <v>-0.24074050000000002</v>
      </c>
      <c r="F3" s="304">
        <v>-5.3571500000000001E-2</v>
      </c>
      <c r="G3" s="304">
        <v>7.4074074074074042E-2</v>
      </c>
      <c r="H3" s="304">
        <v>-0.14285714285714288</v>
      </c>
      <c r="I3" s="304">
        <v>0.24074050000000002</v>
      </c>
      <c r="J3" s="304">
        <v>-5.3571428571428555E-2</v>
      </c>
      <c r="K3" s="304">
        <v>-0.24074050000000002</v>
      </c>
      <c r="L3" s="304">
        <v>-0.14285714285714288</v>
      </c>
      <c r="M3" s="304">
        <v>-9.5238000000000017E-2</v>
      </c>
      <c r="N3" s="304">
        <v>6.0763888888888902E-2</v>
      </c>
      <c r="O3" s="249">
        <v>2</v>
      </c>
      <c r="Q3" s="300" t="s">
        <v>12</v>
      </c>
      <c r="R3" s="301">
        <v>6</v>
      </c>
      <c r="U3" s="306" t="s">
        <v>36</v>
      </c>
      <c r="V3" s="307" t="s">
        <v>37</v>
      </c>
      <c r="W3" s="308"/>
      <c r="Z3" s="309"/>
      <c r="AA3" s="310"/>
      <c r="AB3" s="301"/>
      <c r="AC3" s="301"/>
    </row>
    <row r="4" spans="1:31" ht="18" customHeight="1" x14ac:dyDescent="0.3">
      <c r="A4" s="246"/>
      <c r="B4" s="304">
        <v>0.52910083333333335</v>
      </c>
      <c r="C4" s="304">
        <v>0.14285714285714288</v>
      </c>
      <c r="D4" s="305">
        <v>6.5972222222222224E-2</v>
      </c>
      <c r="E4" s="304">
        <v>0.24074050000000002</v>
      </c>
      <c r="F4" s="304">
        <v>-5.3571500000000001E-2</v>
      </c>
      <c r="G4" s="304">
        <v>7.4074074074074042E-2</v>
      </c>
      <c r="H4" s="304">
        <v>-0.14285714285714288</v>
      </c>
      <c r="I4" s="304">
        <v>-0.24074050000000002</v>
      </c>
      <c r="J4" s="304">
        <v>-5.3571428571428555E-2</v>
      </c>
      <c r="K4" s="304">
        <v>-0.24074050000000002</v>
      </c>
      <c r="L4" s="304">
        <v>-0.14285714285714288</v>
      </c>
      <c r="M4" s="304">
        <v>9.5238000000000017E-2</v>
      </c>
      <c r="N4" s="304">
        <v>6.0763888888888923E-2</v>
      </c>
      <c r="O4" s="249">
        <v>1</v>
      </c>
      <c r="U4" s="306" t="s">
        <v>38</v>
      </c>
      <c r="V4" s="307">
        <f>13</f>
        <v>13</v>
      </c>
      <c r="W4" s="308"/>
      <c r="Z4" s="311"/>
      <c r="AA4" s="312"/>
      <c r="AB4" s="301"/>
      <c r="AC4" s="301"/>
    </row>
    <row r="5" spans="1:31" ht="18" customHeight="1" x14ac:dyDescent="0.3">
      <c r="A5" s="246"/>
      <c r="B5" s="304">
        <v>-0.52910083333333335</v>
      </c>
      <c r="C5" s="304">
        <v>-0.14285714285714288</v>
      </c>
      <c r="D5" s="305">
        <v>6.5972222222222224E-2</v>
      </c>
      <c r="E5" s="304">
        <v>-0.24074050000000002</v>
      </c>
      <c r="F5" s="304">
        <v>-5.3571500000000001E-2</v>
      </c>
      <c r="G5" s="304">
        <v>7.4074074074074042E-2</v>
      </c>
      <c r="H5" s="304">
        <v>0.14285714285714288</v>
      </c>
      <c r="I5" s="304">
        <v>-0.24074050000000002</v>
      </c>
      <c r="J5" s="304">
        <v>-5.3571428571428555E-2</v>
      </c>
      <c r="K5" s="304">
        <v>0.24074050000000002</v>
      </c>
      <c r="L5" s="304">
        <v>0.14285714285714288</v>
      </c>
      <c r="M5" s="304">
        <v>9.5238000000000017E-2</v>
      </c>
      <c r="N5" s="304">
        <v>6.0763888888888923E-2</v>
      </c>
      <c r="O5" s="249">
        <v>2</v>
      </c>
      <c r="Q5" s="313" t="s">
        <v>18</v>
      </c>
      <c r="R5" s="314"/>
      <c r="S5" s="315"/>
      <c r="U5" s="306" t="s">
        <v>35</v>
      </c>
      <c r="V5" s="307" t="s">
        <v>39</v>
      </c>
      <c r="W5" s="308"/>
    </row>
    <row r="6" spans="1:31" ht="18" customHeight="1" x14ac:dyDescent="0.3">
      <c r="A6" s="246"/>
      <c r="B6" s="304">
        <v>0.52910083333333335</v>
      </c>
      <c r="C6" s="304">
        <v>-0.14285714285714288</v>
      </c>
      <c r="D6" s="305">
        <v>-0.13194444444444442</v>
      </c>
      <c r="E6" s="304">
        <v>-0.24074050000000002</v>
      </c>
      <c r="F6" s="304">
        <v>-5.3571500000000001E-2</v>
      </c>
      <c r="G6" s="304">
        <v>7.4074074074074042E-2</v>
      </c>
      <c r="H6" s="304">
        <v>0.14285714285714288</v>
      </c>
      <c r="I6" s="304">
        <v>0.24074050000000002</v>
      </c>
      <c r="J6" s="304">
        <v>5.3571428571428575E-2</v>
      </c>
      <c r="K6" s="304">
        <v>0.24074050000000002</v>
      </c>
      <c r="L6" s="304">
        <v>-0.14285714285714288</v>
      </c>
      <c r="M6" s="304">
        <v>-9.5238000000000017E-2</v>
      </c>
      <c r="N6" s="304">
        <v>6.0763888888888923E-2</v>
      </c>
      <c r="O6" s="249">
        <v>1</v>
      </c>
      <c r="Q6" s="316"/>
      <c r="R6" s="317"/>
      <c r="S6" s="318"/>
      <c r="U6" s="306" t="s">
        <v>16</v>
      </c>
      <c r="V6" s="307">
        <v>0</v>
      </c>
      <c r="W6" s="308"/>
      <c r="Z6" s="302" t="s">
        <v>31</v>
      </c>
      <c r="AA6" s="303"/>
      <c r="AB6" s="301"/>
      <c r="AC6" s="301"/>
    </row>
    <row r="7" spans="1:31" ht="18" customHeight="1" x14ac:dyDescent="0.3">
      <c r="A7" s="246"/>
      <c r="B7" s="304">
        <v>0.52910083333333335</v>
      </c>
      <c r="C7" s="304">
        <v>0.14285714285714288</v>
      </c>
      <c r="D7" s="305">
        <v>6.5972222222222224E-2</v>
      </c>
      <c r="E7" s="304">
        <v>0.24074050000000002</v>
      </c>
      <c r="F7" s="304">
        <v>-5.3571500000000001E-2</v>
      </c>
      <c r="G7" s="304">
        <v>7.4074074074074042E-2</v>
      </c>
      <c r="H7" s="304">
        <v>-0.14285714285714288</v>
      </c>
      <c r="I7" s="304">
        <v>0.24074050000000002</v>
      </c>
      <c r="J7" s="304">
        <v>5.3571428571428575E-2</v>
      </c>
      <c r="K7" s="304">
        <v>0.24074050000000002</v>
      </c>
      <c r="L7" s="304">
        <v>0.14285714285714288</v>
      </c>
      <c r="M7" s="304">
        <v>-9.5238000000000017E-2</v>
      </c>
      <c r="N7" s="304">
        <v>6.0763888888888902E-2</v>
      </c>
      <c r="O7" s="249">
        <v>1</v>
      </c>
      <c r="Q7" s="319" t="s">
        <v>77</v>
      </c>
      <c r="R7" s="320">
        <v>10</v>
      </c>
      <c r="S7" s="321"/>
      <c r="Z7" s="309"/>
      <c r="AA7" s="310"/>
      <c r="AB7" s="301"/>
      <c r="AC7" s="301"/>
    </row>
    <row r="8" spans="1:31" ht="18" customHeight="1" x14ac:dyDescent="0.3">
      <c r="A8" s="246"/>
      <c r="B8" s="304">
        <v>0.52910083333333335</v>
      </c>
      <c r="C8" s="304">
        <v>-0.14285714285714288</v>
      </c>
      <c r="D8" s="305">
        <v>-0.13194444444444442</v>
      </c>
      <c r="E8" s="304">
        <v>0.24074050000000002</v>
      </c>
      <c r="F8" s="304">
        <v>5.3571500000000001E-2</v>
      </c>
      <c r="G8" s="304">
        <v>7.4074074074074042E-2</v>
      </c>
      <c r="H8" s="304">
        <v>0.14285714285714288</v>
      </c>
      <c r="I8" s="304">
        <v>0.24074050000000002</v>
      </c>
      <c r="J8" s="304">
        <v>-5.3571428571428555E-2</v>
      </c>
      <c r="K8" s="304">
        <v>0.24074050000000002</v>
      </c>
      <c r="L8" s="304">
        <v>0.14285714285714288</v>
      </c>
      <c r="M8" s="304">
        <v>9.5238000000000017E-2</v>
      </c>
      <c r="N8" s="304">
        <v>6.0763888888888923E-2</v>
      </c>
      <c r="O8" s="249">
        <v>1</v>
      </c>
      <c r="Z8" s="311"/>
      <c r="AA8" s="312"/>
      <c r="AB8" s="301"/>
      <c r="AC8" s="301"/>
    </row>
    <row r="9" spans="1:31" ht="18" customHeight="1" x14ac:dyDescent="0.3">
      <c r="A9" s="246"/>
      <c r="B9" s="304">
        <v>-0.52910083333333335</v>
      </c>
      <c r="C9" s="304">
        <v>-0.14285714285714288</v>
      </c>
      <c r="D9" s="305">
        <v>6.5972222222222224E-2</v>
      </c>
      <c r="E9" s="304">
        <v>-0.24074050000000002</v>
      </c>
      <c r="F9" s="304">
        <v>-5.3571500000000001E-2</v>
      </c>
      <c r="G9" s="304">
        <v>-7.4074074074074056E-2</v>
      </c>
      <c r="H9" s="304">
        <v>-0.14285714285714288</v>
      </c>
      <c r="I9" s="304">
        <v>-0.24074050000000002</v>
      </c>
      <c r="J9" s="304">
        <v>5.3571428571428575E-2</v>
      </c>
      <c r="K9" s="304">
        <v>-0.24074050000000002</v>
      </c>
      <c r="L9" s="304">
        <v>-0.14285714285714288</v>
      </c>
      <c r="M9" s="304">
        <v>-9.5238000000000017E-2</v>
      </c>
      <c r="N9" s="304">
        <v>-0.12152777777777779</v>
      </c>
      <c r="O9" s="249">
        <v>2</v>
      </c>
      <c r="Q9" s="259" t="s">
        <v>17</v>
      </c>
      <c r="R9" s="314"/>
      <c r="S9" s="315"/>
    </row>
    <row r="10" spans="1:31" ht="18" customHeight="1" x14ac:dyDescent="0.3">
      <c r="A10" s="246"/>
      <c r="B10" s="304">
        <v>-0.52910083333333335</v>
      </c>
      <c r="C10" s="304">
        <v>-0.14285714285714288</v>
      </c>
      <c r="D10" s="305">
        <v>-0.13194444444444442</v>
      </c>
      <c r="E10" s="304">
        <v>0.24074050000000002</v>
      </c>
      <c r="F10" s="304">
        <v>-5.3571500000000001E-2</v>
      </c>
      <c r="G10" s="304">
        <v>7.4074074074074042E-2</v>
      </c>
      <c r="H10" s="304">
        <v>-0.14285714285714288</v>
      </c>
      <c r="I10" s="304">
        <v>-0.24074050000000002</v>
      </c>
      <c r="J10" s="304">
        <v>5.3571428571428575E-2</v>
      </c>
      <c r="K10" s="304">
        <v>-0.24074050000000002</v>
      </c>
      <c r="L10" s="304">
        <v>-0.14285714285714288</v>
      </c>
      <c r="M10" s="304">
        <v>-9.5238000000000017E-2</v>
      </c>
      <c r="N10" s="304">
        <v>6.0763888888888923E-2</v>
      </c>
      <c r="O10" s="249">
        <v>2</v>
      </c>
      <c r="Q10" s="259"/>
      <c r="R10" s="322"/>
      <c r="S10" s="323"/>
    </row>
    <row r="11" spans="1:31" ht="18" customHeight="1" x14ac:dyDescent="0.3">
      <c r="A11" s="246"/>
      <c r="B11" s="304">
        <v>-0.52910083333333335</v>
      </c>
      <c r="C11" s="304">
        <v>-0.14285714285714288</v>
      </c>
      <c r="D11" s="305">
        <v>-0.13194444444444442</v>
      </c>
      <c r="E11" s="304">
        <v>-0.24074050000000002</v>
      </c>
      <c r="F11" s="304">
        <v>-5.3571500000000001E-2</v>
      </c>
      <c r="G11" s="304">
        <v>7.4074074074074042E-2</v>
      </c>
      <c r="H11" s="304">
        <v>-0.14285714285714288</v>
      </c>
      <c r="I11" s="304">
        <v>-0.24074050000000002</v>
      </c>
      <c r="J11" s="304">
        <v>-5.3571428571428555E-2</v>
      </c>
      <c r="K11" s="304">
        <v>-0.24074050000000002</v>
      </c>
      <c r="L11" s="304">
        <v>-0.14285714285714288</v>
      </c>
      <c r="M11" s="304">
        <v>-9.5238000000000017E-2</v>
      </c>
      <c r="N11" s="304">
        <v>6.0763888888888923E-2</v>
      </c>
      <c r="O11" s="249">
        <v>2</v>
      </c>
      <c r="Q11" s="259" t="s">
        <v>26</v>
      </c>
      <c r="R11" s="324" t="s">
        <v>29</v>
      </c>
      <c r="S11" s="324"/>
      <c r="T11" s="244"/>
      <c r="Z11" s="325" t="s">
        <v>33</v>
      </c>
      <c r="AA11" s="326"/>
      <c r="AB11" s="314"/>
      <c r="AC11" s="327"/>
      <c r="AD11" s="327"/>
      <c r="AE11" s="315"/>
    </row>
    <row r="12" spans="1:31" ht="18" customHeight="1" x14ac:dyDescent="0.3">
      <c r="A12" s="246"/>
      <c r="B12" s="304">
        <v>-0.52910083333333335</v>
      </c>
      <c r="C12" s="304">
        <v>0.14285714285714288</v>
      </c>
      <c r="D12" s="305">
        <v>-0.13194444444444442</v>
      </c>
      <c r="E12" s="304">
        <v>-0.24074050000000002</v>
      </c>
      <c r="F12" s="304">
        <v>-5.3571500000000001E-2</v>
      </c>
      <c r="G12" s="304">
        <v>7.4074074074074042E-2</v>
      </c>
      <c r="H12" s="304">
        <v>-0.14285714285714288</v>
      </c>
      <c r="I12" s="304">
        <v>-0.24074050000000002</v>
      </c>
      <c r="J12" s="304">
        <v>-5.3571428571428555E-2</v>
      </c>
      <c r="K12" s="304">
        <v>-0.24074050000000002</v>
      </c>
      <c r="L12" s="304">
        <v>-0.14285714285714288</v>
      </c>
      <c r="M12" s="304">
        <v>-9.5238000000000017E-2</v>
      </c>
      <c r="N12" s="304">
        <v>6.0763888888888923E-2</v>
      </c>
      <c r="O12" s="249">
        <v>2</v>
      </c>
      <c r="Z12" s="328"/>
      <c r="AA12" s="329"/>
      <c r="AB12" s="317"/>
      <c r="AC12" s="330"/>
      <c r="AD12" s="330"/>
      <c r="AE12" s="318"/>
    </row>
    <row r="13" spans="1:31" ht="18" customHeight="1" x14ac:dyDescent="0.3">
      <c r="A13" s="244"/>
      <c r="B13" s="251">
        <v>1</v>
      </c>
      <c r="C13" s="252">
        <v>0</v>
      </c>
      <c r="D13" s="252">
        <v>0</v>
      </c>
      <c r="E13" s="251">
        <v>1</v>
      </c>
      <c r="F13" s="251">
        <v>1</v>
      </c>
      <c r="G13" s="252">
        <v>0</v>
      </c>
      <c r="H13" s="252">
        <v>0</v>
      </c>
      <c r="I13" s="251">
        <v>1</v>
      </c>
      <c r="J13" s="252">
        <v>0</v>
      </c>
      <c r="K13" s="251">
        <v>1</v>
      </c>
      <c r="L13" s="252">
        <v>0</v>
      </c>
      <c r="M13" s="251">
        <v>1</v>
      </c>
      <c r="N13" s="252">
        <v>0</v>
      </c>
      <c r="O13" s="244"/>
      <c r="Q13" s="314"/>
      <c r="R13" s="315"/>
      <c r="Z13" s="331"/>
      <c r="AA13" s="332"/>
      <c r="AB13" s="322"/>
      <c r="AC13" s="333"/>
      <c r="AD13" s="333"/>
      <c r="AE13" s="323"/>
    </row>
    <row r="14" spans="1:31" x14ac:dyDescent="0.3">
      <c r="Q14" s="322"/>
      <c r="R14" s="323"/>
    </row>
    <row r="15" spans="1:31" x14ac:dyDescent="0.3">
      <c r="Z15" s="325" t="s">
        <v>32</v>
      </c>
      <c r="AA15" s="326"/>
      <c r="AB15" s="314"/>
      <c r="AC15" s="327"/>
      <c r="AD15" s="327"/>
      <c r="AE15" s="315"/>
    </row>
    <row r="16" spans="1:31" ht="18" customHeight="1" x14ac:dyDescent="0.3">
      <c r="B16" s="269" t="s">
        <v>76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Q16" s="259" t="s">
        <v>13</v>
      </c>
      <c r="R16" s="301"/>
      <c r="Z16" s="328"/>
      <c r="AA16" s="329"/>
      <c r="AB16" s="317"/>
      <c r="AC16" s="330"/>
      <c r="AD16" s="330"/>
      <c r="AE16" s="318"/>
    </row>
    <row r="17" spans="1:31" ht="18" customHeight="1" x14ac:dyDescent="0.3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Q17" s="259"/>
      <c r="R17" s="301"/>
      <c r="T17" s="269" t="s">
        <v>20</v>
      </c>
      <c r="U17" s="269"/>
      <c r="V17" s="269"/>
      <c r="W17" s="269"/>
      <c r="X17" s="269"/>
      <c r="Z17" s="331"/>
      <c r="AA17" s="332"/>
      <c r="AB17" s="322"/>
      <c r="AC17" s="333"/>
      <c r="AD17" s="333"/>
      <c r="AE17" s="323"/>
    </row>
    <row r="18" spans="1:31" ht="18" customHeight="1" x14ac:dyDescent="0.3">
      <c r="A18" s="244"/>
      <c r="B18" s="304">
        <v>0.63492099999999996</v>
      </c>
      <c r="C18" s="304">
        <v>0.42857142857142855</v>
      </c>
      <c r="D18" s="304">
        <v>0.79166666666666696</v>
      </c>
      <c r="E18" s="304">
        <v>0.41269800000000001</v>
      </c>
      <c r="F18" s="304">
        <v>0.214286</v>
      </c>
      <c r="G18" s="304">
        <v>0.44444444444444436</v>
      </c>
      <c r="H18" s="304">
        <v>0.42857142857142855</v>
      </c>
      <c r="I18" s="304">
        <v>0.41269800000000001</v>
      </c>
      <c r="J18" s="304">
        <v>0.3214285714285714</v>
      </c>
      <c r="K18" s="304">
        <v>0.41269800000000001</v>
      </c>
      <c r="L18" s="304">
        <v>0.42857142857142855</v>
      </c>
      <c r="M18" s="304">
        <v>0.28571400000000002</v>
      </c>
      <c r="N18" s="304">
        <v>0.72916666666666674</v>
      </c>
      <c r="Q18" s="259" t="s">
        <v>14</v>
      </c>
      <c r="R18" s="301"/>
      <c r="U18" s="334" t="s">
        <v>78</v>
      </c>
      <c r="V18" s="334"/>
      <c r="W18" s="334"/>
    </row>
    <row r="19" spans="1:31" ht="18" customHeight="1" x14ac:dyDescent="0.3">
      <c r="B19" s="298">
        <f>COUNTIF($B$18:$N$18, "&gt;" &amp; B18) + COUNTIF($B$18:B18, "=" &amp; B18)</f>
        <v>3</v>
      </c>
      <c r="C19" s="298">
        <f>COUNTIF($B$18:$N$18, "&gt;" &amp; C18) + COUNTIF($B$18:C18, "=" &amp; C18)</f>
        <v>5</v>
      </c>
      <c r="D19" s="335">
        <f>COUNTIF($B$18:$N$18, "&gt;" &amp; D18) + COUNTIF($B$18:D18, "=" &amp; D18)</f>
        <v>1</v>
      </c>
      <c r="E19" s="298">
        <f>COUNTIF($B$18:$N$18, "&gt;" &amp; E18) + COUNTIF($B$18:E18, "=" &amp; E18)</f>
        <v>8</v>
      </c>
      <c r="F19" s="298">
        <f>COUNTIF($B$18:$N$18, "&gt;" &amp; F18) + COUNTIF($B$18:F18, "=" &amp; F18)</f>
        <v>13</v>
      </c>
      <c r="G19" s="298">
        <f>COUNTIF($B$18:$N$18, "&gt;" &amp; G18) + COUNTIF($B$18:G18, "=" &amp; G18)</f>
        <v>4</v>
      </c>
      <c r="H19" s="298">
        <f>COUNTIF($B$18:$N$18, "&gt;" &amp; H18) + COUNTIF($B$18:H18, "=" &amp; H18)</f>
        <v>6</v>
      </c>
      <c r="I19" s="298">
        <f>COUNTIF($B$18:$N$18, "&gt;" &amp; I18) + COUNTIF($B$18:I18, "=" &amp; I18)</f>
        <v>9</v>
      </c>
      <c r="J19" s="298">
        <f>COUNTIF($B$18:$N$18, "&gt;" &amp; J18) + COUNTIF($B$18:J18, "=" &amp; J18)</f>
        <v>11</v>
      </c>
      <c r="K19" s="298">
        <f>COUNTIF($B$18:$N$18, "&gt;" &amp; K18) + COUNTIF($B$18:K18, "=" &amp; K18)</f>
        <v>10</v>
      </c>
      <c r="L19" s="298">
        <f>COUNTIF($B$18:$N$18, "&gt;" &amp; L18) + COUNTIF($B$18:L18, "=" &amp; L18)</f>
        <v>7</v>
      </c>
      <c r="M19" s="298">
        <f>COUNTIF($B$18:$N$18, "&gt;" &amp; M18) + COUNTIF($B$18:M18, "=" &amp; M18)</f>
        <v>12</v>
      </c>
      <c r="N19" s="298">
        <f>COUNTIF($B$18:$N$18, "&gt;" &amp; N18) + COUNTIF($B$18:N18, "=" &amp; N18)</f>
        <v>2</v>
      </c>
      <c r="Q19" s="259"/>
      <c r="R19" s="301"/>
      <c r="U19" s="306" t="s">
        <v>40</v>
      </c>
      <c r="V19" s="306"/>
      <c r="W19" s="306"/>
    </row>
    <row r="20" spans="1:31" ht="15.6" customHeight="1" x14ac:dyDescent="0.3">
      <c r="U20" s="336" t="s">
        <v>21</v>
      </c>
      <c r="V20" s="336"/>
      <c r="W20" s="336"/>
      <c r="Z20" s="337" t="s">
        <v>79</v>
      </c>
      <c r="AA20" s="338"/>
      <c r="AB20" s="339"/>
      <c r="AC20" s="339"/>
      <c r="AD20" s="339"/>
      <c r="AE20" s="339"/>
    </row>
    <row r="21" spans="1:31" ht="15.6" x14ac:dyDescent="0.3">
      <c r="L21" s="340"/>
      <c r="M21" s="340"/>
      <c r="N21" s="340"/>
      <c r="T21" s="306"/>
      <c r="U21" s="306"/>
      <c r="V21" s="306"/>
      <c r="W21" s="306"/>
      <c r="X21" s="306"/>
      <c r="Z21" s="341"/>
      <c r="AA21" s="342"/>
      <c r="AB21" s="339"/>
      <c r="AC21" s="339"/>
      <c r="AD21" s="339"/>
      <c r="AE21" s="339"/>
    </row>
    <row r="22" spans="1:31" ht="15.6" customHeight="1" x14ac:dyDescent="0.3">
      <c r="Z22" s="343"/>
      <c r="AA22" s="344"/>
      <c r="AB22" s="339"/>
      <c r="AC22" s="339"/>
      <c r="AD22" s="339"/>
      <c r="AE22" s="339"/>
    </row>
    <row r="23" spans="1:31" ht="18" customHeight="1" x14ac:dyDescent="0.3">
      <c r="B23" s="259"/>
      <c r="C23" s="301">
        <v>10</v>
      </c>
      <c r="E23" s="314"/>
      <c r="F23" s="315"/>
      <c r="J23" s="345"/>
      <c r="K23" s="301"/>
      <c r="M23" s="259"/>
      <c r="N23" s="301">
        <v>0.3</v>
      </c>
    </row>
    <row r="24" spans="1:31" ht="18" customHeight="1" x14ac:dyDescent="0.3">
      <c r="B24" s="259"/>
      <c r="C24" s="301">
        <v>10</v>
      </c>
      <c r="E24" s="322"/>
      <c r="F24" s="323"/>
      <c r="J24" s="259"/>
      <c r="K24" s="301">
        <v>1</v>
      </c>
      <c r="M24" s="259"/>
      <c r="N24" s="301">
        <v>0.1</v>
      </c>
    </row>
    <row r="25" spans="1:31" ht="18" customHeight="1" x14ac:dyDescent="0.3">
      <c r="E25" s="259"/>
      <c r="F25" s="346" t="s">
        <v>34</v>
      </c>
      <c r="G25" s="347"/>
      <c r="H25" s="348"/>
      <c r="I25" s="346" t="s">
        <v>34</v>
      </c>
      <c r="J25" s="345"/>
      <c r="K25" s="301"/>
      <c r="M25" s="259"/>
      <c r="N25" s="301">
        <v>5</v>
      </c>
    </row>
    <row r="26" spans="1:31" ht="18" customHeight="1" x14ac:dyDescent="0.3">
      <c r="B26" s="244"/>
      <c r="C26" s="244"/>
      <c r="D26" s="244"/>
      <c r="E26" s="259"/>
      <c r="F26" s="349">
        <v>0</v>
      </c>
      <c r="I26" s="340"/>
      <c r="J26" s="259"/>
      <c r="K26" s="301">
        <f>V4-1</f>
        <v>12</v>
      </c>
    </row>
    <row r="30" spans="1:31" ht="18" customHeight="1" x14ac:dyDescent="0.3">
      <c r="A30" s="281" t="s">
        <v>10</v>
      </c>
      <c r="B30" s="282"/>
      <c r="C30" s="282"/>
      <c r="D30" s="282"/>
      <c r="E30" s="282"/>
      <c r="F30" s="283"/>
      <c r="G30" s="350"/>
      <c r="H30" s="281" t="s">
        <v>9</v>
      </c>
      <c r="I30" s="282"/>
      <c r="J30" s="282"/>
      <c r="K30" s="282"/>
      <c r="L30" s="282"/>
      <c r="M30" s="282"/>
      <c r="N30" s="283"/>
    </row>
    <row r="31" spans="1:31" ht="18" customHeight="1" x14ac:dyDescent="0.3">
      <c r="A31" s="351"/>
      <c r="B31" s="352"/>
      <c r="C31" s="353" t="s">
        <v>5</v>
      </c>
      <c r="D31" s="354"/>
      <c r="E31" s="353" t="s">
        <v>6</v>
      </c>
      <c r="F31" s="354"/>
      <c r="G31" s="240" t="s">
        <v>8</v>
      </c>
      <c r="H31" s="355"/>
      <c r="I31" s="356"/>
      <c r="J31" s="356"/>
      <c r="K31" s="357"/>
      <c r="L31" s="357"/>
      <c r="M31" s="358"/>
      <c r="N31" s="358"/>
      <c r="P31" s="269" t="s">
        <v>27</v>
      </c>
      <c r="Q31" s="269"/>
      <c r="R31" s="269"/>
      <c r="S31" s="269"/>
      <c r="U31" s="269" t="s">
        <v>22</v>
      </c>
      <c r="V31" s="269"/>
      <c r="W31" s="269"/>
      <c r="X31" s="269"/>
      <c r="Y31" s="269"/>
    </row>
    <row r="32" spans="1:31" ht="18" customHeight="1" x14ac:dyDescent="0.3">
      <c r="A32" s="259"/>
      <c r="B32" s="359">
        <v>-0.13194444444444442</v>
      </c>
      <c r="C32" s="359" t="s">
        <v>5</v>
      </c>
      <c r="D32" s="359">
        <v>0.52910083333333335</v>
      </c>
      <c r="E32" s="359" t="s">
        <v>6</v>
      </c>
      <c r="F32" s="359">
        <f>SUM(B32,D32)</f>
        <v>0.39715638888888893</v>
      </c>
      <c r="G32" s="249">
        <v>2</v>
      </c>
      <c r="H32" s="304">
        <f>IF(OR($G32=1,$G32=2), $F32 + IF($G32=1,1,-1)*$N$23*(EXP(-$F32)/(1+EXP(-$F32))), NA())</f>
        <v>0.27655766708835139</v>
      </c>
      <c r="I32" s="359">
        <f>IF(G32=1,H32+N(I31),N(I31))</f>
        <v>0</v>
      </c>
      <c r="J32" s="359">
        <f>IF(G32=2,H32+N(J31),N(J31))</f>
        <v>0.27655766708835139</v>
      </c>
      <c r="K32" s="304">
        <f>IFERROR(I32/COUNTIF($G$32:$G$41,1),"ERROR!!!")</f>
        <v>0</v>
      </c>
      <c r="L32" s="304">
        <f>IFERROR(J32/COUNTIF($G$32:$G$41,2),"ERROR!!!")</f>
        <v>4.6092944514725231E-2</v>
      </c>
      <c r="M32" s="304">
        <f>IF(ROW()=32, 0, M31) + ABS(H32 - IF($G32=1, $K32, $L32))</f>
        <v>0.23046472257362616</v>
      </c>
      <c r="N32" s="304">
        <f>IF(ROW()=32, 0, N31) + ABS(H32 - IF($G32=1, $L32, $K32))</f>
        <v>0.27655766708835139</v>
      </c>
      <c r="P32" s="360"/>
      <c r="Q32" s="361"/>
      <c r="R32" s="259"/>
      <c r="S32" s="362">
        <f>IF(O41&lt;C23,O41,C23)</f>
        <v>0.38059929505648982</v>
      </c>
      <c r="V32" s="363" t="s">
        <v>80</v>
      </c>
      <c r="W32" s="363"/>
      <c r="X32" s="363"/>
    </row>
    <row r="33" spans="1:25" ht="18" customHeight="1" x14ac:dyDescent="0.3">
      <c r="A33" s="259"/>
      <c r="B33" s="359">
        <v>6.5972222222222224E-2</v>
      </c>
      <c r="C33" s="359" t="s">
        <v>5</v>
      </c>
      <c r="D33" s="359">
        <v>0.52910083333333335</v>
      </c>
      <c r="E33" s="359" t="s">
        <v>6</v>
      </c>
      <c r="F33" s="359">
        <f t="shared" ref="F33:F41" si="0">SUM(B33,D33)</f>
        <v>0.59507305555555556</v>
      </c>
      <c r="G33" s="249">
        <v>1</v>
      </c>
      <c r="H33" s="304">
        <f>IF(OR($G33=1,$G33=2), $F33 + IF($G33=1,1,-1)*$N$23*(EXP(-$F33)/(1+EXP(-$F33))), NA())</f>
        <v>0.70171456802867804</v>
      </c>
      <c r="I33" s="359">
        <f>IF(G33=1,H33+N(I32),N(I32))</f>
        <v>0.70171456802867804</v>
      </c>
      <c r="J33" s="359">
        <f>IF(G33=2,H33+N(J32),N(J32))</f>
        <v>0.27655766708835139</v>
      </c>
      <c r="K33" s="304">
        <f>IFERROR(I33/COUNTIF($G$32:$G$41,1),"ERROR!!!")</f>
        <v>0.17542864200716951</v>
      </c>
      <c r="L33" s="304">
        <f t="shared" ref="L33:L39" si="1">IFERROR(J33/COUNTIF($G$32:$G$41,2),"ERROR!!!")</f>
        <v>4.6092944514725231E-2</v>
      </c>
      <c r="M33" s="304">
        <f>IF(ROW()=32, 0, M32) + ABS(H33 - IF($G33=1, $K33, $L33))</f>
        <v>0.75675064859513463</v>
      </c>
      <c r="N33" s="304">
        <f>IF(ROW()=32, 0, N32) + ABS(H33 - IF($G33=1, $L33, $K33))</f>
        <v>0.9321792906023042</v>
      </c>
      <c r="P33" s="364"/>
      <c r="Q33" s="365"/>
      <c r="R33" s="259"/>
      <c r="S33" s="366">
        <v>1</v>
      </c>
      <c r="U33" s="367" t="s">
        <v>23</v>
      </c>
      <c r="V33" s="367"/>
      <c r="W33" s="367"/>
      <c r="X33" s="367"/>
      <c r="Y33" s="367"/>
    </row>
    <row r="34" spans="1:25" ht="18" customHeight="1" x14ac:dyDescent="0.3">
      <c r="A34" s="259"/>
      <c r="B34" s="359">
        <v>6.5972222222222224E-2</v>
      </c>
      <c r="C34" s="359" t="s">
        <v>5</v>
      </c>
      <c r="D34" s="359">
        <v>-0.52910083333333335</v>
      </c>
      <c r="E34" s="359" t="s">
        <v>6</v>
      </c>
      <c r="F34" s="359">
        <f t="shared" si="0"/>
        <v>-0.46312861111111114</v>
      </c>
      <c r="G34" s="249">
        <v>2</v>
      </c>
      <c r="H34" s="304">
        <f>IF(OR($G34=1,$G34=2), $F34 + IF($G34=1,1,-1)*$N$23*(EXP(-$F34)/(1+EXP(-$F34))), NA())</f>
        <v>-0.64725544312791106</v>
      </c>
      <c r="I34" s="359">
        <f t="shared" ref="I34:I41" si="2">IF(G34=1,H34+N(I33),N(I33))</f>
        <v>0.70171456802867804</v>
      </c>
      <c r="J34" s="359">
        <f>IF(G34=2,H34+N(J33),N(J33))</f>
        <v>-0.37069777603955967</v>
      </c>
      <c r="K34" s="304">
        <f t="shared" ref="K34:K40" si="3">IFERROR(I34/COUNTIF($G$32:$G$41,1),"ERROR!!!")</f>
        <v>0.17542864200716951</v>
      </c>
      <c r="L34" s="304">
        <f t="shared" si="1"/>
        <v>-6.1782962673259945E-2</v>
      </c>
      <c r="M34" s="304">
        <f>IF(ROW()=32, 0, M33) + ABS(H34 - IF($G34=1, $K34, $L34))</f>
        <v>1.3422231290497857</v>
      </c>
      <c r="N34" s="304">
        <f t="shared" ref="N34:N41" si="4">IF(ROW()=32, 0, N33) + ABS(H34 - IF($G34=1, $L34, $K34))</f>
        <v>1.7548633757373846</v>
      </c>
      <c r="P34" s="368"/>
      <c r="Q34" s="369"/>
      <c r="R34" s="259"/>
      <c r="S34" s="366">
        <f>IF(O41&lt;C23,S33,F26)</f>
        <v>1</v>
      </c>
      <c r="U34" s="370" t="s">
        <v>24</v>
      </c>
      <c r="V34" s="371"/>
      <c r="W34" s="371"/>
      <c r="X34" s="371"/>
      <c r="Y34" s="372"/>
    </row>
    <row r="35" spans="1:25" ht="18" customHeight="1" x14ac:dyDescent="0.3">
      <c r="A35" s="259"/>
      <c r="B35" s="359">
        <v>-0.13194444444444442</v>
      </c>
      <c r="C35" s="359" t="s">
        <v>5</v>
      </c>
      <c r="D35" s="359">
        <v>0.52910083333333335</v>
      </c>
      <c r="E35" s="359" t="s">
        <v>6</v>
      </c>
      <c r="F35" s="359">
        <f t="shared" si="0"/>
        <v>0.39715638888888893</v>
      </c>
      <c r="G35" s="249">
        <v>1</v>
      </c>
      <c r="H35" s="304">
        <f t="shared" ref="H35:H41" si="5">IF(OR($G35=1,$G35=2), $F35 + IF($G35=1,1,-1)*$N$23*(EXP(-$F35)/(1+EXP(-$F35))), NA())</f>
        <v>0.51775511068942648</v>
      </c>
      <c r="I35" s="359">
        <f t="shared" si="2"/>
        <v>1.2194696787181045</v>
      </c>
      <c r="J35" s="359">
        <f t="shared" ref="J35:J40" si="6">IF(G35=2,H35+N(J34),N(J34))</f>
        <v>-0.37069777603955967</v>
      </c>
      <c r="K35" s="304">
        <f>IFERROR(I35/COUNTIF($G$32:$G$41,1),"ERROR!!!")</f>
        <v>0.30486741967952613</v>
      </c>
      <c r="L35" s="304">
        <f>IFERROR(J35/COUNTIF($G$32:$G$41,2),"ERROR!!!")</f>
        <v>-6.1782962673259945E-2</v>
      </c>
      <c r="M35" s="304">
        <f>IF(ROW()=32, 0, M34) + ABS(H35 - IF($G35=1, $K35, $L35))</f>
        <v>1.5551108200596859</v>
      </c>
      <c r="N35" s="304">
        <f t="shared" si="4"/>
        <v>2.3344014491000711</v>
      </c>
      <c r="U35" s="306"/>
      <c r="V35" s="306"/>
      <c r="W35" s="306"/>
      <c r="X35" s="306"/>
      <c r="Y35" s="306"/>
    </row>
    <row r="36" spans="1:25" ht="18" customHeight="1" x14ac:dyDescent="0.3">
      <c r="A36" s="259"/>
      <c r="B36" s="359">
        <v>6.5972222222222224E-2</v>
      </c>
      <c r="C36" s="359" t="s">
        <v>5</v>
      </c>
      <c r="D36" s="359">
        <v>0.52910083333333335</v>
      </c>
      <c r="E36" s="359" t="s">
        <v>6</v>
      </c>
      <c r="F36" s="359">
        <f t="shared" si="0"/>
        <v>0.59507305555555556</v>
      </c>
      <c r="G36" s="249">
        <v>1</v>
      </c>
      <c r="H36" s="304">
        <f t="shared" si="5"/>
        <v>0.70171456802867804</v>
      </c>
      <c r="I36" s="359">
        <f t="shared" si="2"/>
        <v>1.9211842467467826</v>
      </c>
      <c r="J36" s="359">
        <f t="shared" si="6"/>
        <v>-0.37069777603955967</v>
      </c>
      <c r="K36" s="304">
        <f t="shared" si="3"/>
        <v>0.48029606168669564</v>
      </c>
      <c r="L36" s="304">
        <f t="shared" si="1"/>
        <v>-6.1782962673259945E-2</v>
      </c>
      <c r="M36" s="304">
        <f>IF(ROW()=32, 0, M35) + ABS(H36 - IF($G36=1, $K36, $L36))</f>
        <v>1.7765293264016684</v>
      </c>
      <c r="N36" s="304">
        <f t="shared" si="4"/>
        <v>3.0978989798020091</v>
      </c>
      <c r="U36" s="306"/>
      <c r="V36" s="306"/>
      <c r="W36" s="306"/>
      <c r="X36" s="306"/>
      <c r="Y36" s="306"/>
    </row>
    <row r="37" spans="1:25" ht="18" customHeight="1" x14ac:dyDescent="0.3">
      <c r="A37" s="259"/>
      <c r="B37" s="359">
        <v>-0.13194444444444442</v>
      </c>
      <c r="C37" s="359" t="s">
        <v>5</v>
      </c>
      <c r="D37" s="359">
        <v>0.52910083333333335</v>
      </c>
      <c r="E37" s="359" t="s">
        <v>6</v>
      </c>
      <c r="F37" s="359">
        <f>SUM(B37,D37)</f>
        <v>0.39715638888888893</v>
      </c>
      <c r="G37" s="249">
        <v>1</v>
      </c>
      <c r="H37" s="304">
        <f>IF(OR($G37=1,$G37=2), $F37 + IF($G37=1,1,-1)*$N$23*(EXP(-$F37)/(1+EXP(-$F37))), NA())</f>
        <v>0.51775511068942648</v>
      </c>
      <c r="I37" s="359">
        <f t="shared" si="2"/>
        <v>2.438939357436209</v>
      </c>
      <c r="J37" s="359">
        <f t="shared" si="6"/>
        <v>-0.37069777603955967</v>
      </c>
      <c r="K37" s="304">
        <f t="shared" si="3"/>
        <v>0.60973483935905226</v>
      </c>
      <c r="L37" s="304">
        <f t="shared" si="1"/>
        <v>-6.1782962673259945E-2</v>
      </c>
      <c r="M37" s="304">
        <f t="shared" ref="M37:M41" si="7">IF(ROW()=32, 0, M36) + ABS(H37 - IF($G37=1, $K37, $L37))</f>
        <v>1.8685090550712942</v>
      </c>
      <c r="N37" s="304">
        <f t="shared" si="4"/>
        <v>3.6774370531646956</v>
      </c>
    </row>
    <row r="38" spans="1:25" ht="18" customHeight="1" x14ac:dyDescent="0.3">
      <c r="A38" s="259"/>
      <c r="B38" s="359">
        <v>6.5972222222222224E-2</v>
      </c>
      <c r="C38" s="359" t="s">
        <v>5</v>
      </c>
      <c r="D38" s="359">
        <v>-0.52910083333333335</v>
      </c>
      <c r="E38" s="359" t="s">
        <v>6</v>
      </c>
      <c r="F38" s="359">
        <f t="shared" si="0"/>
        <v>-0.46312861111111114</v>
      </c>
      <c r="G38" s="249">
        <v>2</v>
      </c>
      <c r="H38" s="304">
        <f t="shared" si="5"/>
        <v>-0.64725544312791106</v>
      </c>
      <c r="I38" s="359">
        <f>IF(G38=1,H38+N(I37),N(I37))</f>
        <v>2.438939357436209</v>
      </c>
      <c r="J38" s="359">
        <f t="shared" si="6"/>
        <v>-1.0179532191674707</v>
      </c>
      <c r="K38" s="304">
        <f t="shared" si="3"/>
        <v>0.60973483935905226</v>
      </c>
      <c r="L38" s="304">
        <f>IFERROR(J38/COUNTIF($G$32:$G$41,2),"ERROR!!!")</f>
        <v>-0.16965886986124512</v>
      </c>
      <c r="M38" s="304">
        <f t="shared" si="7"/>
        <v>2.34610562833796</v>
      </c>
      <c r="N38" s="304">
        <f t="shared" si="4"/>
        <v>4.9344273356516588</v>
      </c>
    </row>
    <row r="39" spans="1:25" ht="18" customHeight="1" x14ac:dyDescent="0.3">
      <c r="A39" s="259"/>
      <c r="B39" s="359">
        <v>-0.13194444444444442</v>
      </c>
      <c r="C39" s="359" t="s">
        <v>5</v>
      </c>
      <c r="D39" s="359">
        <v>-0.52910083333333335</v>
      </c>
      <c r="E39" s="359" t="s">
        <v>6</v>
      </c>
      <c r="F39" s="359">
        <f t="shared" si="0"/>
        <v>-0.66104527777777777</v>
      </c>
      <c r="G39" s="249">
        <v>2</v>
      </c>
      <c r="H39" s="304">
        <f t="shared" si="5"/>
        <v>-0.85889382472815035</v>
      </c>
      <c r="I39" s="359">
        <f t="shared" si="2"/>
        <v>2.438939357436209</v>
      </c>
      <c r="J39" s="359">
        <f t="shared" si="6"/>
        <v>-1.8768470438956211</v>
      </c>
      <c r="K39" s="304">
        <f t="shared" si="3"/>
        <v>0.60973483935905226</v>
      </c>
      <c r="L39" s="304">
        <f t="shared" si="1"/>
        <v>-0.3128078406492702</v>
      </c>
      <c r="M39" s="304">
        <f t="shared" si="7"/>
        <v>2.8921916124168403</v>
      </c>
      <c r="N39" s="304">
        <f>IF(ROW()=32, 0, N38) + ABS(H39 - IF($G39=1, $L39, $K39))</f>
        <v>6.4030559997388616</v>
      </c>
      <c r="O39" s="354"/>
    </row>
    <row r="40" spans="1:25" ht="18" customHeight="1" x14ac:dyDescent="0.3">
      <c r="A40" s="259"/>
      <c r="B40" s="359">
        <v>-0.13194444444444442</v>
      </c>
      <c r="C40" s="359" t="s">
        <v>5</v>
      </c>
      <c r="D40" s="359">
        <v>-0.52910083333333335</v>
      </c>
      <c r="E40" s="359" t="s">
        <v>6</v>
      </c>
      <c r="F40" s="359">
        <f t="shared" si="0"/>
        <v>-0.66104527777777777</v>
      </c>
      <c r="G40" s="249">
        <v>2</v>
      </c>
      <c r="H40" s="304">
        <f t="shared" si="5"/>
        <v>-0.85889382472815035</v>
      </c>
      <c r="I40" s="359">
        <f t="shared" si="2"/>
        <v>2.438939357436209</v>
      </c>
      <c r="J40" s="359">
        <f t="shared" si="6"/>
        <v>-2.7357408686237714</v>
      </c>
      <c r="K40" s="304">
        <f t="shared" si="3"/>
        <v>0.60973483935905226</v>
      </c>
      <c r="L40" s="304">
        <f>IFERROR(J40/COUNTIF($G$32:$G$41,2),"ERROR!!!")</f>
        <v>-0.45595681143729522</v>
      </c>
      <c r="M40" s="304">
        <f>IF(ROW()=32, 0, M39) + ABS(H40 - IF($G40=1, $K40, $L40))</f>
        <v>3.2951286257076955</v>
      </c>
      <c r="N40" s="304">
        <f>IF(ROW()=32, 0, N39) + ABS(H40 - IF($G40=1, $L40, $K40))</f>
        <v>7.8716846638260645</v>
      </c>
      <c r="O40" s="358"/>
    </row>
    <row r="41" spans="1:25" ht="18" customHeight="1" x14ac:dyDescent="0.3">
      <c r="A41" s="259"/>
      <c r="B41" s="359">
        <v>-0.13194444444444442</v>
      </c>
      <c r="C41" s="359" t="s">
        <v>5</v>
      </c>
      <c r="D41" s="359">
        <v>-0.52910083333333335</v>
      </c>
      <c r="E41" s="359" t="s">
        <v>6</v>
      </c>
      <c r="F41" s="359">
        <f t="shared" si="0"/>
        <v>-0.66104527777777777</v>
      </c>
      <c r="G41" s="249">
        <v>2</v>
      </c>
      <c r="H41" s="304">
        <f t="shared" si="5"/>
        <v>-0.85889382472815035</v>
      </c>
      <c r="I41" s="359">
        <f t="shared" si="2"/>
        <v>2.438939357436209</v>
      </c>
      <c r="J41" s="359">
        <f>IF(G41=2,H41+N(J40),N(J40))</f>
        <v>-3.5946346933519218</v>
      </c>
      <c r="K41" s="304">
        <f>IFERROR(I41/COUNTIF($G$32:$G$41,1),"ERROR!!!")</f>
        <v>0.60973483935905226</v>
      </c>
      <c r="L41" s="304">
        <f>IFERROR(J41/COUNTIF($G$32:$G$41,2),"ERROR!!!")</f>
        <v>-0.59910578222532029</v>
      </c>
      <c r="M41" s="304">
        <f t="shared" si="7"/>
        <v>3.5549166682105255</v>
      </c>
      <c r="N41" s="304">
        <f t="shared" si="4"/>
        <v>9.3403133279132664</v>
      </c>
      <c r="O41" s="373">
        <f>M41/N41</f>
        <v>0.38059929505648982</v>
      </c>
    </row>
    <row r="45" spans="1:25" ht="18" customHeight="1" x14ac:dyDescent="0.3">
      <c r="A45" s="281" t="s">
        <v>10</v>
      </c>
      <c r="B45" s="282"/>
      <c r="C45" s="282"/>
      <c r="D45" s="282"/>
      <c r="E45" s="282"/>
      <c r="F45" s="283"/>
      <c r="G45" s="350"/>
      <c r="H45" s="281" t="s">
        <v>9</v>
      </c>
      <c r="I45" s="282"/>
      <c r="J45" s="282"/>
      <c r="K45" s="282"/>
      <c r="L45" s="282"/>
      <c r="M45" s="282"/>
      <c r="N45" s="283"/>
    </row>
    <row r="46" spans="1:25" ht="18" customHeight="1" x14ac:dyDescent="0.3">
      <c r="A46" s="351"/>
      <c r="B46" s="352"/>
      <c r="C46" s="353" t="s">
        <v>5</v>
      </c>
      <c r="D46" s="354"/>
      <c r="E46" s="353" t="s">
        <v>6</v>
      </c>
      <c r="F46" s="354"/>
      <c r="G46" s="240" t="s">
        <v>8</v>
      </c>
      <c r="H46" s="355"/>
      <c r="I46" s="356"/>
      <c r="J46" s="356"/>
      <c r="K46" s="357"/>
      <c r="L46" s="357"/>
      <c r="M46" s="358"/>
      <c r="N46" s="358"/>
      <c r="P46" s="269" t="s">
        <v>27</v>
      </c>
      <c r="Q46" s="269"/>
      <c r="R46" s="269"/>
      <c r="S46" s="269"/>
      <c r="U46" s="281" t="s">
        <v>22</v>
      </c>
      <c r="V46" s="282"/>
      <c r="W46" s="282"/>
      <c r="X46" s="282"/>
      <c r="Y46" s="283"/>
    </row>
    <row r="47" spans="1:25" ht="18" customHeight="1" x14ac:dyDescent="0.3">
      <c r="A47" s="259"/>
      <c r="B47" s="359">
        <v>-0.13194444444444442</v>
      </c>
      <c r="C47" s="359" t="s">
        <v>5</v>
      </c>
      <c r="D47" s="359">
        <v>-0.14285714285714288</v>
      </c>
      <c r="E47" s="359" t="s">
        <v>6</v>
      </c>
      <c r="F47" s="359">
        <f>SUM(B47,D47)</f>
        <v>-0.27480158730158732</v>
      </c>
      <c r="G47" s="249">
        <v>2</v>
      </c>
      <c r="H47" s="359">
        <f>IF(OR($G47=1,$G47=2), $F47 + IF($G47=1,1,-1)*$N$23*(EXP(-$F47)/(1+EXP(-$F47))), NA())</f>
        <v>-0.44528297902930497</v>
      </c>
      <c r="I47" s="359">
        <f>IF(G47=1,H47+N(I46),N(I46))</f>
        <v>0</v>
      </c>
      <c r="J47" s="359">
        <f>IF(G47=2,H47+N(J46),N(J46))</f>
        <v>-0.44528297902930497</v>
      </c>
      <c r="K47" s="304">
        <f>IFERROR(I47/COUNTIF($G$47:$G$56,1),"ERROR!!!")</f>
        <v>0</v>
      </c>
      <c r="L47" s="304">
        <f>IFERROR(J47/COUNTIF($G$47:$G$56,2),"ERROR!!!")</f>
        <v>-7.421382983821749E-2</v>
      </c>
      <c r="M47" s="304">
        <f>IF(ROW()=47, 0, M46) + ABS(H47 - IF($G47=1, $K47, $L47))</f>
        <v>0.37106914919108747</v>
      </c>
      <c r="N47" s="304">
        <f>IF(ROW()=47, 0, N46) + ABS(H47 - IF($G47=1, $L47, $K47))</f>
        <v>0.44528297902930497</v>
      </c>
      <c r="P47" s="360"/>
      <c r="Q47" s="361"/>
      <c r="R47" s="316" t="s">
        <v>13</v>
      </c>
      <c r="S47" s="362">
        <f>IF(O56&lt;S32,O56,S32)</f>
        <v>0.38059929505648982</v>
      </c>
      <c r="V47" s="307" t="s">
        <v>80</v>
      </c>
      <c r="W47" s="374"/>
      <c r="X47" s="308"/>
    </row>
    <row r="48" spans="1:25" ht="18" customHeight="1" x14ac:dyDescent="0.3">
      <c r="A48" s="259"/>
      <c r="B48" s="359">
        <v>6.5972222222222224E-2</v>
      </c>
      <c r="C48" s="359" t="s">
        <v>5</v>
      </c>
      <c r="D48" s="359">
        <v>0.14285714285714288</v>
      </c>
      <c r="E48" s="359" t="s">
        <v>6</v>
      </c>
      <c r="F48" s="359">
        <f t="shared" ref="F48:F51" si="8">SUM(B48,D48)</f>
        <v>0.20882936507936511</v>
      </c>
      <c r="G48" s="249">
        <v>1</v>
      </c>
      <c r="H48" s="359">
        <f>IF(OR($G48=1,$G48=2), $F48 + IF($G48=1,1,-1)*$N$23*(EXP(-$F48)/(1+EXP(-$F48))), NA())</f>
        <v>0.34322383423546221</v>
      </c>
      <c r="I48" s="359">
        <f>IF(G48=1,H48+N(I47),N(I47))</f>
        <v>0.34322383423546221</v>
      </c>
      <c r="J48" s="359">
        <f t="shared" ref="J48:J56" si="9">IF(G48=2,H48+N(J47),N(J47))</f>
        <v>-0.44528297902930497</v>
      </c>
      <c r="K48" s="304">
        <f t="shared" ref="K48:K56" si="10">IFERROR(I48/COUNTIF($G$47:$G$56,1),"ERROR!!!")</f>
        <v>8.5805958558865553E-2</v>
      </c>
      <c r="L48" s="304">
        <f t="shared" ref="L48:L56" si="11">IFERROR(J48/COUNTIF($G$47:$G$56,2),"ERROR!!!")</f>
        <v>-7.421382983821749E-2</v>
      </c>
      <c r="M48" s="304">
        <f t="shared" ref="M48:M56" si="12">IF(ROW()=47, 0, M47) + ABS(H48 - IF($G48=1, $K48, $L48))</f>
        <v>0.62848702486768415</v>
      </c>
      <c r="N48" s="304">
        <f t="shared" ref="N48:N55" si="13">IF(ROW()=47, 0, N47) + ABS(H48 - IF($G48=1, $L48, $K48))</f>
        <v>0.86272064310298469</v>
      </c>
      <c r="P48" s="364"/>
      <c r="Q48" s="365"/>
      <c r="R48" s="259" t="s">
        <v>17</v>
      </c>
      <c r="S48" s="366">
        <v>2</v>
      </c>
      <c r="U48" s="375" t="s">
        <v>25</v>
      </c>
      <c r="V48" s="376"/>
      <c r="W48" s="376"/>
      <c r="X48" s="376"/>
      <c r="Y48" s="377"/>
    </row>
    <row r="49" spans="1:25" ht="18" customHeight="1" x14ac:dyDescent="0.3">
      <c r="A49" s="259"/>
      <c r="B49" s="359">
        <v>6.5972222222222224E-2</v>
      </c>
      <c r="C49" s="359" t="s">
        <v>5</v>
      </c>
      <c r="D49" s="359">
        <v>-0.14285714285714288</v>
      </c>
      <c r="E49" s="359" t="s">
        <v>6</v>
      </c>
      <c r="F49" s="359">
        <f t="shared" si="8"/>
        <v>-7.6884920634920653E-2</v>
      </c>
      <c r="G49" s="249">
        <v>2</v>
      </c>
      <c r="H49" s="359">
        <f t="shared" ref="H49:H56" si="14">IF(OR($G49=1,$G49=2), $F49 + IF($G49=1,1,-1)*$N$23*(EXP(-$F49)/(1+EXP(-$F49))), NA())</f>
        <v>-0.23264845080354063</v>
      </c>
      <c r="I49" s="359">
        <f t="shared" ref="I49:I56" si="15">IF(G49=1,H49+N(I48),N(I48))</f>
        <v>0.34322383423546221</v>
      </c>
      <c r="J49" s="359">
        <f>IF(G49=2,H49+N(J48),N(J48))</f>
        <v>-0.6779314298328456</v>
      </c>
      <c r="K49" s="304">
        <f t="shared" si="10"/>
        <v>8.5805958558865553E-2</v>
      </c>
      <c r="L49" s="304">
        <f t="shared" si="11"/>
        <v>-0.1129885716388076</v>
      </c>
      <c r="M49" s="304">
        <f t="shared" si="12"/>
        <v>0.74814690403241713</v>
      </c>
      <c r="N49" s="304">
        <f t="shared" si="13"/>
        <v>1.1811750524653908</v>
      </c>
      <c r="P49" s="368"/>
      <c r="Q49" s="369"/>
      <c r="R49" s="259" t="s">
        <v>15</v>
      </c>
      <c r="S49" s="366">
        <f>IF(O56&lt;S32,S48,S34)</f>
        <v>1</v>
      </c>
      <c r="U49" s="370" t="s">
        <v>24</v>
      </c>
      <c r="V49" s="371"/>
      <c r="W49" s="371"/>
      <c r="X49" s="371"/>
      <c r="Y49" s="372"/>
    </row>
    <row r="50" spans="1:25" ht="18" customHeight="1" x14ac:dyDescent="0.3">
      <c r="A50" s="259"/>
      <c r="B50" s="359">
        <v>-0.13194444444444442</v>
      </c>
      <c r="C50" s="359" t="s">
        <v>5</v>
      </c>
      <c r="D50" s="359">
        <v>-0.14285714285714288</v>
      </c>
      <c r="E50" s="359" t="s">
        <v>6</v>
      </c>
      <c r="F50" s="359">
        <f>SUM(B50,D50)</f>
        <v>-0.27480158730158732</v>
      </c>
      <c r="G50" s="249">
        <v>1</v>
      </c>
      <c r="H50" s="359">
        <f>IF(OR($G50=1,$G50=2), $F50 + IF($G50=1,1,-1)*$N$23*(EXP(-$F50)/(1+EXP(-$F50))), NA())</f>
        <v>-0.10432019557386968</v>
      </c>
      <c r="I50" s="359">
        <f t="shared" si="15"/>
        <v>0.23890363866159253</v>
      </c>
      <c r="J50" s="359">
        <f t="shared" si="9"/>
        <v>-0.6779314298328456</v>
      </c>
      <c r="K50" s="304">
        <f t="shared" si="10"/>
        <v>5.9725909665398133E-2</v>
      </c>
      <c r="L50" s="304">
        <f t="shared" si="11"/>
        <v>-0.1129885716388076</v>
      </c>
      <c r="M50" s="304">
        <f t="shared" si="12"/>
        <v>0.91219300927168501</v>
      </c>
      <c r="N50" s="304">
        <f t="shared" si="13"/>
        <v>1.1898434285303288</v>
      </c>
      <c r="U50" s="378"/>
      <c r="V50" s="379"/>
      <c r="W50" s="379"/>
      <c r="X50" s="379"/>
      <c r="Y50" s="380"/>
    </row>
    <row r="51" spans="1:25" ht="18" customHeight="1" x14ac:dyDescent="0.3">
      <c r="A51" s="259"/>
      <c r="B51" s="359">
        <v>6.5972222222222224E-2</v>
      </c>
      <c r="C51" s="359" t="s">
        <v>5</v>
      </c>
      <c r="D51" s="359">
        <v>0.14285714285714288</v>
      </c>
      <c r="E51" s="359" t="s">
        <v>6</v>
      </c>
      <c r="F51" s="359">
        <f t="shared" si="8"/>
        <v>0.20882936507936511</v>
      </c>
      <c r="G51" s="249">
        <v>1</v>
      </c>
      <c r="H51" s="359">
        <f>IF(OR($G51=1,$G51=2), $F51 + IF($G51=1,1,-1)*$N$23*(EXP(-$F51)/(1+EXP(-$F51))), NA())</f>
        <v>0.34322383423546221</v>
      </c>
      <c r="I51" s="359">
        <f t="shared" si="15"/>
        <v>0.58212747289705469</v>
      </c>
      <c r="J51" s="359">
        <f t="shared" si="9"/>
        <v>-0.6779314298328456</v>
      </c>
      <c r="K51" s="304">
        <f>IFERROR(I51/COUNTIF($G$47:$G$56,1),"ERROR!!!")</f>
        <v>0.14553186822426367</v>
      </c>
      <c r="L51" s="304">
        <f t="shared" si="11"/>
        <v>-0.1129885716388076</v>
      </c>
      <c r="M51" s="304">
        <f t="shared" si="12"/>
        <v>1.1098849752828834</v>
      </c>
      <c r="N51" s="304">
        <f>IF(ROW()=47, 0, N50) + ABS(H51 - IF($G51=1, $L51, $K51))</f>
        <v>1.6460558344045986</v>
      </c>
      <c r="U51" s="381"/>
      <c r="V51" s="382"/>
      <c r="W51" s="382"/>
      <c r="X51" s="382"/>
      <c r="Y51" s="383"/>
    </row>
    <row r="52" spans="1:25" ht="18" customHeight="1" x14ac:dyDescent="0.3">
      <c r="A52" s="259"/>
      <c r="B52" s="359">
        <v>-0.13194444444444442</v>
      </c>
      <c r="C52" s="359" t="s">
        <v>5</v>
      </c>
      <c r="D52" s="359">
        <v>-0.14285714285714288</v>
      </c>
      <c r="E52" s="359" t="s">
        <v>6</v>
      </c>
      <c r="F52" s="359">
        <f>SUM(B52,D52)</f>
        <v>-0.27480158730158732</v>
      </c>
      <c r="G52" s="249">
        <v>1</v>
      </c>
      <c r="H52" s="359">
        <f t="shared" si="14"/>
        <v>-0.10432019557386968</v>
      </c>
      <c r="I52" s="359">
        <f t="shared" si="15"/>
        <v>0.47780727732318501</v>
      </c>
      <c r="J52" s="359">
        <f t="shared" si="9"/>
        <v>-0.6779314298328456</v>
      </c>
      <c r="K52" s="304">
        <f t="shared" si="10"/>
        <v>0.11945181933079625</v>
      </c>
      <c r="L52" s="304">
        <f t="shared" si="11"/>
        <v>-0.1129885716388076</v>
      </c>
      <c r="M52" s="304">
        <f t="shared" si="12"/>
        <v>1.3336569901875492</v>
      </c>
      <c r="N52" s="304">
        <f t="shared" si="13"/>
        <v>1.6547242104695365</v>
      </c>
    </row>
    <row r="53" spans="1:25" ht="18" customHeight="1" x14ac:dyDescent="0.3">
      <c r="A53" s="259"/>
      <c r="B53" s="359">
        <v>6.5972222222222224E-2</v>
      </c>
      <c r="C53" s="359" t="s">
        <v>5</v>
      </c>
      <c r="D53" s="359">
        <v>-0.14285714285714288</v>
      </c>
      <c r="E53" s="359" t="s">
        <v>6</v>
      </c>
      <c r="F53" s="359">
        <f t="shared" ref="F53:F56" si="16">SUM(B53,D53)</f>
        <v>-7.6884920634920653E-2</v>
      </c>
      <c r="G53" s="249">
        <v>2</v>
      </c>
      <c r="H53" s="359">
        <f t="shared" si="14"/>
        <v>-0.23264845080354063</v>
      </c>
      <c r="I53" s="359">
        <f t="shared" si="15"/>
        <v>0.47780727732318501</v>
      </c>
      <c r="J53" s="359">
        <f t="shared" si="9"/>
        <v>-0.91057988063638629</v>
      </c>
      <c r="K53" s="304">
        <f t="shared" si="10"/>
        <v>0.11945181933079625</v>
      </c>
      <c r="L53" s="304">
        <f t="shared" si="11"/>
        <v>-0.15176331343939772</v>
      </c>
      <c r="M53" s="304">
        <f t="shared" si="12"/>
        <v>1.4145421275516921</v>
      </c>
      <c r="N53" s="304">
        <f t="shared" si="13"/>
        <v>2.0068244806038735</v>
      </c>
    </row>
    <row r="54" spans="1:25" ht="18" customHeight="1" x14ac:dyDescent="0.3">
      <c r="A54" s="259"/>
      <c r="B54" s="359">
        <v>-0.13194444444444442</v>
      </c>
      <c r="C54" s="359" t="s">
        <v>5</v>
      </c>
      <c r="D54" s="359">
        <v>-0.14285714285714288</v>
      </c>
      <c r="E54" s="359" t="s">
        <v>6</v>
      </c>
      <c r="F54" s="359">
        <f t="shared" si="16"/>
        <v>-0.27480158730158732</v>
      </c>
      <c r="G54" s="249">
        <v>2</v>
      </c>
      <c r="H54" s="359">
        <f t="shared" si="14"/>
        <v>-0.44528297902930497</v>
      </c>
      <c r="I54" s="359">
        <f>IF(G54=1,H54+N(I53),N(I53))</f>
        <v>0.47780727732318501</v>
      </c>
      <c r="J54" s="359">
        <f t="shared" si="9"/>
        <v>-1.3558628596656912</v>
      </c>
      <c r="K54" s="304">
        <f t="shared" si="10"/>
        <v>0.11945181933079625</v>
      </c>
      <c r="L54" s="304">
        <f t="shared" si="11"/>
        <v>-0.2259771432776152</v>
      </c>
      <c r="M54" s="304">
        <f t="shared" si="12"/>
        <v>1.6338479633033818</v>
      </c>
      <c r="N54" s="304">
        <f t="shared" si="13"/>
        <v>2.5715592789639747</v>
      </c>
      <c r="O54" s="354"/>
    </row>
    <row r="55" spans="1:25" ht="18" customHeight="1" x14ac:dyDescent="0.3">
      <c r="A55" s="259"/>
      <c r="B55" s="359">
        <v>-0.13194444444444442</v>
      </c>
      <c r="C55" s="359" t="s">
        <v>5</v>
      </c>
      <c r="D55" s="359">
        <v>-0.14285714285714288</v>
      </c>
      <c r="E55" s="359" t="s">
        <v>6</v>
      </c>
      <c r="F55" s="359">
        <f t="shared" si="16"/>
        <v>-0.27480158730158732</v>
      </c>
      <c r="G55" s="249">
        <v>2</v>
      </c>
      <c r="H55" s="359">
        <f t="shared" si="14"/>
        <v>-0.44528297902930497</v>
      </c>
      <c r="I55" s="359">
        <f t="shared" si="15"/>
        <v>0.47780727732318501</v>
      </c>
      <c r="J55" s="359">
        <f t="shared" si="9"/>
        <v>-1.8011458386949961</v>
      </c>
      <c r="K55" s="304">
        <f>IFERROR(I55/COUNTIF($G$47:$G$56,1),"ERROR!!!")</f>
        <v>0.11945181933079625</v>
      </c>
      <c r="L55" s="304">
        <f t="shared" si="11"/>
        <v>-0.3001909731158327</v>
      </c>
      <c r="M55" s="304">
        <f>IF(ROW()=47, 0, M54) + ABS(H55 - IF($G55=1, $K55, $L55))</f>
        <v>1.7789399692168542</v>
      </c>
      <c r="N55" s="304">
        <f t="shared" si="13"/>
        <v>3.1362940773240759</v>
      </c>
      <c r="O55" s="358"/>
    </row>
    <row r="56" spans="1:25" ht="18" customHeight="1" x14ac:dyDescent="0.3">
      <c r="A56" s="259"/>
      <c r="B56" s="359">
        <v>-0.13194444444444442</v>
      </c>
      <c r="C56" s="359" t="s">
        <v>5</v>
      </c>
      <c r="D56" s="359">
        <v>0.14285714285714288</v>
      </c>
      <c r="E56" s="359" t="s">
        <v>6</v>
      </c>
      <c r="F56" s="359">
        <f t="shared" si="16"/>
        <v>1.0912698412698457E-2</v>
      </c>
      <c r="G56" s="249">
        <v>2</v>
      </c>
      <c r="H56" s="359">
        <f t="shared" si="14"/>
        <v>-0.13826885732850475</v>
      </c>
      <c r="I56" s="359">
        <f t="shared" si="15"/>
        <v>0.47780727732318501</v>
      </c>
      <c r="J56" s="359">
        <f t="shared" si="9"/>
        <v>-1.9394146960235008</v>
      </c>
      <c r="K56" s="304">
        <f t="shared" si="10"/>
        <v>0.11945181933079625</v>
      </c>
      <c r="L56" s="304">
        <f t="shared" si="11"/>
        <v>-0.32323578267058345</v>
      </c>
      <c r="M56" s="304">
        <f t="shared" si="12"/>
        <v>1.9639068945589329</v>
      </c>
      <c r="N56" s="304">
        <f>IF(ROW()=47, 0, N55) + ABS(H56 - IF($G56=1, $L56, $K56))</f>
        <v>3.3940147539833769</v>
      </c>
      <c r="O56" s="373">
        <f>M56/N56</f>
        <v>0.57863829031797764</v>
      </c>
    </row>
    <row r="60" spans="1:25" ht="18" customHeight="1" x14ac:dyDescent="0.3">
      <c r="A60" s="281" t="s">
        <v>10</v>
      </c>
      <c r="B60" s="282"/>
      <c r="C60" s="282"/>
      <c r="D60" s="282"/>
      <c r="E60" s="282"/>
      <c r="F60" s="283"/>
      <c r="G60" s="350"/>
      <c r="H60" s="281" t="s">
        <v>9</v>
      </c>
      <c r="I60" s="282"/>
      <c r="J60" s="282"/>
      <c r="K60" s="282"/>
      <c r="L60" s="282"/>
      <c r="M60" s="282"/>
      <c r="N60" s="283"/>
    </row>
    <row r="61" spans="1:25" ht="18" customHeight="1" x14ac:dyDescent="0.3">
      <c r="A61" s="351"/>
      <c r="B61" s="352"/>
      <c r="C61" s="353" t="s">
        <v>5</v>
      </c>
      <c r="D61" s="354"/>
      <c r="E61" s="353" t="s">
        <v>6</v>
      </c>
      <c r="F61" s="354"/>
      <c r="G61" s="240" t="s">
        <v>8</v>
      </c>
      <c r="H61" s="355"/>
      <c r="I61" s="356"/>
      <c r="J61" s="356"/>
      <c r="K61" s="357"/>
      <c r="L61" s="357"/>
      <c r="M61" s="358"/>
      <c r="N61" s="358"/>
      <c r="P61" s="269" t="s">
        <v>27</v>
      </c>
      <c r="Q61" s="269"/>
      <c r="R61" s="269"/>
      <c r="S61" s="269"/>
    </row>
    <row r="62" spans="1:25" ht="18" customHeight="1" x14ac:dyDescent="0.3">
      <c r="A62" s="259"/>
      <c r="B62" s="359">
        <v>-0.13194444444444442</v>
      </c>
      <c r="C62" s="359" t="s">
        <v>5</v>
      </c>
      <c r="D62" s="359">
        <v>-0.24074050000000002</v>
      </c>
      <c r="E62" s="359" t="s">
        <v>6</v>
      </c>
      <c r="F62" s="359">
        <f>SUM(B62,D62)</f>
        <v>-0.37268494444444444</v>
      </c>
      <c r="G62" s="249">
        <v>2</v>
      </c>
      <c r="H62" s="359">
        <f t="shared" ref="H62:H71" si="17">IF(OR($G62=1,$G62=2), $F62 + IF($G62=1,1,-1)*$N$23*(EXP(-$F62)/(1+EXP(-$F62))), NA())</f>
        <v>-0.55031722324544141</v>
      </c>
      <c r="I62" s="359">
        <f>IF(G62=1,H62+N(I61),N(I61))</f>
        <v>0</v>
      </c>
      <c r="J62" s="359">
        <f>IF(G62=2,H62+N(J61),N(J61))</f>
        <v>-0.55031722324544141</v>
      </c>
      <c r="K62" s="304">
        <f>IFERROR(I62/COUNTIF($G$62:$G$71,1),"ERROR!!!")</f>
        <v>0</v>
      </c>
      <c r="L62" s="304">
        <f>IFERROR(J62/COUNTIF($G$62:$G$71,2),"ERROR!!!")</f>
        <v>-9.1719537207573573E-2</v>
      </c>
      <c r="M62" s="304">
        <f>IF(ROW()=62, 0, M61) + ABS(H62 - IF($G62=1, $K62, $L62))</f>
        <v>0.45859768603786782</v>
      </c>
      <c r="N62" s="304">
        <f>IF(ROW()=62, 0, N61) + ABS(H62 - IF($G62=1, $L62, $K62))</f>
        <v>0.55031722324544141</v>
      </c>
      <c r="P62" s="360"/>
      <c r="Q62" s="361"/>
      <c r="R62" s="316" t="s">
        <v>13</v>
      </c>
      <c r="S62" s="362">
        <f>IF(O71&lt;S47,O71,S47)</f>
        <v>0.38059929505648982</v>
      </c>
    </row>
    <row r="63" spans="1:25" ht="18" customHeight="1" x14ac:dyDescent="0.3">
      <c r="A63" s="259"/>
      <c r="B63" s="359">
        <v>6.5972222222222224E-2</v>
      </c>
      <c r="C63" s="359" t="s">
        <v>5</v>
      </c>
      <c r="D63" s="359">
        <v>0.24074050000000002</v>
      </c>
      <c r="E63" s="359" t="s">
        <v>6</v>
      </c>
      <c r="F63" s="359">
        <f t="shared" ref="F63:F66" si="18">SUM(B63,D63)</f>
        <v>0.30671272222222223</v>
      </c>
      <c r="G63" s="249">
        <v>1</v>
      </c>
      <c r="H63" s="359">
        <f t="shared" si="17"/>
        <v>0.43388792068550208</v>
      </c>
      <c r="I63" s="359">
        <f t="shared" ref="I63:I71" si="19">IF(G63=1,H63+N(I62),N(I62))</f>
        <v>0.43388792068550208</v>
      </c>
      <c r="J63" s="359">
        <f t="shared" ref="J63:J71" si="20">IF(G63=2,H63+N(J62),N(J62))</f>
        <v>-0.55031722324544141</v>
      </c>
      <c r="K63" s="304">
        <f t="shared" ref="K63:K71" si="21">IFERROR(I63/COUNTIF($G$62:$G$71,1),"ERROR!!!")</f>
        <v>0.10847198017137552</v>
      </c>
      <c r="L63" s="304">
        <f t="shared" ref="L63:L71" si="22">IFERROR(J63/COUNTIF($G$62:$G$71,2),"ERROR!!!")</f>
        <v>-9.1719537207573573E-2</v>
      </c>
      <c r="M63" s="304">
        <f t="shared" ref="M63:M71" si="23">IF(ROW()=62, 0, M62) + ABS(H63 - IF($G63=1, $K63, $L63))</f>
        <v>0.78401362655199436</v>
      </c>
      <c r="N63" s="304">
        <f t="shared" ref="N63:N71" si="24">IF(ROW()=62, 0, N62) + ABS(H63 - IF($G63=1, $L63, $K63))</f>
        <v>1.075924681138517</v>
      </c>
      <c r="P63" s="364"/>
      <c r="Q63" s="365"/>
      <c r="R63" s="259" t="s">
        <v>17</v>
      </c>
      <c r="S63" s="366">
        <v>4</v>
      </c>
    </row>
    <row r="64" spans="1:25" ht="18" customHeight="1" x14ac:dyDescent="0.3">
      <c r="A64" s="259"/>
      <c r="B64" s="359">
        <v>6.5972222222222224E-2</v>
      </c>
      <c r="C64" s="359" t="s">
        <v>5</v>
      </c>
      <c r="D64" s="359">
        <v>-0.24074050000000002</v>
      </c>
      <c r="E64" s="359" t="s">
        <v>6</v>
      </c>
      <c r="F64" s="359">
        <f t="shared" si="18"/>
        <v>-0.17476827777777781</v>
      </c>
      <c r="G64" s="249">
        <v>2</v>
      </c>
      <c r="H64" s="359">
        <f t="shared" si="17"/>
        <v>-0.33784263699093287</v>
      </c>
      <c r="I64" s="359">
        <f t="shared" si="19"/>
        <v>0.43388792068550208</v>
      </c>
      <c r="J64" s="359">
        <f t="shared" si="20"/>
        <v>-0.88815986023637428</v>
      </c>
      <c r="K64" s="304">
        <f t="shared" si="21"/>
        <v>0.10847198017137552</v>
      </c>
      <c r="L64" s="304">
        <f t="shared" si="22"/>
        <v>-0.14802664337272906</v>
      </c>
      <c r="M64" s="304">
        <f t="shared" si="23"/>
        <v>0.97382962017019814</v>
      </c>
      <c r="N64" s="304">
        <f t="shared" si="24"/>
        <v>1.5222392983008253</v>
      </c>
      <c r="P64" s="368"/>
      <c r="Q64" s="369"/>
      <c r="R64" s="259" t="s">
        <v>15</v>
      </c>
      <c r="S64" s="366">
        <f>IF(O71&lt;S47,S63,S49)</f>
        <v>1</v>
      </c>
    </row>
    <row r="65" spans="1:19" ht="18" customHeight="1" x14ac:dyDescent="0.3">
      <c r="A65" s="259"/>
      <c r="B65" s="359">
        <v>-0.13194444444444442</v>
      </c>
      <c r="C65" s="359" t="s">
        <v>5</v>
      </c>
      <c r="D65" s="359">
        <v>-0.24074050000000002</v>
      </c>
      <c r="E65" s="359" t="s">
        <v>6</v>
      </c>
      <c r="F65" s="359">
        <f t="shared" si="18"/>
        <v>-0.37268494444444444</v>
      </c>
      <c r="G65" s="249">
        <v>1</v>
      </c>
      <c r="H65" s="359">
        <f t="shared" si="17"/>
        <v>-0.1950526656434475</v>
      </c>
      <c r="I65" s="359">
        <f t="shared" si="19"/>
        <v>0.23883525504205458</v>
      </c>
      <c r="J65" s="359">
        <f t="shared" si="20"/>
        <v>-0.88815986023637428</v>
      </c>
      <c r="K65" s="304">
        <f t="shared" si="21"/>
        <v>5.9708813760513645E-2</v>
      </c>
      <c r="L65" s="304">
        <f t="shared" si="22"/>
        <v>-0.14802664337272906</v>
      </c>
      <c r="M65" s="304">
        <f t="shared" si="23"/>
        <v>1.2285910995741594</v>
      </c>
      <c r="N65" s="304">
        <f t="shared" si="24"/>
        <v>1.5692653205715437</v>
      </c>
    </row>
    <row r="66" spans="1:19" ht="18" customHeight="1" x14ac:dyDescent="0.3">
      <c r="A66" s="259"/>
      <c r="B66" s="359">
        <v>6.5972222222222224E-2</v>
      </c>
      <c r="C66" s="359" t="s">
        <v>5</v>
      </c>
      <c r="D66" s="359">
        <v>0.24074050000000002</v>
      </c>
      <c r="E66" s="359" t="s">
        <v>6</v>
      </c>
      <c r="F66" s="359">
        <f t="shared" si="18"/>
        <v>0.30671272222222223</v>
      </c>
      <c r="G66" s="249">
        <v>1</v>
      </c>
      <c r="H66" s="359">
        <f t="shared" si="17"/>
        <v>0.43388792068550208</v>
      </c>
      <c r="I66" s="359">
        <f>IF(G66=1,H66+N(I65),N(I65))</f>
        <v>0.67272317572755669</v>
      </c>
      <c r="J66" s="359">
        <f t="shared" si="20"/>
        <v>-0.88815986023637428</v>
      </c>
      <c r="K66" s="304">
        <f t="shared" si="21"/>
        <v>0.16818079393188917</v>
      </c>
      <c r="L66" s="304">
        <f t="shared" si="22"/>
        <v>-0.14802664337272906</v>
      </c>
      <c r="M66" s="304">
        <f t="shared" si="23"/>
        <v>1.4942982263277722</v>
      </c>
      <c r="N66" s="304">
        <f t="shared" si="24"/>
        <v>2.1511798846297747</v>
      </c>
    </row>
    <row r="67" spans="1:19" ht="18" customHeight="1" x14ac:dyDescent="0.3">
      <c r="A67" s="259"/>
      <c r="B67" s="359">
        <v>-0.13194444444444442</v>
      </c>
      <c r="C67" s="359" t="s">
        <v>5</v>
      </c>
      <c r="D67" s="359">
        <v>0.24074050000000002</v>
      </c>
      <c r="E67" s="359" t="s">
        <v>6</v>
      </c>
      <c r="F67" s="359">
        <f>SUM(B67,D67)</f>
        <v>0.1087960555555556</v>
      </c>
      <c r="G67" s="249">
        <v>1</v>
      </c>
      <c r="H67" s="359">
        <f t="shared" si="17"/>
        <v>0.25064439045726844</v>
      </c>
      <c r="I67" s="359">
        <f t="shared" si="19"/>
        <v>0.92336756618482507</v>
      </c>
      <c r="J67" s="359">
        <f t="shared" si="20"/>
        <v>-0.88815986023637428</v>
      </c>
      <c r="K67" s="304">
        <f t="shared" si="21"/>
        <v>0.23084189154620627</v>
      </c>
      <c r="L67" s="304">
        <f t="shared" si="22"/>
        <v>-0.14802664337272906</v>
      </c>
      <c r="M67" s="304">
        <f t="shared" si="23"/>
        <v>1.5141007252388343</v>
      </c>
      <c r="N67" s="304">
        <f t="shared" si="24"/>
        <v>2.5498509184597724</v>
      </c>
    </row>
    <row r="68" spans="1:19" ht="18" customHeight="1" x14ac:dyDescent="0.3">
      <c r="A68" s="259"/>
      <c r="B68" s="359">
        <v>6.5972222222222224E-2</v>
      </c>
      <c r="C68" s="359" t="s">
        <v>5</v>
      </c>
      <c r="D68" s="359">
        <v>-0.24074050000000002</v>
      </c>
      <c r="E68" s="359" t="s">
        <v>6</v>
      </c>
      <c r="F68" s="359">
        <f t="shared" ref="F68:F70" si="25">SUM(B68,D68)</f>
        <v>-0.17476827777777781</v>
      </c>
      <c r="G68" s="249">
        <v>2</v>
      </c>
      <c r="H68" s="359">
        <f t="shared" si="17"/>
        <v>-0.33784263699093287</v>
      </c>
      <c r="I68" s="359">
        <f t="shared" si="19"/>
        <v>0.92336756618482507</v>
      </c>
      <c r="J68" s="359">
        <f t="shared" si="20"/>
        <v>-1.2260024972273071</v>
      </c>
      <c r="K68" s="304">
        <f t="shared" si="21"/>
        <v>0.23084189154620627</v>
      </c>
      <c r="L68" s="304">
        <f>IFERROR(J68/COUNTIF($G$62:$G$71,2),"ERROR!!!")</f>
        <v>-0.20433374953788452</v>
      </c>
      <c r="M68" s="304">
        <f>IF(ROW()=62, 0, M67) + ABS(H68 - IF($G68=1, $K68, $L68))</f>
        <v>1.6476096126918827</v>
      </c>
      <c r="N68" s="304">
        <f t="shared" si="24"/>
        <v>3.1185354469969115</v>
      </c>
    </row>
    <row r="69" spans="1:19" ht="18" customHeight="1" x14ac:dyDescent="0.3">
      <c r="A69" s="259"/>
      <c r="B69" s="359">
        <v>-0.13194444444444442</v>
      </c>
      <c r="C69" s="359" t="s">
        <v>5</v>
      </c>
      <c r="D69" s="359">
        <v>0.24074050000000002</v>
      </c>
      <c r="E69" s="359" t="s">
        <v>6</v>
      </c>
      <c r="F69" s="359">
        <f t="shared" si="25"/>
        <v>0.1087960555555556</v>
      </c>
      <c r="G69" s="249">
        <v>2</v>
      </c>
      <c r="H69" s="359">
        <f t="shared" si="17"/>
        <v>-3.3052279346157232E-2</v>
      </c>
      <c r="I69" s="359">
        <f t="shared" si="19"/>
        <v>0.92336756618482507</v>
      </c>
      <c r="J69" s="359">
        <f t="shared" si="20"/>
        <v>-1.2590547765734643</v>
      </c>
      <c r="K69" s="304">
        <f t="shared" si="21"/>
        <v>0.23084189154620627</v>
      </c>
      <c r="L69" s="304">
        <f t="shared" si="22"/>
        <v>-0.20984246276224405</v>
      </c>
      <c r="M69" s="304">
        <f t="shared" si="23"/>
        <v>1.8243997961079694</v>
      </c>
      <c r="N69" s="304">
        <f t="shared" si="24"/>
        <v>3.382429617889275</v>
      </c>
      <c r="O69" s="354"/>
    </row>
    <row r="70" spans="1:19" ht="18" customHeight="1" x14ac:dyDescent="0.3">
      <c r="A70" s="259"/>
      <c r="B70" s="359">
        <v>-0.13194444444444442</v>
      </c>
      <c r="C70" s="359" t="s">
        <v>5</v>
      </c>
      <c r="D70" s="359">
        <v>-0.24074050000000002</v>
      </c>
      <c r="E70" s="359" t="s">
        <v>6</v>
      </c>
      <c r="F70" s="359">
        <f t="shared" si="25"/>
        <v>-0.37268494444444444</v>
      </c>
      <c r="G70" s="249">
        <v>2</v>
      </c>
      <c r="H70" s="359">
        <f t="shared" si="17"/>
        <v>-0.55031722324544141</v>
      </c>
      <c r="I70" s="359">
        <f>IF(G70=1,H70+N(I69),N(I69))</f>
        <v>0.92336756618482507</v>
      </c>
      <c r="J70" s="359">
        <f t="shared" si="20"/>
        <v>-1.8093719998189057</v>
      </c>
      <c r="K70" s="304">
        <f>IFERROR(I70/COUNTIF($G$62:$G$71,1),"ERROR!!!")</f>
        <v>0.23084189154620627</v>
      </c>
      <c r="L70" s="304">
        <f t="shared" si="22"/>
        <v>-0.30156199996981764</v>
      </c>
      <c r="M70" s="304">
        <f t="shared" si="23"/>
        <v>2.0731550193835933</v>
      </c>
      <c r="N70" s="304">
        <f>IF(ROW()=62, 0, N69) + ABS(H70 - IF($G70=1, $L70, $K70))</f>
        <v>4.1635887326809229</v>
      </c>
      <c r="O70" s="358"/>
    </row>
    <row r="71" spans="1:19" ht="18" customHeight="1" x14ac:dyDescent="0.3">
      <c r="A71" s="259"/>
      <c r="B71" s="359">
        <v>-0.13194444444444442</v>
      </c>
      <c r="C71" s="359" t="s">
        <v>5</v>
      </c>
      <c r="D71" s="359">
        <v>-0.24074050000000002</v>
      </c>
      <c r="E71" s="359" t="s">
        <v>6</v>
      </c>
      <c r="F71" s="359">
        <f>SUM(B71,D71)</f>
        <v>-0.37268494444444444</v>
      </c>
      <c r="G71" s="249">
        <v>2</v>
      </c>
      <c r="H71" s="359">
        <f t="shared" si="17"/>
        <v>-0.55031722324544141</v>
      </c>
      <c r="I71" s="359">
        <f t="shared" si="19"/>
        <v>0.92336756618482507</v>
      </c>
      <c r="J71" s="359">
        <f t="shared" si="20"/>
        <v>-2.3596892230643469</v>
      </c>
      <c r="K71" s="304">
        <f t="shared" si="21"/>
        <v>0.23084189154620627</v>
      </c>
      <c r="L71" s="304">
        <f t="shared" si="22"/>
        <v>-0.39328153717739117</v>
      </c>
      <c r="M71" s="304">
        <f t="shared" si="23"/>
        <v>2.2301907054516437</v>
      </c>
      <c r="N71" s="304">
        <f t="shared" si="24"/>
        <v>4.9447478474725708</v>
      </c>
      <c r="O71" s="373">
        <f>M71/N71</f>
        <v>0.45102212979203182</v>
      </c>
    </row>
    <row r="75" spans="1:19" ht="18" customHeight="1" x14ac:dyDescent="0.3">
      <c r="A75" s="281" t="s">
        <v>10</v>
      </c>
      <c r="B75" s="282"/>
      <c r="C75" s="282"/>
      <c r="D75" s="282"/>
      <c r="E75" s="282"/>
      <c r="F75" s="283"/>
      <c r="G75" s="350"/>
      <c r="H75" s="281" t="s">
        <v>9</v>
      </c>
      <c r="I75" s="282"/>
      <c r="J75" s="282"/>
      <c r="K75" s="282"/>
      <c r="L75" s="282"/>
      <c r="M75" s="282"/>
      <c r="N75" s="283"/>
    </row>
    <row r="76" spans="1:19" ht="18" customHeight="1" x14ac:dyDescent="0.3">
      <c r="A76" s="351"/>
      <c r="B76" s="352"/>
      <c r="C76" s="353" t="s">
        <v>5</v>
      </c>
      <c r="D76" s="354"/>
      <c r="E76" s="353" t="s">
        <v>6</v>
      </c>
      <c r="F76" s="354"/>
      <c r="G76" s="240" t="s">
        <v>8</v>
      </c>
      <c r="H76" s="355"/>
      <c r="I76" s="356"/>
      <c r="J76" s="356"/>
      <c r="K76" s="357"/>
      <c r="L76" s="357"/>
      <c r="M76" s="358"/>
      <c r="N76" s="358"/>
      <c r="P76" s="269" t="s">
        <v>27</v>
      </c>
      <c r="Q76" s="269"/>
      <c r="R76" s="269"/>
      <c r="S76" s="269"/>
    </row>
    <row r="77" spans="1:19" ht="18" customHeight="1" x14ac:dyDescent="0.3">
      <c r="A77" s="259"/>
      <c r="B77" s="359">
        <v>-0.13194444444444442</v>
      </c>
      <c r="C77" s="359" t="s">
        <v>5</v>
      </c>
      <c r="D77" s="359">
        <v>-5.3571500000000001E-2</v>
      </c>
      <c r="E77" s="359" t="s">
        <v>6</v>
      </c>
      <c r="F77" s="359">
        <f>SUM(B77,D77)</f>
        <v>-0.18551594444444441</v>
      </c>
      <c r="G77" s="249">
        <v>2</v>
      </c>
      <c r="H77" s="359">
        <f t="shared" ref="H77:H86" si="26">IF(OR($G77=1,$G77=2), $F77 + IF($G77=1,1,-1)*$N$23*(EXP(-$F77)/(1+EXP(-$F77))), NA())</f>
        <v>-0.34938987246602293</v>
      </c>
      <c r="I77" s="359">
        <f>IF(G77=1,H77+N(I76),N(I76))</f>
        <v>0</v>
      </c>
      <c r="J77" s="359">
        <f>IF(G77=2,H77+N(J76),N(J76))</f>
        <v>-0.34938987246602293</v>
      </c>
      <c r="K77" s="304">
        <f>IFERROR(I77/COUNTIF($G$77:$G$86,1),"ERROR!!!")</f>
        <v>0</v>
      </c>
      <c r="L77" s="304">
        <f>IFERROR(J77/COUNTIF($G$77:$G$86,2),"ERROR!!!")</f>
        <v>-5.823164541100382E-2</v>
      </c>
      <c r="M77" s="304">
        <f>IF(ROW()=77, 0, M76) + ABS(H77 - IF($G77=1, $K77, $L77))</f>
        <v>0.29115822705501909</v>
      </c>
      <c r="N77" s="304">
        <f>IF(ROW()=77, 0, N76) + ABS(H77 - IF($G77=1, $L77, $K77))</f>
        <v>0.34938987246602293</v>
      </c>
      <c r="P77" s="360"/>
      <c r="Q77" s="361"/>
      <c r="R77" s="316" t="s">
        <v>13</v>
      </c>
      <c r="S77" s="362">
        <f>IF(O86&lt;S62,O86,S62)</f>
        <v>0.37837967464975042</v>
      </c>
    </row>
    <row r="78" spans="1:19" ht="18" customHeight="1" x14ac:dyDescent="0.3">
      <c r="A78" s="259"/>
      <c r="B78" s="359">
        <v>6.5972222222222224E-2</v>
      </c>
      <c r="C78" s="359" t="s">
        <v>5</v>
      </c>
      <c r="D78" s="359">
        <v>-5.3571500000000001E-2</v>
      </c>
      <c r="E78" s="359" t="s">
        <v>6</v>
      </c>
      <c r="F78" s="359">
        <f t="shared" ref="F78:F81" si="27">SUM(B78,D78)</f>
        <v>1.2400722222222223E-2</v>
      </c>
      <c r="G78" s="249">
        <v>1</v>
      </c>
      <c r="H78" s="359">
        <f t="shared" si="26"/>
        <v>0.16147067997385453</v>
      </c>
      <c r="I78" s="359">
        <f t="shared" ref="I78:I86" si="28">IF(G78=1,H78+N(I77),N(I77))</f>
        <v>0.16147067997385453</v>
      </c>
      <c r="J78" s="359">
        <f t="shared" ref="J78:J86" si="29">IF(G78=2,H78+N(J77),N(J77))</f>
        <v>-0.34938987246602293</v>
      </c>
      <c r="K78" s="304">
        <f t="shared" ref="K78:K86" si="30">IFERROR(I78/COUNTIF($G$77:$G$86,1),"ERROR!!!")</f>
        <v>4.0367669993463633E-2</v>
      </c>
      <c r="L78" s="304">
        <f t="shared" ref="L78:L86" si="31">IFERROR(J78/COUNTIF($G$77:$G$86,2),"ERROR!!!")</f>
        <v>-5.823164541100382E-2</v>
      </c>
      <c r="M78" s="304">
        <f t="shared" ref="M78:M85" si="32">IF(ROW()=77, 0, M77) + ABS(H78 - IF($G78=1, $K78, $L78))</f>
        <v>0.41226123703540996</v>
      </c>
      <c r="N78" s="304">
        <f t="shared" ref="N78:N86" si="33">IF(ROW()=77, 0, N77) + ABS(H78 - IF($G78=1, $L78, $K78))</f>
        <v>0.56909219785088128</v>
      </c>
      <c r="P78" s="364"/>
      <c r="Q78" s="365"/>
      <c r="R78" s="259" t="s">
        <v>17</v>
      </c>
      <c r="S78" s="366">
        <v>5</v>
      </c>
    </row>
    <row r="79" spans="1:19" ht="18" customHeight="1" x14ac:dyDescent="0.3">
      <c r="A79" s="259"/>
      <c r="B79" s="359">
        <v>6.5972222222222224E-2</v>
      </c>
      <c r="C79" s="359" t="s">
        <v>5</v>
      </c>
      <c r="D79" s="359">
        <v>-5.3571500000000001E-2</v>
      </c>
      <c r="E79" s="359" t="s">
        <v>6</v>
      </c>
      <c r="F79" s="359">
        <f t="shared" si="27"/>
        <v>1.2400722222222223E-2</v>
      </c>
      <c r="G79" s="249">
        <v>2</v>
      </c>
      <c r="H79" s="359">
        <f t="shared" si="26"/>
        <v>-0.1366692355294101</v>
      </c>
      <c r="I79" s="359">
        <f t="shared" si="28"/>
        <v>0.16147067997385453</v>
      </c>
      <c r="J79" s="359">
        <f t="shared" si="29"/>
        <v>-0.48605910799543306</v>
      </c>
      <c r="K79" s="304">
        <f t="shared" si="30"/>
        <v>4.0367669993463633E-2</v>
      </c>
      <c r="L79" s="304">
        <f t="shared" si="31"/>
        <v>-8.1009851332572172E-2</v>
      </c>
      <c r="M79" s="304">
        <f t="shared" si="32"/>
        <v>0.46792062123224787</v>
      </c>
      <c r="N79" s="304">
        <f t="shared" si="33"/>
        <v>0.74612910337375504</v>
      </c>
      <c r="P79" s="368"/>
      <c r="Q79" s="369"/>
      <c r="R79" s="259" t="s">
        <v>15</v>
      </c>
      <c r="S79" s="366">
        <f>IF(O86&lt;S62,S78,S64)</f>
        <v>5</v>
      </c>
    </row>
    <row r="80" spans="1:19" ht="18" customHeight="1" x14ac:dyDescent="0.3">
      <c r="A80" s="259"/>
      <c r="B80" s="359">
        <v>-0.13194444444444442</v>
      </c>
      <c r="C80" s="359" t="s">
        <v>5</v>
      </c>
      <c r="D80" s="359">
        <v>-5.3571500000000001E-2</v>
      </c>
      <c r="E80" s="359" t="s">
        <v>6</v>
      </c>
      <c r="F80" s="359">
        <f t="shared" si="27"/>
        <v>-0.18551594444444441</v>
      </c>
      <c r="G80" s="249">
        <v>1</v>
      </c>
      <c r="H80" s="359">
        <f t="shared" si="26"/>
        <v>-2.1642016422865867E-2</v>
      </c>
      <c r="I80" s="359">
        <f t="shared" si="28"/>
        <v>0.13982866355098866</v>
      </c>
      <c r="J80" s="359">
        <f t="shared" si="29"/>
        <v>-0.48605910799543306</v>
      </c>
      <c r="K80" s="304">
        <f t="shared" si="30"/>
        <v>3.4957165887747166E-2</v>
      </c>
      <c r="L80" s="304">
        <f t="shared" si="31"/>
        <v>-8.1009851332572172E-2</v>
      </c>
      <c r="M80" s="304">
        <f t="shared" si="32"/>
        <v>0.52451980354286087</v>
      </c>
      <c r="N80" s="304">
        <f t="shared" si="33"/>
        <v>0.80549693828346136</v>
      </c>
    </row>
    <row r="81" spans="1:19" ht="18" customHeight="1" x14ac:dyDescent="0.3">
      <c r="A81" s="259"/>
      <c r="B81" s="359">
        <v>6.5972222222222224E-2</v>
      </c>
      <c r="C81" s="359" t="s">
        <v>5</v>
      </c>
      <c r="D81" s="359">
        <v>-5.3571500000000001E-2</v>
      </c>
      <c r="E81" s="359" t="s">
        <v>6</v>
      </c>
      <c r="F81" s="359">
        <f t="shared" si="27"/>
        <v>1.2400722222222223E-2</v>
      </c>
      <c r="G81" s="249">
        <v>1</v>
      </c>
      <c r="H81" s="359">
        <f t="shared" si="26"/>
        <v>0.16147067997385453</v>
      </c>
      <c r="I81" s="359">
        <f>IF(G81=1,H81+N(I80),N(I80))</f>
        <v>0.30129934352484322</v>
      </c>
      <c r="J81" s="359">
        <f t="shared" si="29"/>
        <v>-0.48605910799543306</v>
      </c>
      <c r="K81" s="304">
        <f t="shared" si="30"/>
        <v>7.5324835881210805E-2</v>
      </c>
      <c r="L81" s="304">
        <f t="shared" si="31"/>
        <v>-8.1009851332572172E-2</v>
      </c>
      <c r="M81" s="304">
        <f t="shared" si="32"/>
        <v>0.61066564763550457</v>
      </c>
      <c r="N81" s="304">
        <f t="shared" si="33"/>
        <v>1.047977469589888</v>
      </c>
    </row>
    <row r="82" spans="1:19" ht="18" customHeight="1" x14ac:dyDescent="0.3">
      <c r="A82" s="259"/>
      <c r="B82" s="359">
        <v>-0.13194444444444442</v>
      </c>
      <c r="C82" s="359" t="s">
        <v>5</v>
      </c>
      <c r="D82" s="359">
        <v>5.3571500000000001E-2</v>
      </c>
      <c r="E82" s="359" t="s">
        <v>6</v>
      </c>
      <c r="F82" s="359">
        <f>SUM(B82,D82)</f>
        <v>-7.8372944444444426E-2</v>
      </c>
      <c r="G82" s="249">
        <v>1</v>
      </c>
      <c r="H82" s="359">
        <f t="shared" si="26"/>
        <v>7.7502019538401468E-2</v>
      </c>
      <c r="I82" s="359">
        <f t="shared" si="28"/>
        <v>0.37880136306324469</v>
      </c>
      <c r="J82" s="359">
        <f>IF(G82=2,H82+N(J81),N(J81))</f>
        <v>-0.48605910799543306</v>
      </c>
      <c r="K82" s="304">
        <f t="shared" si="30"/>
        <v>9.4700340765811172E-2</v>
      </c>
      <c r="L82" s="304">
        <f t="shared" si="31"/>
        <v>-8.1009851332572172E-2</v>
      </c>
      <c r="M82" s="304">
        <f t="shared" si="32"/>
        <v>0.62786396886291429</v>
      </c>
      <c r="N82" s="304">
        <f>IF(ROW()=77, 0, N81) + ABS(H82 - IF($G82=1, $L82, $K82))</f>
        <v>1.2064893404608616</v>
      </c>
    </row>
    <row r="83" spans="1:19" ht="18" customHeight="1" x14ac:dyDescent="0.3">
      <c r="A83" s="259"/>
      <c r="B83" s="359">
        <v>6.5972222222222224E-2</v>
      </c>
      <c r="C83" s="359" t="s">
        <v>5</v>
      </c>
      <c r="D83" s="359">
        <v>-5.3571500000000001E-2</v>
      </c>
      <c r="E83" s="359" t="s">
        <v>6</v>
      </c>
      <c r="F83" s="359">
        <f t="shared" ref="F83:F86" si="34">SUM(B83,D83)</f>
        <v>1.2400722222222223E-2</v>
      </c>
      <c r="G83" s="249">
        <v>2</v>
      </c>
      <c r="H83" s="359">
        <f t="shared" si="26"/>
        <v>-0.1366692355294101</v>
      </c>
      <c r="I83" s="359">
        <f t="shared" si="28"/>
        <v>0.37880136306324469</v>
      </c>
      <c r="J83" s="359">
        <f t="shared" si="29"/>
        <v>-0.62272834352484319</v>
      </c>
      <c r="K83" s="304">
        <f t="shared" si="30"/>
        <v>9.4700340765811172E-2</v>
      </c>
      <c r="L83" s="304">
        <f t="shared" si="31"/>
        <v>-0.10378805725414053</v>
      </c>
      <c r="M83" s="304">
        <f t="shared" si="32"/>
        <v>0.66074514713818389</v>
      </c>
      <c r="N83" s="304">
        <f t="shared" si="33"/>
        <v>1.4378589167560829</v>
      </c>
    </row>
    <row r="84" spans="1:19" ht="18" customHeight="1" x14ac:dyDescent="0.3">
      <c r="A84" s="259"/>
      <c r="B84" s="359">
        <v>-0.13194444444444442</v>
      </c>
      <c r="C84" s="359" t="s">
        <v>5</v>
      </c>
      <c r="D84" s="359">
        <v>-5.3571500000000001E-2</v>
      </c>
      <c r="E84" s="359" t="s">
        <v>6</v>
      </c>
      <c r="F84" s="359">
        <f t="shared" si="34"/>
        <v>-0.18551594444444441</v>
      </c>
      <c r="G84" s="249">
        <v>2</v>
      </c>
      <c r="H84" s="359">
        <f t="shared" si="26"/>
        <v>-0.34938987246602293</v>
      </c>
      <c r="I84" s="359">
        <f t="shared" si="28"/>
        <v>0.37880136306324469</v>
      </c>
      <c r="J84" s="359">
        <f t="shared" si="29"/>
        <v>-0.97211821599086612</v>
      </c>
      <c r="K84" s="304">
        <f t="shared" si="30"/>
        <v>9.4700340765811172E-2</v>
      </c>
      <c r="L84" s="304">
        <f t="shared" si="31"/>
        <v>-0.16201970266514434</v>
      </c>
      <c r="M84" s="304">
        <f t="shared" si="32"/>
        <v>0.8481153169390625</v>
      </c>
      <c r="N84" s="304">
        <f t="shared" si="33"/>
        <v>1.881949129987917</v>
      </c>
      <c r="O84" s="354"/>
    </row>
    <row r="85" spans="1:19" ht="18" customHeight="1" x14ac:dyDescent="0.3">
      <c r="A85" s="259"/>
      <c r="B85" s="359">
        <v>-0.13194444444444442</v>
      </c>
      <c r="C85" s="359" t="s">
        <v>5</v>
      </c>
      <c r="D85" s="359">
        <v>-5.3571500000000001E-2</v>
      </c>
      <c r="E85" s="359" t="s">
        <v>6</v>
      </c>
      <c r="F85" s="359">
        <f t="shared" si="34"/>
        <v>-0.18551594444444441</v>
      </c>
      <c r="G85" s="249">
        <v>2</v>
      </c>
      <c r="H85" s="359">
        <f t="shared" si="26"/>
        <v>-0.34938987246602293</v>
      </c>
      <c r="I85" s="359">
        <f t="shared" si="28"/>
        <v>0.37880136306324469</v>
      </c>
      <c r="J85" s="359">
        <f t="shared" si="29"/>
        <v>-1.3215080884568891</v>
      </c>
      <c r="K85" s="304">
        <f t="shared" si="30"/>
        <v>9.4700340765811172E-2</v>
      </c>
      <c r="L85" s="304">
        <f t="shared" si="31"/>
        <v>-0.22025134807614818</v>
      </c>
      <c r="M85" s="304">
        <f t="shared" si="32"/>
        <v>0.97725384132893722</v>
      </c>
      <c r="N85" s="304">
        <f t="shared" si="33"/>
        <v>2.326039343219751</v>
      </c>
      <c r="O85" s="358"/>
    </row>
    <row r="86" spans="1:19" ht="18" customHeight="1" x14ac:dyDescent="0.3">
      <c r="A86" s="259"/>
      <c r="B86" s="359">
        <v>-0.13194444444444442</v>
      </c>
      <c r="C86" s="359" t="s">
        <v>5</v>
      </c>
      <c r="D86" s="359">
        <v>-5.3571500000000001E-2</v>
      </c>
      <c r="E86" s="359" t="s">
        <v>6</v>
      </c>
      <c r="F86" s="359">
        <f t="shared" si="34"/>
        <v>-0.18551594444444441</v>
      </c>
      <c r="G86" s="249">
        <v>2</v>
      </c>
      <c r="H86" s="359">
        <f t="shared" si="26"/>
        <v>-0.34938987246602293</v>
      </c>
      <c r="I86" s="359">
        <f t="shared" si="28"/>
        <v>0.37880136306324469</v>
      </c>
      <c r="J86" s="359">
        <f t="shared" si="29"/>
        <v>-1.670897960922912</v>
      </c>
      <c r="K86" s="304">
        <f t="shared" si="30"/>
        <v>9.4700340765811172E-2</v>
      </c>
      <c r="L86" s="304">
        <f t="shared" si="31"/>
        <v>-0.278482993487152</v>
      </c>
      <c r="M86" s="304">
        <f>IF(ROW()=77, 0, M85) + ABS(H86 - IF($G86=1, $K86, $L86))</f>
        <v>1.0481607203078083</v>
      </c>
      <c r="N86" s="304">
        <f t="shared" si="33"/>
        <v>2.7701295564515851</v>
      </c>
      <c r="O86" s="373">
        <f>M86/N86</f>
        <v>0.37837967464975042</v>
      </c>
    </row>
    <row r="90" spans="1:19" ht="18" customHeight="1" x14ac:dyDescent="0.3">
      <c r="A90" s="281" t="s">
        <v>10</v>
      </c>
      <c r="B90" s="282"/>
      <c r="C90" s="282"/>
      <c r="D90" s="282"/>
      <c r="E90" s="282"/>
      <c r="F90" s="283"/>
      <c r="G90" s="350"/>
      <c r="H90" s="281" t="s">
        <v>9</v>
      </c>
      <c r="I90" s="282"/>
      <c r="J90" s="282"/>
      <c r="K90" s="282"/>
      <c r="L90" s="282"/>
      <c r="M90" s="282"/>
      <c r="N90" s="283"/>
    </row>
    <row r="91" spans="1:19" ht="18" customHeight="1" x14ac:dyDescent="0.3">
      <c r="A91" s="351"/>
      <c r="B91" s="352"/>
      <c r="C91" s="353" t="s">
        <v>5</v>
      </c>
      <c r="D91" s="354"/>
      <c r="E91" s="353" t="s">
        <v>6</v>
      </c>
      <c r="F91" s="354"/>
      <c r="G91" s="240" t="s">
        <v>8</v>
      </c>
      <c r="H91" s="355"/>
      <c r="I91" s="356"/>
      <c r="J91" s="356"/>
      <c r="K91" s="357"/>
      <c r="L91" s="357"/>
      <c r="M91" s="358"/>
      <c r="N91" s="358"/>
      <c r="P91" s="269" t="s">
        <v>27</v>
      </c>
      <c r="Q91" s="269"/>
      <c r="R91" s="269"/>
      <c r="S91" s="269"/>
    </row>
    <row r="92" spans="1:19" ht="18" customHeight="1" x14ac:dyDescent="0.3">
      <c r="A92" s="259"/>
      <c r="B92" s="359">
        <v>-0.13194444444444442</v>
      </c>
      <c r="C92" s="359" t="s">
        <v>5</v>
      </c>
      <c r="D92" s="359">
        <v>7.4074074074074042E-2</v>
      </c>
      <c r="E92" s="359" t="s">
        <v>6</v>
      </c>
      <c r="F92" s="359">
        <f>SUM(B92,D92)</f>
        <v>-5.7870370370370378E-2</v>
      </c>
      <c r="G92" s="249">
        <v>2</v>
      </c>
      <c r="H92" s="287">
        <f t="shared" ref="H92:H101" si="35">IF(OR($G92=1,$G92=2), $F92 + IF($G92=1,1,-1)*$N$23*(EXP(-$F92)/(1+EXP(-$F92))), NA())</f>
        <v>-0.21220943726179825</v>
      </c>
      <c r="I92" s="359">
        <f>IF(G92=1,H92+N(I91),N(I91))</f>
        <v>0</v>
      </c>
      <c r="J92" s="359">
        <f>IF(G92=2,H92+N(J91),N(J91))</f>
        <v>-0.21220943726179825</v>
      </c>
      <c r="K92" s="304">
        <f>IFERROR(I92/COUNTIF($G$92:$G$101,1),"ERROR!!!")</f>
        <v>0</v>
      </c>
      <c r="L92" s="304">
        <f>IFERROR(J92/COUNTIF($G$92:$G$101,2),"ERROR!!!")</f>
        <v>-3.5368239543633044E-2</v>
      </c>
      <c r="M92" s="304">
        <f>IF(ROW()=92, 0, M91) + ABS(H92 - IF($G92=1, $K92, $L92))</f>
        <v>0.1768411977181652</v>
      </c>
      <c r="N92" s="304">
        <f>IF(ROW()=92, 0, N91) + ABS(H92 - IF($G92=1, $L92, $K92))</f>
        <v>0.21220943726179825</v>
      </c>
      <c r="P92" s="360"/>
      <c r="Q92" s="361"/>
      <c r="R92" s="316" t="s">
        <v>13</v>
      </c>
      <c r="S92" s="362">
        <f>IF(O101&lt;S77,O101,S77)</f>
        <v>0.3556638792093228</v>
      </c>
    </row>
    <row r="93" spans="1:19" ht="18" customHeight="1" x14ac:dyDescent="0.3">
      <c r="A93" s="259"/>
      <c r="B93" s="359">
        <v>6.5972222222222224E-2</v>
      </c>
      <c r="C93" s="359" t="s">
        <v>5</v>
      </c>
      <c r="D93" s="359">
        <v>7.4074074074074042E-2</v>
      </c>
      <c r="E93" s="359" t="s">
        <v>6</v>
      </c>
      <c r="F93" s="359">
        <f t="shared" ref="F93:F96" si="36">SUM(B93,D93)</f>
        <v>0.14004629629629628</v>
      </c>
      <c r="G93" s="249">
        <v>1</v>
      </c>
      <c r="H93" s="287">
        <f t="shared" si="35"/>
        <v>0.27955995749066409</v>
      </c>
      <c r="I93" s="359">
        <f t="shared" ref="I93:I100" si="37">IF(G93=1,H93+N(I92),N(I92))</f>
        <v>0.27955995749066409</v>
      </c>
      <c r="J93" s="359">
        <f t="shared" ref="J93:J101" si="38">IF(G93=2,H93+N(J92),N(J92))</f>
        <v>-0.21220943726179825</v>
      </c>
      <c r="K93" s="304">
        <f t="shared" ref="K93:K101" si="39">IFERROR(I93/COUNTIF($G$92:$G$101,1),"ERROR!!!")</f>
        <v>6.9889989372666023E-2</v>
      </c>
      <c r="L93" s="304">
        <f t="shared" ref="L93:L101" si="40">IFERROR(J93/COUNTIF($G$92:$G$101,2),"ERROR!!!")</f>
        <v>-3.5368239543633044E-2</v>
      </c>
      <c r="M93" s="304">
        <f>IF(ROW()=92, 0, M92) + ABS(H93 - IF($G93=1, $K93, $L93))</f>
        <v>0.3865111658361633</v>
      </c>
      <c r="N93" s="304">
        <f t="shared" ref="N93:N101" si="41">IF(ROW()=92, 0, N92) + ABS(H93 - IF($G93=1, $L93, $K93))</f>
        <v>0.52713763429609539</v>
      </c>
      <c r="P93" s="364"/>
      <c r="Q93" s="365"/>
      <c r="R93" s="259" t="s">
        <v>17</v>
      </c>
      <c r="S93" s="366">
        <v>6</v>
      </c>
    </row>
    <row r="94" spans="1:19" ht="18" customHeight="1" x14ac:dyDescent="0.3">
      <c r="A94" s="259"/>
      <c r="B94" s="359">
        <v>6.5972222222222224E-2</v>
      </c>
      <c r="C94" s="359" t="s">
        <v>5</v>
      </c>
      <c r="D94" s="359">
        <v>7.4074074074074042E-2</v>
      </c>
      <c r="E94" s="359" t="s">
        <v>6</v>
      </c>
      <c r="F94" s="359">
        <f t="shared" si="36"/>
        <v>0.14004629629629628</v>
      </c>
      <c r="G94" s="249">
        <v>2</v>
      </c>
      <c r="H94" s="287">
        <f t="shared" si="35"/>
        <v>5.3263510192844143E-4</v>
      </c>
      <c r="I94" s="359">
        <f t="shared" si="37"/>
        <v>0.27955995749066409</v>
      </c>
      <c r="J94" s="359">
        <f t="shared" si="38"/>
        <v>-0.21167680215986981</v>
      </c>
      <c r="K94" s="304">
        <f t="shared" si="39"/>
        <v>6.9889989372666023E-2</v>
      </c>
      <c r="L94" s="304">
        <f t="shared" si="40"/>
        <v>-3.5279467026644966E-2</v>
      </c>
      <c r="M94" s="304">
        <f t="shared" ref="M94:M101" si="42">IF(ROW()=92, 0, M93) + ABS(H94 - IF($G94=1, $K94, $L94))</f>
        <v>0.42232326796473668</v>
      </c>
      <c r="N94" s="304">
        <f t="shared" si="41"/>
        <v>0.59649498856683292</v>
      </c>
      <c r="P94" s="368"/>
      <c r="Q94" s="369"/>
      <c r="R94" s="259" t="s">
        <v>15</v>
      </c>
      <c r="S94" s="366">
        <f>IF(O101&lt;S77,S93,S79)</f>
        <v>6</v>
      </c>
    </row>
    <row r="95" spans="1:19" ht="18" customHeight="1" x14ac:dyDescent="0.3">
      <c r="A95" s="259"/>
      <c r="B95" s="359">
        <v>-0.13194444444444442</v>
      </c>
      <c r="C95" s="359" t="s">
        <v>5</v>
      </c>
      <c r="D95" s="359">
        <v>7.4074074074074042E-2</v>
      </c>
      <c r="E95" s="359" t="s">
        <v>6</v>
      </c>
      <c r="F95" s="359">
        <f t="shared" si="36"/>
        <v>-5.7870370370370378E-2</v>
      </c>
      <c r="G95" s="249">
        <v>1</v>
      </c>
      <c r="H95" s="287">
        <f t="shared" si="35"/>
        <v>9.6468696521057495E-2</v>
      </c>
      <c r="I95" s="359">
        <f t="shared" si="37"/>
        <v>0.37602865401172159</v>
      </c>
      <c r="J95" s="359">
        <f t="shared" si="38"/>
        <v>-0.21167680215986981</v>
      </c>
      <c r="K95" s="304">
        <f t="shared" si="39"/>
        <v>9.4007163502930396E-2</v>
      </c>
      <c r="L95" s="304">
        <f t="shared" si="40"/>
        <v>-3.5279467026644966E-2</v>
      </c>
      <c r="M95" s="304">
        <f t="shared" si="42"/>
        <v>0.42478480098286375</v>
      </c>
      <c r="N95" s="304">
        <f t="shared" si="41"/>
        <v>0.72824315211453539</v>
      </c>
    </row>
    <row r="96" spans="1:19" ht="18" customHeight="1" x14ac:dyDescent="0.3">
      <c r="A96" s="259"/>
      <c r="B96" s="359">
        <v>6.5972222222222224E-2</v>
      </c>
      <c r="C96" s="359" t="s">
        <v>5</v>
      </c>
      <c r="D96" s="359">
        <v>7.4074074074074042E-2</v>
      </c>
      <c r="E96" s="359" t="s">
        <v>6</v>
      </c>
      <c r="F96" s="359">
        <f t="shared" si="36"/>
        <v>0.14004629629629628</v>
      </c>
      <c r="G96" s="249">
        <v>1</v>
      </c>
      <c r="H96" s="287">
        <f t="shared" si="35"/>
        <v>0.27955995749066409</v>
      </c>
      <c r="I96" s="359">
        <f t="shared" si="37"/>
        <v>0.65558861150238568</v>
      </c>
      <c r="J96" s="359">
        <f t="shared" si="38"/>
        <v>-0.21167680215986981</v>
      </c>
      <c r="K96" s="304">
        <f>IFERROR(I96/COUNTIF($G$92:$G$101,1),"ERROR!!!")</f>
        <v>0.16389715287559642</v>
      </c>
      <c r="L96" s="304">
        <f t="shared" si="40"/>
        <v>-3.5279467026644966E-2</v>
      </c>
      <c r="M96" s="304">
        <f>IF(ROW()=92, 0, M95) + ABS(H96 - IF($G96=1, $K96, $L96))</f>
        <v>0.54044760559793148</v>
      </c>
      <c r="N96" s="304">
        <f t="shared" si="41"/>
        <v>1.0430825766318446</v>
      </c>
    </row>
    <row r="97" spans="1:19" ht="18" customHeight="1" x14ac:dyDescent="0.3">
      <c r="A97" s="259"/>
      <c r="B97" s="359">
        <v>-0.13194444444444442</v>
      </c>
      <c r="C97" s="359" t="s">
        <v>5</v>
      </c>
      <c r="D97" s="359">
        <v>7.4074074074074042E-2</v>
      </c>
      <c r="E97" s="359" t="s">
        <v>6</v>
      </c>
      <c r="F97" s="359">
        <f>SUM(B97,D97)</f>
        <v>-5.7870370370370378E-2</v>
      </c>
      <c r="G97" s="249">
        <v>1</v>
      </c>
      <c r="H97" s="287">
        <f t="shared" si="35"/>
        <v>9.6468696521057495E-2</v>
      </c>
      <c r="I97" s="359">
        <f t="shared" si="37"/>
        <v>0.75205730802344317</v>
      </c>
      <c r="J97" s="359">
        <f t="shared" si="38"/>
        <v>-0.21167680215986981</v>
      </c>
      <c r="K97" s="304">
        <f t="shared" si="39"/>
        <v>0.18801432700586079</v>
      </c>
      <c r="L97" s="304">
        <f t="shared" si="40"/>
        <v>-3.5279467026644966E-2</v>
      </c>
      <c r="M97" s="304">
        <f t="shared" si="42"/>
        <v>0.63199323608273472</v>
      </c>
      <c r="N97" s="304">
        <f t="shared" si="41"/>
        <v>1.174830740179547</v>
      </c>
    </row>
    <row r="98" spans="1:19" ht="18" customHeight="1" x14ac:dyDescent="0.3">
      <c r="A98" s="259"/>
      <c r="B98" s="359">
        <v>6.5972222222222224E-2</v>
      </c>
      <c r="C98" s="359" t="s">
        <v>5</v>
      </c>
      <c r="D98" s="359">
        <v>-7.4074074074074056E-2</v>
      </c>
      <c r="E98" s="359" t="s">
        <v>6</v>
      </c>
      <c r="F98" s="359">
        <f t="shared" ref="F98:F101" si="43">SUM(B98,D98)</f>
        <v>-8.1018518518518323E-3</v>
      </c>
      <c r="G98" s="249">
        <v>2</v>
      </c>
      <c r="H98" s="287">
        <f t="shared" si="35"/>
        <v>-0.15870948741697763</v>
      </c>
      <c r="I98" s="359">
        <f t="shared" si="37"/>
        <v>0.75205730802344317</v>
      </c>
      <c r="J98" s="359">
        <f t="shared" si="38"/>
        <v>-0.37038628957684744</v>
      </c>
      <c r="K98" s="304">
        <f t="shared" si="39"/>
        <v>0.18801432700586079</v>
      </c>
      <c r="L98" s="304">
        <f t="shared" si="40"/>
        <v>-6.1731048262807904E-2</v>
      </c>
      <c r="M98" s="304">
        <f t="shared" si="42"/>
        <v>0.72897167523690443</v>
      </c>
      <c r="N98" s="304">
        <f>IF(ROW()=92, 0, N97) + ABS(H98 - IF($G98=1, $L98, $K98))</f>
        <v>1.5215545546023854</v>
      </c>
    </row>
    <row r="99" spans="1:19" ht="18" customHeight="1" x14ac:dyDescent="0.3">
      <c r="A99" s="259"/>
      <c r="B99" s="359">
        <v>-0.13194444444444442</v>
      </c>
      <c r="C99" s="359" t="s">
        <v>5</v>
      </c>
      <c r="D99" s="359">
        <v>7.4074074074074042E-2</v>
      </c>
      <c r="E99" s="359" t="s">
        <v>6</v>
      </c>
      <c r="F99" s="359">
        <f t="shared" si="43"/>
        <v>-5.7870370370370378E-2</v>
      </c>
      <c r="G99" s="249">
        <v>2</v>
      </c>
      <c r="H99" s="287">
        <f t="shared" si="35"/>
        <v>-0.21220943726179825</v>
      </c>
      <c r="I99" s="359">
        <f t="shared" si="37"/>
        <v>0.75205730802344317</v>
      </c>
      <c r="J99" s="359">
        <f t="shared" si="38"/>
        <v>-0.58259572683864569</v>
      </c>
      <c r="K99" s="304">
        <f t="shared" si="39"/>
        <v>0.18801432700586079</v>
      </c>
      <c r="L99" s="304">
        <f t="shared" si="40"/>
        <v>-9.7099287806440948E-2</v>
      </c>
      <c r="M99" s="304">
        <f t="shared" si="42"/>
        <v>0.84408182469226167</v>
      </c>
      <c r="N99" s="304">
        <f>IF(ROW()=92, 0, N98) + ABS(H99 - IF($G99=1, $L99, $K99))</f>
        <v>1.9217783188700444</v>
      </c>
      <c r="O99" s="354"/>
    </row>
    <row r="100" spans="1:19" ht="18" customHeight="1" x14ac:dyDescent="0.3">
      <c r="A100" s="259"/>
      <c r="B100" s="359">
        <v>-0.13194444444444442</v>
      </c>
      <c r="C100" s="359" t="s">
        <v>5</v>
      </c>
      <c r="D100" s="359">
        <v>7.4074074074074042E-2</v>
      </c>
      <c r="E100" s="359" t="s">
        <v>6</v>
      </c>
      <c r="F100" s="359">
        <f t="shared" si="43"/>
        <v>-5.7870370370370378E-2</v>
      </c>
      <c r="G100" s="249">
        <v>2</v>
      </c>
      <c r="H100" s="287">
        <f t="shared" si="35"/>
        <v>-0.21220943726179825</v>
      </c>
      <c r="I100" s="359">
        <f t="shared" si="37"/>
        <v>0.75205730802344317</v>
      </c>
      <c r="J100" s="359">
        <f>IF(G100=2,H100+N(J99),N(J99))</f>
        <v>-0.79480516410044388</v>
      </c>
      <c r="K100" s="304">
        <f t="shared" si="39"/>
        <v>0.18801432700586079</v>
      </c>
      <c r="L100" s="304">
        <f>IFERROR(J100/COUNTIF($G$92:$G$101,2),"ERROR!!!")</f>
        <v>-0.13246752735007397</v>
      </c>
      <c r="M100" s="304">
        <f t="shared" si="42"/>
        <v>0.92382373460398592</v>
      </c>
      <c r="N100" s="304">
        <f t="shared" si="41"/>
        <v>2.3220020831377033</v>
      </c>
      <c r="O100" s="358"/>
    </row>
    <row r="101" spans="1:19" ht="18" customHeight="1" x14ac:dyDescent="0.3">
      <c r="A101" s="259"/>
      <c r="B101" s="359">
        <v>-0.13194444444444442</v>
      </c>
      <c r="C101" s="359" t="s">
        <v>5</v>
      </c>
      <c r="D101" s="359">
        <v>7.4074074074074042E-2</v>
      </c>
      <c r="E101" s="359" t="s">
        <v>6</v>
      </c>
      <c r="F101" s="359">
        <f t="shared" si="43"/>
        <v>-5.7870370370370378E-2</v>
      </c>
      <c r="G101" s="249">
        <v>2</v>
      </c>
      <c r="H101" s="287">
        <f t="shared" si="35"/>
        <v>-0.21220943726179825</v>
      </c>
      <c r="I101" s="359">
        <f>IF(G101=1,H101+N(I100),N(I100))</f>
        <v>0.75205730802344317</v>
      </c>
      <c r="J101" s="359">
        <f t="shared" si="38"/>
        <v>-1.0070146013622421</v>
      </c>
      <c r="K101" s="304">
        <f t="shared" si="39"/>
        <v>0.18801432700586079</v>
      </c>
      <c r="L101" s="304">
        <f t="shared" si="40"/>
        <v>-0.16783576689370702</v>
      </c>
      <c r="M101" s="304">
        <f t="shared" si="42"/>
        <v>0.96819740497207718</v>
      </c>
      <c r="N101" s="304">
        <f t="shared" si="41"/>
        <v>2.7222258474053622</v>
      </c>
      <c r="O101" s="373">
        <f>M101/N101</f>
        <v>0.3556638792093228</v>
      </c>
    </row>
    <row r="105" spans="1:19" ht="18" customHeight="1" x14ac:dyDescent="0.3">
      <c r="A105" s="281" t="s">
        <v>10</v>
      </c>
      <c r="B105" s="282"/>
      <c r="C105" s="282"/>
      <c r="D105" s="282"/>
      <c r="E105" s="282"/>
      <c r="F105" s="283"/>
      <c r="G105" s="350"/>
      <c r="H105" s="281" t="s">
        <v>9</v>
      </c>
      <c r="I105" s="282"/>
      <c r="J105" s="282"/>
      <c r="K105" s="282"/>
      <c r="L105" s="282"/>
      <c r="M105" s="282"/>
      <c r="N105" s="283"/>
    </row>
    <row r="106" spans="1:19" ht="18" customHeight="1" x14ac:dyDescent="0.3">
      <c r="A106" s="351"/>
      <c r="B106" s="352"/>
      <c r="C106" s="353" t="s">
        <v>5</v>
      </c>
      <c r="D106" s="354"/>
      <c r="E106" s="353" t="s">
        <v>6</v>
      </c>
      <c r="F106" s="354"/>
      <c r="G106" s="240" t="s">
        <v>8</v>
      </c>
      <c r="H106" s="355"/>
      <c r="I106" s="356"/>
      <c r="J106" s="356"/>
      <c r="K106" s="357"/>
      <c r="L106" s="357"/>
      <c r="M106" s="358"/>
      <c r="N106" s="358"/>
      <c r="P106" s="269" t="s">
        <v>27</v>
      </c>
      <c r="Q106" s="269"/>
      <c r="R106" s="269"/>
      <c r="S106" s="269"/>
    </row>
    <row r="107" spans="1:19" ht="18" customHeight="1" x14ac:dyDescent="0.3">
      <c r="A107" s="259"/>
      <c r="B107" s="359">
        <v>-0.13194444444444442</v>
      </c>
      <c r="C107" s="359" t="s">
        <v>5</v>
      </c>
      <c r="D107" s="359">
        <v>-0.14285714285714288</v>
      </c>
      <c r="E107" s="359" t="s">
        <v>6</v>
      </c>
      <c r="F107" s="359">
        <f>SUM(B107,D107)</f>
        <v>-0.27480158730158732</v>
      </c>
      <c r="G107" s="249">
        <v>2</v>
      </c>
      <c r="H107" s="359">
        <f t="shared" ref="H107:H116" si="44">IF(OR($G107=1,$G107=2), $F107 + IF($G107=1,1,-1)*$N$23*(EXP(-$F107)/(1+EXP(-$F107))), NA())</f>
        <v>-0.44528297902930497</v>
      </c>
      <c r="I107" s="359">
        <f>IF(G107=1,H107+N(I106),N(I106))</f>
        <v>0</v>
      </c>
      <c r="J107" s="359">
        <f>IF(G107=2,H107+N(J106),N(J106))</f>
        <v>-0.44528297902930497</v>
      </c>
      <c r="K107" s="304">
        <f>IFERROR(I107/COUNTIF($G$107:$G$116,1),"ERROR!!!")</f>
        <v>0</v>
      </c>
      <c r="L107" s="304">
        <f>IFERROR(J107/COUNTIF($G$107:$G$116,2),"ERROR!!!")</f>
        <v>-7.421382983821749E-2</v>
      </c>
      <c r="M107" s="304">
        <f>IF(ROW()=107, 0, M106) + ABS(H107 - IF($G107=1, $K107, $L107))</f>
        <v>0.37106914919108747</v>
      </c>
      <c r="N107" s="304">
        <f>IF(ROW()=107, 0, N106) + ABS(H107 - IF($G107=1, $L107, $K107))</f>
        <v>0.44528297902930497</v>
      </c>
      <c r="P107" s="360"/>
      <c r="Q107" s="361"/>
      <c r="R107" s="316" t="s">
        <v>13</v>
      </c>
      <c r="S107" s="362">
        <f>IF(O116&lt;S92,O116,S92)</f>
        <v>0.3556638792093228</v>
      </c>
    </row>
    <row r="108" spans="1:19" ht="18" customHeight="1" x14ac:dyDescent="0.3">
      <c r="A108" s="259"/>
      <c r="B108" s="359">
        <v>6.5972222222222224E-2</v>
      </c>
      <c r="C108" s="359" t="s">
        <v>5</v>
      </c>
      <c r="D108" s="359">
        <v>-0.14285714285714288</v>
      </c>
      <c r="E108" s="359" t="s">
        <v>6</v>
      </c>
      <c r="F108" s="359">
        <f t="shared" ref="F108:F111" si="45">SUM(B108,D108)</f>
        <v>-7.6884920634920653E-2</v>
      </c>
      <c r="G108" s="249">
        <v>1</v>
      </c>
      <c r="H108" s="359">
        <f t="shared" si="44"/>
        <v>7.8878609533699337E-2</v>
      </c>
      <c r="I108" s="359">
        <f t="shared" ref="I108:I116" si="46">IF(G108=1,H108+N(I107),N(I107))</f>
        <v>7.8878609533699337E-2</v>
      </c>
      <c r="J108" s="359">
        <f t="shared" ref="J108:J116" si="47">IF(G108=2,H108+N(J107),N(J107))</f>
        <v>-0.44528297902930497</v>
      </c>
      <c r="K108" s="304">
        <f t="shared" ref="K108:K116" si="48">IFERROR(I108/COUNTIF($G$107:$G$116,1),"ERROR!!!")</f>
        <v>1.9719652383424834E-2</v>
      </c>
      <c r="L108" s="304">
        <f t="shared" ref="L108:L116" si="49">IFERROR(J108/COUNTIF($G$107:$G$116,2),"ERROR!!!")</f>
        <v>-7.421382983821749E-2</v>
      </c>
      <c r="M108" s="304">
        <f t="shared" ref="M108:M116" si="50">IF(ROW()=107, 0, M107) + ABS(H108 - IF($G108=1, $K108, $L108))</f>
        <v>0.43022810634136199</v>
      </c>
      <c r="N108" s="304">
        <f t="shared" ref="N108:N115" si="51">IF(ROW()=107, 0, N107) + ABS(H108 - IF($G108=1, $L108, $K108))</f>
        <v>0.59837541840122177</v>
      </c>
      <c r="P108" s="364"/>
      <c r="Q108" s="365"/>
      <c r="R108" s="259" t="s">
        <v>17</v>
      </c>
      <c r="S108" s="366">
        <v>7</v>
      </c>
    </row>
    <row r="109" spans="1:19" ht="18" customHeight="1" x14ac:dyDescent="0.3">
      <c r="A109" s="259"/>
      <c r="B109" s="359">
        <v>6.5972222222222224E-2</v>
      </c>
      <c r="C109" s="359" t="s">
        <v>5</v>
      </c>
      <c r="D109" s="359">
        <v>0.14285714285714288</v>
      </c>
      <c r="E109" s="359" t="s">
        <v>6</v>
      </c>
      <c r="F109" s="359">
        <f t="shared" si="45"/>
        <v>0.20882936507936511</v>
      </c>
      <c r="G109" s="249">
        <v>2</v>
      </c>
      <c r="H109" s="359">
        <f t="shared" si="44"/>
        <v>7.4434895923268019E-2</v>
      </c>
      <c r="I109" s="359">
        <f t="shared" si="46"/>
        <v>7.8878609533699337E-2</v>
      </c>
      <c r="J109" s="359">
        <f t="shared" si="47"/>
        <v>-0.37084808310603695</v>
      </c>
      <c r="K109" s="304">
        <f t="shared" si="48"/>
        <v>1.9719652383424834E-2</v>
      </c>
      <c r="L109" s="304">
        <f t="shared" si="49"/>
        <v>-6.1808013851006156E-2</v>
      </c>
      <c r="M109" s="304">
        <f t="shared" si="50"/>
        <v>0.56647101611563611</v>
      </c>
      <c r="N109" s="304">
        <f t="shared" si="51"/>
        <v>0.65309066194106491</v>
      </c>
      <c r="P109" s="368"/>
      <c r="Q109" s="369"/>
      <c r="R109" s="259" t="s">
        <v>15</v>
      </c>
      <c r="S109" s="366">
        <f>IF(O116&lt;S92,S108,S94)</f>
        <v>6</v>
      </c>
    </row>
    <row r="110" spans="1:19" ht="18" customHeight="1" x14ac:dyDescent="0.3">
      <c r="A110" s="259"/>
      <c r="B110" s="359">
        <v>-0.13194444444444442</v>
      </c>
      <c r="C110" s="359" t="s">
        <v>5</v>
      </c>
      <c r="D110" s="359">
        <v>0.14285714285714288</v>
      </c>
      <c r="E110" s="359" t="s">
        <v>6</v>
      </c>
      <c r="F110" s="359">
        <f t="shared" si="45"/>
        <v>1.0912698412698457E-2</v>
      </c>
      <c r="G110" s="249">
        <v>1</v>
      </c>
      <c r="H110" s="359">
        <f t="shared" si="44"/>
        <v>0.16009425415390166</v>
      </c>
      <c r="I110" s="359">
        <f t="shared" si="46"/>
        <v>0.23897286368760101</v>
      </c>
      <c r="J110" s="359">
        <f t="shared" si="47"/>
        <v>-0.37084808310603695</v>
      </c>
      <c r="K110" s="304">
        <f t="shared" si="48"/>
        <v>5.9743215921900253E-2</v>
      </c>
      <c r="L110" s="304">
        <f t="shared" si="49"/>
        <v>-6.1808013851006156E-2</v>
      </c>
      <c r="M110" s="304">
        <f t="shared" si="50"/>
        <v>0.66682205434763753</v>
      </c>
      <c r="N110" s="304">
        <f t="shared" si="51"/>
        <v>0.87499292994597266</v>
      </c>
    </row>
    <row r="111" spans="1:19" ht="18" customHeight="1" x14ac:dyDescent="0.3">
      <c r="A111" s="259"/>
      <c r="B111" s="359">
        <v>6.5972222222222224E-2</v>
      </c>
      <c r="C111" s="359" t="s">
        <v>5</v>
      </c>
      <c r="D111" s="359">
        <v>-0.14285714285714288</v>
      </c>
      <c r="E111" s="359" t="s">
        <v>6</v>
      </c>
      <c r="F111" s="359">
        <f t="shared" si="45"/>
        <v>-7.6884920634920653E-2</v>
      </c>
      <c r="G111" s="249">
        <v>1</v>
      </c>
      <c r="H111" s="359">
        <f t="shared" si="44"/>
        <v>7.8878609533699337E-2</v>
      </c>
      <c r="I111" s="359">
        <f t="shared" si="46"/>
        <v>0.31785147322130036</v>
      </c>
      <c r="J111" s="359">
        <f t="shared" si="47"/>
        <v>-0.37084808310603695</v>
      </c>
      <c r="K111" s="304">
        <f t="shared" si="48"/>
        <v>7.9462868305325091E-2</v>
      </c>
      <c r="L111" s="304">
        <f t="shared" si="49"/>
        <v>-6.1808013851006156E-2</v>
      </c>
      <c r="M111" s="304">
        <f t="shared" si="50"/>
        <v>0.66740631311926324</v>
      </c>
      <c r="N111" s="304">
        <f t="shared" si="51"/>
        <v>1.0156795533306782</v>
      </c>
    </row>
    <row r="112" spans="1:19" ht="18" customHeight="1" x14ac:dyDescent="0.3">
      <c r="A112" s="259"/>
      <c r="B112" s="359">
        <v>-0.13194444444444442</v>
      </c>
      <c r="C112" s="359" t="s">
        <v>5</v>
      </c>
      <c r="D112" s="359">
        <v>0.14285714285714288</v>
      </c>
      <c r="E112" s="359" t="s">
        <v>6</v>
      </c>
      <c r="F112" s="359">
        <f>SUM(B112,D112)</f>
        <v>1.0912698412698457E-2</v>
      </c>
      <c r="G112" s="249">
        <v>1</v>
      </c>
      <c r="H112" s="359">
        <f t="shared" si="44"/>
        <v>0.16009425415390166</v>
      </c>
      <c r="I112" s="359">
        <f t="shared" si="46"/>
        <v>0.47794572737520202</v>
      </c>
      <c r="J112" s="359">
        <f t="shared" si="47"/>
        <v>-0.37084808310603695</v>
      </c>
      <c r="K112" s="304">
        <f t="shared" si="48"/>
        <v>0.11948643184380051</v>
      </c>
      <c r="L112" s="304">
        <f t="shared" si="49"/>
        <v>-6.1808013851006156E-2</v>
      </c>
      <c r="M112" s="304">
        <f t="shared" si="50"/>
        <v>0.70801413542936442</v>
      </c>
      <c r="N112" s="304">
        <f t="shared" si="51"/>
        <v>1.237581821335586</v>
      </c>
    </row>
    <row r="113" spans="1:19" ht="18" customHeight="1" x14ac:dyDescent="0.3">
      <c r="A113" s="259"/>
      <c r="B113" s="359">
        <v>6.5972222222222224E-2</v>
      </c>
      <c r="C113" s="359" t="s">
        <v>5</v>
      </c>
      <c r="D113" s="359">
        <v>-0.14285714285714288</v>
      </c>
      <c r="E113" s="359" t="s">
        <v>6</v>
      </c>
      <c r="F113" s="359">
        <f t="shared" ref="F113:F116" si="52">SUM(B113,D113)</f>
        <v>-7.6884920634920653E-2</v>
      </c>
      <c r="G113" s="249">
        <v>2</v>
      </c>
      <c r="H113" s="359">
        <f t="shared" si="44"/>
        <v>-0.23264845080354063</v>
      </c>
      <c r="I113" s="359">
        <f t="shared" si="46"/>
        <v>0.47794572737520202</v>
      </c>
      <c r="J113" s="359">
        <f t="shared" si="47"/>
        <v>-0.60349653390957758</v>
      </c>
      <c r="K113" s="304">
        <f t="shared" si="48"/>
        <v>0.11948643184380051</v>
      </c>
      <c r="L113" s="304">
        <f t="shared" si="49"/>
        <v>-0.10058275565159626</v>
      </c>
      <c r="M113" s="304">
        <f>IF(ROW()=107, 0, M112) + ABS(H113 - IF($G113=1, $K113, $L113))</f>
        <v>0.84007983058130886</v>
      </c>
      <c r="N113" s="304">
        <f t="shared" si="51"/>
        <v>1.5897167039829272</v>
      </c>
    </row>
    <row r="114" spans="1:19" ht="18" customHeight="1" x14ac:dyDescent="0.3">
      <c r="A114" s="259"/>
      <c r="B114" s="359">
        <v>-0.13194444444444442</v>
      </c>
      <c r="C114" s="359" t="s">
        <v>5</v>
      </c>
      <c r="D114" s="359">
        <v>-0.14285714285714288</v>
      </c>
      <c r="E114" s="359" t="s">
        <v>6</v>
      </c>
      <c r="F114" s="359">
        <f t="shared" si="52"/>
        <v>-0.27480158730158732</v>
      </c>
      <c r="G114" s="249">
        <v>2</v>
      </c>
      <c r="H114" s="359">
        <f t="shared" si="44"/>
        <v>-0.44528297902930497</v>
      </c>
      <c r="I114" s="359">
        <f t="shared" si="46"/>
        <v>0.47794572737520202</v>
      </c>
      <c r="J114" s="359">
        <f t="shared" si="47"/>
        <v>-1.0487795129388826</v>
      </c>
      <c r="K114" s="304">
        <f t="shared" si="48"/>
        <v>0.11948643184380051</v>
      </c>
      <c r="L114" s="304">
        <f t="shared" si="49"/>
        <v>-0.17479658548981378</v>
      </c>
      <c r="M114" s="304">
        <f t="shared" si="50"/>
        <v>1.1105662241208001</v>
      </c>
      <c r="N114" s="304">
        <f t="shared" si="51"/>
        <v>2.1544861148560326</v>
      </c>
      <c r="O114" s="354"/>
    </row>
    <row r="115" spans="1:19" ht="18" customHeight="1" x14ac:dyDescent="0.3">
      <c r="A115" s="259"/>
      <c r="B115" s="359">
        <v>-0.13194444444444442</v>
      </c>
      <c r="C115" s="359" t="s">
        <v>5</v>
      </c>
      <c r="D115" s="359">
        <v>-0.14285714285714288</v>
      </c>
      <c r="E115" s="359" t="s">
        <v>6</v>
      </c>
      <c r="F115" s="359">
        <f t="shared" si="52"/>
        <v>-0.27480158730158732</v>
      </c>
      <c r="G115" s="249">
        <v>2</v>
      </c>
      <c r="H115" s="359">
        <f t="shared" si="44"/>
        <v>-0.44528297902930497</v>
      </c>
      <c r="I115" s="359">
        <f t="shared" si="46"/>
        <v>0.47794572737520202</v>
      </c>
      <c r="J115" s="359">
        <f t="shared" si="47"/>
        <v>-1.4940624919681875</v>
      </c>
      <c r="K115" s="304">
        <f t="shared" si="48"/>
        <v>0.11948643184380051</v>
      </c>
      <c r="L115" s="304">
        <f t="shared" si="49"/>
        <v>-0.24901041532803125</v>
      </c>
      <c r="M115" s="304">
        <f t="shared" si="50"/>
        <v>1.3068387878220737</v>
      </c>
      <c r="N115" s="304">
        <f t="shared" si="51"/>
        <v>2.719255525729138</v>
      </c>
      <c r="O115" s="358"/>
    </row>
    <row r="116" spans="1:19" ht="18" customHeight="1" x14ac:dyDescent="0.3">
      <c r="A116" s="259"/>
      <c r="B116" s="359">
        <v>-0.13194444444444442</v>
      </c>
      <c r="C116" s="359" t="s">
        <v>5</v>
      </c>
      <c r="D116" s="359">
        <v>-0.14285714285714288</v>
      </c>
      <c r="E116" s="359" t="s">
        <v>6</v>
      </c>
      <c r="F116" s="359">
        <f t="shared" si="52"/>
        <v>-0.27480158730158732</v>
      </c>
      <c r="G116" s="249">
        <v>2</v>
      </c>
      <c r="H116" s="359">
        <f t="shared" si="44"/>
        <v>-0.44528297902930497</v>
      </c>
      <c r="I116" s="359">
        <f t="shared" si="46"/>
        <v>0.47794572737520202</v>
      </c>
      <c r="J116" s="359">
        <f t="shared" si="47"/>
        <v>-1.9393454709974924</v>
      </c>
      <c r="K116" s="304">
        <f t="shared" si="48"/>
        <v>0.11948643184380051</v>
      </c>
      <c r="L116" s="304">
        <f t="shared" si="49"/>
        <v>-0.32322424516624876</v>
      </c>
      <c r="M116" s="304">
        <f t="shared" si="50"/>
        <v>1.4288975216851298</v>
      </c>
      <c r="N116" s="304">
        <f>IF(ROW()=107, 0, N115) + ABS(H116 - IF($G116=1, $L116, $K116))</f>
        <v>3.2840249366022434</v>
      </c>
      <c r="O116" s="373">
        <f>M116/N116</f>
        <v>0.43510556383396792</v>
      </c>
    </row>
    <row r="120" spans="1:19" ht="18" customHeight="1" x14ac:dyDescent="0.3">
      <c r="A120" s="281" t="s">
        <v>10</v>
      </c>
      <c r="B120" s="282"/>
      <c r="C120" s="282"/>
      <c r="D120" s="282"/>
      <c r="E120" s="282"/>
      <c r="F120" s="283"/>
      <c r="G120" s="350"/>
      <c r="H120" s="281" t="s">
        <v>9</v>
      </c>
      <c r="I120" s="282"/>
      <c r="J120" s="282"/>
      <c r="K120" s="282"/>
      <c r="L120" s="282"/>
      <c r="M120" s="282"/>
      <c r="N120" s="283"/>
    </row>
    <row r="121" spans="1:19" ht="18" customHeight="1" x14ac:dyDescent="0.3">
      <c r="A121" s="351"/>
      <c r="B121" s="352"/>
      <c r="C121" s="353" t="s">
        <v>5</v>
      </c>
      <c r="D121" s="354"/>
      <c r="E121" s="353" t="s">
        <v>6</v>
      </c>
      <c r="F121" s="354"/>
      <c r="G121" s="240" t="s">
        <v>8</v>
      </c>
      <c r="H121" s="355"/>
      <c r="I121" s="356"/>
      <c r="J121" s="356"/>
      <c r="K121" s="357"/>
      <c r="L121" s="357"/>
      <c r="M121" s="358"/>
      <c r="N121" s="358"/>
      <c r="P121" s="269" t="s">
        <v>27</v>
      </c>
      <c r="Q121" s="269"/>
      <c r="R121" s="269"/>
      <c r="S121" s="269"/>
    </row>
    <row r="122" spans="1:19" ht="18" customHeight="1" x14ac:dyDescent="0.3">
      <c r="A122" s="259"/>
      <c r="B122" s="359">
        <v>-0.13194444444444442</v>
      </c>
      <c r="C122" s="359" t="s">
        <v>5</v>
      </c>
      <c r="D122" s="359">
        <v>0.24074050000000002</v>
      </c>
      <c r="E122" s="359" t="s">
        <v>6</v>
      </c>
      <c r="F122" s="359">
        <f>SUM(B122,D122)</f>
        <v>0.1087960555555556</v>
      </c>
      <c r="G122" s="249">
        <v>2</v>
      </c>
      <c r="H122" s="359">
        <f t="shared" ref="H122:H131" si="53">IF(OR($G122=1,$G122=2), $F122 + IF($G122=1,1,-1)*$N$23*(EXP(-$F122)/(1+EXP(-$F122))), NA())</f>
        <v>-3.3052279346157232E-2</v>
      </c>
      <c r="I122" s="359">
        <f>IF(G122=1,H122+N(I121),N(I121))</f>
        <v>0</v>
      </c>
      <c r="J122" s="359">
        <f>IF(G122=2,H122+N(J121),N(J121))</f>
        <v>-3.3052279346157232E-2</v>
      </c>
      <c r="K122" s="304">
        <f>IFERROR(I122/COUNTIF($G$122:$G$131,1),"ERROR!!!")</f>
        <v>0</v>
      </c>
      <c r="L122" s="304">
        <f>IFERROR(J122/COUNTIF($G$122:$G$131,2),"ERROR!!!")</f>
        <v>-5.5087132243595389E-3</v>
      </c>
      <c r="M122" s="304">
        <f>IF(ROW()=122, 0, M121) + ABS(H122 - IF($G122=1, $K122, $L122))</f>
        <v>2.7543566121797692E-2</v>
      </c>
      <c r="N122" s="304">
        <f>IF(ROW()=122, 0, N121) + ABS(H122 - IF($G122=1, $L122, $K122))</f>
        <v>3.3052279346157232E-2</v>
      </c>
      <c r="P122" s="360"/>
      <c r="Q122" s="361"/>
      <c r="R122" s="316" t="s">
        <v>13</v>
      </c>
      <c r="S122" s="362">
        <f>IF(O131&lt;S107,O131,S107)</f>
        <v>0.3556638792093228</v>
      </c>
    </row>
    <row r="123" spans="1:19" ht="18" customHeight="1" x14ac:dyDescent="0.3">
      <c r="A123" s="259"/>
      <c r="B123" s="359">
        <v>6.5972222222222224E-2</v>
      </c>
      <c r="C123" s="359" t="s">
        <v>5</v>
      </c>
      <c r="D123" s="359">
        <v>-0.24074050000000002</v>
      </c>
      <c r="E123" s="359" t="s">
        <v>6</v>
      </c>
      <c r="F123" s="359">
        <f t="shared" ref="F123:F126" si="54">SUM(B123,D123)</f>
        <v>-0.17476827777777781</v>
      </c>
      <c r="G123" s="249">
        <v>1</v>
      </c>
      <c r="H123" s="359">
        <f t="shared" si="53"/>
        <v>-1.1693918564622735E-2</v>
      </c>
      <c r="I123" s="359">
        <f t="shared" ref="I123:I131" si="55">IF(G123=1,H123+N(I122),N(I122))</f>
        <v>-1.1693918564622735E-2</v>
      </c>
      <c r="J123" s="359">
        <f t="shared" ref="J123:J131" si="56">IF(G123=2,H123+N(J122),N(J122))</f>
        <v>-3.3052279346157232E-2</v>
      </c>
      <c r="K123" s="304">
        <f t="shared" ref="K123:K131" si="57">IFERROR(I123/COUNTIF($G$122:$G$131,1),"ERROR!!!")</f>
        <v>-2.9234796411556838E-3</v>
      </c>
      <c r="L123" s="304">
        <f t="shared" ref="L123:L131" si="58">IFERROR(J123/COUNTIF($G$122:$G$131,2),"ERROR!!!")</f>
        <v>-5.5087132243595389E-3</v>
      </c>
      <c r="M123" s="304">
        <f t="shared" ref="M123:M131" si="59">IF(ROW()=122, 0, M122) + ABS(H123 - IF($G123=1, $K123, $L123))</f>
        <v>3.6314005045264747E-2</v>
      </c>
      <c r="N123" s="304">
        <f t="shared" ref="N123:N130" si="60">IF(ROW()=122, 0, N122) + ABS(H123 - IF($G123=1, $L123, $K123))</f>
        <v>3.923748468642043E-2</v>
      </c>
      <c r="P123" s="364"/>
      <c r="Q123" s="365"/>
      <c r="R123" s="259" t="s">
        <v>17</v>
      </c>
      <c r="S123" s="366">
        <v>8</v>
      </c>
    </row>
    <row r="124" spans="1:19" ht="18" customHeight="1" x14ac:dyDescent="0.3">
      <c r="A124" s="259"/>
      <c r="B124" s="359">
        <v>6.5972222222222224E-2</v>
      </c>
      <c r="C124" s="359" t="s">
        <v>5</v>
      </c>
      <c r="D124" s="359">
        <v>-0.24074050000000002</v>
      </c>
      <c r="E124" s="359" t="s">
        <v>6</v>
      </c>
      <c r="F124" s="359">
        <f t="shared" si="54"/>
        <v>-0.17476827777777781</v>
      </c>
      <c r="G124" s="249">
        <v>2</v>
      </c>
      <c r="H124" s="359">
        <f t="shared" si="53"/>
        <v>-0.33784263699093287</v>
      </c>
      <c r="I124" s="359">
        <f t="shared" si="55"/>
        <v>-1.1693918564622735E-2</v>
      </c>
      <c r="J124" s="359">
        <f t="shared" si="56"/>
        <v>-0.3708949163370901</v>
      </c>
      <c r="K124" s="304">
        <f t="shared" si="57"/>
        <v>-2.9234796411556838E-3</v>
      </c>
      <c r="L124" s="304">
        <f t="shared" si="58"/>
        <v>-6.1815819389515018E-2</v>
      </c>
      <c r="M124" s="304">
        <f t="shared" si="59"/>
        <v>0.31234082264668261</v>
      </c>
      <c r="N124" s="304">
        <f t="shared" si="60"/>
        <v>0.37415664203619758</v>
      </c>
      <c r="P124" s="368"/>
      <c r="Q124" s="369"/>
      <c r="R124" s="259" t="s">
        <v>15</v>
      </c>
      <c r="S124" s="366">
        <f>IF(O131&lt;S107,S123,S109)</f>
        <v>6</v>
      </c>
    </row>
    <row r="125" spans="1:19" ht="18" customHeight="1" x14ac:dyDescent="0.3">
      <c r="A125" s="259"/>
      <c r="B125" s="359">
        <v>-0.13194444444444442</v>
      </c>
      <c r="C125" s="359" t="s">
        <v>5</v>
      </c>
      <c r="D125" s="359">
        <v>0.24074050000000002</v>
      </c>
      <c r="E125" s="359" t="s">
        <v>6</v>
      </c>
      <c r="F125" s="359">
        <f t="shared" si="54"/>
        <v>0.1087960555555556</v>
      </c>
      <c r="G125" s="249">
        <v>1</v>
      </c>
      <c r="H125" s="359">
        <f t="shared" si="53"/>
        <v>0.25064439045726844</v>
      </c>
      <c r="I125" s="359">
        <f t="shared" si="55"/>
        <v>0.2389504718926457</v>
      </c>
      <c r="J125" s="359">
        <f t="shared" si="56"/>
        <v>-0.3708949163370901</v>
      </c>
      <c r="K125" s="304">
        <f t="shared" si="57"/>
        <v>5.9737617973161426E-2</v>
      </c>
      <c r="L125" s="304">
        <f t="shared" si="58"/>
        <v>-6.1815819389515018E-2</v>
      </c>
      <c r="M125" s="304">
        <f t="shared" si="59"/>
        <v>0.50324759513078965</v>
      </c>
      <c r="N125" s="304">
        <f t="shared" si="60"/>
        <v>0.68661685188298105</v>
      </c>
    </row>
    <row r="126" spans="1:19" ht="18" customHeight="1" x14ac:dyDescent="0.3">
      <c r="A126" s="259"/>
      <c r="B126" s="359">
        <v>6.5972222222222224E-2</v>
      </c>
      <c r="C126" s="359" t="s">
        <v>5</v>
      </c>
      <c r="D126" s="359">
        <v>0.24074050000000002</v>
      </c>
      <c r="E126" s="359" t="s">
        <v>6</v>
      </c>
      <c r="F126" s="359">
        <f t="shared" si="54"/>
        <v>0.30671272222222223</v>
      </c>
      <c r="G126" s="249">
        <v>1</v>
      </c>
      <c r="H126" s="359">
        <f t="shared" si="53"/>
        <v>0.43388792068550208</v>
      </c>
      <c r="I126" s="359">
        <f t="shared" si="55"/>
        <v>0.67283839257814781</v>
      </c>
      <c r="J126" s="359">
        <f t="shared" si="56"/>
        <v>-0.3708949163370901</v>
      </c>
      <c r="K126" s="304">
        <f t="shared" si="57"/>
        <v>0.16820959814453695</v>
      </c>
      <c r="L126" s="304">
        <f t="shared" si="58"/>
        <v>-6.1815819389515018E-2</v>
      </c>
      <c r="M126" s="304">
        <f t="shared" si="59"/>
        <v>0.76892591767175478</v>
      </c>
      <c r="N126" s="304">
        <f t="shared" si="60"/>
        <v>1.1823205919579982</v>
      </c>
    </row>
    <row r="127" spans="1:19" ht="18" customHeight="1" x14ac:dyDescent="0.3">
      <c r="A127" s="259"/>
      <c r="B127" s="359">
        <v>-0.13194444444444442</v>
      </c>
      <c r="C127" s="359" t="s">
        <v>5</v>
      </c>
      <c r="D127" s="359">
        <v>0.24074050000000002</v>
      </c>
      <c r="E127" s="359" t="s">
        <v>6</v>
      </c>
      <c r="F127" s="359">
        <f>SUM(B127,D127)</f>
        <v>0.1087960555555556</v>
      </c>
      <c r="G127" s="249">
        <v>1</v>
      </c>
      <c r="H127" s="359">
        <f t="shared" si="53"/>
        <v>0.25064439045726844</v>
      </c>
      <c r="I127" s="359">
        <f t="shared" si="55"/>
        <v>0.9234827830354162</v>
      </c>
      <c r="J127" s="359">
        <f t="shared" si="56"/>
        <v>-0.3708949163370901</v>
      </c>
      <c r="K127" s="304">
        <f t="shared" si="57"/>
        <v>0.23087069575885405</v>
      </c>
      <c r="L127" s="304">
        <f t="shared" si="58"/>
        <v>-6.1815819389515018E-2</v>
      </c>
      <c r="M127" s="304">
        <f t="shared" si="59"/>
        <v>0.78869961237016917</v>
      </c>
      <c r="N127" s="304">
        <f t="shared" si="60"/>
        <v>1.4947808018047817</v>
      </c>
    </row>
    <row r="128" spans="1:19" ht="18" customHeight="1" x14ac:dyDescent="0.3">
      <c r="A128" s="259"/>
      <c r="B128" s="359">
        <v>6.5972222222222224E-2</v>
      </c>
      <c r="C128" s="359" t="s">
        <v>5</v>
      </c>
      <c r="D128" s="359">
        <v>-0.24074050000000002</v>
      </c>
      <c r="E128" s="359" t="s">
        <v>6</v>
      </c>
      <c r="F128" s="359">
        <f t="shared" ref="F128:F131" si="61">SUM(B128,D128)</f>
        <v>-0.17476827777777781</v>
      </c>
      <c r="G128" s="249">
        <v>2</v>
      </c>
      <c r="H128" s="359">
        <f t="shared" si="53"/>
        <v>-0.33784263699093287</v>
      </c>
      <c r="I128" s="359">
        <f t="shared" si="55"/>
        <v>0.9234827830354162</v>
      </c>
      <c r="J128" s="359">
        <f t="shared" si="56"/>
        <v>-0.70873755332802291</v>
      </c>
      <c r="K128" s="304">
        <f t="shared" si="57"/>
        <v>0.23087069575885405</v>
      </c>
      <c r="L128" s="304">
        <f>IFERROR(J128/COUNTIF($G$122:$G$131,2),"ERROR!!!")</f>
        <v>-0.11812292555467048</v>
      </c>
      <c r="M128" s="304">
        <f t="shared" si="59"/>
        <v>1.0084193238064316</v>
      </c>
      <c r="N128" s="304">
        <f t="shared" si="60"/>
        <v>2.0634941345545688</v>
      </c>
    </row>
    <row r="129" spans="1:19" ht="18" customHeight="1" x14ac:dyDescent="0.3">
      <c r="A129" s="259"/>
      <c r="B129" s="359">
        <v>-0.13194444444444442</v>
      </c>
      <c r="C129" s="359" t="s">
        <v>5</v>
      </c>
      <c r="D129" s="359">
        <v>-0.24074050000000002</v>
      </c>
      <c r="E129" s="359" t="s">
        <v>6</v>
      </c>
      <c r="F129" s="359">
        <f t="shared" si="61"/>
        <v>-0.37268494444444444</v>
      </c>
      <c r="G129" s="249">
        <v>2</v>
      </c>
      <c r="H129" s="359">
        <f t="shared" si="53"/>
        <v>-0.55031722324544141</v>
      </c>
      <c r="I129" s="359">
        <f t="shared" si="55"/>
        <v>0.9234827830354162</v>
      </c>
      <c r="J129" s="359">
        <f t="shared" si="56"/>
        <v>-1.2590547765734643</v>
      </c>
      <c r="K129" s="304">
        <f t="shared" si="57"/>
        <v>0.23087069575885405</v>
      </c>
      <c r="L129" s="304">
        <f t="shared" si="58"/>
        <v>-0.20984246276224405</v>
      </c>
      <c r="M129" s="304">
        <f t="shared" si="59"/>
        <v>1.3488940842896291</v>
      </c>
      <c r="N129" s="304">
        <f t="shared" si="60"/>
        <v>2.8446820535588642</v>
      </c>
      <c r="O129" s="354"/>
    </row>
    <row r="130" spans="1:19" ht="18" customHeight="1" x14ac:dyDescent="0.3">
      <c r="A130" s="259"/>
      <c r="B130" s="359">
        <v>-0.13194444444444442</v>
      </c>
      <c r="C130" s="359" t="s">
        <v>5</v>
      </c>
      <c r="D130" s="359">
        <v>-0.24074050000000002</v>
      </c>
      <c r="E130" s="359" t="s">
        <v>6</v>
      </c>
      <c r="F130" s="359">
        <f t="shared" si="61"/>
        <v>-0.37268494444444444</v>
      </c>
      <c r="G130" s="249">
        <v>2</v>
      </c>
      <c r="H130" s="359">
        <f t="shared" si="53"/>
        <v>-0.55031722324544141</v>
      </c>
      <c r="I130" s="359">
        <f>IF(G130=1,H130+N(I129),N(I129))</f>
        <v>0.9234827830354162</v>
      </c>
      <c r="J130" s="359">
        <f t="shared" si="56"/>
        <v>-1.8093719998189057</v>
      </c>
      <c r="K130" s="304">
        <f>IFERROR(I130/COUNTIF($G$122:$G$131,1),"ERROR!!!")</f>
        <v>0.23087069575885405</v>
      </c>
      <c r="L130" s="304">
        <f t="shared" si="58"/>
        <v>-0.30156199996981764</v>
      </c>
      <c r="M130" s="304">
        <f>IF(ROW()=122, 0, M129) + ABS(H130 - IF($G130=1, $K130, $L130))</f>
        <v>1.5976493075652529</v>
      </c>
      <c r="N130" s="304">
        <f t="shared" si="60"/>
        <v>3.6258699725631596</v>
      </c>
      <c r="O130" s="358"/>
    </row>
    <row r="131" spans="1:19" ht="18" customHeight="1" x14ac:dyDescent="0.3">
      <c r="A131" s="259"/>
      <c r="B131" s="359">
        <v>-0.13194444444444442</v>
      </c>
      <c r="C131" s="359" t="s">
        <v>5</v>
      </c>
      <c r="D131" s="359">
        <v>-0.24074050000000002</v>
      </c>
      <c r="E131" s="359" t="s">
        <v>6</v>
      </c>
      <c r="F131" s="359">
        <f t="shared" si="61"/>
        <v>-0.37268494444444444</v>
      </c>
      <c r="G131" s="249">
        <v>2</v>
      </c>
      <c r="H131" s="359">
        <f t="shared" si="53"/>
        <v>-0.55031722324544141</v>
      </c>
      <c r="I131" s="359">
        <f t="shared" si="55"/>
        <v>0.9234827830354162</v>
      </c>
      <c r="J131" s="359">
        <f t="shared" si="56"/>
        <v>-2.3596892230643469</v>
      </c>
      <c r="K131" s="304">
        <f t="shared" si="57"/>
        <v>0.23087069575885405</v>
      </c>
      <c r="L131" s="304">
        <f t="shared" si="58"/>
        <v>-0.39328153717739117</v>
      </c>
      <c r="M131" s="304">
        <f t="shared" si="59"/>
        <v>1.7546849936333031</v>
      </c>
      <c r="N131" s="304">
        <f>IF(ROW()=122, 0, N130) + ABS(H131 - IF($G131=1, $L131, $K131))</f>
        <v>4.4070578915674545</v>
      </c>
      <c r="O131" s="373">
        <f>M131/N131</f>
        <v>0.39815337960292047</v>
      </c>
    </row>
    <row r="135" spans="1:19" ht="18" customHeight="1" x14ac:dyDescent="0.3">
      <c r="A135" s="281" t="s">
        <v>10</v>
      </c>
      <c r="B135" s="282"/>
      <c r="C135" s="282"/>
      <c r="D135" s="282"/>
      <c r="E135" s="282"/>
      <c r="F135" s="283"/>
      <c r="G135" s="350"/>
      <c r="H135" s="281" t="s">
        <v>9</v>
      </c>
      <c r="I135" s="282"/>
      <c r="J135" s="282"/>
      <c r="K135" s="282"/>
      <c r="L135" s="282"/>
      <c r="M135" s="282"/>
      <c r="N135" s="283"/>
    </row>
    <row r="136" spans="1:19" ht="18" customHeight="1" x14ac:dyDescent="0.3">
      <c r="A136" s="351"/>
      <c r="B136" s="352"/>
      <c r="C136" s="353" t="s">
        <v>5</v>
      </c>
      <c r="D136" s="354"/>
      <c r="E136" s="353" t="s">
        <v>6</v>
      </c>
      <c r="F136" s="354"/>
      <c r="G136" s="240" t="s">
        <v>8</v>
      </c>
      <c r="H136" s="355"/>
      <c r="I136" s="356"/>
      <c r="J136" s="356"/>
      <c r="K136" s="357"/>
      <c r="L136" s="357"/>
      <c r="M136" s="358"/>
      <c r="N136" s="358"/>
      <c r="P136" s="269" t="s">
        <v>27</v>
      </c>
      <c r="Q136" s="269"/>
      <c r="R136" s="269"/>
      <c r="S136" s="269"/>
    </row>
    <row r="137" spans="1:19" ht="18" customHeight="1" x14ac:dyDescent="0.3">
      <c r="A137" s="259"/>
      <c r="B137" s="359">
        <v>-0.13194444444444442</v>
      </c>
      <c r="C137" s="359" t="s">
        <v>5</v>
      </c>
      <c r="D137" s="359">
        <v>-5.3571428571428555E-2</v>
      </c>
      <c r="E137" s="359" t="s">
        <v>6</v>
      </c>
      <c r="F137" s="359">
        <f>SUM(B137,D137)</f>
        <v>-0.18551587301587297</v>
      </c>
      <c r="G137" s="249">
        <v>2</v>
      </c>
      <c r="H137" s="359">
        <f t="shared" ref="H137:H146" si="62">IF(OR($G137=1,$G137=2), $F137 + IF($G137=1,1,-1)*$N$23*(EXP(-$F137)/(1+EXP(-$F137))), NA())</f>
        <v>-0.3493897957261386</v>
      </c>
      <c r="I137" s="359">
        <f>IF(G137=1,H137+N(I136),N(I136))</f>
        <v>0</v>
      </c>
      <c r="J137" s="359">
        <f>IF(G137=2,H137+N(J136),N(J136))</f>
        <v>-0.3493897957261386</v>
      </c>
      <c r="K137" s="304">
        <f>IFERROR(I137/COUNTIF($G$137:$G$146,1),"ERROR!!!")</f>
        <v>0</v>
      </c>
      <c r="L137" s="304">
        <f>IFERROR(J137/COUNTIF($G$137:$G$146,2),"ERROR!!!")</f>
        <v>-5.8231632621023099E-2</v>
      </c>
      <c r="M137" s="304">
        <f>IF(ROW()=137, 0, M136) + ABS(H137 - IF($G137=1, $K137, $L137))</f>
        <v>0.2911581631051155</v>
      </c>
      <c r="N137" s="304">
        <f>IF(ROW()=137, 0, N136) + ABS(H137 - IF($G137=1, $L137, $K137))</f>
        <v>0.3493897957261386</v>
      </c>
      <c r="P137" s="360"/>
      <c r="Q137" s="361"/>
      <c r="R137" s="316" t="s">
        <v>13</v>
      </c>
      <c r="S137" s="362">
        <f>IF(O146&lt;S122,O146,S122)</f>
        <v>0.3556638792093228</v>
      </c>
    </row>
    <row r="138" spans="1:19" ht="18" customHeight="1" x14ac:dyDescent="0.3">
      <c r="A138" s="259"/>
      <c r="B138" s="359">
        <v>6.5972222222222224E-2</v>
      </c>
      <c r="C138" s="359" t="s">
        <v>5</v>
      </c>
      <c r="D138" s="359">
        <v>-5.3571428571428555E-2</v>
      </c>
      <c r="E138" s="359" t="s">
        <v>6</v>
      </c>
      <c r="F138" s="359">
        <f t="shared" ref="F138:F141" si="63">SUM(B138,D138)</f>
        <v>1.2400793650793669E-2</v>
      </c>
      <c r="G138" s="249">
        <v>1</v>
      </c>
      <c r="H138" s="359">
        <f t="shared" si="62"/>
        <v>0.16147074604548908</v>
      </c>
      <c r="I138" s="359">
        <f t="shared" ref="I138:I146" si="64">IF(G138=1,H138+N(I137),N(I137))</f>
        <v>0.16147074604548908</v>
      </c>
      <c r="J138" s="359">
        <f t="shared" ref="J138:J146" si="65">IF(G138=2,H138+N(J137),N(J137))</f>
        <v>-0.3493897957261386</v>
      </c>
      <c r="K138" s="304">
        <f t="shared" ref="K138:K146" si="66">IFERROR(I138/COUNTIF($G$137:$G$146,1),"ERROR!!!")</f>
        <v>4.0367686511372271E-2</v>
      </c>
      <c r="L138" s="304">
        <f t="shared" ref="L138:L146" si="67">IFERROR(J138/COUNTIF($G$137:$G$146,2),"ERROR!!!")</f>
        <v>-5.8231632621023099E-2</v>
      </c>
      <c r="M138" s="304">
        <f t="shared" ref="M138:M145" si="68">IF(ROW()=137, 0, M137) + ABS(H138 - IF($G138=1, $K138, $L138))</f>
        <v>0.41226122263923232</v>
      </c>
      <c r="N138" s="304">
        <f t="shared" ref="N138:N146" si="69">IF(ROW()=137, 0, N137) + ABS(H138 - IF($G138=1, $L138, $K138))</f>
        <v>0.56909217439265081</v>
      </c>
      <c r="P138" s="364"/>
      <c r="Q138" s="365"/>
      <c r="R138" s="259" t="s">
        <v>17</v>
      </c>
      <c r="S138" s="366">
        <v>9</v>
      </c>
    </row>
    <row r="139" spans="1:19" ht="18" customHeight="1" x14ac:dyDescent="0.3">
      <c r="A139" s="259"/>
      <c r="B139" s="359">
        <v>6.5972222222222224E-2</v>
      </c>
      <c r="C139" s="359" t="s">
        <v>5</v>
      </c>
      <c r="D139" s="359">
        <v>-5.3571428571428555E-2</v>
      </c>
      <c r="E139" s="359" t="s">
        <v>6</v>
      </c>
      <c r="F139" s="359">
        <f t="shared" si="63"/>
        <v>1.2400793650793669E-2</v>
      </c>
      <c r="G139" s="249">
        <v>2</v>
      </c>
      <c r="H139" s="359">
        <f t="shared" si="62"/>
        <v>-0.13666915874390176</v>
      </c>
      <c r="I139" s="359">
        <f t="shared" si="64"/>
        <v>0.16147074604548908</v>
      </c>
      <c r="J139" s="359">
        <f t="shared" si="65"/>
        <v>-0.48605895447004033</v>
      </c>
      <c r="K139" s="304">
        <f t="shared" si="66"/>
        <v>4.0367686511372271E-2</v>
      </c>
      <c r="L139" s="304">
        <f t="shared" si="67"/>
        <v>-8.1009825745006717E-2</v>
      </c>
      <c r="M139" s="304">
        <f t="shared" si="68"/>
        <v>0.46792055563812734</v>
      </c>
      <c r="N139" s="304">
        <f t="shared" si="69"/>
        <v>0.74612901964792488</v>
      </c>
      <c r="P139" s="368"/>
      <c r="Q139" s="369"/>
      <c r="R139" s="259" t="s">
        <v>15</v>
      </c>
      <c r="S139" s="366">
        <f>IF(O146&lt;S122,S138,S124)</f>
        <v>6</v>
      </c>
    </row>
    <row r="140" spans="1:19" ht="18" customHeight="1" x14ac:dyDescent="0.3">
      <c r="A140" s="259"/>
      <c r="B140" s="359">
        <v>-0.13194444444444442</v>
      </c>
      <c r="C140" s="359" t="s">
        <v>5</v>
      </c>
      <c r="D140" s="359">
        <v>5.3571428571428575E-2</v>
      </c>
      <c r="E140" s="359" t="s">
        <v>6</v>
      </c>
      <c r="F140" s="359">
        <f t="shared" si="63"/>
        <v>-7.8373015873015844E-2</v>
      </c>
      <c r="G140" s="249">
        <v>1</v>
      </c>
      <c r="H140" s="359">
        <f t="shared" si="62"/>
        <v>7.7501953458754991E-2</v>
      </c>
      <c r="I140" s="359">
        <f t="shared" si="64"/>
        <v>0.23897269950424407</v>
      </c>
      <c r="J140" s="359">
        <f t="shared" si="65"/>
        <v>-0.48605895447004033</v>
      </c>
      <c r="K140" s="304">
        <f t="shared" si="66"/>
        <v>5.9743174876061018E-2</v>
      </c>
      <c r="L140" s="304">
        <f t="shared" si="67"/>
        <v>-8.1009825745006717E-2</v>
      </c>
      <c r="M140" s="304">
        <f t="shared" si="68"/>
        <v>0.48567933422082132</v>
      </c>
      <c r="N140" s="304">
        <f t="shared" si="69"/>
        <v>0.90464079885168658</v>
      </c>
    </row>
    <row r="141" spans="1:19" ht="18" customHeight="1" x14ac:dyDescent="0.3">
      <c r="A141" s="259"/>
      <c r="B141" s="359">
        <v>6.5972222222222224E-2</v>
      </c>
      <c r="C141" s="359" t="s">
        <v>5</v>
      </c>
      <c r="D141" s="359">
        <v>5.3571428571428575E-2</v>
      </c>
      <c r="E141" s="359" t="s">
        <v>6</v>
      </c>
      <c r="F141" s="359">
        <f t="shared" si="63"/>
        <v>0.1195436507936508</v>
      </c>
      <c r="G141" s="249">
        <v>1</v>
      </c>
      <c r="H141" s="359">
        <f>IF(OR($G141=1,$G141=2), $F141 + IF($G141=1,1,-1)*$N$23*(EXP(-$F141)/(1+EXP(-$F141))), NA())</f>
        <v>0.260588539001327</v>
      </c>
      <c r="I141" s="359">
        <f t="shared" si="64"/>
        <v>0.4995612385055711</v>
      </c>
      <c r="J141" s="359">
        <f t="shared" si="65"/>
        <v>-0.48605895447004033</v>
      </c>
      <c r="K141" s="304">
        <f t="shared" si="66"/>
        <v>0.12489030962639278</v>
      </c>
      <c r="L141" s="304">
        <f t="shared" si="67"/>
        <v>-8.1009825745006717E-2</v>
      </c>
      <c r="M141" s="304">
        <f t="shared" si="68"/>
        <v>0.62137756359575558</v>
      </c>
      <c r="N141" s="304">
        <f t="shared" si="69"/>
        <v>1.2462391635980203</v>
      </c>
    </row>
    <row r="142" spans="1:19" ht="18" customHeight="1" x14ac:dyDescent="0.3">
      <c r="A142" s="259"/>
      <c r="B142" s="359">
        <v>-0.13194444444444442</v>
      </c>
      <c r="C142" s="359" t="s">
        <v>5</v>
      </c>
      <c r="D142" s="359">
        <v>-5.3571428571428555E-2</v>
      </c>
      <c r="E142" s="359" t="s">
        <v>6</v>
      </c>
      <c r="F142" s="359">
        <f>SUM(B142,D142)</f>
        <v>-0.18551587301587297</v>
      </c>
      <c r="G142" s="249">
        <v>1</v>
      </c>
      <c r="H142" s="359">
        <f t="shared" si="62"/>
        <v>-2.1641950305607366E-2</v>
      </c>
      <c r="I142" s="359">
        <f t="shared" si="64"/>
        <v>0.47791928819996377</v>
      </c>
      <c r="J142" s="359">
        <f t="shared" si="65"/>
        <v>-0.48605895447004033</v>
      </c>
      <c r="K142" s="304">
        <f>IFERROR(I142/COUNTIF($G$137:$G$146,1),"ERROR!!!")</f>
        <v>0.11947982204999094</v>
      </c>
      <c r="L142" s="304">
        <f t="shared" si="67"/>
        <v>-8.1009825745006717E-2</v>
      </c>
      <c r="M142" s="304">
        <f t="shared" si="68"/>
        <v>0.76249933595135388</v>
      </c>
      <c r="N142" s="304">
        <f t="shared" si="69"/>
        <v>1.3056070390374197</v>
      </c>
    </row>
    <row r="143" spans="1:19" ht="18" customHeight="1" x14ac:dyDescent="0.3">
      <c r="A143" s="259"/>
      <c r="B143" s="359">
        <v>6.5972222222222224E-2</v>
      </c>
      <c r="C143" s="359" t="s">
        <v>5</v>
      </c>
      <c r="D143" s="359">
        <v>5.3571428571428575E-2</v>
      </c>
      <c r="E143" s="359" t="s">
        <v>6</v>
      </c>
      <c r="F143" s="359">
        <f t="shared" ref="F143:F146" si="70">SUM(B143,D143)</f>
        <v>0.1195436507936508</v>
      </c>
      <c r="G143" s="249">
        <v>2</v>
      </c>
      <c r="H143" s="359">
        <f t="shared" si="62"/>
        <v>-2.150123741402539E-2</v>
      </c>
      <c r="I143" s="359">
        <f t="shared" si="64"/>
        <v>0.47791928819996377</v>
      </c>
      <c r="J143" s="359">
        <f t="shared" si="65"/>
        <v>-0.50756019188406576</v>
      </c>
      <c r="K143" s="304">
        <f t="shared" si="66"/>
        <v>0.11947982204999094</v>
      </c>
      <c r="L143" s="304">
        <f t="shared" si="67"/>
        <v>-8.459336531401096E-2</v>
      </c>
      <c r="M143" s="304">
        <f t="shared" si="68"/>
        <v>0.82559146385133941</v>
      </c>
      <c r="N143" s="304">
        <f t="shared" si="69"/>
        <v>1.4465880985014361</v>
      </c>
    </row>
    <row r="144" spans="1:19" ht="18" customHeight="1" x14ac:dyDescent="0.3">
      <c r="A144" s="259"/>
      <c r="B144" s="359">
        <v>-0.13194444444444442</v>
      </c>
      <c r="C144" s="359" t="s">
        <v>5</v>
      </c>
      <c r="D144" s="359">
        <v>5.3571428571428575E-2</v>
      </c>
      <c r="E144" s="359" t="s">
        <v>6</v>
      </c>
      <c r="F144" s="359">
        <f t="shared" si="70"/>
        <v>-7.8373015873015844E-2</v>
      </c>
      <c r="G144" s="249">
        <v>2</v>
      </c>
      <c r="H144" s="359">
        <f t="shared" si="62"/>
        <v>-0.23424798520478668</v>
      </c>
      <c r="I144" s="359">
        <f>IF(G144=1,H144+N(I143),N(I143))</f>
        <v>0.47791928819996377</v>
      </c>
      <c r="J144" s="359">
        <f t="shared" si="65"/>
        <v>-0.74180817708885249</v>
      </c>
      <c r="K144" s="304">
        <f>IFERROR(I144/COUNTIF($G$137:$G$146,1),"ERROR!!!")</f>
        <v>0.11947982204999094</v>
      </c>
      <c r="L144" s="304">
        <f>IFERROR(J144/COUNTIF($G$137:$G$146,2),"ERROR!!!")</f>
        <v>-0.12363469618147542</v>
      </c>
      <c r="M144" s="304">
        <f t="shared" si="68"/>
        <v>0.93620475287465066</v>
      </c>
      <c r="N144" s="304">
        <f t="shared" si="69"/>
        <v>1.8003159057562137</v>
      </c>
      <c r="O144" s="354"/>
    </row>
    <row r="145" spans="1:19" ht="18" customHeight="1" x14ac:dyDescent="0.3">
      <c r="A145" s="259"/>
      <c r="B145" s="359">
        <v>-0.13194444444444442</v>
      </c>
      <c r="C145" s="359" t="s">
        <v>5</v>
      </c>
      <c r="D145" s="359">
        <v>-5.3571428571428555E-2</v>
      </c>
      <c r="E145" s="359" t="s">
        <v>6</v>
      </c>
      <c r="F145" s="359">
        <f t="shared" si="70"/>
        <v>-0.18551587301587297</v>
      </c>
      <c r="G145" s="249">
        <v>2</v>
      </c>
      <c r="H145" s="359">
        <f t="shared" si="62"/>
        <v>-0.3493897957261386</v>
      </c>
      <c r="I145" s="359">
        <f t="shared" si="64"/>
        <v>0.47791928819996377</v>
      </c>
      <c r="J145" s="359">
        <f t="shared" si="65"/>
        <v>-1.091197972814991</v>
      </c>
      <c r="K145" s="304">
        <f t="shared" si="66"/>
        <v>0.11947982204999094</v>
      </c>
      <c r="L145" s="304">
        <f t="shared" si="67"/>
        <v>-0.18186632880249851</v>
      </c>
      <c r="M145" s="304">
        <f t="shared" si="68"/>
        <v>1.1037282197982907</v>
      </c>
      <c r="N145" s="304">
        <f>IF(ROW()=137, 0, N144) + ABS(H145 - IF($G145=1, $L145, $K145))</f>
        <v>2.269185523532343</v>
      </c>
      <c r="O145" s="358"/>
    </row>
    <row r="146" spans="1:19" ht="18" customHeight="1" x14ac:dyDescent="0.3">
      <c r="A146" s="259"/>
      <c r="B146" s="359">
        <v>-0.13194444444444442</v>
      </c>
      <c r="C146" s="359" t="s">
        <v>5</v>
      </c>
      <c r="D146" s="359">
        <v>-5.3571428571428555E-2</v>
      </c>
      <c r="E146" s="359" t="s">
        <v>6</v>
      </c>
      <c r="F146" s="359">
        <f t="shared" si="70"/>
        <v>-0.18551587301587297</v>
      </c>
      <c r="G146" s="249">
        <v>2</v>
      </c>
      <c r="H146" s="359">
        <f t="shared" si="62"/>
        <v>-0.3493897957261386</v>
      </c>
      <c r="I146" s="359">
        <f t="shared" si="64"/>
        <v>0.47791928819996377</v>
      </c>
      <c r="J146" s="359">
        <f t="shared" si="65"/>
        <v>-1.4405877685411297</v>
      </c>
      <c r="K146" s="304">
        <f t="shared" si="66"/>
        <v>0.11947982204999094</v>
      </c>
      <c r="L146" s="304">
        <f t="shared" si="67"/>
        <v>-0.24009796142352161</v>
      </c>
      <c r="M146" s="304">
        <f>IF(ROW()=137, 0, M145) + ABS(H146 - IF($G146=1, $K146, $L146))</f>
        <v>1.2130200541009077</v>
      </c>
      <c r="N146" s="304">
        <f t="shared" si="69"/>
        <v>2.7380551413084726</v>
      </c>
      <c r="O146" s="373">
        <f>M146/N146</f>
        <v>0.44302250739962268</v>
      </c>
    </row>
    <row r="150" spans="1:19" ht="18" customHeight="1" x14ac:dyDescent="0.3">
      <c r="A150" s="281" t="s">
        <v>10</v>
      </c>
      <c r="B150" s="282"/>
      <c r="C150" s="282"/>
      <c r="D150" s="282"/>
      <c r="E150" s="282"/>
      <c r="F150" s="283"/>
      <c r="G150" s="350"/>
      <c r="H150" s="281" t="s">
        <v>9</v>
      </c>
      <c r="I150" s="282"/>
      <c r="J150" s="282"/>
      <c r="K150" s="282"/>
      <c r="L150" s="282"/>
      <c r="M150" s="282"/>
      <c r="N150" s="283"/>
    </row>
    <row r="151" spans="1:19" ht="18" customHeight="1" x14ac:dyDescent="0.3">
      <c r="A151" s="351"/>
      <c r="B151" s="352"/>
      <c r="C151" s="353" t="s">
        <v>5</v>
      </c>
      <c r="D151" s="354"/>
      <c r="E151" s="353" t="s">
        <v>6</v>
      </c>
      <c r="F151" s="354"/>
      <c r="G151" s="240" t="s">
        <v>8</v>
      </c>
      <c r="H151" s="355"/>
      <c r="I151" s="356"/>
      <c r="J151" s="356"/>
      <c r="K151" s="357"/>
      <c r="L151" s="357"/>
      <c r="M151" s="358"/>
      <c r="N151" s="358"/>
      <c r="P151" s="269" t="s">
        <v>27</v>
      </c>
      <c r="Q151" s="269"/>
      <c r="R151" s="269"/>
      <c r="S151" s="269"/>
    </row>
    <row r="152" spans="1:19" ht="18" customHeight="1" x14ac:dyDescent="0.3">
      <c r="A152" s="259"/>
      <c r="B152" s="359">
        <v>-0.13194444444444442</v>
      </c>
      <c r="C152" s="359" t="s">
        <v>5</v>
      </c>
      <c r="D152" s="359">
        <v>-0.24074050000000002</v>
      </c>
      <c r="E152" s="359" t="s">
        <v>6</v>
      </c>
      <c r="F152" s="359">
        <f>SUM(B152,D152)</f>
        <v>-0.37268494444444444</v>
      </c>
      <c r="G152" s="249">
        <v>2</v>
      </c>
      <c r="H152" s="359">
        <f t="shared" ref="H152:H161" si="71">IF(OR($G152=1,$G152=2), $F152 + IF($G152=1,1,-1)*$N$23*(EXP(-$F152)/(1+EXP(-$F152))), NA())</f>
        <v>-0.55031722324544141</v>
      </c>
      <c r="I152" s="359">
        <f>IF(G152=1,H152+N(I151),N(I151))</f>
        <v>0</v>
      </c>
      <c r="J152" s="359">
        <f>IF(G152=2,H152+N(J151),N(J151))</f>
        <v>-0.55031722324544141</v>
      </c>
      <c r="K152" s="304">
        <f>IFERROR(I152/COUNTIF($G$152:$G$161,1),"ERROR!!!")</f>
        <v>0</v>
      </c>
      <c r="L152" s="304">
        <f>IFERROR(J152/COUNTIF($G$152:$G$161,2),"ERROR!!!")</f>
        <v>-9.1719537207573573E-2</v>
      </c>
      <c r="M152" s="304">
        <f>IF(ROW()=152, 0, M151) + ABS(H152 - IF($G152=1, $K152, $L152))</f>
        <v>0.45859768603786782</v>
      </c>
      <c r="N152" s="304">
        <f>IF(ROW()=152, 0, N151) + ABS(H152 - IF($G152=1, $L152, $K152))</f>
        <v>0.55031722324544141</v>
      </c>
      <c r="P152" s="360"/>
      <c r="Q152" s="361"/>
      <c r="R152" s="316" t="s">
        <v>13</v>
      </c>
      <c r="S152" s="362">
        <f>IF(O161&lt;S137,O161,S137)</f>
        <v>0.3556638792093228</v>
      </c>
    </row>
    <row r="153" spans="1:19" ht="18" customHeight="1" x14ac:dyDescent="0.3">
      <c r="A153" s="259"/>
      <c r="B153" s="359">
        <v>6.5972222222222224E-2</v>
      </c>
      <c r="C153" s="359" t="s">
        <v>5</v>
      </c>
      <c r="D153" s="359">
        <v>-0.24074050000000002</v>
      </c>
      <c r="E153" s="359" t="s">
        <v>6</v>
      </c>
      <c r="F153" s="359">
        <f t="shared" ref="F153:F156" si="72">SUM(B153,D153)</f>
        <v>-0.17476827777777781</v>
      </c>
      <c r="G153" s="249">
        <v>1</v>
      </c>
      <c r="H153" s="359">
        <f t="shared" si="71"/>
        <v>-1.1693918564622735E-2</v>
      </c>
      <c r="I153" s="359">
        <f t="shared" ref="I153:I161" si="73">IF(G153=1,H153+N(I152),N(I152))</f>
        <v>-1.1693918564622735E-2</v>
      </c>
      <c r="J153" s="359">
        <f t="shared" ref="J153:J161" si="74">IF(G153=2,H153+N(J152),N(J152))</f>
        <v>-0.55031722324544141</v>
      </c>
      <c r="K153" s="304">
        <f t="shared" ref="K153:K161" si="75">IFERROR(I153/COUNTIF($G$152:$G$161,1),"ERROR!!!")</f>
        <v>-2.9234796411556838E-3</v>
      </c>
      <c r="L153" s="304">
        <f t="shared" ref="L153:L161" si="76">IFERROR(J153/COUNTIF($G$152:$G$161,2),"ERROR!!!")</f>
        <v>-9.1719537207573573E-2</v>
      </c>
      <c r="M153" s="304">
        <f t="shared" ref="M153:M161" si="77">IF(ROW()=152, 0, M152) + ABS(H153 - IF($G153=1, $K153, $L153))</f>
        <v>0.4673681249613349</v>
      </c>
      <c r="N153" s="304">
        <f t="shared" ref="N153:N161" si="78">IF(ROW()=152, 0, N152) + ABS(H153 - IF($G153=1, $L153, $K153))</f>
        <v>0.63034284188839229</v>
      </c>
      <c r="P153" s="364"/>
      <c r="Q153" s="365"/>
      <c r="R153" s="259" t="s">
        <v>17</v>
      </c>
      <c r="S153" s="366">
        <v>10</v>
      </c>
    </row>
    <row r="154" spans="1:19" ht="18" customHeight="1" x14ac:dyDescent="0.3">
      <c r="A154" s="259"/>
      <c r="B154" s="359">
        <v>6.5972222222222224E-2</v>
      </c>
      <c r="C154" s="359" t="s">
        <v>5</v>
      </c>
      <c r="D154" s="359">
        <v>0.24074050000000002</v>
      </c>
      <c r="E154" s="359" t="s">
        <v>6</v>
      </c>
      <c r="F154" s="359">
        <f t="shared" si="72"/>
        <v>0.30671272222222223</v>
      </c>
      <c r="G154" s="249">
        <v>2</v>
      </c>
      <c r="H154" s="359">
        <f t="shared" si="71"/>
        <v>0.17953752375894236</v>
      </c>
      <c r="I154" s="359">
        <f t="shared" si="73"/>
        <v>-1.1693918564622735E-2</v>
      </c>
      <c r="J154" s="359">
        <f t="shared" si="74"/>
        <v>-0.37077969948649903</v>
      </c>
      <c r="K154" s="304">
        <f t="shared" si="75"/>
        <v>-2.9234796411556838E-3</v>
      </c>
      <c r="L154" s="304">
        <f t="shared" si="76"/>
        <v>-6.1796616581083173E-2</v>
      </c>
      <c r="M154" s="304">
        <f t="shared" si="77"/>
        <v>0.70870226530136038</v>
      </c>
      <c r="N154" s="304">
        <f t="shared" si="78"/>
        <v>0.81280384528849037</v>
      </c>
      <c r="P154" s="368"/>
      <c r="Q154" s="369"/>
      <c r="R154" s="259" t="s">
        <v>15</v>
      </c>
      <c r="S154" s="366">
        <f>IF(O161&lt;S137,S153,S139)</f>
        <v>6</v>
      </c>
    </row>
    <row r="155" spans="1:19" ht="18" customHeight="1" x14ac:dyDescent="0.3">
      <c r="A155" s="259"/>
      <c r="B155" s="359">
        <v>-0.13194444444444442</v>
      </c>
      <c r="C155" s="359" t="s">
        <v>5</v>
      </c>
      <c r="D155" s="359">
        <v>0.24074050000000002</v>
      </c>
      <c r="E155" s="359" t="s">
        <v>6</v>
      </c>
      <c r="F155" s="359">
        <f t="shared" si="72"/>
        <v>0.1087960555555556</v>
      </c>
      <c r="G155" s="249">
        <v>1</v>
      </c>
      <c r="H155" s="359">
        <f t="shared" si="71"/>
        <v>0.25064439045726844</v>
      </c>
      <c r="I155" s="359">
        <f t="shared" si="73"/>
        <v>0.2389504718926457</v>
      </c>
      <c r="J155" s="359">
        <f t="shared" si="74"/>
        <v>-0.37077969948649903</v>
      </c>
      <c r="K155" s="304">
        <f t="shared" si="75"/>
        <v>5.9737617973161426E-2</v>
      </c>
      <c r="L155" s="304">
        <f t="shared" si="76"/>
        <v>-6.1796616581083173E-2</v>
      </c>
      <c r="M155" s="304">
        <f t="shared" si="77"/>
        <v>0.89960903778546741</v>
      </c>
      <c r="N155" s="304">
        <f t="shared" si="78"/>
        <v>1.1252448523268419</v>
      </c>
    </row>
    <row r="156" spans="1:19" ht="18" customHeight="1" x14ac:dyDescent="0.3">
      <c r="A156" s="259"/>
      <c r="B156" s="359">
        <v>6.5972222222222224E-2</v>
      </c>
      <c r="C156" s="359" t="s">
        <v>5</v>
      </c>
      <c r="D156" s="359">
        <v>0.24074050000000002</v>
      </c>
      <c r="E156" s="359" t="s">
        <v>6</v>
      </c>
      <c r="F156" s="359">
        <f t="shared" si="72"/>
        <v>0.30671272222222223</v>
      </c>
      <c r="G156" s="249">
        <v>1</v>
      </c>
      <c r="H156" s="359">
        <f t="shared" si="71"/>
        <v>0.43388792068550208</v>
      </c>
      <c r="I156" s="359">
        <f t="shared" si="73"/>
        <v>0.67283839257814781</v>
      </c>
      <c r="J156" s="359">
        <f t="shared" si="74"/>
        <v>-0.37077969948649903</v>
      </c>
      <c r="K156" s="304">
        <f t="shared" si="75"/>
        <v>0.16820959814453695</v>
      </c>
      <c r="L156" s="304">
        <f t="shared" si="76"/>
        <v>-6.1796616581083173E-2</v>
      </c>
      <c r="M156" s="304">
        <f t="shared" si="77"/>
        <v>1.1652873603264324</v>
      </c>
      <c r="N156" s="304">
        <f t="shared" si="78"/>
        <v>1.6209293895934271</v>
      </c>
    </row>
    <row r="157" spans="1:19" ht="18" customHeight="1" x14ac:dyDescent="0.3">
      <c r="A157" s="259"/>
      <c r="B157" s="359">
        <v>-0.13194444444444442</v>
      </c>
      <c r="C157" s="359" t="s">
        <v>5</v>
      </c>
      <c r="D157" s="359">
        <v>0.24074050000000002</v>
      </c>
      <c r="E157" s="359" t="s">
        <v>6</v>
      </c>
      <c r="F157" s="359">
        <f>SUM(B157,D157)</f>
        <v>0.1087960555555556</v>
      </c>
      <c r="G157" s="249">
        <v>1</v>
      </c>
      <c r="H157" s="359">
        <f t="shared" si="71"/>
        <v>0.25064439045726844</v>
      </c>
      <c r="I157" s="359">
        <f t="shared" si="73"/>
        <v>0.9234827830354162</v>
      </c>
      <c r="J157" s="359">
        <f t="shared" si="74"/>
        <v>-0.37077969948649903</v>
      </c>
      <c r="K157" s="304">
        <f t="shared" si="75"/>
        <v>0.23087069575885405</v>
      </c>
      <c r="L157" s="304">
        <f t="shared" si="76"/>
        <v>-6.1796616581083173E-2</v>
      </c>
      <c r="M157" s="304">
        <f t="shared" si="77"/>
        <v>1.1850610550248468</v>
      </c>
      <c r="N157" s="304">
        <f t="shared" si="78"/>
        <v>1.9333703966317788</v>
      </c>
    </row>
    <row r="158" spans="1:19" ht="18" customHeight="1" x14ac:dyDescent="0.3">
      <c r="A158" s="259"/>
      <c r="B158" s="359">
        <v>6.5972222222222224E-2</v>
      </c>
      <c r="C158" s="359" t="s">
        <v>5</v>
      </c>
      <c r="D158" s="359">
        <v>-0.24074050000000002</v>
      </c>
      <c r="E158" s="359" t="s">
        <v>6</v>
      </c>
      <c r="F158" s="359">
        <f t="shared" ref="F158:F161" si="79">SUM(B158,D158)</f>
        <v>-0.17476827777777781</v>
      </c>
      <c r="G158" s="249">
        <v>2</v>
      </c>
      <c r="H158" s="359">
        <f t="shared" si="71"/>
        <v>-0.33784263699093287</v>
      </c>
      <c r="I158" s="359">
        <f t="shared" si="73"/>
        <v>0.9234827830354162</v>
      </c>
      <c r="J158" s="359">
        <f t="shared" si="74"/>
        <v>-0.70862233647743189</v>
      </c>
      <c r="K158" s="304">
        <f t="shared" si="75"/>
        <v>0.23087069575885405</v>
      </c>
      <c r="L158" s="304">
        <f>IFERROR(J158/COUNTIF($G$152:$G$161,2),"ERROR!!!")</f>
        <v>-0.11810372274623865</v>
      </c>
      <c r="M158" s="304">
        <f t="shared" si="77"/>
        <v>1.404799969269541</v>
      </c>
      <c r="N158" s="304">
        <f t="shared" si="78"/>
        <v>2.5020837293815656</v>
      </c>
    </row>
    <row r="159" spans="1:19" ht="18" customHeight="1" x14ac:dyDescent="0.3">
      <c r="A159" s="259"/>
      <c r="B159" s="359">
        <v>-0.13194444444444442</v>
      </c>
      <c r="C159" s="359" t="s">
        <v>5</v>
      </c>
      <c r="D159" s="359">
        <v>-0.24074050000000002</v>
      </c>
      <c r="E159" s="359" t="s">
        <v>6</v>
      </c>
      <c r="F159" s="359">
        <f t="shared" si="79"/>
        <v>-0.37268494444444444</v>
      </c>
      <c r="G159" s="249">
        <v>2</v>
      </c>
      <c r="H159" s="359">
        <f t="shared" si="71"/>
        <v>-0.55031722324544141</v>
      </c>
      <c r="I159" s="359">
        <f t="shared" si="73"/>
        <v>0.9234827830354162</v>
      </c>
      <c r="J159" s="359">
        <f t="shared" si="74"/>
        <v>-1.2589395597228732</v>
      </c>
      <c r="K159" s="304">
        <f t="shared" si="75"/>
        <v>0.23087069575885405</v>
      </c>
      <c r="L159" s="304">
        <f t="shared" si="76"/>
        <v>-0.20982325995381221</v>
      </c>
      <c r="M159" s="304">
        <f t="shared" si="77"/>
        <v>1.7452939325611703</v>
      </c>
      <c r="N159" s="304">
        <f t="shared" si="78"/>
        <v>3.2832716483858611</v>
      </c>
      <c r="O159" s="354"/>
    </row>
    <row r="160" spans="1:19" ht="18" customHeight="1" x14ac:dyDescent="0.3">
      <c r="A160" s="259"/>
      <c r="B160" s="359">
        <v>-0.13194444444444442</v>
      </c>
      <c r="C160" s="359" t="s">
        <v>5</v>
      </c>
      <c r="D160" s="359">
        <v>-0.24074050000000002</v>
      </c>
      <c r="E160" s="359" t="s">
        <v>6</v>
      </c>
      <c r="F160" s="359">
        <f t="shared" si="79"/>
        <v>-0.37268494444444444</v>
      </c>
      <c r="G160" s="249">
        <v>2</v>
      </c>
      <c r="H160" s="359">
        <f t="shared" si="71"/>
        <v>-0.55031722324544141</v>
      </c>
      <c r="I160" s="359">
        <f t="shared" si="73"/>
        <v>0.9234827830354162</v>
      </c>
      <c r="J160" s="359">
        <f t="shared" si="74"/>
        <v>-1.8092567829683146</v>
      </c>
      <c r="K160" s="304">
        <f>IFERROR(I160/COUNTIF($G$152:$G$161,1),"ERROR!!!")</f>
        <v>0.23087069575885405</v>
      </c>
      <c r="L160" s="304">
        <f>IFERROR(J160/COUNTIF($G$152:$G$161,2),"ERROR!!!")</f>
        <v>-0.30154279716138577</v>
      </c>
      <c r="M160" s="304">
        <f t="shared" si="77"/>
        <v>1.9940683586452259</v>
      </c>
      <c r="N160" s="304">
        <f t="shared" si="78"/>
        <v>4.0644595673901565</v>
      </c>
      <c r="O160" s="358"/>
    </row>
    <row r="161" spans="1:19" ht="18" customHeight="1" x14ac:dyDescent="0.3">
      <c r="A161" s="259"/>
      <c r="B161" s="359">
        <v>-0.13194444444444442</v>
      </c>
      <c r="C161" s="359" t="s">
        <v>5</v>
      </c>
      <c r="D161" s="359">
        <v>-0.24074050000000002</v>
      </c>
      <c r="E161" s="359" t="s">
        <v>6</v>
      </c>
      <c r="F161" s="359">
        <f t="shared" si="79"/>
        <v>-0.37268494444444444</v>
      </c>
      <c r="G161" s="249">
        <v>2</v>
      </c>
      <c r="H161" s="359">
        <f t="shared" si="71"/>
        <v>-0.55031722324544141</v>
      </c>
      <c r="I161" s="359">
        <f t="shared" si="73"/>
        <v>0.9234827830354162</v>
      </c>
      <c r="J161" s="359">
        <f t="shared" si="74"/>
        <v>-2.359574006213756</v>
      </c>
      <c r="K161" s="304">
        <f t="shared" si="75"/>
        <v>0.23087069575885405</v>
      </c>
      <c r="L161" s="304">
        <f t="shared" si="76"/>
        <v>-0.39326233436895935</v>
      </c>
      <c r="M161" s="304">
        <f t="shared" si="77"/>
        <v>2.1511232475217081</v>
      </c>
      <c r="N161" s="304">
        <f t="shared" si="78"/>
        <v>4.8456474863944514</v>
      </c>
      <c r="O161" s="373">
        <f>M161/N161</f>
        <v>0.44392895966155299</v>
      </c>
    </row>
    <row r="165" spans="1:19" ht="18" customHeight="1" x14ac:dyDescent="0.3">
      <c r="A165" s="281" t="s">
        <v>10</v>
      </c>
      <c r="B165" s="282"/>
      <c r="C165" s="282"/>
      <c r="D165" s="282"/>
      <c r="E165" s="282"/>
      <c r="F165" s="283"/>
      <c r="G165" s="350"/>
      <c r="H165" s="281" t="s">
        <v>9</v>
      </c>
      <c r="I165" s="282"/>
      <c r="J165" s="282"/>
      <c r="K165" s="282"/>
      <c r="L165" s="282"/>
      <c r="M165" s="282"/>
      <c r="N165" s="283"/>
    </row>
    <row r="166" spans="1:19" ht="18" customHeight="1" x14ac:dyDescent="0.3">
      <c r="A166" s="351"/>
      <c r="B166" s="352"/>
      <c r="C166" s="353" t="s">
        <v>5</v>
      </c>
      <c r="D166" s="354"/>
      <c r="E166" s="353" t="s">
        <v>6</v>
      </c>
      <c r="F166" s="354"/>
      <c r="G166" s="240" t="s">
        <v>8</v>
      </c>
      <c r="H166" s="355"/>
      <c r="I166" s="356"/>
      <c r="J166" s="356"/>
      <c r="K166" s="357"/>
      <c r="L166" s="357"/>
      <c r="M166" s="358"/>
      <c r="N166" s="358"/>
      <c r="P166" s="269" t="s">
        <v>27</v>
      </c>
      <c r="Q166" s="269"/>
      <c r="R166" s="269"/>
      <c r="S166" s="269"/>
    </row>
    <row r="167" spans="1:19" ht="18" customHeight="1" x14ac:dyDescent="0.3">
      <c r="A167" s="259"/>
      <c r="B167" s="359">
        <v>-0.13194444444444442</v>
      </c>
      <c r="C167" s="359" t="s">
        <v>5</v>
      </c>
      <c r="D167" s="359">
        <v>-0.14285714285714288</v>
      </c>
      <c r="E167" s="359" t="s">
        <v>6</v>
      </c>
      <c r="F167" s="359">
        <f>SUM(B167,D167)</f>
        <v>-0.27480158730158732</v>
      </c>
      <c r="G167" s="249">
        <v>2</v>
      </c>
      <c r="H167" s="359">
        <f t="shared" ref="H167:H176" si="80">IF(OR($G167=1,$G167=2), $F167 + IF($G167=1,1,-1)*$N$23*(EXP(-$F167)/(1+EXP(-$F167))), NA())</f>
        <v>-0.44528297902930497</v>
      </c>
      <c r="I167" s="359">
        <f>IF(G167=1,H167+N(I166),N(I166))</f>
        <v>0</v>
      </c>
      <c r="J167" s="359">
        <f>IF(G167=2,H167+N(J166),N(J166))</f>
        <v>-0.44528297902930497</v>
      </c>
      <c r="K167" s="304">
        <f>IFERROR(I167/COUNTIF($G$167:$G$176,1),"ERROR!!!")</f>
        <v>0</v>
      </c>
      <c r="L167" s="304">
        <f>IFERROR(J167/COUNTIF($G$167:$G$176,2),"ERROR!!!")</f>
        <v>-7.421382983821749E-2</v>
      </c>
      <c r="M167" s="304">
        <f>IF(ROW()=167, 0, M166) + ABS(H167 - IF($G167=1, $K167, $L167))</f>
        <v>0.37106914919108747</v>
      </c>
      <c r="N167" s="304">
        <f>IF(ROW()=167, 0, N166) + ABS(H167 - IF($G167=1, $L167, $K167))</f>
        <v>0.44528297902930497</v>
      </c>
      <c r="P167" s="360"/>
      <c r="Q167" s="361"/>
      <c r="R167" s="316" t="s">
        <v>13</v>
      </c>
      <c r="S167" s="362">
        <f>IF(O176&lt;S152,O176,S152)</f>
        <v>0.3556638792093228</v>
      </c>
    </row>
    <row r="168" spans="1:19" ht="18" customHeight="1" x14ac:dyDescent="0.3">
      <c r="A168" s="259"/>
      <c r="B168" s="359">
        <v>6.5972222222222224E-2</v>
      </c>
      <c r="C168" s="359" t="s">
        <v>5</v>
      </c>
      <c r="D168" s="359">
        <v>-0.14285714285714288</v>
      </c>
      <c r="E168" s="359" t="s">
        <v>6</v>
      </c>
      <c r="F168" s="359">
        <f t="shared" ref="F168:F171" si="81">SUM(B168,D168)</f>
        <v>-7.6884920634920653E-2</v>
      </c>
      <c r="G168" s="249">
        <v>1</v>
      </c>
      <c r="H168" s="359">
        <f t="shared" si="80"/>
        <v>7.8878609533699337E-2</v>
      </c>
      <c r="I168" s="359">
        <f t="shared" ref="I168:I176" si="82">IF(G168=1,H168+N(I167),N(I167))</f>
        <v>7.8878609533699337E-2</v>
      </c>
      <c r="J168" s="359">
        <f t="shared" ref="J168:J176" si="83">IF(G168=2,H168+N(J167),N(J167))</f>
        <v>-0.44528297902930497</v>
      </c>
      <c r="K168" s="304">
        <f t="shared" ref="K168:K176" si="84">IFERROR(I168/COUNTIF($G$167:$G$176,1),"ERROR!!!")</f>
        <v>1.9719652383424834E-2</v>
      </c>
      <c r="L168" s="304">
        <f t="shared" ref="L168:L176" si="85">IFERROR(J168/COUNTIF($G$167:$G$176,2),"ERROR!!!")</f>
        <v>-7.421382983821749E-2</v>
      </c>
      <c r="M168" s="304">
        <f t="shared" ref="M168:M176" si="86">IF(ROW()=167, 0, M167) + ABS(H168 - IF($G168=1, $K168, $L168))</f>
        <v>0.43022810634136199</v>
      </c>
      <c r="N168" s="304">
        <f t="shared" ref="N168:N176" si="87">IF(ROW()=167, 0, N167) + ABS(H168 - IF($G168=1, $L168, $K168))</f>
        <v>0.59837541840122177</v>
      </c>
      <c r="P168" s="364"/>
      <c r="Q168" s="365"/>
      <c r="R168" s="259" t="s">
        <v>17</v>
      </c>
      <c r="S168" s="366">
        <v>11</v>
      </c>
    </row>
    <row r="169" spans="1:19" ht="18" customHeight="1" x14ac:dyDescent="0.3">
      <c r="A169" s="259"/>
      <c r="B169" s="359">
        <v>6.5972222222222224E-2</v>
      </c>
      <c r="C169" s="359" t="s">
        <v>5</v>
      </c>
      <c r="D169" s="359">
        <v>0.14285714285714288</v>
      </c>
      <c r="E169" s="359" t="s">
        <v>6</v>
      </c>
      <c r="F169" s="359">
        <f t="shared" si="81"/>
        <v>0.20882936507936511</v>
      </c>
      <c r="G169" s="249">
        <v>2</v>
      </c>
      <c r="H169" s="359">
        <f t="shared" si="80"/>
        <v>7.4434895923268019E-2</v>
      </c>
      <c r="I169" s="359">
        <f t="shared" si="82"/>
        <v>7.8878609533699337E-2</v>
      </c>
      <c r="J169" s="359">
        <f t="shared" si="83"/>
        <v>-0.37084808310603695</v>
      </c>
      <c r="K169" s="304">
        <f t="shared" si="84"/>
        <v>1.9719652383424834E-2</v>
      </c>
      <c r="L169" s="304">
        <f t="shared" si="85"/>
        <v>-6.1808013851006156E-2</v>
      </c>
      <c r="M169" s="304">
        <f t="shared" si="86"/>
        <v>0.56647101611563611</v>
      </c>
      <c r="N169" s="304">
        <f t="shared" si="87"/>
        <v>0.65309066194106491</v>
      </c>
      <c r="P169" s="368"/>
      <c r="Q169" s="369"/>
      <c r="R169" s="259" t="s">
        <v>15</v>
      </c>
      <c r="S169" s="366">
        <f>IF(O176&lt;S152,S168,S154)</f>
        <v>6</v>
      </c>
    </row>
    <row r="170" spans="1:19" ht="18" customHeight="1" x14ac:dyDescent="0.3">
      <c r="A170" s="259"/>
      <c r="B170" s="359">
        <v>-0.13194444444444442</v>
      </c>
      <c r="C170" s="359" t="s">
        <v>5</v>
      </c>
      <c r="D170" s="359">
        <v>-0.14285714285714288</v>
      </c>
      <c r="E170" s="359" t="s">
        <v>6</v>
      </c>
      <c r="F170" s="359">
        <f t="shared" si="81"/>
        <v>-0.27480158730158732</v>
      </c>
      <c r="G170" s="249">
        <v>1</v>
      </c>
      <c r="H170" s="359">
        <f t="shared" si="80"/>
        <v>-0.10432019557386968</v>
      </c>
      <c r="I170" s="359">
        <f t="shared" si="82"/>
        <v>-2.5441586040170341E-2</v>
      </c>
      <c r="J170" s="359">
        <f t="shared" si="83"/>
        <v>-0.37084808310603695</v>
      </c>
      <c r="K170" s="304">
        <f t="shared" si="84"/>
        <v>-6.3603965100425854E-3</v>
      </c>
      <c r="L170" s="304">
        <f t="shared" si="85"/>
        <v>-6.1808013851006156E-2</v>
      </c>
      <c r="M170" s="304">
        <f t="shared" si="86"/>
        <v>0.66443081517946323</v>
      </c>
      <c r="N170" s="304">
        <f t="shared" si="87"/>
        <v>0.69560284366392844</v>
      </c>
    </row>
    <row r="171" spans="1:19" ht="18" customHeight="1" x14ac:dyDescent="0.3">
      <c r="A171" s="259"/>
      <c r="B171" s="359">
        <v>6.5972222222222224E-2</v>
      </c>
      <c r="C171" s="359" t="s">
        <v>5</v>
      </c>
      <c r="D171" s="359">
        <v>0.14285714285714288</v>
      </c>
      <c r="E171" s="359" t="s">
        <v>6</v>
      </c>
      <c r="F171" s="359">
        <f t="shared" si="81"/>
        <v>0.20882936507936511</v>
      </c>
      <c r="G171" s="249">
        <v>1</v>
      </c>
      <c r="H171" s="359">
        <f t="shared" si="80"/>
        <v>0.34322383423546221</v>
      </c>
      <c r="I171" s="359">
        <f t="shared" si="82"/>
        <v>0.31778224819529188</v>
      </c>
      <c r="J171" s="359">
        <f t="shared" si="83"/>
        <v>-0.37084808310603695</v>
      </c>
      <c r="K171" s="304">
        <f t="shared" si="84"/>
        <v>7.9445562048822971E-2</v>
      </c>
      <c r="L171" s="304">
        <f t="shared" si="85"/>
        <v>-6.1808013851006156E-2</v>
      </c>
      <c r="M171" s="304">
        <f t="shared" si="86"/>
        <v>0.92820908736610241</v>
      </c>
      <c r="N171" s="304">
        <f t="shared" si="87"/>
        <v>1.1006346917503969</v>
      </c>
    </row>
    <row r="172" spans="1:19" ht="18" customHeight="1" x14ac:dyDescent="0.3">
      <c r="A172" s="259"/>
      <c r="B172" s="359">
        <v>-0.13194444444444442</v>
      </c>
      <c r="C172" s="359" t="s">
        <v>5</v>
      </c>
      <c r="D172" s="359">
        <v>0.14285714285714288</v>
      </c>
      <c r="E172" s="359" t="s">
        <v>6</v>
      </c>
      <c r="F172" s="359">
        <f>SUM(B172,D172)</f>
        <v>1.0912698412698457E-2</v>
      </c>
      <c r="G172" s="249">
        <v>1</v>
      </c>
      <c r="H172" s="359">
        <f t="shared" si="80"/>
        <v>0.16009425415390166</v>
      </c>
      <c r="I172" s="359">
        <f t="shared" si="82"/>
        <v>0.47787650234919354</v>
      </c>
      <c r="J172" s="359">
        <f>IF(G172=2,H172+N(J171),N(J171))</f>
        <v>-0.37084808310603695</v>
      </c>
      <c r="K172" s="304">
        <f t="shared" si="84"/>
        <v>0.11946912558729839</v>
      </c>
      <c r="L172" s="304">
        <f t="shared" si="85"/>
        <v>-6.1808013851006156E-2</v>
      </c>
      <c r="M172" s="304">
        <f>IF(ROW()=167, 0, M171) + ABS(H172 - IF($G172=1, $K172, $L172))</f>
        <v>0.96883421593270569</v>
      </c>
      <c r="N172" s="304">
        <f>IF(ROW()=167, 0, N171) + ABS(H172 - IF($G172=1, $L172, $K172))</f>
        <v>1.3225369597553047</v>
      </c>
    </row>
    <row r="173" spans="1:19" ht="18" customHeight="1" x14ac:dyDescent="0.3">
      <c r="A173" s="259"/>
      <c r="B173" s="359">
        <v>6.5972222222222224E-2</v>
      </c>
      <c r="C173" s="359" t="s">
        <v>5</v>
      </c>
      <c r="D173" s="359">
        <v>-0.14285714285714288</v>
      </c>
      <c r="E173" s="359" t="s">
        <v>6</v>
      </c>
      <c r="F173" s="359">
        <f t="shared" ref="F173:F176" si="88">SUM(B173,D173)</f>
        <v>-7.6884920634920653E-2</v>
      </c>
      <c r="G173" s="249">
        <v>2</v>
      </c>
      <c r="H173" s="359">
        <f t="shared" si="80"/>
        <v>-0.23264845080354063</v>
      </c>
      <c r="I173" s="359">
        <f t="shared" si="82"/>
        <v>0.47787650234919354</v>
      </c>
      <c r="J173" s="359">
        <f t="shared" si="83"/>
        <v>-0.60349653390957758</v>
      </c>
      <c r="K173" s="304">
        <f t="shared" si="84"/>
        <v>0.11946912558729839</v>
      </c>
      <c r="L173" s="304">
        <f t="shared" si="85"/>
        <v>-0.10058275565159626</v>
      </c>
      <c r="M173" s="304">
        <f t="shared" si="86"/>
        <v>1.10089991108465</v>
      </c>
      <c r="N173" s="304">
        <f t="shared" si="87"/>
        <v>1.6746545361461438</v>
      </c>
    </row>
    <row r="174" spans="1:19" ht="18" customHeight="1" x14ac:dyDescent="0.3">
      <c r="A174" s="259"/>
      <c r="B174" s="359">
        <v>-0.13194444444444442</v>
      </c>
      <c r="C174" s="359" t="s">
        <v>5</v>
      </c>
      <c r="D174" s="359">
        <v>-0.14285714285714288</v>
      </c>
      <c r="E174" s="359" t="s">
        <v>6</v>
      </c>
      <c r="F174" s="359">
        <f t="shared" si="88"/>
        <v>-0.27480158730158732</v>
      </c>
      <c r="G174" s="249">
        <v>2</v>
      </c>
      <c r="H174" s="359">
        <f t="shared" si="80"/>
        <v>-0.44528297902930497</v>
      </c>
      <c r="I174" s="359">
        <f t="shared" si="82"/>
        <v>0.47787650234919354</v>
      </c>
      <c r="J174" s="359">
        <f>IF(G174=2,H174+N(J173),N(J173))</f>
        <v>-1.0487795129388826</v>
      </c>
      <c r="K174" s="304">
        <f t="shared" si="84"/>
        <v>0.11946912558729839</v>
      </c>
      <c r="L174" s="304">
        <f t="shared" si="85"/>
        <v>-0.17479658548981378</v>
      </c>
      <c r="M174" s="304">
        <f t="shared" si="86"/>
        <v>1.3713863046241412</v>
      </c>
      <c r="N174" s="304">
        <f t="shared" si="87"/>
        <v>2.2394066407627471</v>
      </c>
      <c r="O174" s="354"/>
    </row>
    <row r="175" spans="1:19" ht="18" customHeight="1" x14ac:dyDescent="0.3">
      <c r="A175" s="259"/>
      <c r="B175" s="359">
        <v>-0.13194444444444442</v>
      </c>
      <c r="C175" s="359" t="s">
        <v>5</v>
      </c>
      <c r="D175" s="359">
        <v>-0.14285714285714288</v>
      </c>
      <c r="E175" s="359" t="s">
        <v>6</v>
      </c>
      <c r="F175" s="359">
        <f t="shared" si="88"/>
        <v>-0.27480158730158732</v>
      </c>
      <c r="G175" s="249">
        <v>2</v>
      </c>
      <c r="H175" s="359">
        <f t="shared" si="80"/>
        <v>-0.44528297902930497</v>
      </c>
      <c r="I175" s="359">
        <f t="shared" si="82"/>
        <v>0.47787650234919354</v>
      </c>
      <c r="J175" s="359">
        <f t="shared" si="83"/>
        <v>-1.4940624919681875</v>
      </c>
      <c r="K175" s="304">
        <f t="shared" si="84"/>
        <v>0.11946912558729839</v>
      </c>
      <c r="L175" s="304">
        <f t="shared" si="85"/>
        <v>-0.24901041532803125</v>
      </c>
      <c r="M175" s="304">
        <f t="shared" si="86"/>
        <v>1.5676588683254149</v>
      </c>
      <c r="N175" s="304">
        <f t="shared" si="87"/>
        <v>2.8041587453793504</v>
      </c>
      <c r="O175" s="358"/>
    </row>
    <row r="176" spans="1:19" ht="18" customHeight="1" x14ac:dyDescent="0.3">
      <c r="A176" s="259"/>
      <c r="B176" s="359">
        <v>-0.13194444444444442</v>
      </c>
      <c r="C176" s="359" t="s">
        <v>5</v>
      </c>
      <c r="D176" s="359">
        <v>-0.14285714285714288</v>
      </c>
      <c r="E176" s="359" t="s">
        <v>6</v>
      </c>
      <c r="F176" s="359">
        <f t="shared" si="88"/>
        <v>-0.27480158730158732</v>
      </c>
      <c r="G176" s="249">
        <v>2</v>
      </c>
      <c r="H176" s="359">
        <f t="shared" si="80"/>
        <v>-0.44528297902930497</v>
      </c>
      <c r="I176" s="359">
        <f t="shared" si="82"/>
        <v>0.47787650234919354</v>
      </c>
      <c r="J176" s="359">
        <f t="shared" si="83"/>
        <v>-1.9393454709974924</v>
      </c>
      <c r="K176" s="304">
        <f t="shared" si="84"/>
        <v>0.11946912558729839</v>
      </c>
      <c r="L176" s="304">
        <f t="shared" si="85"/>
        <v>-0.32322424516624876</v>
      </c>
      <c r="M176" s="304">
        <f t="shared" si="86"/>
        <v>1.689717602188471</v>
      </c>
      <c r="N176" s="304">
        <f t="shared" si="87"/>
        <v>3.3689108499959537</v>
      </c>
      <c r="O176" s="373">
        <f>M176/N176</f>
        <v>0.50156198172786337</v>
      </c>
    </row>
    <row r="180" spans="1:19" ht="18" customHeight="1" x14ac:dyDescent="0.3">
      <c r="A180" s="281" t="s">
        <v>10</v>
      </c>
      <c r="B180" s="282"/>
      <c r="C180" s="282"/>
      <c r="D180" s="282"/>
      <c r="E180" s="282"/>
      <c r="F180" s="283"/>
      <c r="G180" s="350"/>
      <c r="H180" s="281" t="s">
        <v>9</v>
      </c>
      <c r="I180" s="282"/>
      <c r="J180" s="282"/>
      <c r="K180" s="282"/>
      <c r="L180" s="282"/>
      <c r="M180" s="282"/>
      <c r="N180" s="283"/>
    </row>
    <row r="181" spans="1:19" ht="18" customHeight="1" x14ac:dyDescent="0.3">
      <c r="A181" s="351"/>
      <c r="B181" s="352"/>
      <c r="C181" s="353" t="s">
        <v>5</v>
      </c>
      <c r="D181" s="354"/>
      <c r="E181" s="353" t="s">
        <v>6</v>
      </c>
      <c r="F181" s="354"/>
      <c r="G181" s="240" t="s">
        <v>8</v>
      </c>
      <c r="H181" s="355"/>
      <c r="I181" s="356"/>
      <c r="J181" s="356"/>
      <c r="K181" s="357"/>
      <c r="L181" s="357"/>
      <c r="M181" s="358"/>
      <c r="N181" s="358"/>
      <c r="P181" s="269" t="s">
        <v>27</v>
      </c>
      <c r="Q181" s="269"/>
      <c r="R181" s="269"/>
      <c r="S181" s="269"/>
    </row>
    <row r="182" spans="1:19" ht="18" customHeight="1" x14ac:dyDescent="0.3">
      <c r="A182" s="259"/>
      <c r="B182" s="359">
        <v>-0.13194444444444442</v>
      </c>
      <c r="C182" s="359" t="s">
        <v>5</v>
      </c>
      <c r="D182" s="359">
        <v>-9.5238000000000017E-2</v>
      </c>
      <c r="E182" s="359" t="s">
        <v>6</v>
      </c>
      <c r="F182" s="359">
        <f>SUM(B182,D182)</f>
        <v>-0.22718244444444444</v>
      </c>
      <c r="G182" s="249">
        <v>2</v>
      </c>
      <c r="H182" s="359">
        <f t="shared" ref="H182:H191" si="89">IF(OR($G182=1,$G182=2), $F182 + IF($G182=1,1,-1)*$N$23*(EXP(-$F182)/(1+EXP(-$F182))), NA())</f>
        <v>-0.39414822085828327</v>
      </c>
      <c r="I182" s="359">
        <f>IF(G182=1,H182+N(I181),N(I181))</f>
        <v>0</v>
      </c>
      <c r="J182" s="359">
        <f>IF(G182=2,H182+N(J181),N(J181))</f>
        <v>-0.39414822085828327</v>
      </c>
      <c r="K182" s="304">
        <f>IFERROR(I182/COUNTIF($G$182:$G$191,1),"ERROR!!!")</f>
        <v>0</v>
      </c>
      <c r="L182" s="304">
        <f>IFERROR(J182/COUNTIF($G$182:$G$191,2),"ERROR!!!")</f>
        <v>-6.5691370143047212E-2</v>
      </c>
      <c r="M182" s="304">
        <f>IF(ROW()=182, 0, M181) + ABS(H182 - IF($G182=1, $K182, $L182))</f>
        <v>0.32845685071523606</v>
      </c>
      <c r="N182" s="304">
        <f>IF(ROW()=182, 0, N181) + ABS(H182 - IF($G182=1, $L182, $K182))</f>
        <v>0.39414822085828327</v>
      </c>
      <c r="P182" s="360"/>
      <c r="Q182" s="361"/>
      <c r="R182" s="316" t="s">
        <v>13</v>
      </c>
      <c r="S182" s="362">
        <f>IF(O191&lt;S167,O191,S167)</f>
        <v>0.3556638792093228</v>
      </c>
    </row>
    <row r="183" spans="1:19" ht="18" customHeight="1" x14ac:dyDescent="0.3">
      <c r="A183" s="259"/>
      <c r="B183" s="359">
        <v>6.5972222222222224E-2</v>
      </c>
      <c r="C183" s="359" t="s">
        <v>5</v>
      </c>
      <c r="D183" s="359">
        <v>9.5238000000000017E-2</v>
      </c>
      <c r="E183" s="359" t="s">
        <v>6</v>
      </c>
      <c r="F183" s="359">
        <f t="shared" ref="F183:F186" si="90">SUM(B183,D183)</f>
        <v>0.16121022222222225</v>
      </c>
      <c r="G183" s="249">
        <v>1</v>
      </c>
      <c r="H183" s="359">
        <f t="shared" si="89"/>
        <v>0.29914557299339445</v>
      </c>
      <c r="I183" s="359">
        <f t="shared" ref="I183:I191" si="91">IF(G183=1,H183+N(I182),N(I182))</f>
        <v>0.29914557299339445</v>
      </c>
      <c r="J183" s="359">
        <f t="shared" ref="J183:J191" si="92">IF(G183=2,H183+N(J182),N(J182))</f>
        <v>-0.39414822085828327</v>
      </c>
      <c r="K183" s="304">
        <f t="shared" ref="K183:K191" si="93">IFERROR(I183/COUNTIF($G$182:$G$191,1),"ERROR!!!")</f>
        <v>7.4786393248348612E-2</v>
      </c>
      <c r="L183" s="304">
        <f t="shared" ref="L183:L191" si="94">IFERROR(J183/COUNTIF($G$182:$G$191,2),"ERROR!!!")</f>
        <v>-6.5691370143047212E-2</v>
      </c>
      <c r="M183" s="304">
        <f t="shared" ref="M183:M191" si="95">IF(ROW()=182, 0, M182) + ABS(H183 - IF($G183=1, $K183, $L183))</f>
        <v>0.55281603046028183</v>
      </c>
      <c r="N183" s="304">
        <f t="shared" ref="N183:N191" si="96">IF(ROW()=182, 0, N182) + ABS(H183 - IF($G183=1, $L183, $K183))</f>
        <v>0.75898516399472493</v>
      </c>
      <c r="P183" s="364"/>
      <c r="Q183" s="365"/>
      <c r="R183" s="259" t="s">
        <v>17</v>
      </c>
      <c r="S183" s="366">
        <v>12</v>
      </c>
    </row>
    <row r="184" spans="1:19" ht="18" customHeight="1" x14ac:dyDescent="0.3">
      <c r="A184" s="259"/>
      <c r="B184" s="359">
        <v>6.5972222222222224E-2</v>
      </c>
      <c r="C184" s="359" t="s">
        <v>5</v>
      </c>
      <c r="D184" s="359">
        <v>9.5238000000000017E-2</v>
      </c>
      <c r="E184" s="359" t="s">
        <v>6</v>
      </c>
      <c r="F184" s="359">
        <f t="shared" si="90"/>
        <v>0.16121022222222225</v>
      </c>
      <c r="G184" s="249">
        <v>2</v>
      </c>
      <c r="H184" s="359">
        <f t="shared" si="89"/>
        <v>2.3274871451050061E-2</v>
      </c>
      <c r="I184" s="359">
        <f t="shared" si="91"/>
        <v>0.29914557299339445</v>
      </c>
      <c r="J184" s="359">
        <f t="shared" si="92"/>
        <v>-0.37087334940723321</v>
      </c>
      <c r="K184" s="304">
        <f t="shared" si="93"/>
        <v>7.4786393248348612E-2</v>
      </c>
      <c r="L184" s="304">
        <f t="shared" si="94"/>
        <v>-6.1812224901205533E-2</v>
      </c>
      <c r="M184" s="304">
        <f t="shared" si="95"/>
        <v>0.63790312681253747</v>
      </c>
      <c r="N184" s="304">
        <f t="shared" si="96"/>
        <v>0.8104966857920235</v>
      </c>
      <c r="P184" s="368"/>
      <c r="Q184" s="369"/>
      <c r="R184" s="259" t="s">
        <v>15</v>
      </c>
      <c r="S184" s="366">
        <f>IF(O191&lt;S167,S183,S169)</f>
        <v>6</v>
      </c>
    </row>
    <row r="185" spans="1:19" ht="18" customHeight="1" x14ac:dyDescent="0.3">
      <c r="A185" s="259"/>
      <c r="B185" s="359">
        <v>-0.13194444444444442</v>
      </c>
      <c r="C185" s="359" t="s">
        <v>5</v>
      </c>
      <c r="D185" s="359">
        <v>-9.5238000000000017E-2</v>
      </c>
      <c r="E185" s="359" t="s">
        <v>6</v>
      </c>
      <c r="F185" s="359">
        <f t="shared" si="90"/>
        <v>-0.22718244444444444</v>
      </c>
      <c r="G185" s="249">
        <v>1</v>
      </c>
      <c r="H185" s="359">
        <f t="shared" si="89"/>
        <v>-6.0216668030605602E-2</v>
      </c>
      <c r="I185" s="359">
        <f t="shared" si="91"/>
        <v>0.23892890496278885</v>
      </c>
      <c r="J185" s="359">
        <f t="shared" si="92"/>
        <v>-0.37087334940723321</v>
      </c>
      <c r="K185" s="304">
        <f t="shared" si="93"/>
        <v>5.9732226240697212E-2</v>
      </c>
      <c r="L185" s="304">
        <f t="shared" si="94"/>
        <v>-6.1812224901205533E-2</v>
      </c>
      <c r="M185" s="304">
        <f t="shared" si="95"/>
        <v>0.75785202108384031</v>
      </c>
      <c r="N185" s="304">
        <f t="shared" si="96"/>
        <v>0.81209224266262348</v>
      </c>
    </row>
    <row r="186" spans="1:19" ht="18" customHeight="1" x14ac:dyDescent="0.3">
      <c r="A186" s="259"/>
      <c r="B186" s="359">
        <v>6.5972222222222224E-2</v>
      </c>
      <c r="C186" s="359" t="s">
        <v>5</v>
      </c>
      <c r="D186" s="359">
        <v>-9.5238000000000017E-2</v>
      </c>
      <c r="E186" s="359" t="s">
        <v>6</v>
      </c>
      <c r="F186" s="359">
        <f t="shared" si="90"/>
        <v>-2.9265777777777793E-2</v>
      </c>
      <c r="G186" s="249">
        <v>1</v>
      </c>
      <c r="H186" s="359">
        <f t="shared" si="89"/>
        <v>0.12292899890821214</v>
      </c>
      <c r="I186" s="359">
        <f t="shared" si="91"/>
        <v>0.36185790387100097</v>
      </c>
      <c r="J186" s="359">
        <f t="shared" si="92"/>
        <v>-0.37087334940723321</v>
      </c>
      <c r="K186" s="304">
        <f>IFERROR(I186/COUNTIF($G$182:$G$191,1),"ERROR!!!")</f>
        <v>9.0464475967750244E-2</v>
      </c>
      <c r="L186" s="304">
        <f t="shared" si="94"/>
        <v>-6.1812224901205533E-2</v>
      </c>
      <c r="M186" s="304">
        <f t="shared" si="95"/>
        <v>0.79031654402430218</v>
      </c>
      <c r="N186" s="304">
        <f t="shared" si="96"/>
        <v>0.99683346647204119</v>
      </c>
    </row>
    <row r="187" spans="1:19" ht="18" customHeight="1" x14ac:dyDescent="0.3">
      <c r="A187" s="259"/>
      <c r="B187" s="359">
        <v>-0.13194444444444442</v>
      </c>
      <c r="C187" s="359" t="s">
        <v>5</v>
      </c>
      <c r="D187" s="359">
        <v>9.5238000000000017E-2</v>
      </c>
      <c r="E187" s="359" t="s">
        <v>6</v>
      </c>
      <c r="F187" s="359">
        <f>SUM(B187,D187)</f>
        <v>-3.6706444444444403E-2</v>
      </c>
      <c r="G187" s="249">
        <v>1</v>
      </c>
      <c r="H187" s="359">
        <f t="shared" si="89"/>
        <v>0.11604622982485946</v>
      </c>
      <c r="I187" s="359">
        <f t="shared" si="91"/>
        <v>0.47790413369586043</v>
      </c>
      <c r="J187" s="359">
        <f t="shared" si="92"/>
        <v>-0.37087334940723321</v>
      </c>
      <c r="K187" s="304">
        <f t="shared" si="93"/>
        <v>0.11947603342396511</v>
      </c>
      <c r="L187" s="304">
        <f t="shared" si="94"/>
        <v>-6.1812224901205533E-2</v>
      </c>
      <c r="M187" s="304">
        <f t="shared" si="95"/>
        <v>0.79374634762340779</v>
      </c>
      <c r="N187" s="304">
        <f t="shared" si="96"/>
        <v>1.1746919211981062</v>
      </c>
    </row>
    <row r="188" spans="1:19" ht="18" customHeight="1" x14ac:dyDescent="0.3">
      <c r="A188" s="259"/>
      <c r="B188" s="359">
        <v>6.5972222222222224E-2</v>
      </c>
      <c r="C188" s="359" t="s">
        <v>5</v>
      </c>
      <c r="D188" s="359">
        <v>-9.5238000000000017E-2</v>
      </c>
      <c r="E188" s="359" t="s">
        <v>6</v>
      </c>
      <c r="F188" s="359">
        <f t="shared" ref="F188:F191" si="97">SUM(B188,D188)</f>
        <v>-2.9265777777777793E-2</v>
      </c>
      <c r="G188" s="249">
        <v>2</v>
      </c>
      <c r="H188" s="359">
        <f t="shared" si="89"/>
        <v>-0.18146055446376774</v>
      </c>
      <c r="I188" s="359">
        <f t="shared" si="91"/>
        <v>0.47790413369586043</v>
      </c>
      <c r="J188" s="359">
        <f t="shared" si="92"/>
        <v>-0.5523339038710009</v>
      </c>
      <c r="K188" s="304">
        <f t="shared" si="93"/>
        <v>0.11947603342396511</v>
      </c>
      <c r="L188" s="304">
        <f t="shared" si="94"/>
        <v>-9.2055650645166812E-2</v>
      </c>
      <c r="M188" s="304">
        <f t="shared" si="95"/>
        <v>0.88315125144200868</v>
      </c>
      <c r="N188" s="304">
        <f t="shared" si="96"/>
        <v>1.475628509085839</v>
      </c>
    </row>
    <row r="189" spans="1:19" ht="18" customHeight="1" x14ac:dyDescent="0.3">
      <c r="A189" s="259"/>
      <c r="B189" s="359">
        <v>-0.13194444444444442</v>
      </c>
      <c r="C189" s="359" t="s">
        <v>5</v>
      </c>
      <c r="D189" s="359">
        <v>-9.5238000000000017E-2</v>
      </c>
      <c r="E189" s="359" t="s">
        <v>6</v>
      </c>
      <c r="F189" s="359">
        <f t="shared" si="97"/>
        <v>-0.22718244444444444</v>
      </c>
      <c r="G189" s="249">
        <v>2</v>
      </c>
      <c r="H189" s="359">
        <f t="shared" si="89"/>
        <v>-0.39414822085828327</v>
      </c>
      <c r="I189" s="359">
        <f t="shared" si="91"/>
        <v>0.47790413369586043</v>
      </c>
      <c r="J189" s="359">
        <f t="shared" si="92"/>
        <v>-0.94648212472928417</v>
      </c>
      <c r="K189" s="304">
        <f t="shared" si="93"/>
        <v>0.11947603342396511</v>
      </c>
      <c r="L189" s="304">
        <f>IFERROR(J189/COUNTIF($G$182:$G$191,2),"ERROR!!!")</f>
        <v>-0.15774702078821404</v>
      </c>
      <c r="M189" s="304">
        <f t="shared" si="95"/>
        <v>1.1195524515120778</v>
      </c>
      <c r="N189" s="304">
        <f t="shared" si="96"/>
        <v>1.9892527633680874</v>
      </c>
      <c r="O189" s="354"/>
    </row>
    <row r="190" spans="1:19" ht="18" customHeight="1" x14ac:dyDescent="0.3">
      <c r="A190" s="259"/>
      <c r="B190" s="359">
        <v>-0.13194444444444442</v>
      </c>
      <c r="C190" s="359" t="s">
        <v>5</v>
      </c>
      <c r="D190" s="359">
        <v>-9.5238000000000017E-2</v>
      </c>
      <c r="E190" s="359" t="s">
        <v>6</v>
      </c>
      <c r="F190" s="359">
        <f t="shared" si="97"/>
        <v>-0.22718244444444444</v>
      </c>
      <c r="G190" s="249">
        <v>2</v>
      </c>
      <c r="H190" s="359">
        <f t="shared" si="89"/>
        <v>-0.39414822085828327</v>
      </c>
      <c r="I190" s="359">
        <f t="shared" si="91"/>
        <v>0.47790413369586043</v>
      </c>
      <c r="J190" s="359">
        <f t="shared" si="92"/>
        <v>-1.3406303455875674</v>
      </c>
      <c r="K190" s="304">
        <f t="shared" si="93"/>
        <v>0.11947603342396511</v>
      </c>
      <c r="L190" s="304">
        <f t="shared" si="94"/>
        <v>-0.22343839093126125</v>
      </c>
      <c r="M190" s="304">
        <f t="shared" si="95"/>
        <v>1.2902622814390998</v>
      </c>
      <c r="N190" s="304">
        <f t="shared" si="96"/>
        <v>2.5028770176503357</v>
      </c>
      <c r="O190" s="358"/>
    </row>
    <row r="191" spans="1:19" ht="18" customHeight="1" x14ac:dyDescent="0.3">
      <c r="A191" s="259"/>
      <c r="B191" s="359">
        <v>-0.13194444444444442</v>
      </c>
      <c r="C191" s="359" t="s">
        <v>5</v>
      </c>
      <c r="D191" s="359">
        <v>-9.5238000000000017E-2</v>
      </c>
      <c r="E191" s="359" t="s">
        <v>6</v>
      </c>
      <c r="F191" s="359">
        <f t="shared" si="97"/>
        <v>-0.22718244444444444</v>
      </c>
      <c r="G191" s="249">
        <v>2</v>
      </c>
      <c r="H191" s="359">
        <f t="shared" si="89"/>
        <v>-0.39414822085828327</v>
      </c>
      <c r="I191" s="359">
        <f t="shared" si="91"/>
        <v>0.47790413369586043</v>
      </c>
      <c r="J191" s="359">
        <f t="shared" si="92"/>
        <v>-1.7347785664458506</v>
      </c>
      <c r="K191" s="304">
        <f t="shared" si="93"/>
        <v>0.11947603342396511</v>
      </c>
      <c r="L191" s="304">
        <f t="shared" si="94"/>
        <v>-0.28912976107430843</v>
      </c>
      <c r="M191" s="304">
        <f t="shared" si="95"/>
        <v>1.3952807412230745</v>
      </c>
      <c r="N191" s="304">
        <f t="shared" si="96"/>
        <v>3.0165012719325839</v>
      </c>
      <c r="O191" s="373">
        <f>M191/N191</f>
        <v>0.46254936280174652</v>
      </c>
    </row>
    <row r="192" spans="1:19" ht="14.4" customHeight="1" x14ac:dyDescent="0.3"/>
    <row r="194" spans="1:19" ht="14.4" customHeight="1" x14ac:dyDescent="0.3"/>
    <row r="195" spans="1:19" ht="18" customHeight="1" x14ac:dyDescent="0.3">
      <c r="A195" s="281" t="s">
        <v>10</v>
      </c>
      <c r="B195" s="282"/>
      <c r="C195" s="282"/>
      <c r="D195" s="282"/>
      <c r="E195" s="282"/>
      <c r="F195" s="283"/>
      <c r="G195" s="350"/>
      <c r="H195" s="281" t="s">
        <v>9</v>
      </c>
      <c r="I195" s="282"/>
      <c r="J195" s="282"/>
      <c r="K195" s="282"/>
      <c r="L195" s="282"/>
      <c r="M195" s="282"/>
      <c r="N195" s="283"/>
    </row>
    <row r="196" spans="1:19" ht="18" customHeight="1" x14ac:dyDescent="0.3">
      <c r="A196" s="351"/>
      <c r="B196" s="352"/>
      <c r="C196" s="353" t="s">
        <v>5</v>
      </c>
      <c r="D196" s="354"/>
      <c r="E196" s="353" t="s">
        <v>6</v>
      </c>
      <c r="F196" s="354"/>
      <c r="G196" s="240" t="s">
        <v>8</v>
      </c>
      <c r="H196" s="355"/>
      <c r="I196" s="356"/>
      <c r="J196" s="356"/>
      <c r="K196" s="357"/>
      <c r="L196" s="357"/>
      <c r="M196" s="358"/>
      <c r="N196" s="358"/>
      <c r="P196" s="269" t="s">
        <v>27</v>
      </c>
      <c r="Q196" s="269"/>
      <c r="R196" s="269"/>
      <c r="S196" s="269"/>
    </row>
    <row r="197" spans="1:19" ht="18" customHeight="1" x14ac:dyDescent="0.3">
      <c r="A197" s="259"/>
      <c r="B197" s="359">
        <v>-0.13194444444444442</v>
      </c>
      <c r="C197" s="359" t="s">
        <v>5</v>
      </c>
      <c r="D197" s="359">
        <v>6.0763888888888902E-2</v>
      </c>
      <c r="E197" s="359" t="s">
        <v>6</v>
      </c>
      <c r="F197" s="359">
        <f>SUM(B197,D197)</f>
        <v>-7.1180555555555525E-2</v>
      </c>
      <c r="G197" s="249">
        <v>2</v>
      </c>
      <c r="H197" s="359">
        <f t="shared" ref="H197:H206" si="98">IF(OR($G197=1,$G197=2), $F197 + IF($G197=1,1,-1)*$N$23*(EXP(-$F197)/(1+EXP(-$F197))), NA())</f>
        <v>-0.22651684431062022</v>
      </c>
      <c r="I197" s="359">
        <f>IF(G197=1,H197+N(I196),N(I196))</f>
        <v>0</v>
      </c>
      <c r="J197" s="359">
        <f>IF(G197=2,H197+N(J196),N(J196))</f>
        <v>-0.22651684431062022</v>
      </c>
      <c r="K197" s="304">
        <f>IFERROR(I197/COUNTIF($G$197:$G$206,1),"ERROR!!!")</f>
        <v>0</v>
      </c>
      <c r="L197" s="304">
        <f>IFERROR(J197/COUNTIF($G$197:$G$206,2),"ERROR!!!")</f>
        <v>-3.7752807385103372E-2</v>
      </c>
      <c r="M197" s="304">
        <f>IF(ROW()=197, 0, M196) + ABS(H197 - IF($G197=1, $K197, $L197))</f>
        <v>0.18876403692551685</v>
      </c>
      <c r="N197" s="304">
        <f>IF(ROW()=197, 0, N196) + ABS(H197 - IF($G197=1, $L197, $K197))</f>
        <v>0.22651684431062022</v>
      </c>
      <c r="P197" s="384"/>
      <c r="Q197" s="385"/>
      <c r="R197" s="316" t="s">
        <v>13</v>
      </c>
      <c r="S197" s="362">
        <f>IF(O206&lt;S182,O206,S182)</f>
        <v>0.3556638792093228</v>
      </c>
    </row>
    <row r="198" spans="1:19" ht="18" customHeight="1" x14ac:dyDescent="0.3">
      <c r="A198" s="259"/>
      <c r="B198" s="359">
        <v>6.5972222222222224E-2</v>
      </c>
      <c r="C198" s="359" t="s">
        <v>5</v>
      </c>
      <c r="D198" s="359">
        <v>6.0763888888888923E-2</v>
      </c>
      <c r="E198" s="359" t="s">
        <v>6</v>
      </c>
      <c r="F198" s="359">
        <f t="shared" ref="F198:F201" si="99">SUM(B198,D198)</f>
        <v>0.12673611111111116</v>
      </c>
      <c r="G198" s="249">
        <v>1</v>
      </c>
      <c r="H198" s="359">
        <f t="shared" si="98"/>
        <v>0.26724360513010759</v>
      </c>
      <c r="I198" s="359">
        <f t="shared" ref="I198:I206" si="100">IF(G198=1,H198+N(I197),N(I197))</f>
        <v>0.26724360513010759</v>
      </c>
      <c r="J198" s="359">
        <f t="shared" ref="J198:J205" si="101">IF(G198=2,H198+N(J197),N(J197))</f>
        <v>-0.22651684431062022</v>
      </c>
      <c r="K198" s="304">
        <f t="shared" ref="K198:K206" si="102">IFERROR(I198/COUNTIF($G$197:$G$206,1),"ERROR!!!")</f>
        <v>6.6810901282526897E-2</v>
      </c>
      <c r="L198" s="304">
        <f t="shared" ref="L198:L206" si="103">IFERROR(J198/COUNTIF($G$197:$G$206,2),"ERROR!!!")</f>
        <v>-3.7752807385103372E-2</v>
      </c>
      <c r="M198" s="304">
        <f t="shared" ref="M198:M206" si="104">IF(ROW()=197, 0, M197) + ABS(H198 - IF($G198=1, $K198, $L198))</f>
        <v>0.38919674077309752</v>
      </c>
      <c r="N198" s="304">
        <f t="shared" ref="N198:N206" si="105">IF(ROW()=197, 0, N197) + ABS(H198 - IF($G198=1, $L198, $K198))</f>
        <v>0.53151325682583117</v>
      </c>
      <c r="P198" s="386"/>
      <c r="Q198" s="387"/>
      <c r="R198" s="259" t="s">
        <v>17</v>
      </c>
      <c r="S198" s="366">
        <v>13</v>
      </c>
    </row>
    <row r="199" spans="1:19" ht="18" customHeight="1" x14ac:dyDescent="0.3">
      <c r="A199" s="259"/>
      <c r="B199" s="359">
        <v>6.5972222222222224E-2</v>
      </c>
      <c r="C199" s="359" t="s">
        <v>5</v>
      </c>
      <c r="D199" s="359">
        <v>6.0763888888888923E-2</v>
      </c>
      <c r="E199" s="359" t="s">
        <v>6</v>
      </c>
      <c r="F199" s="359">
        <f t="shared" si="99"/>
        <v>0.12673611111111116</v>
      </c>
      <c r="G199" s="249">
        <v>2</v>
      </c>
      <c r="H199" s="359">
        <f t="shared" si="98"/>
        <v>-1.3771382907885238E-2</v>
      </c>
      <c r="I199" s="359">
        <f t="shared" si="100"/>
        <v>0.26724360513010759</v>
      </c>
      <c r="J199" s="359">
        <f t="shared" si="101"/>
        <v>-0.24028822721850546</v>
      </c>
      <c r="K199" s="304">
        <f t="shared" si="102"/>
        <v>6.6810901282526897E-2</v>
      </c>
      <c r="L199" s="304">
        <f t="shared" si="103"/>
        <v>-4.0048037869750912E-2</v>
      </c>
      <c r="M199" s="304">
        <f t="shared" si="104"/>
        <v>0.41547339573496317</v>
      </c>
      <c r="N199" s="304">
        <f t="shared" si="105"/>
        <v>0.61209554101624331</v>
      </c>
      <c r="P199" s="388"/>
      <c r="Q199" s="389"/>
      <c r="R199" s="259" t="s">
        <v>15</v>
      </c>
      <c r="S199" s="366">
        <f>IF(O206&lt;S182,S198,S184)</f>
        <v>6</v>
      </c>
    </row>
    <row r="200" spans="1:19" ht="18" customHeight="1" x14ac:dyDescent="0.3">
      <c r="A200" s="259"/>
      <c r="B200" s="359">
        <v>-0.13194444444444442</v>
      </c>
      <c r="C200" s="359" t="s">
        <v>5</v>
      </c>
      <c r="D200" s="359">
        <v>6.0763888888888923E-2</v>
      </c>
      <c r="E200" s="359" t="s">
        <v>6</v>
      </c>
      <c r="F200" s="359">
        <f t="shared" si="99"/>
        <v>-7.1180555555555497E-2</v>
      </c>
      <c r="G200" s="249">
        <v>1</v>
      </c>
      <c r="H200" s="359">
        <f t="shared" si="98"/>
        <v>8.4155733199509197E-2</v>
      </c>
      <c r="I200" s="359">
        <f t="shared" si="100"/>
        <v>0.35139933832961678</v>
      </c>
      <c r="J200" s="359">
        <f t="shared" si="101"/>
        <v>-0.24028822721850546</v>
      </c>
      <c r="K200" s="304">
        <f t="shared" si="102"/>
        <v>8.7849834582404196E-2</v>
      </c>
      <c r="L200" s="304">
        <f t="shared" si="103"/>
        <v>-4.0048037869750912E-2</v>
      </c>
      <c r="M200" s="304">
        <f t="shared" si="104"/>
        <v>0.41916749711785817</v>
      </c>
      <c r="N200" s="304">
        <f t="shared" si="105"/>
        <v>0.73629931208550348</v>
      </c>
    </row>
    <row r="201" spans="1:19" ht="18" customHeight="1" x14ac:dyDescent="0.3">
      <c r="A201" s="259"/>
      <c r="B201" s="359">
        <v>6.5972222222222224E-2</v>
      </c>
      <c r="C201" s="359" t="s">
        <v>5</v>
      </c>
      <c r="D201" s="359">
        <v>6.0763888888888902E-2</v>
      </c>
      <c r="E201" s="359" t="s">
        <v>6</v>
      </c>
      <c r="F201" s="359">
        <f t="shared" si="99"/>
        <v>0.12673611111111113</v>
      </c>
      <c r="G201" s="249">
        <v>1</v>
      </c>
      <c r="H201" s="359">
        <f t="shared" si="98"/>
        <v>0.26724360513010753</v>
      </c>
      <c r="I201" s="359">
        <f t="shared" si="100"/>
        <v>0.61864294345972426</v>
      </c>
      <c r="J201" s="359">
        <f t="shared" si="101"/>
        <v>-0.24028822721850546</v>
      </c>
      <c r="K201" s="304">
        <f t="shared" si="102"/>
        <v>0.15466073586493106</v>
      </c>
      <c r="L201" s="304">
        <f t="shared" si="103"/>
        <v>-4.0048037869750912E-2</v>
      </c>
      <c r="M201" s="304">
        <f t="shared" si="104"/>
        <v>0.53175036638303463</v>
      </c>
      <c r="N201" s="304">
        <f t="shared" si="105"/>
        <v>1.0435909550853619</v>
      </c>
    </row>
    <row r="202" spans="1:19" ht="18" customHeight="1" x14ac:dyDescent="0.3">
      <c r="A202" s="259"/>
      <c r="B202" s="359">
        <v>-0.13194444444444442</v>
      </c>
      <c r="C202" s="359" t="s">
        <v>5</v>
      </c>
      <c r="D202" s="359">
        <v>6.0763888888888923E-2</v>
      </c>
      <c r="E202" s="359" t="s">
        <v>6</v>
      </c>
      <c r="F202" s="359">
        <f>SUM(B202,D202)</f>
        <v>-7.1180555555555497E-2</v>
      </c>
      <c r="G202" s="249">
        <v>1</v>
      </c>
      <c r="H202" s="359">
        <f t="shared" si="98"/>
        <v>8.4155733199509197E-2</v>
      </c>
      <c r="I202" s="359">
        <f t="shared" si="100"/>
        <v>0.70279867665923346</v>
      </c>
      <c r="J202" s="359">
        <f t="shared" si="101"/>
        <v>-0.24028822721850546</v>
      </c>
      <c r="K202" s="304">
        <f t="shared" si="102"/>
        <v>0.17569966916480836</v>
      </c>
      <c r="L202" s="304">
        <f t="shared" si="103"/>
        <v>-4.0048037869750912E-2</v>
      </c>
      <c r="M202" s="304">
        <f t="shared" si="104"/>
        <v>0.62329430234833383</v>
      </c>
      <c r="N202" s="304">
        <f t="shared" si="105"/>
        <v>1.167794726154622</v>
      </c>
    </row>
    <row r="203" spans="1:19" ht="18" customHeight="1" x14ac:dyDescent="0.3">
      <c r="A203" s="259"/>
      <c r="B203" s="359">
        <v>6.5972222222222224E-2</v>
      </c>
      <c r="C203" s="359" t="s">
        <v>5</v>
      </c>
      <c r="D203" s="359">
        <v>-0.12152777777777779</v>
      </c>
      <c r="E203" s="359" t="s">
        <v>6</v>
      </c>
      <c r="F203" s="359">
        <f t="shared" ref="F203:F206" si="106">SUM(B203,D203)</f>
        <v>-5.5555555555555566E-2</v>
      </c>
      <c r="G203" s="249">
        <v>2</v>
      </c>
      <c r="H203" s="359">
        <f t="shared" si="98"/>
        <v>-0.209721150879357</v>
      </c>
      <c r="I203" s="359">
        <f t="shared" si="100"/>
        <v>0.70279867665923346</v>
      </c>
      <c r="J203" s="359">
        <f t="shared" si="101"/>
        <v>-0.45000937809786246</v>
      </c>
      <c r="K203" s="304">
        <f t="shared" si="102"/>
        <v>0.17569966916480836</v>
      </c>
      <c r="L203" s="304">
        <f t="shared" si="103"/>
        <v>-7.5001563016310405E-2</v>
      </c>
      <c r="M203" s="304">
        <f>IF(ROW()=197, 0, M202) + ABS(H203 - IF($G203=1, $K203, $L203))</f>
        <v>0.75801389021138044</v>
      </c>
      <c r="N203" s="304">
        <f t="shared" si="105"/>
        <v>1.5532155461987873</v>
      </c>
    </row>
    <row r="204" spans="1:19" ht="18" customHeight="1" x14ac:dyDescent="0.3">
      <c r="A204" s="259"/>
      <c r="B204" s="359">
        <v>-0.13194444444444442</v>
      </c>
      <c r="C204" s="359" t="s">
        <v>5</v>
      </c>
      <c r="D204" s="359">
        <v>6.0763888888888923E-2</v>
      </c>
      <c r="E204" s="359" t="s">
        <v>6</v>
      </c>
      <c r="F204" s="359">
        <f t="shared" si="106"/>
        <v>-7.1180555555555497E-2</v>
      </c>
      <c r="G204" s="249">
        <v>2</v>
      </c>
      <c r="H204" s="359">
        <f t="shared" si="98"/>
        <v>-0.22651684431062019</v>
      </c>
      <c r="I204" s="359">
        <f t="shared" si="100"/>
        <v>0.70279867665923346</v>
      </c>
      <c r="J204" s="359">
        <f>IF(G204=2,H204+N(J203),N(J203))</f>
        <v>-0.6765262224084827</v>
      </c>
      <c r="K204" s="304">
        <f t="shared" si="102"/>
        <v>0.17569966916480836</v>
      </c>
      <c r="L204" s="304">
        <f t="shared" si="103"/>
        <v>-0.11275437040141378</v>
      </c>
      <c r="M204" s="304">
        <f t="shared" si="104"/>
        <v>0.8717763641205869</v>
      </c>
      <c r="N204" s="304">
        <f t="shared" si="105"/>
        <v>1.9554320596742159</v>
      </c>
      <c r="O204" s="354"/>
    </row>
    <row r="205" spans="1:19" ht="18" customHeight="1" x14ac:dyDescent="0.3">
      <c r="A205" s="259"/>
      <c r="B205" s="359">
        <v>-0.13194444444444442</v>
      </c>
      <c r="C205" s="359" t="s">
        <v>5</v>
      </c>
      <c r="D205" s="359">
        <v>6.0763888888888923E-2</v>
      </c>
      <c r="E205" s="359" t="s">
        <v>6</v>
      </c>
      <c r="F205" s="359">
        <f t="shared" si="106"/>
        <v>-7.1180555555555497E-2</v>
      </c>
      <c r="G205" s="249">
        <v>2</v>
      </c>
      <c r="H205" s="359">
        <f t="shared" si="98"/>
        <v>-0.22651684431062019</v>
      </c>
      <c r="I205" s="359">
        <f t="shared" si="100"/>
        <v>0.70279867665923346</v>
      </c>
      <c r="J205" s="359">
        <f t="shared" si="101"/>
        <v>-0.90304306671910295</v>
      </c>
      <c r="K205" s="304">
        <f t="shared" si="102"/>
        <v>0.17569966916480836</v>
      </c>
      <c r="L205" s="304">
        <f t="shared" si="103"/>
        <v>-0.15050717778651715</v>
      </c>
      <c r="M205" s="304">
        <f t="shared" si="104"/>
        <v>0.94778603064468991</v>
      </c>
      <c r="N205" s="304">
        <f>IF(ROW()=197, 0, N204) + ABS(H205 - IF($G205=1, $L205, $K205))</f>
        <v>2.3576485731496444</v>
      </c>
      <c r="O205" s="358"/>
    </row>
    <row r="206" spans="1:19" ht="18" customHeight="1" x14ac:dyDescent="0.3">
      <c r="A206" s="259"/>
      <c r="B206" s="359">
        <v>-0.13194444444444442</v>
      </c>
      <c r="C206" s="359" t="s">
        <v>5</v>
      </c>
      <c r="D206" s="359">
        <v>6.0763888888888923E-2</v>
      </c>
      <c r="E206" s="359" t="s">
        <v>6</v>
      </c>
      <c r="F206" s="359">
        <f t="shared" si="106"/>
        <v>-7.1180555555555497E-2</v>
      </c>
      <c r="G206" s="249">
        <v>2</v>
      </c>
      <c r="H206" s="359">
        <f t="shared" si="98"/>
        <v>-0.22651684431062019</v>
      </c>
      <c r="I206" s="359">
        <f t="shared" si="100"/>
        <v>0.70279867665923346</v>
      </c>
      <c r="J206" s="359">
        <f>IF(G206=2,H206+N(J205),N(J205))</f>
        <v>-1.1295599110297232</v>
      </c>
      <c r="K206" s="304">
        <f t="shared" si="102"/>
        <v>0.17569966916480836</v>
      </c>
      <c r="L206" s="304">
        <f t="shared" si="103"/>
        <v>-0.18825998517162054</v>
      </c>
      <c r="M206" s="304">
        <f t="shared" si="104"/>
        <v>0.98604288978368959</v>
      </c>
      <c r="N206" s="304">
        <f t="shared" si="105"/>
        <v>2.7598650866250729</v>
      </c>
      <c r="O206" s="373">
        <f>M206/N206</f>
        <v>0.3572793809966564</v>
      </c>
    </row>
    <row r="210" spans="1:24" ht="18" customHeight="1" x14ac:dyDescent="0.3">
      <c r="L210" s="313"/>
      <c r="M210" s="259"/>
      <c r="N210" s="259"/>
      <c r="O210" s="390">
        <f>MIN(O41,O56,O71,O86,O101,O116,O131,O146,O161,O176,O191,O206)</f>
        <v>0.3556638792093228</v>
      </c>
    </row>
    <row r="211" spans="1:24" ht="18" customHeight="1" x14ac:dyDescent="0.3">
      <c r="L211" s="316"/>
      <c r="M211" s="259"/>
      <c r="N211" s="259"/>
      <c r="O211" s="391"/>
    </row>
    <row r="212" spans="1:24" ht="18" customHeight="1" x14ac:dyDescent="0.3"/>
    <row r="213" spans="1:24" ht="18" customHeight="1" x14ac:dyDescent="0.3">
      <c r="L213" s="313"/>
      <c r="M213" s="259"/>
      <c r="N213" s="259"/>
      <c r="O213" s="392">
        <f>IF(O206&lt;S182,S198,S184)</f>
        <v>6</v>
      </c>
      <c r="X213" s="340"/>
    </row>
    <row r="214" spans="1:24" ht="18" customHeight="1" x14ac:dyDescent="0.3">
      <c r="L214" s="316"/>
      <c r="M214" s="259"/>
      <c r="N214" s="259"/>
      <c r="O214" s="392"/>
    </row>
    <row r="215" spans="1:24" ht="15" customHeight="1" x14ac:dyDescent="0.3"/>
    <row r="216" spans="1:24" ht="15" customHeight="1" thickBot="1" x14ac:dyDescent="0.35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</row>
    <row r="217" spans="1:24" ht="15" customHeight="1" x14ac:dyDescent="0.3"/>
    <row r="218" spans="1:24" ht="15" customHeight="1" x14ac:dyDescent="0.3"/>
    <row r="219" spans="1:24" ht="18" customHeight="1" x14ac:dyDescent="0.3">
      <c r="K219" s="394" t="s">
        <v>83</v>
      </c>
    </row>
    <row r="220" spans="1:24" ht="18" customHeight="1" x14ac:dyDescent="0.3">
      <c r="A220" s="281" t="s">
        <v>10</v>
      </c>
      <c r="B220" s="282"/>
      <c r="C220" s="282"/>
      <c r="D220" s="282"/>
      <c r="E220" s="282"/>
      <c r="F220" s="283"/>
      <c r="H220" s="269" t="s">
        <v>81</v>
      </c>
      <c r="I220" s="269"/>
      <c r="K220" s="394"/>
      <c r="N220" s="269" t="s">
        <v>28</v>
      </c>
      <c r="O220" s="269"/>
    </row>
    <row r="221" spans="1:24" ht="18" customHeight="1" x14ac:dyDescent="0.3">
      <c r="A221" s="351"/>
      <c r="B221" s="352"/>
      <c r="C221" s="353" t="s">
        <v>5</v>
      </c>
      <c r="D221" s="354"/>
      <c r="E221" s="353" t="s">
        <v>6</v>
      </c>
      <c r="F221" s="354"/>
      <c r="G221" s="240" t="s">
        <v>8</v>
      </c>
      <c r="H221" s="354"/>
      <c r="I221" s="354"/>
      <c r="J221" s="301" t="s">
        <v>34</v>
      </c>
      <c r="K221" s="354"/>
      <c r="N221" s="395"/>
      <c r="O221" s="395"/>
    </row>
    <row r="222" spans="1:24" ht="18" customHeight="1" x14ac:dyDescent="0.3">
      <c r="A222" s="259"/>
      <c r="B222" s="359">
        <v>-0.13194444444444442</v>
      </c>
      <c r="C222" s="359" t="s">
        <v>5</v>
      </c>
      <c r="D222" s="359">
        <v>7.4074074074074042E-2</v>
      </c>
      <c r="E222" s="359" t="s">
        <v>6</v>
      </c>
      <c r="F222" s="359">
        <f>SUM(B222,D222)</f>
        <v>-5.7870370370370378E-2</v>
      </c>
      <c r="G222" s="249">
        <v>2</v>
      </c>
      <c r="H222" s="287">
        <f>IF(OR($G222=1,$G222=2), $F222 + IF($G222=1,1,-1)*$N$23*(EXP(-$F222)/(1+EXP(-$F222))), NA())</f>
        <v>-0.21220943726179825</v>
      </c>
      <c r="I222" s="305">
        <f>IF(OR($G222=1,$G222=2), $H222 + IF($G222=1,1,-1)*$N$23*(EXP(-$H222)/(1+EXP(-$H222))), NA())</f>
        <v>-0.37806568533891394</v>
      </c>
      <c r="J222" s="320"/>
      <c r="K222" s="305">
        <v>-0.37806568533891394</v>
      </c>
      <c r="N222" s="396"/>
      <c r="O222" s="349">
        <f>O210</f>
        <v>0.3556638792093228</v>
      </c>
    </row>
    <row r="223" spans="1:24" ht="18" customHeight="1" x14ac:dyDescent="0.3">
      <c r="A223" s="259"/>
      <c r="B223" s="359">
        <v>6.5972222222222224E-2</v>
      </c>
      <c r="C223" s="359" t="s">
        <v>5</v>
      </c>
      <c r="D223" s="359">
        <v>7.4074074074074042E-2</v>
      </c>
      <c r="E223" s="359" t="s">
        <v>6</v>
      </c>
      <c r="F223" s="359">
        <f t="shared" ref="F223:F226" si="107">SUM(B223,D223)</f>
        <v>0.14004629629629628</v>
      </c>
      <c r="G223" s="249">
        <v>1</v>
      </c>
      <c r="H223" s="287">
        <f t="shared" ref="H223:H231" si="108">IF(OR($G223=1,$G223=2), $F223 + IF($G223=1,1,-1)*$N$23*(EXP(-$F223)/(1+EXP(-$F223))), NA())</f>
        <v>0.27955995749066409</v>
      </c>
      <c r="I223" s="305">
        <f t="shared" ref="I223:I231" si="109">IF(OR($G223=1,$G223=2), $H223 + IF($G223=1,1,-1)*$N$23*(EXP(-$H223)/(1+EXP(-$H223))), NA())</f>
        <v>0.40872845598398955</v>
      </c>
      <c r="K223" s="305">
        <v>0.40872845598398955</v>
      </c>
      <c r="N223" s="396"/>
      <c r="O223" s="349">
        <v>10</v>
      </c>
    </row>
    <row r="224" spans="1:24" ht="18" customHeight="1" x14ac:dyDescent="0.3">
      <c r="A224" s="259"/>
      <c r="B224" s="359">
        <v>6.5972222222222224E-2</v>
      </c>
      <c r="C224" s="359" t="s">
        <v>5</v>
      </c>
      <c r="D224" s="359">
        <v>7.4074074074074042E-2</v>
      </c>
      <c r="E224" s="359" t="s">
        <v>6</v>
      </c>
      <c r="F224" s="359">
        <f>SUM(B224,D224)</f>
        <v>0.14004629629629628</v>
      </c>
      <c r="G224" s="249">
        <v>2</v>
      </c>
      <c r="H224" s="287">
        <f t="shared" si="108"/>
        <v>5.3263510192844143E-4</v>
      </c>
      <c r="I224" s="305">
        <f t="shared" si="109"/>
        <v>-0.14942741726637135</v>
      </c>
      <c r="K224" s="305">
        <v>-0.14942741726637135</v>
      </c>
      <c r="N224" s="345"/>
      <c r="O224" s="301"/>
    </row>
    <row r="225" spans="1:19" ht="18" customHeight="1" x14ac:dyDescent="0.3">
      <c r="A225" s="259"/>
      <c r="B225" s="359">
        <v>-0.13194444444444442</v>
      </c>
      <c r="C225" s="359" t="s">
        <v>5</v>
      </c>
      <c r="D225" s="359">
        <v>7.4074074074074042E-2</v>
      </c>
      <c r="E225" s="359" t="s">
        <v>6</v>
      </c>
      <c r="F225" s="359">
        <f t="shared" si="107"/>
        <v>-5.7870370370370378E-2</v>
      </c>
      <c r="G225" s="249">
        <v>1</v>
      </c>
      <c r="H225" s="287">
        <f t="shared" si="108"/>
        <v>9.6468696521057495E-2</v>
      </c>
      <c r="I225" s="305">
        <f t="shared" si="109"/>
        <v>0.23923915005200891</v>
      </c>
      <c r="K225" s="305">
        <v>0.23923915005200891</v>
      </c>
      <c r="N225" s="259"/>
      <c r="O225" s="301">
        <v>2</v>
      </c>
    </row>
    <row r="226" spans="1:19" ht="18" customHeight="1" x14ac:dyDescent="0.3">
      <c r="A226" s="259"/>
      <c r="B226" s="359">
        <v>6.5972222222222224E-2</v>
      </c>
      <c r="C226" s="359" t="s">
        <v>5</v>
      </c>
      <c r="D226" s="359">
        <v>7.4074074074074042E-2</v>
      </c>
      <c r="E226" s="359" t="s">
        <v>6</v>
      </c>
      <c r="F226" s="359">
        <f t="shared" si="107"/>
        <v>0.14004629629629628</v>
      </c>
      <c r="G226" s="249">
        <v>1</v>
      </c>
      <c r="H226" s="287">
        <f t="shared" si="108"/>
        <v>0.27955995749066409</v>
      </c>
      <c r="I226" s="305">
        <f t="shared" si="109"/>
        <v>0.40872845598398955</v>
      </c>
      <c r="K226" s="305">
        <v>0.40872845598398955</v>
      </c>
      <c r="N226" s="345"/>
      <c r="O226" s="301"/>
    </row>
    <row r="227" spans="1:19" ht="18" customHeight="1" x14ac:dyDescent="0.3">
      <c r="A227" s="259"/>
      <c r="B227" s="359">
        <v>-0.13194444444444442</v>
      </c>
      <c r="C227" s="359" t="s">
        <v>5</v>
      </c>
      <c r="D227" s="359">
        <v>7.4074074074074042E-2</v>
      </c>
      <c r="E227" s="359" t="s">
        <v>6</v>
      </c>
      <c r="F227" s="359">
        <f>SUM(B227,D227)</f>
        <v>-5.7870370370370378E-2</v>
      </c>
      <c r="G227" s="249">
        <v>1</v>
      </c>
      <c r="H227" s="287">
        <f t="shared" si="108"/>
        <v>9.6468696521057495E-2</v>
      </c>
      <c r="I227" s="305">
        <f t="shared" si="109"/>
        <v>0.23923915005200891</v>
      </c>
      <c r="K227" s="305">
        <v>0.23923915005200891</v>
      </c>
      <c r="N227" s="259"/>
      <c r="O227" s="301">
        <v>11</v>
      </c>
    </row>
    <row r="228" spans="1:19" ht="18" customHeight="1" x14ac:dyDescent="0.3">
      <c r="A228" s="259"/>
      <c r="B228" s="359">
        <v>6.5972222222222224E-2</v>
      </c>
      <c r="C228" s="359" t="s">
        <v>5</v>
      </c>
      <c r="D228" s="359">
        <v>-7.4074074074074056E-2</v>
      </c>
      <c r="E228" s="359" t="s">
        <v>6</v>
      </c>
      <c r="F228" s="359">
        <f t="shared" ref="F228:F231" si="110">SUM(B228,D228)</f>
        <v>-8.1018518518518323E-3</v>
      </c>
      <c r="G228" s="249">
        <v>2</v>
      </c>
      <c r="H228" s="287">
        <f t="shared" si="108"/>
        <v>-0.15870948741697763</v>
      </c>
      <c r="I228" s="305">
        <f t="shared" si="109"/>
        <v>-0.32058777621177315</v>
      </c>
      <c r="K228" s="305">
        <v>-0.32058777621177315</v>
      </c>
      <c r="N228" s="259"/>
      <c r="O228" s="301">
        <v>0.1</v>
      </c>
    </row>
    <row r="229" spans="1:19" ht="18" customHeight="1" x14ac:dyDescent="0.3">
      <c r="A229" s="259"/>
      <c r="B229" s="359">
        <v>-0.13194444444444442</v>
      </c>
      <c r="C229" s="359" t="s">
        <v>5</v>
      </c>
      <c r="D229" s="359">
        <v>7.4074074074074042E-2</v>
      </c>
      <c r="E229" s="359" t="s">
        <v>6</v>
      </c>
      <c r="F229" s="359">
        <f t="shared" si="110"/>
        <v>-5.7870370370370378E-2</v>
      </c>
      <c r="G229" s="249">
        <v>2</v>
      </c>
      <c r="H229" s="287">
        <f t="shared" si="108"/>
        <v>-0.21220943726179825</v>
      </c>
      <c r="I229" s="305">
        <f t="shared" si="109"/>
        <v>-0.37806568533891394</v>
      </c>
      <c r="K229" s="305">
        <v>-0.37806568533891394</v>
      </c>
      <c r="N229" s="259"/>
      <c r="O229" s="301">
        <v>5</v>
      </c>
    </row>
    <row r="230" spans="1:19" ht="18" customHeight="1" x14ac:dyDescent="0.3">
      <c r="A230" s="259"/>
      <c r="B230" s="359">
        <v>-0.13194444444444442</v>
      </c>
      <c r="C230" s="359" t="s">
        <v>5</v>
      </c>
      <c r="D230" s="359">
        <v>7.4074074074074042E-2</v>
      </c>
      <c r="E230" s="359" t="s">
        <v>6</v>
      </c>
      <c r="F230" s="359">
        <f>SUM(B230,D230)</f>
        <v>-5.7870370370370378E-2</v>
      </c>
      <c r="G230" s="249">
        <v>2</v>
      </c>
      <c r="H230" s="287">
        <f t="shared" si="108"/>
        <v>-0.21220943726179825</v>
      </c>
      <c r="I230" s="305">
        <f t="shared" si="109"/>
        <v>-0.37806568533891394</v>
      </c>
      <c r="K230" s="305">
        <v>-0.37806568533891394</v>
      </c>
    </row>
    <row r="231" spans="1:19" ht="18" customHeight="1" x14ac:dyDescent="0.3">
      <c r="A231" s="259"/>
      <c r="B231" s="359">
        <v>-0.13194444444444442</v>
      </c>
      <c r="C231" s="359" t="s">
        <v>5</v>
      </c>
      <c r="D231" s="359">
        <v>7.4074074074074042E-2</v>
      </c>
      <c r="E231" s="359" t="s">
        <v>6</v>
      </c>
      <c r="F231" s="359">
        <f t="shared" si="110"/>
        <v>-5.7870370370370378E-2</v>
      </c>
      <c r="G231" s="249">
        <v>2</v>
      </c>
      <c r="H231" s="287">
        <f t="shared" si="108"/>
        <v>-0.21220943726179825</v>
      </c>
      <c r="I231" s="305">
        <f t="shared" si="109"/>
        <v>-0.37806568533891394</v>
      </c>
      <c r="K231" s="305">
        <v>-0.37806568533891394</v>
      </c>
      <c r="N231" s="281" t="s">
        <v>82</v>
      </c>
      <c r="O231" s="283"/>
    </row>
    <row r="232" spans="1:19" ht="18" customHeight="1" x14ac:dyDescent="0.3">
      <c r="N232" s="360"/>
      <c r="O232" s="361"/>
    </row>
    <row r="233" spans="1:19" ht="18" customHeight="1" x14ac:dyDescent="0.3">
      <c r="N233" s="368"/>
      <c r="O233" s="369"/>
    </row>
    <row r="234" spans="1:19" ht="13.95" customHeight="1" x14ac:dyDescent="0.3">
      <c r="M234" s="290" t="b">
        <v>1</v>
      </c>
      <c r="N234" s="397" t="str">
        <f>IF(AND($O$225&lt;$O$229, $O$222&gt;$O$228), "Go back to Step 3", "Output SET and stop")</f>
        <v>Go back to Step 3</v>
      </c>
      <c r="O234" s="398"/>
    </row>
    <row r="235" spans="1:19" ht="13.95" customHeight="1" x14ac:dyDescent="0.3"/>
    <row r="236" spans="1:19" ht="13.95" customHeight="1" x14ac:dyDescent="0.3"/>
    <row r="237" spans="1:19" ht="13.95" customHeight="1" x14ac:dyDescent="0.3"/>
    <row r="238" spans="1:19" ht="13.95" customHeight="1" x14ac:dyDescent="0.3">
      <c r="A238" s="399"/>
      <c r="B238" s="399"/>
      <c r="C238" s="399"/>
      <c r="D238" s="399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</row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79" ht="14.4" customHeight="1" x14ac:dyDescent="0.3"/>
    <row r="380" ht="14.4" customHeight="1" x14ac:dyDescent="0.3"/>
    <row r="382" ht="14.4" customHeight="1" x14ac:dyDescent="0.3"/>
    <row r="383" ht="14.4" customHeight="1" x14ac:dyDescent="0.3"/>
    <row r="385" ht="14.4" customHeight="1" x14ac:dyDescent="0.3"/>
    <row r="394" ht="15.6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22">
    <mergeCell ref="A1:O1"/>
    <mergeCell ref="U2:W2"/>
    <mergeCell ref="Z2:AA4"/>
    <mergeCell ref="AB2:AC4"/>
    <mergeCell ref="V3:W3"/>
    <mergeCell ref="V4:W4"/>
    <mergeCell ref="A238:S238"/>
    <mergeCell ref="Q9:Q10"/>
    <mergeCell ref="R9:S10"/>
    <mergeCell ref="R11:S11"/>
    <mergeCell ref="Z11:AA13"/>
    <mergeCell ref="AB11:AE13"/>
    <mergeCell ref="Q13:R14"/>
    <mergeCell ref="Q5:Q6"/>
    <mergeCell ref="R5:S6"/>
    <mergeCell ref="V5:W5"/>
    <mergeCell ref="V6:W6"/>
    <mergeCell ref="Z6:AA8"/>
    <mergeCell ref="AB6:AC8"/>
    <mergeCell ref="R7:S7"/>
    <mergeCell ref="Q18:Q19"/>
    <mergeCell ref="R18:R19"/>
    <mergeCell ref="U18:W18"/>
    <mergeCell ref="U19:W19"/>
    <mergeCell ref="Z15:AA17"/>
    <mergeCell ref="AB15:AE17"/>
    <mergeCell ref="B16:N16"/>
    <mergeCell ref="Q16:Q17"/>
    <mergeCell ref="R16:R17"/>
    <mergeCell ref="T17:X17"/>
    <mergeCell ref="A31:B31"/>
    <mergeCell ref="P31:S31"/>
    <mergeCell ref="U31:Y31"/>
    <mergeCell ref="P32:Q34"/>
    <mergeCell ref="V32:X32"/>
    <mergeCell ref="U33:Y33"/>
    <mergeCell ref="U34:Y34"/>
    <mergeCell ref="AB20:AE22"/>
    <mergeCell ref="T21:X21"/>
    <mergeCell ref="E23:F24"/>
    <mergeCell ref="G25:H25"/>
    <mergeCell ref="A30:F30"/>
    <mergeCell ref="H30:N30"/>
    <mergeCell ref="U20:W20"/>
    <mergeCell ref="Z20:AA22"/>
    <mergeCell ref="P47:Q49"/>
    <mergeCell ref="V47:X47"/>
    <mergeCell ref="U48:Y48"/>
    <mergeCell ref="U49:Y49"/>
    <mergeCell ref="U50:Y51"/>
    <mergeCell ref="A60:F60"/>
    <mergeCell ref="H60:N60"/>
    <mergeCell ref="U35:Y36"/>
    <mergeCell ref="A45:F45"/>
    <mergeCell ref="H45:N45"/>
    <mergeCell ref="A46:B46"/>
    <mergeCell ref="P46:S46"/>
    <mergeCell ref="U46:Y46"/>
    <mergeCell ref="P77:Q79"/>
    <mergeCell ref="A90:F90"/>
    <mergeCell ref="H90:N90"/>
    <mergeCell ref="A91:B91"/>
    <mergeCell ref="P91:S91"/>
    <mergeCell ref="P92:Q94"/>
    <mergeCell ref="A61:B61"/>
    <mergeCell ref="P61:S61"/>
    <mergeCell ref="P62:Q64"/>
    <mergeCell ref="A75:F75"/>
    <mergeCell ref="H75:N75"/>
    <mergeCell ref="A76:B76"/>
    <mergeCell ref="P76:S76"/>
    <mergeCell ref="A121:B121"/>
    <mergeCell ref="P121:S121"/>
    <mergeCell ref="P122:Q124"/>
    <mergeCell ref="A135:F135"/>
    <mergeCell ref="H135:N135"/>
    <mergeCell ref="A136:B136"/>
    <mergeCell ref="P136:S136"/>
    <mergeCell ref="A105:F105"/>
    <mergeCell ref="H105:N105"/>
    <mergeCell ref="A106:B106"/>
    <mergeCell ref="P106:S106"/>
    <mergeCell ref="P107:Q109"/>
    <mergeCell ref="A120:F120"/>
    <mergeCell ref="H120:N120"/>
    <mergeCell ref="A165:F165"/>
    <mergeCell ref="H165:N165"/>
    <mergeCell ref="A166:B166"/>
    <mergeCell ref="P166:S166"/>
    <mergeCell ref="P167:Q169"/>
    <mergeCell ref="A180:F180"/>
    <mergeCell ref="H180:N180"/>
    <mergeCell ref="P137:Q139"/>
    <mergeCell ref="A150:F150"/>
    <mergeCell ref="H150:N150"/>
    <mergeCell ref="A151:B151"/>
    <mergeCell ref="P151:S151"/>
    <mergeCell ref="P152:Q154"/>
    <mergeCell ref="P197:Q199"/>
    <mergeCell ref="L210:L211"/>
    <mergeCell ref="M210:N211"/>
    <mergeCell ref="O210:O211"/>
    <mergeCell ref="L213:L214"/>
    <mergeCell ref="M213:N214"/>
    <mergeCell ref="O213:O214"/>
    <mergeCell ref="A181:B181"/>
    <mergeCell ref="P181:S181"/>
    <mergeCell ref="P182:Q184"/>
    <mergeCell ref="A195:F195"/>
    <mergeCell ref="H195:N195"/>
    <mergeCell ref="A196:B196"/>
    <mergeCell ref="P196:S196"/>
    <mergeCell ref="N231:O231"/>
    <mergeCell ref="N232:O233"/>
    <mergeCell ref="N234:O234"/>
    <mergeCell ref="K219:K220"/>
    <mergeCell ref="A220:F220"/>
    <mergeCell ref="H220:I220"/>
    <mergeCell ref="N220:O220"/>
    <mergeCell ref="A221:B221"/>
    <mergeCell ref="J221:J222"/>
    <mergeCell ref="N221:O221"/>
  </mergeCells>
  <conditionalFormatting sqref="A32">
    <cfRule type="duplicateValues" dxfId="1472" priority="461"/>
  </conditionalFormatting>
  <conditionalFormatting sqref="A33">
    <cfRule type="duplicateValues" dxfId="1471" priority="460"/>
  </conditionalFormatting>
  <conditionalFormatting sqref="A34">
    <cfRule type="duplicateValues" dxfId="1470" priority="459"/>
  </conditionalFormatting>
  <conditionalFormatting sqref="A35">
    <cfRule type="duplicateValues" dxfId="1469" priority="458"/>
  </conditionalFormatting>
  <conditionalFormatting sqref="A36">
    <cfRule type="duplicateValues" dxfId="1468" priority="457"/>
  </conditionalFormatting>
  <conditionalFormatting sqref="A37">
    <cfRule type="duplicateValues" dxfId="1467" priority="456"/>
  </conditionalFormatting>
  <conditionalFormatting sqref="A38">
    <cfRule type="duplicateValues" dxfId="1466" priority="455"/>
  </conditionalFormatting>
  <conditionalFormatting sqref="A39">
    <cfRule type="duplicateValues" dxfId="1465" priority="454"/>
  </conditionalFormatting>
  <conditionalFormatting sqref="A40">
    <cfRule type="duplicateValues" dxfId="1464" priority="453"/>
  </conditionalFormatting>
  <conditionalFormatting sqref="A41">
    <cfRule type="duplicateValues" dxfId="1463" priority="452"/>
  </conditionalFormatting>
  <conditionalFormatting sqref="A72">
    <cfRule type="duplicateValues" dxfId="1462" priority="451"/>
  </conditionalFormatting>
  <conditionalFormatting sqref="A73">
    <cfRule type="duplicateValues" dxfId="1461" priority="450"/>
  </conditionalFormatting>
  <conditionalFormatting sqref="A74">
    <cfRule type="duplicateValues" dxfId="1460" priority="449"/>
  </conditionalFormatting>
  <conditionalFormatting sqref="A87">
    <cfRule type="duplicateValues" dxfId="1459" priority="448"/>
  </conditionalFormatting>
  <conditionalFormatting sqref="A88">
    <cfRule type="duplicateValues" dxfId="1458" priority="447"/>
  </conditionalFormatting>
  <conditionalFormatting sqref="A89">
    <cfRule type="duplicateValues" dxfId="1457" priority="446"/>
  </conditionalFormatting>
  <conditionalFormatting sqref="A102">
    <cfRule type="duplicateValues" dxfId="1456" priority="445"/>
  </conditionalFormatting>
  <conditionalFormatting sqref="A103">
    <cfRule type="duplicateValues" dxfId="1455" priority="444"/>
  </conditionalFormatting>
  <conditionalFormatting sqref="A104">
    <cfRule type="duplicateValues" dxfId="1454" priority="443"/>
  </conditionalFormatting>
  <conditionalFormatting sqref="A117">
    <cfRule type="duplicateValues" dxfId="1453" priority="442"/>
  </conditionalFormatting>
  <conditionalFormatting sqref="A118">
    <cfRule type="duplicateValues" dxfId="1452" priority="441"/>
  </conditionalFormatting>
  <conditionalFormatting sqref="A132">
    <cfRule type="duplicateValues" dxfId="1451" priority="440"/>
  </conditionalFormatting>
  <conditionalFormatting sqref="A179">
    <cfRule type="duplicateValues" dxfId="1450" priority="439"/>
  </conditionalFormatting>
  <conditionalFormatting sqref="A328">
    <cfRule type="duplicateValues" dxfId="1449" priority="398"/>
  </conditionalFormatting>
  <conditionalFormatting sqref="A329">
    <cfRule type="duplicateValues" dxfId="1448" priority="397"/>
  </conditionalFormatting>
  <conditionalFormatting sqref="A330">
    <cfRule type="duplicateValues" dxfId="1447" priority="396"/>
  </conditionalFormatting>
  <conditionalFormatting sqref="A331">
    <cfRule type="duplicateValues" dxfId="1446" priority="395"/>
  </conditionalFormatting>
  <conditionalFormatting sqref="A332">
    <cfRule type="duplicateValues" dxfId="1445" priority="394"/>
  </conditionalFormatting>
  <conditionalFormatting sqref="A333">
    <cfRule type="duplicateValues" dxfId="1444" priority="393"/>
  </conditionalFormatting>
  <conditionalFormatting sqref="A334">
    <cfRule type="duplicateValues" dxfId="1443" priority="392"/>
  </conditionalFormatting>
  <conditionalFormatting sqref="A339">
    <cfRule type="duplicateValues" dxfId="1442" priority="391"/>
  </conditionalFormatting>
  <conditionalFormatting sqref="A340">
    <cfRule type="duplicateValues" dxfId="1441" priority="390"/>
  </conditionalFormatting>
  <conditionalFormatting sqref="A341">
    <cfRule type="duplicateValues" dxfId="1440" priority="389"/>
  </conditionalFormatting>
  <conditionalFormatting sqref="A342">
    <cfRule type="duplicateValues" dxfId="1439" priority="388"/>
  </conditionalFormatting>
  <conditionalFormatting sqref="A343">
    <cfRule type="duplicateValues" dxfId="1438" priority="387"/>
  </conditionalFormatting>
  <conditionalFormatting sqref="A344">
    <cfRule type="duplicateValues" dxfId="1437" priority="386"/>
  </conditionalFormatting>
  <conditionalFormatting sqref="A345">
    <cfRule type="duplicateValues" dxfId="1436" priority="385"/>
  </conditionalFormatting>
  <conditionalFormatting sqref="A346">
    <cfRule type="duplicateValues" dxfId="1435" priority="384"/>
  </conditionalFormatting>
  <conditionalFormatting sqref="A347">
    <cfRule type="duplicateValues" dxfId="1434" priority="383"/>
  </conditionalFormatting>
  <conditionalFormatting sqref="A348">
    <cfRule type="duplicateValues" dxfId="1433" priority="382"/>
  </conditionalFormatting>
  <conditionalFormatting sqref="A353">
    <cfRule type="duplicateValues" dxfId="1432" priority="381"/>
  </conditionalFormatting>
  <conditionalFormatting sqref="A354">
    <cfRule type="duplicateValues" dxfId="1431" priority="380"/>
  </conditionalFormatting>
  <conditionalFormatting sqref="A355">
    <cfRule type="duplicateValues" dxfId="1430" priority="379"/>
  </conditionalFormatting>
  <conditionalFormatting sqref="A356">
    <cfRule type="duplicateValues" dxfId="1429" priority="378"/>
  </conditionalFormatting>
  <conditionalFormatting sqref="A357">
    <cfRule type="duplicateValues" dxfId="1428" priority="377"/>
  </conditionalFormatting>
  <conditionalFormatting sqref="A358">
    <cfRule type="duplicateValues" dxfId="1427" priority="376"/>
  </conditionalFormatting>
  <conditionalFormatting sqref="A359">
    <cfRule type="duplicateValues" dxfId="1426" priority="375"/>
  </conditionalFormatting>
  <conditionalFormatting sqref="A360">
    <cfRule type="duplicateValues" dxfId="1425" priority="374"/>
  </conditionalFormatting>
  <conditionalFormatting sqref="A361">
    <cfRule type="duplicateValues" dxfId="1424" priority="373"/>
  </conditionalFormatting>
  <conditionalFormatting sqref="A362">
    <cfRule type="duplicateValues" dxfId="1423" priority="372"/>
  </conditionalFormatting>
  <conditionalFormatting sqref="A367">
    <cfRule type="duplicateValues" dxfId="1422" priority="371"/>
  </conditionalFormatting>
  <conditionalFormatting sqref="A368">
    <cfRule type="duplicateValues" dxfId="1421" priority="370"/>
  </conditionalFormatting>
  <conditionalFormatting sqref="A369">
    <cfRule type="duplicateValues" dxfId="1420" priority="369"/>
  </conditionalFormatting>
  <conditionalFormatting sqref="A370">
    <cfRule type="duplicateValues" dxfId="1419" priority="368"/>
  </conditionalFormatting>
  <conditionalFormatting sqref="A371">
    <cfRule type="duplicateValues" dxfId="1418" priority="367"/>
  </conditionalFormatting>
  <conditionalFormatting sqref="A372">
    <cfRule type="duplicateValues" dxfId="1417" priority="366"/>
  </conditionalFormatting>
  <conditionalFormatting sqref="A373">
    <cfRule type="duplicateValues" dxfId="1416" priority="365"/>
  </conditionalFormatting>
  <conditionalFormatting sqref="A374">
    <cfRule type="duplicateValues" dxfId="1415" priority="364"/>
  </conditionalFormatting>
  <conditionalFormatting sqref="A375">
    <cfRule type="duplicateValues" dxfId="1414" priority="363"/>
  </conditionalFormatting>
  <conditionalFormatting sqref="A376">
    <cfRule type="duplicateValues" dxfId="1413" priority="362"/>
  </conditionalFormatting>
  <conditionalFormatting sqref="A417">
    <cfRule type="duplicateValues" dxfId="1412" priority="361"/>
  </conditionalFormatting>
  <conditionalFormatting sqref="A418">
    <cfRule type="duplicateValues" dxfId="1411" priority="360"/>
  </conditionalFormatting>
  <conditionalFormatting sqref="A419">
    <cfRule type="duplicateValues" dxfId="1410" priority="359"/>
  </conditionalFormatting>
  <conditionalFormatting sqref="A420">
    <cfRule type="duplicateValues" dxfId="1409" priority="358"/>
  </conditionalFormatting>
  <conditionalFormatting sqref="A421">
    <cfRule type="duplicateValues" dxfId="1408" priority="357"/>
  </conditionalFormatting>
  <conditionalFormatting sqref="A422">
    <cfRule type="duplicateValues" dxfId="1407" priority="356"/>
  </conditionalFormatting>
  <conditionalFormatting sqref="A423">
    <cfRule type="duplicateValues" dxfId="1406" priority="355"/>
  </conditionalFormatting>
  <conditionalFormatting sqref="A424">
    <cfRule type="duplicateValues" dxfId="1405" priority="354"/>
  </conditionalFormatting>
  <conditionalFormatting sqref="A425">
    <cfRule type="duplicateValues" dxfId="1404" priority="353"/>
  </conditionalFormatting>
  <conditionalFormatting sqref="A426">
    <cfRule type="duplicateValues" dxfId="1403" priority="352"/>
  </conditionalFormatting>
  <conditionalFormatting sqref="A431">
    <cfRule type="duplicateValues" dxfId="1402" priority="351"/>
  </conditionalFormatting>
  <conditionalFormatting sqref="A432">
    <cfRule type="duplicateValues" dxfId="1401" priority="350"/>
  </conditionalFormatting>
  <conditionalFormatting sqref="A433">
    <cfRule type="duplicateValues" dxfId="1400" priority="349"/>
  </conditionalFormatting>
  <conditionalFormatting sqref="A434">
    <cfRule type="duplicateValues" dxfId="1399" priority="348"/>
  </conditionalFormatting>
  <conditionalFormatting sqref="A435">
    <cfRule type="duplicateValues" dxfId="1398" priority="347"/>
  </conditionalFormatting>
  <conditionalFormatting sqref="A436">
    <cfRule type="duplicateValues" dxfId="1397" priority="346"/>
  </conditionalFormatting>
  <conditionalFormatting sqref="A437">
    <cfRule type="duplicateValues" dxfId="1396" priority="345"/>
  </conditionalFormatting>
  <conditionalFormatting sqref="A438">
    <cfRule type="duplicateValues" dxfId="1395" priority="344"/>
  </conditionalFormatting>
  <conditionalFormatting sqref="A439">
    <cfRule type="duplicateValues" dxfId="1394" priority="343"/>
  </conditionalFormatting>
  <conditionalFormatting sqref="A440">
    <cfRule type="duplicateValues" dxfId="1393" priority="342"/>
  </conditionalFormatting>
  <conditionalFormatting sqref="A445">
    <cfRule type="duplicateValues" dxfId="1392" priority="341"/>
  </conditionalFormatting>
  <conditionalFormatting sqref="A446">
    <cfRule type="duplicateValues" dxfId="1391" priority="340"/>
  </conditionalFormatting>
  <conditionalFormatting sqref="A447">
    <cfRule type="duplicateValues" dxfId="1390" priority="339"/>
  </conditionalFormatting>
  <conditionalFormatting sqref="A448">
    <cfRule type="duplicateValues" dxfId="1389" priority="338"/>
  </conditionalFormatting>
  <conditionalFormatting sqref="A449">
    <cfRule type="duplicateValues" dxfId="1388" priority="337"/>
  </conditionalFormatting>
  <conditionalFormatting sqref="A450">
    <cfRule type="duplicateValues" dxfId="1387" priority="336"/>
  </conditionalFormatting>
  <conditionalFormatting sqref="A451">
    <cfRule type="duplicateValues" dxfId="1386" priority="335"/>
  </conditionalFormatting>
  <conditionalFormatting sqref="A452">
    <cfRule type="duplicateValues" dxfId="1385" priority="334"/>
  </conditionalFormatting>
  <conditionalFormatting sqref="A453">
    <cfRule type="duplicateValues" dxfId="1384" priority="333"/>
  </conditionalFormatting>
  <conditionalFormatting sqref="A454">
    <cfRule type="duplicateValues" dxfId="1383" priority="332"/>
  </conditionalFormatting>
  <conditionalFormatting sqref="A459">
    <cfRule type="duplicateValues" dxfId="1382" priority="331"/>
  </conditionalFormatting>
  <conditionalFormatting sqref="A460">
    <cfRule type="duplicateValues" dxfId="1381" priority="330"/>
  </conditionalFormatting>
  <conditionalFormatting sqref="A461">
    <cfRule type="duplicateValues" dxfId="1380" priority="329"/>
  </conditionalFormatting>
  <conditionalFormatting sqref="A462">
    <cfRule type="duplicateValues" dxfId="1379" priority="328"/>
  </conditionalFormatting>
  <conditionalFormatting sqref="A463">
    <cfRule type="duplicateValues" dxfId="1378" priority="327"/>
  </conditionalFormatting>
  <conditionalFormatting sqref="A464">
    <cfRule type="duplicateValues" dxfId="1377" priority="326"/>
  </conditionalFormatting>
  <conditionalFormatting sqref="A465">
    <cfRule type="duplicateValues" dxfId="1376" priority="325"/>
  </conditionalFormatting>
  <conditionalFormatting sqref="A466">
    <cfRule type="duplicateValues" dxfId="1375" priority="324"/>
  </conditionalFormatting>
  <conditionalFormatting sqref="A467">
    <cfRule type="duplicateValues" dxfId="1374" priority="323"/>
  </conditionalFormatting>
  <conditionalFormatting sqref="A468">
    <cfRule type="duplicateValues" dxfId="1373" priority="322"/>
  </conditionalFormatting>
  <conditionalFormatting sqref="A473">
    <cfRule type="duplicateValues" dxfId="1372" priority="321"/>
  </conditionalFormatting>
  <conditionalFormatting sqref="A474">
    <cfRule type="duplicateValues" dxfId="1371" priority="320"/>
  </conditionalFormatting>
  <conditionalFormatting sqref="A475">
    <cfRule type="duplicateValues" dxfId="1370" priority="319"/>
  </conditionalFormatting>
  <conditionalFormatting sqref="A476">
    <cfRule type="duplicateValues" dxfId="1369" priority="318"/>
  </conditionalFormatting>
  <conditionalFormatting sqref="A477">
    <cfRule type="duplicateValues" dxfId="1368" priority="317"/>
  </conditionalFormatting>
  <conditionalFormatting sqref="A478">
    <cfRule type="duplicateValues" dxfId="1367" priority="316"/>
  </conditionalFormatting>
  <conditionalFormatting sqref="A479">
    <cfRule type="duplicateValues" dxfId="1366" priority="315"/>
  </conditionalFormatting>
  <conditionalFormatting sqref="A480">
    <cfRule type="duplicateValues" dxfId="1365" priority="314"/>
  </conditionalFormatting>
  <conditionalFormatting sqref="A481">
    <cfRule type="duplicateValues" dxfId="1364" priority="313"/>
  </conditionalFormatting>
  <conditionalFormatting sqref="A482">
    <cfRule type="duplicateValues" dxfId="1363" priority="312"/>
  </conditionalFormatting>
  <conditionalFormatting sqref="A487">
    <cfRule type="duplicateValues" dxfId="1362" priority="311"/>
  </conditionalFormatting>
  <conditionalFormatting sqref="A488">
    <cfRule type="duplicateValues" dxfId="1361" priority="310"/>
  </conditionalFormatting>
  <conditionalFormatting sqref="A489">
    <cfRule type="duplicateValues" dxfId="1360" priority="309"/>
  </conditionalFormatting>
  <conditionalFormatting sqref="A490">
    <cfRule type="duplicateValues" dxfId="1359" priority="308"/>
  </conditionalFormatting>
  <conditionalFormatting sqref="A491">
    <cfRule type="duplicateValues" dxfId="1358" priority="307"/>
  </conditionalFormatting>
  <conditionalFormatting sqref="A492">
    <cfRule type="duplicateValues" dxfId="1357" priority="306"/>
  </conditionalFormatting>
  <conditionalFormatting sqref="A493">
    <cfRule type="duplicateValues" dxfId="1356" priority="305"/>
  </conditionalFormatting>
  <conditionalFormatting sqref="A494">
    <cfRule type="duplicateValues" dxfId="1355" priority="304"/>
  </conditionalFormatting>
  <conditionalFormatting sqref="A495">
    <cfRule type="duplicateValues" dxfId="1354" priority="303"/>
  </conditionalFormatting>
  <conditionalFormatting sqref="A496">
    <cfRule type="duplicateValues" dxfId="1353" priority="302"/>
  </conditionalFormatting>
  <conditionalFormatting sqref="A501">
    <cfRule type="duplicateValues" dxfId="1352" priority="301"/>
  </conditionalFormatting>
  <conditionalFormatting sqref="A502">
    <cfRule type="duplicateValues" dxfId="1351" priority="300"/>
  </conditionalFormatting>
  <conditionalFormatting sqref="A503">
    <cfRule type="duplicateValues" dxfId="1350" priority="299"/>
  </conditionalFormatting>
  <conditionalFormatting sqref="A504">
    <cfRule type="duplicateValues" dxfId="1349" priority="298"/>
  </conditionalFormatting>
  <conditionalFormatting sqref="A505">
    <cfRule type="duplicateValues" dxfId="1348" priority="297"/>
  </conditionalFormatting>
  <conditionalFormatting sqref="A506">
    <cfRule type="duplicateValues" dxfId="1347" priority="296"/>
  </conditionalFormatting>
  <conditionalFormatting sqref="A507">
    <cfRule type="duplicateValues" dxfId="1346" priority="295"/>
  </conditionalFormatting>
  <conditionalFormatting sqref="A508">
    <cfRule type="duplicateValues" dxfId="1345" priority="294"/>
  </conditionalFormatting>
  <conditionalFormatting sqref="A509">
    <cfRule type="duplicateValues" dxfId="1344" priority="293"/>
  </conditionalFormatting>
  <conditionalFormatting sqref="A510">
    <cfRule type="duplicateValues" dxfId="1343" priority="292"/>
  </conditionalFormatting>
  <conditionalFormatting sqref="A515">
    <cfRule type="duplicateValues" dxfId="1342" priority="291"/>
  </conditionalFormatting>
  <conditionalFormatting sqref="A516">
    <cfRule type="duplicateValues" dxfId="1341" priority="290"/>
  </conditionalFormatting>
  <conditionalFormatting sqref="A517">
    <cfRule type="duplicateValues" dxfId="1340" priority="289"/>
  </conditionalFormatting>
  <conditionalFormatting sqref="A518">
    <cfRule type="duplicateValues" dxfId="1339" priority="288"/>
  </conditionalFormatting>
  <conditionalFormatting sqref="A519">
    <cfRule type="duplicateValues" dxfId="1338" priority="287"/>
  </conditionalFormatting>
  <conditionalFormatting sqref="A520">
    <cfRule type="duplicateValues" dxfId="1337" priority="286"/>
  </conditionalFormatting>
  <conditionalFormatting sqref="A521">
    <cfRule type="duplicateValues" dxfId="1336" priority="285"/>
  </conditionalFormatting>
  <conditionalFormatting sqref="A522">
    <cfRule type="duplicateValues" dxfId="1335" priority="284"/>
  </conditionalFormatting>
  <conditionalFormatting sqref="A523">
    <cfRule type="duplicateValues" dxfId="1334" priority="283"/>
  </conditionalFormatting>
  <conditionalFormatting sqref="A524">
    <cfRule type="duplicateValues" dxfId="1333" priority="282"/>
  </conditionalFormatting>
  <conditionalFormatting sqref="A529">
    <cfRule type="duplicateValues" dxfId="1332" priority="281"/>
  </conditionalFormatting>
  <conditionalFormatting sqref="A530">
    <cfRule type="duplicateValues" dxfId="1331" priority="280"/>
  </conditionalFormatting>
  <conditionalFormatting sqref="A531">
    <cfRule type="duplicateValues" dxfId="1330" priority="279"/>
  </conditionalFormatting>
  <conditionalFormatting sqref="A532">
    <cfRule type="duplicateValues" dxfId="1329" priority="278"/>
  </conditionalFormatting>
  <conditionalFormatting sqref="A533">
    <cfRule type="duplicateValues" dxfId="1328" priority="277"/>
  </conditionalFormatting>
  <conditionalFormatting sqref="A534">
    <cfRule type="duplicateValues" dxfId="1327" priority="276"/>
  </conditionalFormatting>
  <conditionalFormatting sqref="A535">
    <cfRule type="duplicateValues" dxfId="1326" priority="275"/>
  </conditionalFormatting>
  <conditionalFormatting sqref="A536">
    <cfRule type="duplicateValues" dxfId="1325" priority="274"/>
  </conditionalFormatting>
  <conditionalFormatting sqref="A537">
    <cfRule type="duplicateValues" dxfId="1324" priority="273"/>
  </conditionalFormatting>
  <conditionalFormatting sqref="A538">
    <cfRule type="duplicateValues" dxfId="1323" priority="272"/>
  </conditionalFormatting>
  <conditionalFormatting sqref="A543">
    <cfRule type="duplicateValues" dxfId="1322" priority="271"/>
  </conditionalFormatting>
  <conditionalFormatting sqref="A544">
    <cfRule type="duplicateValues" dxfId="1321" priority="270"/>
  </conditionalFormatting>
  <conditionalFormatting sqref="A545">
    <cfRule type="duplicateValues" dxfId="1320" priority="269"/>
  </conditionalFormatting>
  <conditionalFormatting sqref="A546">
    <cfRule type="duplicateValues" dxfId="1319" priority="268"/>
  </conditionalFormatting>
  <conditionalFormatting sqref="A547">
    <cfRule type="duplicateValues" dxfId="1318" priority="267"/>
  </conditionalFormatting>
  <conditionalFormatting sqref="A548">
    <cfRule type="duplicateValues" dxfId="1317" priority="266"/>
  </conditionalFormatting>
  <conditionalFormatting sqref="A549">
    <cfRule type="duplicateValues" dxfId="1316" priority="265"/>
  </conditionalFormatting>
  <conditionalFormatting sqref="A550">
    <cfRule type="duplicateValues" dxfId="1315" priority="264"/>
  </conditionalFormatting>
  <conditionalFormatting sqref="A551">
    <cfRule type="duplicateValues" dxfId="1314" priority="263"/>
  </conditionalFormatting>
  <conditionalFormatting sqref="A552">
    <cfRule type="duplicateValues" dxfId="1313" priority="262"/>
  </conditionalFormatting>
  <conditionalFormatting sqref="A593">
    <cfRule type="duplicateValues" dxfId="1312" priority="261"/>
  </conditionalFormatting>
  <conditionalFormatting sqref="A594">
    <cfRule type="duplicateValues" dxfId="1311" priority="260"/>
  </conditionalFormatting>
  <conditionalFormatting sqref="A595">
    <cfRule type="duplicateValues" dxfId="1310" priority="259"/>
  </conditionalFormatting>
  <conditionalFormatting sqref="A596">
    <cfRule type="duplicateValues" dxfId="1309" priority="258"/>
  </conditionalFormatting>
  <conditionalFormatting sqref="A597">
    <cfRule type="duplicateValues" dxfId="1308" priority="257"/>
  </conditionalFormatting>
  <conditionalFormatting sqref="A598">
    <cfRule type="duplicateValues" dxfId="1307" priority="256"/>
  </conditionalFormatting>
  <conditionalFormatting sqref="A599">
    <cfRule type="duplicateValues" dxfId="1306" priority="255"/>
  </conditionalFormatting>
  <conditionalFormatting sqref="A600">
    <cfRule type="duplicateValues" dxfId="1305" priority="254"/>
  </conditionalFormatting>
  <conditionalFormatting sqref="A601">
    <cfRule type="duplicateValues" dxfId="1304" priority="253"/>
  </conditionalFormatting>
  <conditionalFormatting sqref="A602">
    <cfRule type="duplicateValues" dxfId="1303" priority="252"/>
  </conditionalFormatting>
  <conditionalFormatting sqref="A607">
    <cfRule type="duplicateValues" dxfId="1302" priority="251"/>
  </conditionalFormatting>
  <conditionalFormatting sqref="A608">
    <cfRule type="duplicateValues" dxfId="1301" priority="250"/>
  </conditionalFormatting>
  <conditionalFormatting sqref="A609">
    <cfRule type="duplicateValues" dxfId="1300" priority="249"/>
  </conditionalFormatting>
  <conditionalFormatting sqref="A610">
    <cfRule type="duplicateValues" dxfId="1299" priority="248"/>
  </conditionalFormatting>
  <conditionalFormatting sqref="A611">
    <cfRule type="duplicateValues" dxfId="1298" priority="247"/>
  </conditionalFormatting>
  <conditionalFormatting sqref="A612">
    <cfRule type="duplicateValues" dxfId="1297" priority="246"/>
  </conditionalFormatting>
  <conditionalFormatting sqref="A613">
    <cfRule type="duplicateValues" dxfId="1296" priority="245"/>
  </conditionalFormatting>
  <conditionalFormatting sqref="A614">
    <cfRule type="duplicateValues" dxfId="1295" priority="244"/>
  </conditionalFormatting>
  <conditionalFormatting sqref="A615">
    <cfRule type="duplicateValues" dxfId="1294" priority="243"/>
  </conditionalFormatting>
  <conditionalFormatting sqref="A616">
    <cfRule type="duplicateValues" dxfId="1293" priority="242"/>
  </conditionalFormatting>
  <conditionalFormatting sqref="A621">
    <cfRule type="duplicateValues" dxfId="1292" priority="241"/>
  </conditionalFormatting>
  <conditionalFormatting sqref="A622">
    <cfRule type="duplicateValues" dxfId="1291" priority="240"/>
  </conditionalFormatting>
  <conditionalFormatting sqref="A623">
    <cfRule type="duplicateValues" dxfId="1290" priority="239"/>
  </conditionalFormatting>
  <conditionalFormatting sqref="A624">
    <cfRule type="duplicateValues" dxfId="1289" priority="238"/>
  </conditionalFormatting>
  <conditionalFormatting sqref="A625">
    <cfRule type="duplicateValues" dxfId="1288" priority="237"/>
  </conditionalFormatting>
  <conditionalFormatting sqref="A626">
    <cfRule type="duplicateValues" dxfId="1287" priority="236"/>
  </conditionalFormatting>
  <conditionalFormatting sqref="A627">
    <cfRule type="duplicateValues" dxfId="1286" priority="235"/>
  </conditionalFormatting>
  <conditionalFormatting sqref="A628">
    <cfRule type="duplicateValues" dxfId="1285" priority="234"/>
  </conditionalFormatting>
  <conditionalFormatting sqref="A629">
    <cfRule type="duplicateValues" dxfId="1284" priority="233"/>
  </conditionalFormatting>
  <conditionalFormatting sqref="A630">
    <cfRule type="duplicateValues" dxfId="1283" priority="232"/>
  </conditionalFormatting>
  <conditionalFormatting sqref="A635">
    <cfRule type="duplicateValues" dxfId="1282" priority="231"/>
  </conditionalFormatting>
  <conditionalFormatting sqref="A636">
    <cfRule type="duplicateValues" dxfId="1281" priority="230"/>
  </conditionalFormatting>
  <conditionalFormatting sqref="A637">
    <cfRule type="duplicateValues" dxfId="1280" priority="229"/>
  </conditionalFormatting>
  <conditionalFormatting sqref="A638">
    <cfRule type="duplicateValues" dxfId="1279" priority="228"/>
  </conditionalFormatting>
  <conditionalFormatting sqref="A639">
    <cfRule type="duplicateValues" dxfId="1278" priority="227"/>
  </conditionalFormatting>
  <conditionalFormatting sqref="A640">
    <cfRule type="duplicateValues" dxfId="1277" priority="226"/>
  </conditionalFormatting>
  <conditionalFormatting sqref="A641">
    <cfRule type="duplicateValues" dxfId="1276" priority="225"/>
  </conditionalFormatting>
  <conditionalFormatting sqref="A642">
    <cfRule type="duplicateValues" dxfId="1275" priority="224"/>
  </conditionalFormatting>
  <conditionalFormatting sqref="A643">
    <cfRule type="duplicateValues" dxfId="1274" priority="223"/>
  </conditionalFormatting>
  <conditionalFormatting sqref="A644">
    <cfRule type="duplicateValues" dxfId="1273" priority="222"/>
  </conditionalFormatting>
  <conditionalFormatting sqref="A649">
    <cfRule type="duplicateValues" dxfId="1272" priority="221"/>
  </conditionalFormatting>
  <conditionalFormatting sqref="A650">
    <cfRule type="duplicateValues" dxfId="1271" priority="220"/>
  </conditionalFormatting>
  <conditionalFormatting sqref="A651">
    <cfRule type="duplicateValues" dxfId="1270" priority="219"/>
  </conditionalFormatting>
  <conditionalFormatting sqref="A652">
    <cfRule type="duplicateValues" dxfId="1269" priority="218"/>
  </conditionalFormatting>
  <conditionalFormatting sqref="A653">
    <cfRule type="duplicateValues" dxfId="1268" priority="217"/>
  </conditionalFormatting>
  <conditionalFormatting sqref="A654">
    <cfRule type="duplicateValues" dxfId="1267" priority="216"/>
  </conditionalFormatting>
  <conditionalFormatting sqref="A655">
    <cfRule type="duplicateValues" dxfId="1266" priority="215"/>
  </conditionalFormatting>
  <conditionalFormatting sqref="A656">
    <cfRule type="duplicateValues" dxfId="1265" priority="214"/>
  </conditionalFormatting>
  <conditionalFormatting sqref="A657">
    <cfRule type="duplicateValues" dxfId="1264" priority="213"/>
  </conditionalFormatting>
  <conditionalFormatting sqref="A658">
    <cfRule type="duplicateValues" dxfId="1263" priority="212"/>
  </conditionalFormatting>
  <conditionalFormatting sqref="A663">
    <cfRule type="duplicateValues" dxfId="1262" priority="211"/>
  </conditionalFormatting>
  <conditionalFormatting sqref="A664">
    <cfRule type="duplicateValues" dxfId="1261" priority="210"/>
  </conditionalFormatting>
  <conditionalFormatting sqref="A665">
    <cfRule type="duplicateValues" dxfId="1260" priority="209"/>
  </conditionalFormatting>
  <conditionalFormatting sqref="A666">
    <cfRule type="duplicateValues" dxfId="1259" priority="208"/>
  </conditionalFormatting>
  <conditionalFormatting sqref="A667">
    <cfRule type="duplicateValues" dxfId="1258" priority="207"/>
  </conditionalFormatting>
  <conditionalFormatting sqref="A668">
    <cfRule type="duplicateValues" dxfId="1257" priority="206"/>
  </conditionalFormatting>
  <conditionalFormatting sqref="A669">
    <cfRule type="duplicateValues" dxfId="1256" priority="205"/>
  </conditionalFormatting>
  <conditionalFormatting sqref="A670">
    <cfRule type="duplicateValues" dxfId="1255" priority="204"/>
  </conditionalFormatting>
  <conditionalFormatting sqref="A671">
    <cfRule type="duplicateValues" dxfId="1254" priority="203"/>
  </conditionalFormatting>
  <conditionalFormatting sqref="A672">
    <cfRule type="duplicateValues" dxfId="1253" priority="202"/>
  </conditionalFormatting>
  <conditionalFormatting sqref="A677">
    <cfRule type="duplicateValues" dxfId="1252" priority="201"/>
  </conditionalFormatting>
  <conditionalFormatting sqref="A678">
    <cfRule type="duplicateValues" dxfId="1251" priority="200"/>
  </conditionalFormatting>
  <conditionalFormatting sqref="A679">
    <cfRule type="duplicateValues" dxfId="1250" priority="199"/>
  </conditionalFormatting>
  <conditionalFormatting sqref="A680">
    <cfRule type="duplicateValues" dxfId="1249" priority="198"/>
  </conditionalFormatting>
  <conditionalFormatting sqref="A681">
    <cfRule type="duplicateValues" dxfId="1248" priority="197"/>
  </conditionalFormatting>
  <conditionalFormatting sqref="A682">
    <cfRule type="duplicateValues" dxfId="1247" priority="196"/>
  </conditionalFormatting>
  <conditionalFormatting sqref="A683">
    <cfRule type="duplicateValues" dxfId="1246" priority="195"/>
  </conditionalFormatting>
  <conditionalFormatting sqref="A684">
    <cfRule type="duplicateValues" dxfId="1245" priority="194"/>
  </conditionalFormatting>
  <conditionalFormatting sqref="A685">
    <cfRule type="duplicateValues" dxfId="1244" priority="193"/>
  </conditionalFormatting>
  <conditionalFormatting sqref="A686">
    <cfRule type="duplicateValues" dxfId="1243" priority="192"/>
  </conditionalFormatting>
  <conditionalFormatting sqref="A691">
    <cfRule type="duplicateValues" dxfId="1242" priority="191"/>
  </conditionalFormatting>
  <conditionalFormatting sqref="A692">
    <cfRule type="duplicateValues" dxfId="1241" priority="190"/>
  </conditionalFormatting>
  <conditionalFormatting sqref="A693">
    <cfRule type="duplicateValues" dxfId="1240" priority="189"/>
  </conditionalFormatting>
  <conditionalFormatting sqref="A694">
    <cfRule type="duplicateValues" dxfId="1239" priority="188"/>
  </conditionalFormatting>
  <conditionalFormatting sqref="A695">
    <cfRule type="duplicateValues" dxfId="1238" priority="187"/>
  </conditionalFormatting>
  <conditionalFormatting sqref="A696">
    <cfRule type="duplicateValues" dxfId="1237" priority="186"/>
  </conditionalFormatting>
  <conditionalFormatting sqref="A697">
    <cfRule type="duplicateValues" dxfId="1236" priority="185"/>
  </conditionalFormatting>
  <conditionalFormatting sqref="A698">
    <cfRule type="duplicateValues" dxfId="1235" priority="184"/>
  </conditionalFormatting>
  <conditionalFormatting sqref="A699">
    <cfRule type="duplicateValues" dxfId="1234" priority="183"/>
  </conditionalFormatting>
  <conditionalFormatting sqref="A700">
    <cfRule type="duplicateValues" dxfId="1233" priority="182"/>
  </conditionalFormatting>
  <conditionalFormatting sqref="A705">
    <cfRule type="duplicateValues" dxfId="1232" priority="181"/>
  </conditionalFormatting>
  <conditionalFormatting sqref="A706">
    <cfRule type="duplicateValues" dxfId="1231" priority="180"/>
  </conditionalFormatting>
  <conditionalFormatting sqref="A707">
    <cfRule type="duplicateValues" dxfId="1230" priority="179"/>
  </conditionalFormatting>
  <conditionalFormatting sqref="A708">
    <cfRule type="duplicateValues" dxfId="1229" priority="178"/>
  </conditionalFormatting>
  <conditionalFormatting sqref="A709">
    <cfRule type="duplicateValues" dxfId="1228" priority="177"/>
  </conditionalFormatting>
  <conditionalFormatting sqref="A710">
    <cfRule type="duplicateValues" dxfId="1227" priority="176"/>
  </conditionalFormatting>
  <conditionalFormatting sqref="A711">
    <cfRule type="duplicateValues" dxfId="1226" priority="175"/>
  </conditionalFormatting>
  <conditionalFormatting sqref="A712">
    <cfRule type="duplicateValues" dxfId="1225" priority="174"/>
  </conditionalFormatting>
  <conditionalFormatting sqref="A713">
    <cfRule type="duplicateValues" dxfId="1224" priority="173"/>
  </conditionalFormatting>
  <conditionalFormatting sqref="A714">
    <cfRule type="duplicateValues" dxfId="1223" priority="172"/>
  </conditionalFormatting>
  <conditionalFormatting sqref="A729">
    <cfRule type="duplicateValues" dxfId="1222" priority="171"/>
  </conditionalFormatting>
  <conditionalFormatting sqref="A730">
    <cfRule type="duplicateValues" dxfId="1221" priority="170"/>
  </conditionalFormatting>
  <conditionalFormatting sqref="A731">
    <cfRule type="duplicateValues" dxfId="1220" priority="169"/>
  </conditionalFormatting>
  <conditionalFormatting sqref="A732">
    <cfRule type="duplicateValues" dxfId="1219" priority="168"/>
  </conditionalFormatting>
  <conditionalFormatting sqref="A733">
    <cfRule type="duplicateValues" dxfId="1218" priority="167"/>
  </conditionalFormatting>
  <conditionalFormatting sqref="A734">
    <cfRule type="duplicateValues" dxfId="1217" priority="166"/>
  </conditionalFormatting>
  <conditionalFormatting sqref="A735">
    <cfRule type="duplicateValues" dxfId="1216" priority="165"/>
  </conditionalFormatting>
  <conditionalFormatting sqref="A736">
    <cfRule type="duplicateValues" dxfId="1215" priority="164"/>
  </conditionalFormatting>
  <conditionalFormatting sqref="A737">
    <cfRule type="duplicateValues" dxfId="1214" priority="163"/>
  </conditionalFormatting>
  <conditionalFormatting sqref="A738">
    <cfRule type="duplicateValues" dxfId="1213" priority="162"/>
  </conditionalFormatting>
  <conditionalFormatting sqref="A728">
    <cfRule type="duplicateValues" dxfId="1212" priority="161"/>
  </conditionalFormatting>
  <conditionalFormatting sqref="A47">
    <cfRule type="duplicateValues" dxfId="1211" priority="160"/>
  </conditionalFormatting>
  <conditionalFormatting sqref="A48">
    <cfRule type="duplicateValues" dxfId="1210" priority="159"/>
  </conditionalFormatting>
  <conditionalFormatting sqref="A49">
    <cfRule type="duplicateValues" dxfId="1209" priority="158"/>
  </conditionalFormatting>
  <conditionalFormatting sqref="A50">
    <cfRule type="duplicateValues" dxfId="1208" priority="157"/>
  </conditionalFormatting>
  <conditionalFormatting sqref="A51">
    <cfRule type="duplicateValues" dxfId="1207" priority="156"/>
  </conditionalFormatting>
  <conditionalFormatting sqref="A52">
    <cfRule type="duplicateValues" dxfId="1206" priority="155"/>
  </conditionalFormatting>
  <conditionalFormatting sqref="A53">
    <cfRule type="duplicateValues" dxfId="1205" priority="154"/>
  </conditionalFormatting>
  <conditionalFormatting sqref="A54">
    <cfRule type="duplicateValues" dxfId="1204" priority="153"/>
  </conditionalFormatting>
  <conditionalFormatting sqref="A55">
    <cfRule type="duplicateValues" dxfId="1203" priority="152"/>
  </conditionalFormatting>
  <conditionalFormatting sqref="A56">
    <cfRule type="duplicateValues" dxfId="1202" priority="151"/>
  </conditionalFormatting>
  <conditionalFormatting sqref="A62">
    <cfRule type="duplicateValues" dxfId="1201" priority="150"/>
  </conditionalFormatting>
  <conditionalFormatting sqref="A63">
    <cfRule type="duplicateValues" dxfId="1200" priority="149"/>
  </conditionalFormatting>
  <conditionalFormatting sqref="A64">
    <cfRule type="duplicateValues" dxfId="1199" priority="148"/>
  </conditionalFormatting>
  <conditionalFormatting sqref="A65">
    <cfRule type="duplicateValues" dxfId="1198" priority="147"/>
  </conditionalFormatting>
  <conditionalFormatting sqref="A66">
    <cfRule type="duplicateValues" dxfId="1197" priority="146"/>
  </conditionalFormatting>
  <conditionalFormatting sqref="A67">
    <cfRule type="duplicateValues" dxfId="1196" priority="145"/>
  </conditionalFormatting>
  <conditionalFormatting sqref="A68">
    <cfRule type="duplicateValues" dxfId="1195" priority="144"/>
  </conditionalFormatting>
  <conditionalFormatting sqref="A69">
    <cfRule type="duplicateValues" dxfId="1194" priority="143"/>
  </conditionalFormatting>
  <conditionalFormatting sqref="A70">
    <cfRule type="duplicateValues" dxfId="1193" priority="142"/>
  </conditionalFormatting>
  <conditionalFormatting sqref="A71">
    <cfRule type="duplicateValues" dxfId="1192" priority="141"/>
  </conditionalFormatting>
  <conditionalFormatting sqref="A77">
    <cfRule type="duplicateValues" dxfId="1191" priority="140"/>
  </conditionalFormatting>
  <conditionalFormatting sqref="A78">
    <cfRule type="duplicateValues" dxfId="1190" priority="139"/>
  </conditionalFormatting>
  <conditionalFormatting sqref="A79">
    <cfRule type="duplicateValues" dxfId="1189" priority="138"/>
  </conditionalFormatting>
  <conditionalFormatting sqref="A80">
    <cfRule type="duplicateValues" dxfId="1188" priority="137"/>
  </conditionalFormatting>
  <conditionalFormatting sqref="A81">
    <cfRule type="duplicateValues" dxfId="1187" priority="136"/>
  </conditionalFormatting>
  <conditionalFormatting sqref="A82">
    <cfRule type="duplicateValues" dxfId="1186" priority="135"/>
  </conditionalFormatting>
  <conditionalFormatting sqref="A83">
    <cfRule type="duplicateValues" dxfId="1185" priority="134"/>
  </conditionalFormatting>
  <conditionalFormatting sqref="A84">
    <cfRule type="duplicateValues" dxfId="1184" priority="133"/>
  </conditionalFormatting>
  <conditionalFormatting sqref="A85">
    <cfRule type="duplicateValues" dxfId="1183" priority="132"/>
  </conditionalFormatting>
  <conditionalFormatting sqref="A86">
    <cfRule type="duplicateValues" dxfId="1182" priority="131"/>
  </conditionalFormatting>
  <conditionalFormatting sqref="A92">
    <cfRule type="duplicateValues" dxfId="1181" priority="130"/>
  </conditionalFormatting>
  <conditionalFormatting sqref="A93">
    <cfRule type="duplicateValues" dxfId="1180" priority="129"/>
  </conditionalFormatting>
  <conditionalFormatting sqref="A94">
    <cfRule type="duplicateValues" dxfId="1179" priority="128"/>
  </conditionalFormatting>
  <conditionalFormatting sqref="A95">
    <cfRule type="duplicateValues" dxfId="1178" priority="127"/>
  </conditionalFormatting>
  <conditionalFormatting sqref="A96">
    <cfRule type="duplicateValues" dxfId="1177" priority="126"/>
  </conditionalFormatting>
  <conditionalFormatting sqref="A97">
    <cfRule type="duplicateValues" dxfId="1176" priority="125"/>
  </conditionalFormatting>
  <conditionalFormatting sqref="A98">
    <cfRule type="duplicateValues" dxfId="1175" priority="124"/>
  </conditionalFormatting>
  <conditionalFormatting sqref="A99">
    <cfRule type="duplicateValues" dxfId="1174" priority="123"/>
  </conditionalFormatting>
  <conditionalFormatting sqref="A100">
    <cfRule type="duplicateValues" dxfId="1173" priority="122"/>
  </conditionalFormatting>
  <conditionalFormatting sqref="A101">
    <cfRule type="duplicateValues" dxfId="1172" priority="121"/>
  </conditionalFormatting>
  <conditionalFormatting sqref="A107">
    <cfRule type="duplicateValues" dxfId="1171" priority="120"/>
  </conditionalFormatting>
  <conditionalFormatting sqref="A108">
    <cfRule type="duplicateValues" dxfId="1170" priority="119"/>
  </conditionalFormatting>
  <conditionalFormatting sqref="A109">
    <cfRule type="duplicateValues" dxfId="1169" priority="118"/>
  </conditionalFormatting>
  <conditionalFormatting sqref="A110">
    <cfRule type="duplicateValues" dxfId="1168" priority="117"/>
  </conditionalFormatting>
  <conditionalFormatting sqref="A111">
    <cfRule type="duplicateValues" dxfId="1167" priority="116"/>
  </conditionalFormatting>
  <conditionalFormatting sqref="A112">
    <cfRule type="duplicateValues" dxfId="1166" priority="115"/>
  </conditionalFormatting>
  <conditionalFormatting sqref="A113">
    <cfRule type="duplicateValues" dxfId="1165" priority="114"/>
  </conditionalFormatting>
  <conditionalFormatting sqref="A114">
    <cfRule type="duplicateValues" dxfId="1164" priority="113"/>
  </conditionalFormatting>
  <conditionalFormatting sqref="A115">
    <cfRule type="duplicateValues" dxfId="1163" priority="112"/>
  </conditionalFormatting>
  <conditionalFormatting sqref="A116">
    <cfRule type="duplicateValues" dxfId="1162" priority="111"/>
  </conditionalFormatting>
  <conditionalFormatting sqref="A122">
    <cfRule type="duplicateValues" dxfId="1161" priority="110"/>
  </conditionalFormatting>
  <conditionalFormatting sqref="A123">
    <cfRule type="duplicateValues" dxfId="1160" priority="109"/>
  </conditionalFormatting>
  <conditionalFormatting sqref="A124">
    <cfRule type="duplicateValues" dxfId="1159" priority="108"/>
  </conditionalFormatting>
  <conditionalFormatting sqref="A125">
    <cfRule type="duplicateValues" dxfId="1158" priority="107"/>
  </conditionalFormatting>
  <conditionalFormatting sqref="A126">
    <cfRule type="duplicateValues" dxfId="1157" priority="106"/>
  </conditionalFormatting>
  <conditionalFormatting sqref="A127">
    <cfRule type="duplicateValues" dxfId="1156" priority="105"/>
  </conditionalFormatting>
  <conditionalFormatting sqref="A128">
    <cfRule type="duplicateValues" dxfId="1155" priority="104"/>
  </conditionalFormatting>
  <conditionalFormatting sqref="A129">
    <cfRule type="duplicateValues" dxfId="1154" priority="103"/>
  </conditionalFormatting>
  <conditionalFormatting sqref="A130">
    <cfRule type="duplicateValues" dxfId="1153" priority="102"/>
  </conditionalFormatting>
  <conditionalFormatting sqref="A131">
    <cfRule type="duplicateValues" dxfId="1152" priority="101"/>
  </conditionalFormatting>
  <conditionalFormatting sqref="A137">
    <cfRule type="duplicateValues" dxfId="1151" priority="100"/>
  </conditionalFormatting>
  <conditionalFormatting sqref="A138">
    <cfRule type="duplicateValues" dxfId="1150" priority="99"/>
  </conditionalFormatting>
  <conditionalFormatting sqref="A139">
    <cfRule type="duplicateValues" dxfId="1149" priority="98"/>
  </conditionalFormatting>
  <conditionalFormatting sqref="A140">
    <cfRule type="duplicateValues" dxfId="1148" priority="97"/>
  </conditionalFormatting>
  <conditionalFormatting sqref="A141">
    <cfRule type="duplicateValues" dxfId="1147" priority="96"/>
  </conditionalFormatting>
  <conditionalFormatting sqref="A142">
    <cfRule type="duplicateValues" dxfId="1146" priority="95"/>
  </conditionalFormatting>
  <conditionalFormatting sqref="A143">
    <cfRule type="duplicateValues" dxfId="1145" priority="94"/>
  </conditionalFormatting>
  <conditionalFormatting sqref="A144">
    <cfRule type="duplicateValues" dxfId="1144" priority="93"/>
  </conditionalFormatting>
  <conditionalFormatting sqref="A145">
    <cfRule type="duplicateValues" dxfId="1143" priority="92"/>
  </conditionalFormatting>
  <conditionalFormatting sqref="A146">
    <cfRule type="duplicateValues" dxfId="1142" priority="91"/>
  </conditionalFormatting>
  <conditionalFormatting sqref="A152">
    <cfRule type="duplicateValues" dxfId="1141" priority="90"/>
  </conditionalFormatting>
  <conditionalFormatting sqref="A153">
    <cfRule type="duplicateValues" dxfId="1140" priority="89"/>
  </conditionalFormatting>
  <conditionalFormatting sqref="A154">
    <cfRule type="duplicateValues" dxfId="1139" priority="88"/>
  </conditionalFormatting>
  <conditionalFormatting sqref="A155">
    <cfRule type="duplicateValues" dxfId="1138" priority="87"/>
  </conditionalFormatting>
  <conditionalFormatting sqref="A156">
    <cfRule type="duplicateValues" dxfId="1137" priority="86"/>
  </conditionalFormatting>
  <conditionalFormatting sqref="A157">
    <cfRule type="duplicateValues" dxfId="1136" priority="85"/>
  </conditionalFormatting>
  <conditionalFormatting sqref="A158">
    <cfRule type="duplicateValues" dxfId="1135" priority="84"/>
  </conditionalFormatting>
  <conditionalFormatting sqref="A159">
    <cfRule type="duplicateValues" dxfId="1134" priority="83"/>
  </conditionalFormatting>
  <conditionalFormatting sqref="A160">
    <cfRule type="duplicateValues" dxfId="1133" priority="82"/>
  </conditionalFormatting>
  <conditionalFormatting sqref="A161">
    <cfRule type="duplicateValues" dxfId="1132" priority="81"/>
  </conditionalFormatting>
  <conditionalFormatting sqref="A167">
    <cfRule type="duplicateValues" dxfId="1131" priority="80"/>
  </conditionalFormatting>
  <conditionalFormatting sqref="A168">
    <cfRule type="duplicateValues" dxfId="1130" priority="79"/>
  </conditionalFormatting>
  <conditionalFormatting sqref="A169">
    <cfRule type="duplicateValues" dxfId="1129" priority="78"/>
  </conditionalFormatting>
  <conditionalFormatting sqref="A170">
    <cfRule type="duplicateValues" dxfId="1128" priority="77"/>
  </conditionalFormatting>
  <conditionalFormatting sqref="A171">
    <cfRule type="duplicateValues" dxfId="1127" priority="76"/>
  </conditionalFormatting>
  <conditionalFormatting sqref="A172">
    <cfRule type="duplicateValues" dxfId="1126" priority="75"/>
  </conditionalFormatting>
  <conditionalFormatting sqref="A173">
    <cfRule type="duplicateValues" dxfId="1125" priority="74"/>
  </conditionalFormatting>
  <conditionalFormatting sqref="A174">
    <cfRule type="duplicateValues" dxfId="1124" priority="73"/>
  </conditionalFormatting>
  <conditionalFormatting sqref="A175">
    <cfRule type="duplicateValues" dxfId="1123" priority="72"/>
  </conditionalFormatting>
  <conditionalFormatting sqref="A176">
    <cfRule type="duplicateValues" dxfId="1122" priority="71"/>
  </conditionalFormatting>
  <conditionalFormatting sqref="A182">
    <cfRule type="duplicateValues" dxfId="1121" priority="70"/>
  </conditionalFormatting>
  <conditionalFormatting sqref="A183">
    <cfRule type="duplicateValues" dxfId="1120" priority="69"/>
  </conditionalFormatting>
  <conditionalFormatting sqref="A184">
    <cfRule type="duplicateValues" dxfId="1119" priority="68"/>
  </conditionalFormatting>
  <conditionalFormatting sqref="A185">
    <cfRule type="duplicateValues" dxfId="1118" priority="67"/>
  </conditionalFormatting>
  <conditionalFormatting sqref="A186">
    <cfRule type="duplicateValues" dxfId="1117" priority="66"/>
  </conditionalFormatting>
  <conditionalFormatting sqref="A187">
    <cfRule type="duplicateValues" dxfId="1116" priority="65"/>
  </conditionalFormatting>
  <conditionalFormatting sqref="A188">
    <cfRule type="duplicateValues" dxfId="1115" priority="64"/>
  </conditionalFormatting>
  <conditionalFormatting sqref="A189">
    <cfRule type="duplicateValues" dxfId="1114" priority="63"/>
  </conditionalFormatting>
  <conditionalFormatting sqref="A190">
    <cfRule type="duplicateValues" dxfId="1113" priority="62"/>
  </conditionalFormatting>
  <conditionalFormatting sqref="A191">
    <cfRule type="duplicateValues" dxfId="1112" priority="61"/>
  </conditionalFormatting>
  <conditionalFormatting sqref="A197">
    <cfRule type="duplicateValues" dxfId="1111" priority="60"/>
  </conditionalFormatting>
  <conditionalFormatting sqref="A198">
    <cfRule type="duplicateValues" dxfId="1110" priority="59"/>
  </conditionalFormatting>
  <conditionalFormatting sqref="A199">
    <cfRule type="duplicateValues" dxfId="1109" priority="58"/>
  </conditionalFormatting>
  <conditionalFormatting sqref="A200">
    <cfRule type="duplicateValues" dxfId="1108" priority="57"/>
  </conditionalFormatting>
  <conditionalFormatting sqref="A201">
    <cfRule type="duplicateValues" dxfId="1107" priority="56"/>
  </conditionalFormatting>
  <conditionalFormatting sqref="A202">
    <cfRule type="duplicateValues" dxfId="1106" priority="55"/>
  </conditionalFormatting>
  <conditionalFormatting sqref="A203">
    <cfRule type="duplicateValues" dxfId="1105" priority="54"/>
  </conditionalFormatting>
  <conditionalFormatting sqref="A204">
    <cfRule type="duplicateValues" dxfId="1104" priority="53"/>
  </conditionalFormatting>
  <conditionalFormatting sqref="A205">
    <cfRule type="duplicateValues" dxfId="1103" priority="52"/>
  </conditionalFormatting>
  <conditionalFormatting sqref="A206">
    <cfRule type="duplicateValues" dxfId="1102" priority="51"/>
  </conditionalFormatting>
  <conditionalFormatting sqref="A222">
    <cfRule type="duplicateValues" dxfId="1101" priority="50"/>
  </conditionalFormatting>
  <conditionalFormatting sqref="A223">
    <cfRule type="duplicateValues" dxfId="1100" priority="49"/>
  </conditionalFormatting>
  <conditionalFormatting sqref="A224">
    <cfRule type="duplicateValues" dxfId="1099" priority="48"/>
  </conditionalFormatting>
  <conditionalFormatting sqref="A225">
    <cfRule type="duplicateValues" dxfId="1098" priority="47"/>
  </conditionalFormatting>
  <conditionalFormatting sqref="A226">
    <cfRule type="duplicateValues" dxfId="1097" priority="46"/>
  </conditionalFormatting>
  <conditionalFormatting sqref="A227">
    <cfRule type="duplicateValues" dxfId="1096" priority="45"/>
  </conditionalFormatting>
  <conditionalFormatting sqref="A228">
    <cfRule type="duplicateValues" dxfId="1095" priority="44"/>
  </conditionalFormatting>
  <conditionalFormatting sqref="A229">
    <cfRule type="duplicateValues" dxfId="1094" priority="43"/>
  </conditionalFormatting>
  <conditionalFormatting sqref="A230">
    <cfRule type="duplicateValues" dxfId="1093" priority="42"/>
  </conditionalFormatting>
  <conditionalFormatting sqref="A231">
    <cfRule type="duplicateValues" dxfId="1092" priority="41"/>
  </conditionalFormatting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0B6C-0D00-41B1-8EE6-92D97BD6345E}">
  <sheetPr>
    <tabColor rgb="FFC55A11"/>
    <pageSetUpPr fitToPage="1"/>
  </sheetPr>
  <dimension ref="A1:AA721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6.44140625" customWidth="1"/>
    <col min="9" max="9" width="19.5546875" customWidth="1"/>
    <col min="10" max="10" width="12.77734375" customWidth="1"/>
    <col min="11" max="12" width="13.77734375" customWidth="1"/>
    <col min="13" max="14" width="12.77734375" customWidth="1"/>
    <col min="15" max="15" width="19.7773437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239" t="s">
        <v>75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27" ht="18" customHeight="1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  <c r="Q2" s="300" t="s">
        <v>11</v>
      </c>
      <c r="R2" s="301">
        <v>4</v>
      </c>
      <c r="V2" s="302" t="s">
        <v>30</v>
      </c>
      <c r="W2" s="303"/>
      <c r="X2" s="301"/>
      <c r="Y2" s="301"/>
    </row>
    <row r="3" spans="1:27" ht="18" customHeight="1" x14ac:dyDescent="0.3">
      <c r="A3" s="246"/>
      <c r="B3" s="304">
        <v>0.52910083333333335</v>
      </c>
      <c r="C3" s="304">
        <v>-0.14285714285714288</v>
      </c>
      <c r="D3" s="400" t="s">
        <v>86</v>
      </c>
      <c r="E3" s="304">
        <v>-0.24074050000000002</v>
      </c>
      <c r="F3" s="304">
        <v>-5.3571500000000001E-2</v>
      </c>
      <c r="G3" s="305">
        <v>7.4074074074074042E-2</v>
      </c>
      <c r="H3" s="304">
        <v>-0.14285714285714288</v>
      </c>
      <c r="I3" s="304">
        <v>0.24074050000000002</v>
      </c>
      <c r="J3" s="304">
        <v>-5.3571428571428555E-2</v>
      </c>
      <c r="K3" s="304">
        <v>-0.24074050000000002</v>
      </c>
      <c r="L3" s="304">
        <v>-0.14285714285714288</v>
      </c>
      <c r="M3" s="304">
        <v>-9.5238000000000017E-2</v>
      </c>
      <c r="N3" s="304">
        <v>6.0763888888888902E-2</v>
      </c>
      <c r="O3" s="249">
        <v>2</v>
      </c>
      <c r="Q3" s="300" t="s">
        <v>12</v>
      </c>
      <c r="R3" s="301">
        <v>6</v>
      </c>
      <c r="V3" s="309"/>
      <c r="W3" s="310"/>
      <c r="X3" s="301"/>
      <c r="Y3" s="301"/>
    </row>
    <row r="4" spans="1:27" ht="18" customHeight="1" x14ac:dyDescent="0.3">
      <c r="A4" s="246"/>
      <c r="B4" s="304">
        <v>0.52910083333333335</v>
      </c>
      <c r="C4" s="304">
        <v>0.14285714285714288</v>
      </c>
      <c r="D4" s="401"/>
      <c r="E4" s="304">
        <v>0.24074050000000002</v>
      </c>
      <c r="F4" s="304">
        <v>-5.3571500000000001E-2</v>
      </c>
      <c r="G4" s="305">
        <v>7.4074074074074042E-2</v>
      </c>
      <c r="H4" s="304">
        <v>-0.14285714285714288</v>
      </c>
      <c r="I4" s="304">
        <v>-0.24074050000000002</v>
      </c>
      <c r="J4" s="304">
        <v>-5.3571428571428555E-2</v>
      </c>
      <c r="K4" s="304">
        <v>-0.24074050000000002</v>
      </c>
      <c r="L4" s="304">
        <v>-0.14285714285714288</v>
      </c>
      <c r="M4" s="304">
        <v>9.5238000000000017E-2</v>
      </c>
      <c r="N4" s="304">
        <v>6.0763888888888923E-2</v>
      </c>
      <c r="O4" s="249">
        <v>1</v>
      </c>
      <c r="V4" s="311"/>
      <c r="W4" s="312"/>
      <c r="X4" s="301"/>
      <c r="Y4" s="301"/>
    </row>
    <row r="5" spans="1:27" ht="18" customHeight="1" x14ac:dyDescent="0.3">
      <c r="A5" s="246"/>
      <c r="B5" s="304">
        <v>-0.52910083333333335</v>
      </c>
      <c r="C5" s="304">
        <v>-0.14285714285714288</v>
      </c>
      <c r="D5" s="401"/>
      <c r="E5" s="304">
        <v>-0.24074050000000002</v>
      </c>
      <c r="F5" s="304">
        <v>-5.3571500000000001E-2</v>
      </c>
      <c r="G5" s="305">
        <v>7.4074074074074042E-2</v>
      </c>
      <c r="H5" s="304">
        <v>0.14285714285714288</v>
      </c>
      <c r="I5" s="304">
        <v>-0.24074050000000002</v>
      </c>
      <c r="J5" s="304">
        <v>-5.3571428571428555E-2</v>
      </c>
      <c r="K5" s="304">
        <v>0.24074050000000002</v>
      </c>
      <c r="L5" s="304">
        <v>0.14285714285714288</v>
      </c>
      <c r="M5" s="304">
        <v>9.5238000000000017E-2</v>
      </c>
      <c r="N5" s="304">
        <v>6.0763888888888923E-2</v>
      </c>
      <c r="O5" s="249">
        <v>2</v>
      </c>
      <c r="Q5" s="313" t="s">
        <v>18</v>
      </c>
      <c r="R5" s="314"/>
      <c r="S5" s="315"/>
    </row>
    <row r="6" spans="1:27" ht="18" customHeight="1" x14ac:dyDescent="0.3">
      <c r="A6" s="246"/>
      <c r="B6" s="304">
        <v>0.52910083333333335</v>
      </c>
      <c r="C6" s="304">
        <v>-0.14285714285714288</v>
      </c>
      <c r="D6" s="401"/>
      <c r="E6" s="304">
        <v>-0.24074050000000002</v>
      </c>
      <c r="F6" s="304">
        <v>-5.3571500000000001E-2</v>
      </c>
      <c r="G6" s="305">
        <v>7.4074074074074042E-2</v>
      </c>
      <c r="H6" s="304">
        <v>0.14285714285714288</v>
      </c>
      <c r="I6" s="304">
        <v>0.24074050000000002</v>
      </c>
      <c r="J6" s="304">
        <v>5.3571428571428575E-2</v>
      </c>
      <c r="K6" s="304">
        <v>0.24074050000000002</v>
      </c>
      <c r="L6" s="304">
        <v>-0.14285714285714288</v>
      </c>
      <c r="M6" s="304">
        <v>-9.5238000000000017E-2</v>
      </c>
      <c r="N6" s="304">
        <v>6.0763888888888923E-2</v>
      </c>
      <c r="O6" s="249">
        <v>1</v>
      </c>
      <c r="Q6" s="316"/>
      <c r="R6" s="317"/>
      <c r="S6" s="318"/>
      <c r="V6" s="302" t="s">
        <v>31</v>
      </c>
      <c r="W6" s="303"/>
      <c r="X6" s="301"/>
      <c r="Y6" s="301"/>
    </row>
    <row r="7" spans="1:27" ht="18" customHeight="1" x14ac:dyDescent="0.3">
      <c r="A7" s="246"/>
      <c r="B7" s="304">
        <v>0.52910083333333335</v>
      </c>
      <c r="C7" s="304">
        <v>0.14285714285714288</v>
      </c>
      <c r="D7" s="401"/>
      <c r="E7" s="304">
        <v>0.24074050000000002</v>
      </c>
      <c r="F7" s="304">
        <v>-5.3571500000000001E-2</v>
      </c>
      <c r="G7" s="305">
        <v>7.4074074074074042E-2</v>
      </c>
      <c r="H7" s="304">
        <v>-0.14285714285714288</v>
      </c>
      <c r="I7" s="304">
        <v>0.24074050000000002</v>
      </c>
      <c r="J7" s="304">
        <v>5.3571428571428575E-2</v>
      </c>
      <c r="K7" s="304">
        <v>0.24074050000000002</v>
      </c>
      <c r="L7" s="304">
        <v>0.14285714285714288</v>
      </c>
      <c r="M7" s="304">
        <v>-9.5238000000000017E-2</v>
      </c>
      <c r="N7" s="304">
        <v>6.0763888888888902E-2</v>
      </c>
      <c r="O7" s="249">
        <v>1</v>
      </c>
      <c r="Q7" s="319" t="s">
        <v>77</v>
      </c>
      <c r="R7" s="320">
        <v>10</v>
      </c>
      <c r="S7" s="321"/>
      <c r="V7" s="309"/>
      <c r="W7" s="310"/>
      <c r="X7" s="301"/>
      <c r="Y7" s="301"/>
    </row>
    <row r="8" spans="1:27" ht="18" customHeight="1" x14ac:dyDescent="0.3">
      <c r="A8" s="246"/>
      <c r="B8" s="304">
        <v>0.52910083333333335</v>
      </c>
      <c r="C8" s="304">
        <v>-0.14285714285714288</v>
      </c>
      <c r="D8" s="401"/>
      <c r="E8" s="304">
        <v>0.24074050000000002</v>
      </c>
      <c r="F8" s="304">
        <v>5.3571500000000001E-2</v>
      </c>
      <c r="G8" s="305">
        <v>7.4074074074074042E-2</v>
      </c>
      <c r="H8" s="304">
        <v>0.14285714285714288</v>
      </c>
      <c r="I8" s="304">
        <v>0.24074050000000002</v>
      </c>
      <c r="J8" s="304">
        <v>-5.3571428571428555E-2</v>
      </c>
      <c r="K8" s="304">
        <v>0.24074050000000002</v>
      </c>
      <c r="L8" s="304">
        <v>0.14285714285714288</v>
      </c>
      <c r="M8" s="304">
        <v>9.5238000000000017E-2</v>
      </c>
      <c r="N8" s="304">
        <v>6.0763888888888923E-2</v>
      </c>
      <c r="O8" s="249">
        <v>1</v>
      </c>
      <c r="V8" s="311"/>
      <c r="W8" s="312"/>
      <c r="X8" s="301"/>
      <c r="Y8" s="301"/>
    </row>
    <row r="9" spans="1:27" ht="18" customHeight="1" x14ac:dyDescent="0.3">
      <c r="A9" s="246"/>
      <c r="B9" s="304">
        <v>-0.52910083333333335</v>
      </c>
      <c r="C9" s="304">
        <v>-0.14285714285714288</v>
      </c>
      <c r="D9" s="401"/>
      <c r="E9" s="304">
        <v>-0.24074050000000002</v>
      </c>
      <c r="F9" s="304">
        <v>-5.3571500000000001E-2</v>
      </c>
      <c r="G9" s="305">
        <v>-7.4074074074074056E-2</v>
      </c>
      <c r="H9" s="304">
        <v>-0.14285714285714288</v>
      </c>
      <c r="I9" s="304">
        <v>-0.24074050000000002</v>
      </c>
      <c r="J9" s="304">
        <v>5.3571428571428575E-2</v>
      </c>
      <c r="K9" s="304">
        <v>-0.24074050000000002</v>
      </c>
      <c r="L9" s="304">
        <v>-0.14285714285714288</v>
      </c>
      <c r="M9" s="304">
        <v>-9.5238000000000017E-2</v>
      </c>
      <c r="N9" s="304">
        <v>-0.12152777777777779</v>
      </c>
      <c r="O9" s="249">
        <v>2</v>
      </c>
      <c r="Q9" s="259" t="s">
        <v>17</v>
      </c>
      <c r="R9" s="314"/>
      <c r="S9" s="315"/>
    </row>
    <row r="10" spans="1:27" ht="18" customHeight="1" x14ac:dyDescent="0.3">
      <c r="A10" s="246"/>
      <c r="B10" s="304">
        <v>-0.52910083333333335</v>
      </c>
      <c r="C10" s="304">
        <v>-0.14285714285714288</v>
      </c>
      <c r="D10" s="401"/>
      <c r="E10" s="304">
        <v>0.24074050000000002</v>
      </c>
      <c r="F10" s="304">
        <v>-5.3571500000000001E-2</v>
      </c>
      <c r="G10" s="305">
        <v>7.4074074074074042E-2</v>
      </c>
      <c r="H10" s="304">
        <v>-0.14285714285714288</v>
      </c>
      <c r="I10" s="304">
        <v>-0.24074050000000002</v>
      </c>
      <c r="J10" s="304">
        <v>5.3571428571428575E-2</v>
      </c>
      <c r="K10" s="304">
        <v>-0.24074050000000002</v>
      </c>
      <c r="L10" s="304">
        <v>-0.14285714285714288</v>
      </c>
      <c r="M10" s="304">
        <v>-9.5238000000000017E-2</v>
      </c>
      <c r="N10" s="304">
        <v>6.0763888888888923E-2</v>
      </c>
      <c r="O10" s="249">
        <v>2</v>
      </c>
      <c r="Q10" s="259"/>
      <c r="R10" s="322"/>
      <c r="S10" s="323"/>
    </row>
    <row r="11" spans="1:27" ht="18" customHeight="1" x14ac:dyDescent="0.3">
      <c r="A11" s="246"/>
      <c r="B11" s="304">
        <v>-0.52910083333333335</v>
      </c>
      <c r="C11" s="304">
        <v>-0.14285714285714288</v>
      </c>
      <c r="D11" s="401"/>
      <c r="E11" s="304">
        <v>-0.24074050000000002</v>
      </c>
      <c r="F11" s="304">
        <v>-5.3571500000000001E-2</v>
      </c>
      <c r="G11" s="305">
        <v>7.4074074074074042E-2</v>
      </c>
      <c r="H11" s="304">
        <v>-0.14285714285714288</v>
      </c>
      <c r="I11" s="304">
        <v>-0.24074050000000002</v>
      </c>
      <c r="J11" s="304">
        <v>-5.3571428571428555E-2</v>
      </c>
      <c r="K11" s="304">
        <v>-0.24074050000000002</v>
      </c>
      <c r="L11" s="304">
        <v>-0.14285714285714288</v>
      </c>
      <c r="M11" s="304">
        <v>-9.5238000000000017E-2</v>
      </c>
      <c r="N11" s="304">
        <v>6.0763888888888923E-2</v>
      </c>
      <c r="O11" s="249">
        <v>2</v>
      </c>
      <c r="Q11" s="259" t="s">
        <v>26</v>
      </c>
      <c r="R11" s="324" t="s">
        <v>29</v>
      </c>
      <c r="S11" s="324"/>
      <c r="V11" s="325" t="s">
        <v>33</v>
      </c>
      <c r="W11" s="326"/>
      <c r="X11" s="314"/>
      <c r="Y11" s="327"/>
      <c r="Z11" s="327"/>
      <c r="AA11" s="315"/>
    </row>
    <row r="12" spans="1:27" ht="18" customHeight="1" x14ac:dyDescent="0.3">
      <c r="A12" s="246"/>
      <c r="B12" s="304">
        <v>-0.52910083333333335</v>
      </c>
      <c r="C12" s="304">
        <v>0.14285714285714288</v>
      </c>
      <c r="D12" s="402"/>
      <c r="E12" s="304">
        <v>-0.24074050000000002</v>
      </c>
      <c r="F12" s="304">
        <v>-5.3571500000000001E-2</v>
      </c>
      <c r="G12" s="305">
        <v>7.4074074074074042E-2</v>
      </c>
      <c r="H12" s="304">
        <v>-0.14285714285714288</v>
      </c>
      <c r="I12" s="304">
        <v>-0.24074050000000002</v>
      </c>
      <c r="J12" s="304">
        <v>-5.3571428571428555E-2</v>
      </c>
      <c r="K12" s="304">
        <v>-0.24074050000000002</v>
      </c>
      <c r="L12" s="304">
        <v>-0.14285714285714288</v>
      </c>
      <c r="M12" s="304">
        <v>-9.5238000000000017E-2</v>
      </c>
      <c r="N12" s="304">
        <v>6.0763888888888923E-2</v>
      </c>
      <c r="O12" s="249">
        <v>2</v>
      </c>
      <c r="V12" s="328"/>
      <c r="W12" s="329"/>
      <c r="X12" s="317"/>
      <c r="Y12" s="330"/>
      <c r="Z12" s="330"/>
      <c r="AA12" s="318"/>
    </row>
    <row r="13" spans="1:27" ht="18" customHeight="1" x14ac:dyDescent="0.3">
      <c r="A13" s="244"/>
      <c r="B13" s="251">
        <v>1</v>
      </c>
      <c r="C13" s="252">
        <v>0</v>
      </c>
      <c r="D13" s="252">
        <v>0</v>
      </c>
      <c r="E13" s="251">
        <v>1</v>
      </c>
      <c r="F13" s="251">
        <v>1</v>
      </c>
      <c r="G13" s="252">
        <v>0</v>
      </c>
      <c r="H13" s="252">
        <v>0</v>
      </c>
      <c r="I13" s="251">
        <v>1</v>
      </c>
      <c r="J13" s="252">
        <v>0</v>
      </c>
      <c r="K13" s="251">
        <v>1</v>
      </c>
      <c r="L13" s="252">
        <v>0</v>
      </c>
      <c r="M13" s="251">
        <v>1</v>
      </c>
      <c r="N13" s="252">
        <v>0</v>
      </c>
      <c r="O13" s="244"/>
      <c r="Q13" s="314"/>
      <c r="R13" s="315"/>
      <c r="V13" s="331"/>
      <c r="W13" s="332"/>
      <c r="X13" s="322"/>
      <c r="Y13" s="333"/>
      <c r="Z13" s="333"/>
      <c r="AA13" s="323"/>
    </row>
    <row r="14" spans="1:27" x14ac:dyDescent="0.3">
      <c r="Q14" s="322"/>
      <c r="R14" s="323"/>
    </row>
    <row r="15" spans="1:27" x14ac:dyDescent="0.3">
      <c r="V15" s="325" t="s">
        <v>32</v>
      </c>
      <c r="W15" s="326"/>
      <c r="X15" s="314"/>
      <c r="Y15" s="327"/>
      <c r="Z15" s="327"/>
      <c r="AA15" s="315"/>
    </row>
    <row r="16" spans="1:27" ht="18" customHeight="1" x14ac:dyDescent="0.3">
      <c r="B16" s="269" t="s">
        <v>76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Q16" s="259" t="s">
        <v>13</v>
      </c>
      <c r="R16" s="301"/>
      <c r="V16" s="328"/>
      <c r="W16" s="329"/>
      <c r="X16" s="317"/>
      <c r="Y16" s="330"/>
      <c r="Z16" s="330"/>
      <c r="AA16" s="318"/>
    </row>
    <row r="17" spans="1:27" ht="18" customHeight="1" x14ac:dyDescent="0.3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Q17" s="259"/>
      <c r="R17" s="301"/>
      <c r="V17" s="331"/>
      <c r="W17" s="332"/>
      <c r="X17" s="322"/>
      <c r="Y17" s="333"/>
      <c r="Z17" s="333"/>
      <c r="AA17" s="323"/>
    </row>
    <row r="18" spans="1:27" ht="18" customHeight="1" x14ac:dyDescent="0.3">
      <c r="B18" s="304">
        <v>0.63492099999999996</v>
      </c>
      <c r="C18" s="304">
        <v>0.42857142857142855</v>
      </c>
      <c r="D18" s="304">
        <v>0.79166666666666696</v>
      </c>
      <c r="E18" s="304">
        <v>0.41269800000000001</v>
      </c>
      <c r="F18" s="304">
        <v>0.214286</v>
      </c>
      <c r="G18" s="304">
        <v>0.44444444444444436</v>
      </c>
      <c r="H18" s="304">
        <v>0.42857142857142855</v>
      </c>
      <c r="I18" s="304">
        <v>0.41269800000000001</v>
      </c>
      <c r="J18" s="304">
        <v>0.3214285714285714</v>
      </c>
      <c r="K18" s="304">
        <v>0.41269800000000001</v>
      </c>
      <c r="L18" s="304">
        <v>0.42857142857142855</v>
      </c>
      <c r="M18" s="304">
        <v>0.28571400000000002</v>
      </c>
      <c r="N18" s="304">
        <v>0.72916666666666674</v>
      </c>
      <c r="Q18" s="259" t="s">
        <v>14</v>
      </c>
      <c r="R18" s="301"/>
    </row>
    <row r="19" spans="1:27" ht="18" customHeight="1" x14ac:dyDescent="0.3">
      <c r="B19" s="298">
        <f>COUNTIF($B$18:$N$18, "&gt;" &amp; B18) + COUNTIF($B$18:B18, "=" &amp; B18)</f>
        <v>3</v>
      </c>
      <c r="C19" s="298">
        <f>COUNTIF($B$18:$N$18, "&gt;" &amp; C18) + COUNTIF($B$18:C18, "=" &amp; C18)</f>
        <v>5</v>
      </c>
      <c r="D19" s="335">
        <f>COUNTIF($B$18:$N$18, "&gt;" &amp; D18) + COUNTIF($B$18:D18, "=" &amp; D18)</f>
        <v>1</v>
      </c>
      <c r="E19" s="298">
        <f>COUNTIF($B$18:$N$18, "&gt;" &amp; E18) + COUNTIF($B$18:E18, "=" &amp; E18)</f>
        <v>8</v>
      </c>
      <c r="F19" s="298">
        <f>COUNTIF($B$18:$N$18, "&gt;" &amp; F18) + COUNTIF($B$18:F18, "=" &amp; F18)</f>
        <v>13</v>
      </c>
      <c r="G19" s="335">
        <f>COUNTIF($B$18:$N$18, "&gt;" &amp; G18) + COUNTIF($B$18:G18, "=" &amp; G18)</f>
        <v>4</v>
      </c>
      <c r="H19" s="298">
        <f>COUNTIF($B$18:$N$18, "&gt;" &amp; H18) + COUNTIF($B$18:H18, "=" &amp; H18)</f>
        <v>6</v>
      </c>
      <c r="I19" s="298">
        <f>COUNTIF($B$18:$N$18, "&gt;" &amp; I18) + COUNTIF($B$18:I18, "=" &amp; I18)</f>
        <v>9</v>
      </c>
      <c r="J19" s="298">
        <f>COUNTIF($B$18:$N$18, "&gt;" &amp; J18) + COUNTIF($B$18:J18, "=" &amp; J18)</f>
        <v>11</v>
      </c>
      <c r="K19" s="298">
        <f>COUNTIF($B$18:$N$18, "&gt;" &amp; K18) + COUNTIF($B$18:K18, "=" &amp; K18)</f>
        <v>10</v>
      </c>
      <c r="L19" s="298">
        <f>COUNTIF($B$18:$N$18, "&gt;" &amp; L18) + COUNTIF($B$18:L18, "=" &amp; L18)</f>
        <v>7</v>
      </c>
      <c r="M19" s="298">
        <f>COUNTIF($B$18:$N$18, "&gt;" &amp; M18) + COUNTIF($B$18:M18, "=" &amp; M18)</f>
        <v>12</v>
      </c>
      <c r="N19" s="298">
        <f>COUNTIF($B$18:$N$18, "&gt;" &amp; N18) + COUNTIF($B$18:N18, "=" &amp; N18)</f>
        <v>2</v>
      </c>
      <c r="Q19" s="259"/>
      <c r="R19" s="301"/>
    </row>
    <row r="20" spans="1:27" ht="15.6" customHeight="1" x14ac:dyDescent="0.3">
      <c r="V20" s="337" t="s">
        <v>79</v>
      </c>
      <c r="W20" s="338"/>
      <c r="X20" s="339"/>
      <c r="Y20" s="339"/>
      <c r="Z20" s="339"/>
      <c r="AA20" s="339"/>
    </row>
    <row r="21" spans="1:27" x14ac:dyDescent="0.3">
      <c r="V21" s="341"/>
      <c r="W21" s="342"/>
      <c r="X21" s="339"/>
      <c r="Y21" s="339"/>
      <c r="Z21" s="339"/>
      <c r="AA21" s="339"/>
    </row>
    <row r="22" spans="1:27" ht="15.6" customHeight="1" x14ac:dyDescent="0.3">
      <c r="V22" s="343"/>
      <c r="W22" s="344"/>
      <c r="X22" s="339"/>
      <c r="Y22" s="339"/>
      <c r="Z22" s="339"/>
      <c r="AA22" s="339"/>
    </row>
    <row r="23" spans="1:27" ht="18" customHeight="1" x14ac:dyDescent="0.3">
      <c r="B23" s="259"/>
      <c r="C23" s="301">
        <v>10</v>
      </c>
      <c r="E23" s="314"/>
      <c r="F23" s="315"/>
      <c r="J23" s="345"/>
      <c r="K23" s="301"/>
      <c r="M23" s="259"/>
      <c r="N23" s="301">
        <v>0.3</v>
      </c>
    </row>
    <row r="24" spans="1:27" ht="18" customHeight="1" x14ac:dyDescent="0.3">
      <c r="B24" s="259"/>
      <c r="C24" s="301">
        <v>0.3556638792093228</v>
      </c>
      <c r="E24" s="322"/>
      <c r="F24" s="323"/>
      <c r="J24" s="259"/>
      <c r="K24" s="301">
        <v>2</v>
      </c>
      <c r="M24" s="259"/>
      <c r="N24" s="301">
        <v>0.1</v>
      </c>
    </row>
    <row r="25" spans="1:27" ht="18" customHeight="1" x14ac:dyDescent="0.3">
      <c r="E25" s="259"/>
      <c r="F25" s="346" t="s">
        <v>34</v>
      </c>
      <c r="G25" s="347"/>
      <c r="H25" s="348"/>
      <c r="I25" s="346" t="s">
        <v>34</v>
      </c>
      <c r="J25" s="345"/>
      <c r="K25" s="301"/>
      <c r="M25" s="259"/>
      <c r="N25" s="301">
        <v>5</v>
      </c>
    </row>
    <row r="26" spans="1:27" ht="18" customHeight="1" x14ac:dyDescent="0.3">
      <c r="B26" s="244"/>
      <c r="C26" s="244"/>
      <c r="D26" s="244"/>
      <c r="E26" s="259"/>
      <c r="F26" s="349">
        <v>0</v>
      </c>
      <c r="I26" s="340"/>
      <c r="J26" s="259"/>
      <c r="K26" s="301">
        <v>11</v>
      </c>
    </row>
    <row r="30" spans="1:27" ht="18" customHeight="1" x14ac:dyDescent="0.3">
      <c r="A30" s="281" t="s">
        <v>10</v>
      </c>
      <c r="B30" s="282"/>
      <c r="C30" s="282"/>
      <c r="D30" s="282"/>
      <c r="E30" s="282"/>
      <c r="F30" s="283"/>
      <c r="G30" s="350"/>
      <c r="H30" s="281" t="s">
        <v>9</v>
      </c>
      <c r="I30" s="282"/>
      <c r="J30" s="282"/>
      <c r="K30" s="282"/>
      <c r="L30" s="282"/>
      <c r="M30" s="282"/>
      <c r="N30" s="283"/>
    </row>
    <row r="31" spans="1:27" ht="18" customHeight="1" x14ac:dyDescent="0.3">
      <c r="A31" s="351"/>
      <c r="B31" s="352"/>
      <c r="C31" s="353" t="s">
        <v>5</v>
      </c>
      <c r="D31" s="354"/>
      <c r="E31" s="353" t="s">
        <v>6</v>
      </c>
      <c r="F31" s="354"/>
      <c r="G31" s="240" t="s">
        <v>8</v>
      </c>
      <c r="H31" s="355"/>
      <c r="I31" s="356"/>
      <c r="J31" s="356"/>
      <c r="K31" s="357"/>
      <c r="L31" s="357"/>
      <c r="M31" s="358"/>
      <c r="N31" s="358"/>
      <c r="P31" s="269" t="s">
        <v>27</v>
      </c>
      <c r="Q31" s="269"/>
      <c r="R31" s="269"/>
      <c r="S31" s="269"/>
      <c r="U31" s="269" t="s">
        <v>22</v>
      </c>
      <c r="V31" s="269"/>
      <c r="W31" s="269"/>
      <c r="X31" s="269"/>
      <c r="Y31" s="269"/>
    </row>
    <row r="32" spans="1:27" ht="18" customHeight="1" x14ac:dyDescent="0.3">
      <c r="A32" s="259"/>
      <c r="B32" s="359">
        <v>-0.37806568533891394</v>
      </c>
      <c r="C32" s="359" t="s">
        <v>5</v>
      </c>
      <c r="D32" s="359">
        <v>0.52910083333333335</v>
      </c>
      <c r="E32" s="359" t="s">
        <v>6</v>
      </c>
      <c r="F32" s="359">
        <f>SUM(B32,D32)</f>
        <v>0.15103514799441942</v>
      </c>
      <c r="G32" s="249">
        <v>2</v>
      </c>
      <c r="H32" s="304">
        <f t="shared" ref="H32:H41" si="0">IF(OR($G32=1,$G32=2), $F32 + IF($G32=1,1,-1)*$N$23*(EXP(-$F32)/(1+EXP(-$F32))), NA())</f>
        <v>1.234129962853317E-2</v>
      </c>
      <c r="I32" s="359">
        <f>IF(G32=1,H32+N(I31),N(I31))</f>
        <v>0</v>
      </c>
      <c r="J32" s="359">
        <f>IF(G32=2,H32+N(J31),N(J31))</f>
        <v>1.234129962853317E-2</v>
      </c>
      <c r="K32" s="304">
        <f t="shared" ref="K32:K41" si="1">IFERROR(I32/COUNTIF($G$32:$G$41,1),"ERROR!!!")</f>
        <v>0</v>
      </c>
      <c r="L32" s="304">
        <f t="shared" ref="L32:L41" si="2">IFERROR(J32/COUNTIF($G$32:$G$41,2),"ERROR!!!")</f>
        <v>2.0568832714221949E-3</v>
      </c>
      <c r="M32" s="304">
        <f>IF(ROW()=32, 0, M31) + ABS(H32 - IF($G32=1, $K32, $L32))</f>
        <v>1.0284416357110976E-2</v>
      </c>
      <c r="N32" s="304">
        <f>IF(ROW()=32, 0, N31) + ABS(H32 - IF($G32=1, $L32, $K32))</f>
        <v>1.234129962853317E-2</v>
      </c>
      <c r="P32" s="360"/>
      <c r="Q32" s="361"/>
      <c r="R32" s="259"/>
      <c r="S32" s="362">
        <f>IF(O41&lt;C23,O41,C23)</f>
        <v>0.31720235035271055</v>
      </c>
      <c r="V32" s="363"/>
      <c r="W32" s="363"/>
      <c r="X32" s="363"/>
    </row>
    <row r="33" spans="1:25" ht="18" customHeight="1" x14ac:dyDescent="0.3">
      <c r="A33" s="259"/>
      <c r="B33" s="359">
        <v>0.40872845598398955</v>
      </c>
      <c r="C33" s="359" t="s">
        <v>5</v>
      </c>
      <c r="D33" s="359">
        <v>0.52910083333333335</v>
      </c>
      <c r="E33" s="359" t="s">
        <v>6</v>
      </c>
      <c r="F33" s="359">
        <f>SUM(B33,D33)</f>
        <v>0.9378292893173229</v>
      </c>
      <c r="G33" s="249">
        <v>1</v>
      </c>
      <c r="H33" s="304">
        <f t="shared" si="0"/>
        <v>1.0222309966649197</v>
      </c>
      <c r="I33" s="359">
        <f t="shared" ref="I33:I41" si="3">IF(G33=1,H33+N(I32),N(I32))</f>
        <v>1.0222309966649197</v>
      </c>
      <c r="J33" s="359">
        <f t="shared" ref="J33:J41" si="4">IF(G33=2,H33+N(J32),N(J32))</f>
        <v>1.234129962853317E-2</v>
      </c>
      <c r="K33" s="304">
        <f t="shared" si="1"/>
        <v>0.25555774916622992</v>
      </c>
      <c r="L33" s="304">
        <f t="shared" si="2"/>
        <v>2.0568832714221949E-3</v>
      </c>
      <c r="M33" s="304">
        <f t="shared" ref="M33:M41" si="5">IF(ROW()=32, 0, M32) + ABS(H33 - IF($G33=1, $K33, $L33))</f>
        <v>0.77695766385580067</v>
      </c>
      <c r="N33" s="304">
        <f t="shared" ref="N33:N41" si="6">IF(ROW()=32, 0, N32) + ABS(H33 - IF($G33=1, $L33, $K33))</f>
        <v>1.0325154130220306</v>
      </c>
      <c r="P33" s="364"/>
      <c r="Q33" s="365"/>
      <c r="R33" s="259"/>
      <c r="S33" s="366">
        <v>1</v>
      </c>
      <c r="U33" s="367" t="s">
        <v>23</v>
      </c>
      <c r="V33" s="367"/>
      <c r="W33" s="367"/>
      <c r="X33" s="367"/>
      <c r="Y33" s="367"/>
    </row>
    <row r="34" spans="1:25" ht="18" customHeight="1" x14ac:dyDescent="0.3">
      <c r="A34" s="259"/>
      <c r="B34" s="359">
        <v>-0.14942741726637135</v>
      </c>
      <c r="C34" s="359" t="s">
        <v>5</v>
      </c>
      <c r="D34" s="359">
        <v>-0.52910083333333335</v>
      </c>
      <c r="E34" s="359" t="s">
        <v>6</v>
      </c>
      <c r="F34" s="359">
        <f t="shared" ref="F34:F36" si="7">SUM(B34,D34)</f>
        <v>-0.67852825059970467</v>
      </c>
      <c r="G34" s="249">
        <v>2</v>
      </c>
      <c r="H34" s="304">
        <f t="shared" si="0"/>
        <v>-0.87755129232058349</v>
      </c>
      <c r="I34" s="304">
        <f t="shared" si="3"/>
        <v>1.0222309966649197</v>
      </c>
      <c r="J34" s="359">
        <f t="shared" si="4"/>
        <v>-0.86520999269205034</v>
      </c>
      <c r="K34" s="304">
        <f t="shared" si="1"/>
        <v>0.25555774916622992</v>
      </c>
      <c r="L34" s="304">
        <f t="shared" si="2"/>
        <v>-0.14420166544867505</v>
      </c>
      <c r="M34" s="304">
        <f t="shared" si="5"/>
        <v>1.5103072907277091</v>
      </c>
      <c r="N34" s="304">
        <f t="shared" si="6"/>
        <v>2.1656244545088441</v>
      </c>
      <c r="P34" s="368"/>
      <c r="Q34" s="369"/>
      <c r="R34" s="259"/>
      <c r="S34" s="366">
        <f>IF(O41&lt;C23,S33,F26)</f>
        <v>1</v>
      </c>
      <c r="U34" s="370" t="s">
        <v>24</v>
      </c>
      <c r="V34" s="371"/>
      <c r="W34" s="371"/>
      <c r="X34" s="371"/>
      <c r="Y34" s="372"/>
    </row>
    <row r="35" spans="1:25" ht="18" customHeight="1" x14ac:dyDescent="0.3">
      <c r="A35" s="259"/>
      <c r="B35" s="359">
        <v>0.23923915005200891</v>
      </c>
      <c r="C35" s="359" t="s">
        <v>5</v>
      </c>
      <c r="D35" s="359">
        <v>0.52910083333333335</v>
      </c>
      <c r="E35" s="359" t="s">
        <v>6</v>
      </c>
      <c r="F35" s="359">
        <f t="shared" si="7"/>
        <v>0.76833998338534226</v>
      </c>
      <c r="G35" s="249">
        <v>1</v>
      </c>
      <c r="H35" s="304">
        <f t="shared" si="0"/>
        <v>0.86339147654777537</v>
      </c>
      <c r="I35" s="359">
        <f t="shared" si="3"/>
        <v>1.8856224732126949</v>
      </c>
      <c r="J35" s="359">
        <f t="shared" si="4"/>
        <v>-0.86520999269205034</v>
      </c>
      <c r="K35" s="304">
        <f t="shared" si="1"/>
        <v>0.47140561830317373</v>
      </c>
      <c r="L35" s="304">
        <f t="shared" si="2"/>
        <v>-0.14420166544867505</v>
      </c>
      <c r="M35" s="304">
        <f t="shared" si="5"/>
        <v>1.9022931489723107</v>
      </c>
      <c r="N35" s="304">
        <f>IF(ROW()=32, 0, N34) + ABS(H35 - IF($G35=1, $L35, $K35))</f>
        <v>3.1732175965052942</v>
      </c>
      <c r="U35" s="306"/>
      <c r="V35" s="306"/>
      <c r="W35" s="306"/>
      <c r="X35" s="306"/>
      <c r="Y35" s="306"/>
    </row>
    <row r="36" spans="1:25" ht="18" customHeight="1" x14ac:dyDescent="0.3">
      <c r="A36" s="259"/>
      <c r="B36" s="359">
        <v>0.40872845598398955</v>
      </c>
      <c r="C36" s="359" t="s">
        <v>5</v>
      </c>
      <c r="D36" s="359">
        <v>0.52910083333333335</v>
      </c>
      <c r="E36" s="359" t="s">
        <v>6</v>
      </c>
      <c r="F36" s="359">
        <f t="shared" si="7"/>
        <v>0.9378292893173229</v>
      </c>
      <c r="G36" s="249">
        <v>1</v>
      </c>
      <c r="H36" s="304">
        <f t="shared" si="0"/>
        <v>1.0222309966649197</v>
      </c>
      <c r="I36" s="359">
        <f t="shared" si="3"/>
        <v>2.9078534698776144</v>
      </c>
      <c r="J36" s="359">
        <f t="shared" si="4"/>
        <v>-0.86520999269205034</v>
      </c>
      <c r="K36" s="304">
        <f t="shared" si="1"/>
        <v>0.7269633674694036</v>
      </c>
      <c r="L36" s="304">
        <f t="shared" si="2"/>
        <v>-0.14420166544867505</v>
      </c>
      <c r="M36" s="304">
        <f t="shared" si="5"/>
        <v>2.1975607781678268</v>
      </c>
      <c r="N36" s="304">
        <f t="shared" si="6"/>
        <v>4.3396502586188888</v>
      </c>
      <c r="U36" s="306"/>
      <c r="V36" s="306"/>
      <c r="W36" s="306"/>
      <c r="X36" s="306"/>
      <c r="Y36" s="306"/>
    </row>
    <row r="37" spans="1:25" ht="18" customHeight="1" x14ac:dyDescent="0.3">
      <c r="A37" s="259"/>
      <c r="B37" s="359">
        <v>0.23923915005200891</v>
      </c>
      <c r="C37" s="359" t="s">
        <v>5</v>
      </c>
      <c r="D37" s="359">
        <v>0.52910083333333335</v>
      </c>
      <c r="E37" s="359" t="s">
        <v>6</v>
      </c>
      <c r="F37" s="359">
        <f>SUM(B37,D37)</f>
        <v>0.76833998338534226</v>
      </c>
      <c r="G37" s="249">
        <v>1</v>
      </c>
      <c r="H37" s="304">
        <f t="shared" si="0"/>
        <v>0.86339147654777537</v>
      </c>
      <c r="I37" s="359">
        <f>IF(G37=1,H37+N(I36),N(I36))</f>
        <v>3.7712449464253899</v>
      </c>
      <c r="J37" s="359">
        <f t="shared" si="4"/>
        <v>-0.86520999269205034</v>
      </c>
      <c r="K37" s="304">
        <f t="shared" si="1"/>
        <v>0.94281123660634747</v>
      </c>
      <c r="L37" s="304">
        <f t="shared" si="2"/>
        <v>-0.14420166544867505</v>
      </c>
      <c r="M37" s="304">
        <f t="shared" si="5"/>
        <v>2.276980538226399</v>
      </c>
      <c r="N37" s="304">
        <f t="shared" si="6"/>
        <v>5.3472434006153389</v>
      </c>
    </row>
    <row r="38" spans="1:25" ht="18" customHeight="1" x14ac:dyDescent="0.3">
      <c r="A38" s="259"/>
      <c r="B38" s="359">
        <v>-0.32058777621177315</v>
      </c>
      <c r="C38" s="359" t="s">
        <v>5</v>
      </c>
      <c r="D38" s="359">
        <v>-0.52910083333333335</v>
      </c>
      <c r="E38" s="359" t="s">
        <v>6</v>
      </c>
      <c r="F38" s="359">
        <f t="shared" ref="F38:F41" si="8">SUM(B38,D38)</f>
        <v>-0.8496886095451065</v>
      </c>
      <c r="G38" s="249">
        <v>2</v>
      </c>
      <c r="H38" s="304">
        <f t="shared" si="0"/>
        <v>-1.0598391546872143</v>
      </c>
      <c r="I38" s="359">
        <f>IF(G38=1,H38+N(I37),N(I37))</f>
        <v>3.7712449464253899</v>
      </c>
      <c r="J38" s="359">
        <f t="shared" si="4"/>
        <v>-1.9250491473792648</v>
      </c>
      <c r="K38" s="304">
        <f t="shared" si="1"/>
        <v>0.94281123660634747</v>
      </c>
      <c r="L38" s="304">
        <f t="shared" si="2"/>
        <v>-0.3208415245632108</v>
      </c>
      <c r="M38" s="304">
        <f>IF(ROW()=32, 0, M37) + ABS(H38 - IF($G38=1, $K38, $L38))</f>
        <v>3.0159781683504026</v>
      </c>
      <c r="N38" s="304">
        <f t="shared" si="6"/>
        <v>7.3498937919089009</v>
      </c>
    </row>
    <row r="39" spans="1:25" ht="18" customHeight="1" x14ac:dyDescent="0.3">
      <c r="A39" s="259"/>
      <c r="B39" s="359">
        <v>-0.37806568533891394</v>
      </c>
      <c r="C39" s="359" t="s">
        <v>5</v>
      </c>
      <c r="D39" s="359">
        <v>-0.52910083333333335</v>
      </c>
      <c r="E39" s="359" t="s">
        <v>6</v>
      </c>
      <c r="F39" s="359">
        <f t="shared" si="8"/>
        <v>-0.90716651867224729</v>
      </c>
      <c r="G39" s="249">
        <v>2</v>
      </c>
      <c r="H39" s="304">
        <f t="shared" si="0"/>
        <v>-1.1208925171931166</v>
      </c>
      <c r="I39" s="359">
        <f t="shared" si="3"/>
        <v>3.7712449464253899</v>
      </c>
      <c r="J39" s="359">
        <f t="shared" si="4"/>
        <v>-3.0459416645723811</v>
      </c>
      <c r="K39" s="304">
        <f t="shared" si="1"/>
        <v>0.94281123660634747</v>
      </c>
      <c r="L39" s="304">
        <f t="shared" si="2"/>
        <v>-0.50765694409539686</v>
      </c>
      <c r="M39" s="304">
        <f t="shared" si="5"/>
        <v>3.6292137414481225</v>
      </c>
      <c r="N39" s="304">
        <f t="shared" si="6"/>
        <v>9.4135975457083649</v>
      </c>
      <c r="O39" s="354"/>
    </row>
    <row r="40" spans="1:25" ht="18" customHeight="1" x14ac:dyDescent="0.3">
      <c r="A40" s="259"/>
      <c r="B40" s="359">
        <v>-0.37806568533891394</v>
      </c>
      <c r="C40" s="359" t="s">
        <v>5</v>
      </c>
      <c r="D40" s="359">
        <v>-0.52910083333333335</v>
      </c>
      <c r="E40" s="359" t="s">
        <v>6</v>
      </c>
      <c r="F40" s="359">
        <f t="shared" si="8"/>
        <v>-0.90716651867224729</v>
      </c>
      <c r="G40" s="249">
        <v>2</v>
      </c>
      <c r="H40" s="304">
        <f t="shared" si="0"/>
        <v>-1.1208925171931166</v>
      </c>
      <c r="I40" s="359">
        <f t="shared" si="3"/>
        <v>3.7712449464253899</v>
      </c>
      <c r="J40" s="359">
        <f>IF(G40=2,H40+N(J39),N(J39))</f>
        <v>-4.1668341817654975</v>
      </c>
      <c r="K40" s="304">
        <f t="shared" si="1"/>
        <v>0.94281123660634747</v>
      </c>
      <c r="L40" s="304">
        <f t="shared" si="2"/>
        <v>-0.69447236362758291</v>
      </c>
      <c r="M40" s="304">
        <f t="shared" si="5"/>
        <v>4.0556338950136563</v>
      </c>
      <c r="N40" s="304">
        <f t="shared" si="6"/>
        <v>11.477301299507829</v>
      </c>
      <c r="O40" s="358"/>
    </row>
    <row r="41" spans="1:25" ht="18" customHeight="1" x14ac:dyDescent="0.3">
      <c r="A41" s="259"/>
      <c r="B41" s="359">
        <v>-0.37806568533891394</v>
      </c>
      <c r="C41" s="359" t="s">
        <v>5</v>
      </c>
      <c r="D41" s="359">
        <v>-0.52910083333333335</v>
      </c>
      <c r="E41" s="359" t="s">
        <v>6</v>
      </c>
      <c r="F41" s="359">
        <f t="shared" si="8"/>
        <v>-0.90716651867224729</v>
      </c>
      <c r="G41" s="249">
        <v>2</v>
      </c>
      <c r="H41" s="304">
        <f t="shared" si="0"/>
        <v>-1.1208925171931166</v>
      </c>
      <c r="I41" s="359">
        <f t="shared" si="3"/>
        <v>3.7712449464253899</v>
      </c>
      <c r="J41" s="359">
        <f t="shared" si="4"/>
        <v>-5.2877266989586138</v>
      </c>
      <c r="K41" s="304">
        <f t="shared" si="1"/>
        <v>0.94281123660634747</v>
      </c>
      <c r="L41" s="304">
        <f t="shared" si="2"/>
        <v>-0.88128778315976897</v>
      </c>
      <c r="M41" s="304">
        <f t="shared" si="5"/>
        <v>4.2952386290470042</v>
      </c>
      <c r="N41" s="304">
        <f t="shared" si="6"/>
        <v>13.541005053307293</v>
      </c>
      <c r="O41" s="373">
        <f>M41/N41</f>
        <v>0.31720235035271055</v>
      </c>
    </row>
    <row r="45" spans="1:25" ht="18" customHeight="1" x14ac:dyDescent="0.3">
      <c r="A45" s="281" t="s">
        <v>10</v>
      </c>
      <c r="B45" s="282"/>
      <c r="C45" s="282"/>
      <c r="D45" s="282"/>
      <c r="E45" s="282"/>
      <c r="F45" s="283"/>
      <c r="G45" s="350"/>
      <c r="H45" s="281" t="s">
        <v>9</v>
      </c>
      <c r="I45" s="282"/>
      <c r="J45" s="282"/>
      <c r="K45" s="282"/>
      <c r="L45" s="282"/>
      <c r="M45" s="282"/>
      <c r="N45" s="283"/>
    </row>
    <row r="46" spans="1:25" ht="18" customHeight="1" x14ac:dyDescent="0.3">
      <c r="A46" s="351"/>
      <c r="B46" s="352"/>
      <c r="C46" s="353" t="s">
        <v>5</v>
      </c>
      <c r="D46" s="354"/>
      <c r="E46" s="353" t="s">
        <v>6</v>
      </c>
      <c r="F46" s="354"/>
      <c r="G46" s="240" t="s">
        <v>8</v>
      </c>
      <c r="H46" s="355"/>
      <c r="I46" s="356"/>
      <c r="J46" s="356"/>
      <c r="K46" s="357"/>
      <c r="L46" s="357"/>
      <c r="M46" s="358"/>
      <c r="N46" s="358"/>
      <c r="P46" s="269" t="s">
        <v>27</v>
      </c>
      <c r="Q46" s="269"/>
      <c r="R46" s="269"/>
      <c r="S46" s="269"/>
      <c r="U46" s="269" t="s">
        <v>22</v>
      </c>
      <c r="V46" s="269"/>
      <c r="W46" s="269"/>
      <c r="X46" s="269"/>
      <c r="Y46" s="269"/>
    </row>
    <row r="47" spans="1:25" ht="18" customHeight="1" x14ac:dyDescent="0.3">
      <c r="A47" s="259"/>
      <c r="B47" s="359">
        <v>-0.37806568533891394</v>
      </c>
      <c r="C47" s="359" t="s">
        <v>5</v>
      </c>
      <c r="D47" s="359">
        <v>-0.14285714285714288</v>
      </c>
      <c r="E47" s="359" t="s">
        <v>6</v>
      </c>
      <c r="F47" s="359">
        <f t="shared" ref="F47:F56" si="9">SUM(B47,D47)</f>
        <v>-0.52092282819605684</v>
      </c>
      <c r="G47" s="249">
        <v>2</v>
      </c>
      <c r="H47" s="359">
        <f t="shared" ref="H47:H56" si="10">IF(OR($G47=1,$G47=2), $F47 + IF($G47=1,1,-1)*$N$23*(EXP(-$F47)/(1+EXP(-$F47))), NA())</f>
        <v>-0.70913188691944196</v>
      </c>
      <c r="I47" s="359">
        <f t="shared" ref="I47:I56" si="11">IF(G47=1,H47+N(I46),N(I46))</f>
        <v>0</v>
      </c>
      <c r="J47" s="359">
        <f t="shared" ref="J47:J56" si="12">IF(G47=2,H47+N(J46),N(J46))</f>
        <v>-0.70913188691944196</v>
      </c>
      <c r="K47" s="304">
        <f t="shared" ref="K47:K56" si="13">IFERROR(I47/COUNTIF($G$47:$G$56,1),"ERROR!!!")</f>
        <v>0</v>
      </c>
      <c r="L47" s="304">
        <f t="shared" ref="L47:L56" si="14">IFERROR(J47/COUNTIF($G$47:$G$56,2),"ERROR!!!")</f>
        <v>-0.118188647819907</v>
      </c>
      <c r="M47" s="304">
        <f>IF(ROW()=47, 0, M46) + ABS(H47 - IF($G47=1, $K47, $L47))</f>
        <v>0.59094323909953494</v>
      </c>
      <c r="N47" s="304">
        <f>IF(ROW()=47, 0, N46) + ABS(H47 - IF($G47=1, $L47, $K47))</f>
        <v>0.70913188691944196</v>
      </c>
      <c r="P47" s="360"/>
      <c r="Q47" s="361"/>
      <c r="R47" s="316" t="s">
        <v>13</v>
      </c>
      <c r="S47" s="362">
        <f>IF(O56&lt;S32,O56,S32)</f>
        <v>0.31720235035271055</v>
      </c>
      <c r="V47" s="363"/>
      <c r="W47" s="363"/>
      <c r="X47" s="363"/>
    </row>
    <row r="48" spans="1:25" ht="18" customHeight="1" x14ac:dyDescent="0.3">
      <c r="A48" s="259"/>
      <c r="B48" s="359">
        <v>0.40872845598398955</v>
      </c>
      <c r="C48" s="359" t="s">
        <v>5</v>
      </c>
      <c r="D48" s="359">
        <v>0.14285714285714288</v>
      </c>
      <c r="E48" s="359" t="s">
        <v>6</v>
      </c>
      <c r="F48" s="359">
        <f t="shared" si="9"/>
        <v>0.55158559884113245</v>
      </c>
      <c r="G48" s="249">
        <v>1</v>
      </c>
      <c r="H48" s="359">
        <f t="shared" si="10"/>
        <v>0.66123458371316657</v>
      </c>
      <c r="I48" s="359">
        <f t="shared" si="11"/>
        <v>0.66123458371316657</v>
      </c>
      <c r="J48" s="359">
        <f t="shared" si="12"/>
        <v>-0.70913188691944196</v>
      </c>
      <c r="K48" s="304">
        <f t="shared" si="13"/>
        <v>0.16530864592829164</v>
      </c>
      <c r="L48" s="304">
        <f t="shared" si="14"/>
        <v>-0.118188647819907</v>
      </c>
      <c r="M48" s="304">
        <f t="shared" ref="M48:M56" si="15">IF(ROW()=47, 0, M47) + ABS(H48 - IF($G48=1, $K48, $L48))</f>
        <v>1.0868691768844099</v>
      </c>
      <c r="N48" s="304">
        <f t="shared" ref="N48:N56" si="16">IF(ROW()=47, 0, N47) + ABS(H48 - IF($G48=1, $L48, $K48))</f>
        <v>1.4885551184525156</v>
      </c>
      <c r="P48" s="364"/>
      <c r="Q48" s="365"/>
      <c r="R48" s="259" t="s">
        <v>17</v>
      </c>
      <c r="S48" s="366">
        <v>2</v>
      </c>
      <c r="U48" s="367" t="s">
        <v>25</v>
      </c>
      <c r="V48" s="367"/>
      <c r="W48" s="367"/>
      <c r="X48" s="367"/>
      <c r="Y48" s="367"/>
    </row>
    <row r="49" spans="1:25" ht="18" customHeight="1" x14ac:dyDescent="0.3">
      <c r="A49" s="259"/>
      <c r="B49" s="359">
        <v>-0.14942741726637135</v>
      </c>
      <c r="C49" s="359" t="s">
        <v>5</v>
      </c>
      <c r="D49" s="359">
        <v>-0.14285714285714288</v>
      </c>
      <c r="E49" s="359" t="s">
        <v>6</v>
      </c>
      <c r="F49" s="359">
        <f t="shared" si="9"/>
        <v>-0.29228456012351423</v>
      </c>
      <c r="G49" s="249">
        <v>2</v>
      </c>
      <c r="H49" s="359">
        <f t="shared" si="10"/>
        <v>-0.46405116177963401</v>
      </c>
      <c r="I49" s="359">
        <f t="shared" si="11"/>
        <v>0.66123458371316657</v>
      </c>
      <c r="J49" s="359">
        <f t="shared" si="12"/>
        <v>-1.173183048699076</v>
      </c>
      <c r="K49" s="304">
        <f t="shared" si="13"/>
        <v>0.16530864592829164</v>
      </c>
      <c r="L49" s="304">
        <f t="shared" si="14"/>
        <v>-0.19553050811651265</v>
      </c>
      <c r="M49" s="304">
        <f t="shared" si="15"/>
        <v>1.3553898305475314</v>
      </c>
      <c r="N49" s="304">
        <f t="shared" si="16"/>
        <v>2.1179149261604415</v>
      </c>
      <c r="P49" s="368"/>
      <c r="Q49" s="369"/>
      <c r="R49" s="259" t="s">
        <v>15</v>
      </c>
      <c r="S49" s="366">
        <f>IF(O56&lt;S32,S48,S34)</f>
        <v>1</v>
      </c>
      <c r="U49" s="370" t="s">
        <v>24</v>
      </c>
      <c r="V49" s="371"/>
      <c r="W49" s="371"/>
      <c r="X49" s="371"/>
      <c r="Y49" s="372"/>
    </row>
    <row r="50" spans="1:25" ht="18" customHeight="1" x14ac:dyDescent="0.3">
      <c r="A50" s="259"/>
      <c r="B50" s="359">
        <v>0.23923915005200891</v>
      </c>
      <c r="C50" s="359" t="s">
        <v>5</v>
      </c>
      <c r="D50" s="359">
        <v>-0.14285714285714288</v>
      </c>
      <c r="E50" s="359" t="s">
        <v>6</v>
      </c>
      <c r="F50" s="359">
        <f t="shared" si="9"/>
        <v>9.6382007194866032E-2</v>
      </c>
      <c r="G50" s="249">
        <v>1</v>
      </c>
      <c r="H50" s="359">
        <f t="shared" si="10"/>
        <v>0.23915894733571552</v>
      </c>
      <c r="I50" s="359">
        <f t="shared" si="11"/>
        <v>0.90039353104888209</v>
      </c>
      <c r="J50" s="359">
        <f t="shared" si="12"/>
        <v>-1.173183048699076</v>
      </c>
      <c r="K50" s="304">
        <f t="shared" si="13"/>
        <v>0.22509838276222052</v>
      </c>
      <c r="L50" s="304">
        <f t="shared" si="14"/>
        <v>-0.19553050811651265</v>
      </c>
      <c r="M50" s="304">
        <f t="shared" si="15"/>
        <v>1.3694503951210264</v>
      </c>
      <c r="N50" s="304">
        <f t="shared" si="16"/>
        <v>2.5526043816126696</v>
      </c>
      <c r="U50" s="306"/>
      <c r="V50" s="306"/>
      <c r="W50" s="306"/>
      <c r="X50" s="306"/>
      <c r="Y50" s="306"/>
    </row>
    <row r="51" spans="1:25" ht="18" customHeight="1" x14ac:dyDescent="0.3">
      <c r="A51" s="259"/>
      <c r="B51" s="359">
        <v>0.40872845598398955</v>
      </c>
      <c r="C51" s="359" t="s">
        <v>5</v>
      </c>
      <c r="D51" s="359">
        <v>0.14285714285714288</v>
      </c>
      <c r="E51" s="359" t="s">
        <v>6</v>
      </c>
      <c r="F51" s="359">
        <f t="shared" si="9"/>
        <v>0.55158559884113245</v>
      </c>
      <c r="G51" s="249">
        <v>1</v>
      </c>
      <c r="H51" s="359">
        <f t="shared" si="10"/>
        <v>0.66123458371316657</v>
      </c>
      <c r="I51" s="359">
        <f t="shared" si="11"/>
        <v>1.5616281147620485</v>
      </c>
      <c r="J51" s="359">
        <f t="shared" si="12"/>
        <v>-1.173183048699076</v>
      </c>
      <c r="K51" s="304">
        <f t="shared" si="13"/>
        <v>0.39040702869051214</v>
      </c>
      <c r="L51" s="304">
        <f t="shared" si="14"/>
        <v>-0.19553050811651265</v>
      </c>
      <c r="M51" s="304">
        <f t="shared" si="15"/>
        <v>1.6402779501436808</v>
      </c>
      <c r="N51" s="304">
        <f t="shared" si="16"/>
        <v>3.4093694734423488</v>
      </c>
      <c r="U51" s="306"/>
      <c r="V51" s="306"/>
      <c r="W51" s="306"/>
      <c r="X51" s="306"/>
      <c r="Y51" s="306"/>
    </row>
    <row r="52" spans="1:25" ht="18" customHeight="1" x14ac:dyDescent="0.3">
      <c r="A52" s="259"/>
      <c r="B52" s="359">
        <v>0.23923915005200891</v>
      </c>
      <c r="C52" s="359" t="s">
        <v>5</v>
      </c>
      <c r="D52" s="359">
        <v>-0.14285714285714288</v>
      </c>
      <c r="E52" s="359" t="s">
        <v>6</v>
      </c>
      <c r="F52" s="359">
        <f t="shared" si="9"/>
        <v>9.6382007194866032E-2</v>
      </c>
      <c r="G52" s="249">
        <v>1</v>
      </c>
      <c r="H52" s="359">
        <f t="shared" si="10"/>
        <v>0.23915894733571552</v>
      </c>
      <c r="I52" s="359">
        <f t="shared" si="11"/>
        <v>1.800787062097764</v>
      </c>
      <c r="J52" s="359">
        <f t="shared" si="12"/>
        <v>-1.173183048699076</v>
      </c>
      <c r="K52" s="304">
        <f t="shared" si="13"/>
        <v>0.45019676552444099</v>
      </c>
      <c r="L52" s="304">
        <f t="shared" si="14"/>
        <v>-0.19553050811651265</v>
      </c>
      <c r="M52" s="304">
        <f t="shared" si="15"/>
        <v>1.8513157683324062</v>
      </c>
      <c r="N52" s="304">
        <f t="shared" si="16"/>
        <v>3.8440589288945768</v>
      </c>
    </row>
    <row r="53" spans="1:25" ht="18" customHeight="1" x14ac:dyDescent="0.3">
      <c r="A53" s="259"/>
      <c r="B53" s="359">
        <v>-0.32058777621177315</v>
      </c>
      <c r="C53" s="359" t="s">
        <v>5</v>
      </c>
      <c r="D53" s="359">
        <v>-0.14285714285714288</v>
      </c>
      <c r="E53" s="359" t="s">
        <v>6</v>
      </c>
      <c r="F53" s="359">
        <f t="shared" si="9"/>
        <v>-0.46344491906891605</v>
      </c>
      <c r="G53" s="249">
        <v>2</v>
      </c>
      <c r="H53" s="359">
        <f t="shared" si="10"/>
        <v>-0.64759424542260724</v>
      </c>
      <c r="I53" s="359">
        <f t="shared" si="11"/>
        <v>1.800787062097764</v>
      </c>
      <c r="J53" s="359">
        <f t="shared" si="12"/>
        <v>-1.8207772941216831</v>
      </c>
      <c r="K53" s="304">
        <f t="shared" si="13"/>
        <v>0.45019676552444099</v>
      </c>
      <c r="L53" s="304">
        <f t="shared" si="14"/>
        <v>-0.30346288235361385</v>
      </c>
      <c r="M53" s="304">
        <f t="shared" si="15"/>
        <v>2.1954471314013997</v>
      </c>
      <c r="N53" s="304">
        <f t="shared" si="16"/>
        <v>4.9418499398416245</v>
      </c>
    </row>
    <row r="54" spans="1:25" ht="18" customHeight="1" x14ac:dyDescent="0.3">
      <c r="A54" s="259"/>
      <c r="B54" s="359">
        <v>-0.37806568533891394</v>
      </c>
      <c r="C54" s="359" t="s">
        <v>5</v>
      </c>
      <c r="D54" s="359">
        <v>-0.14285714285714288</v>
      </c>
      <c r="E54" s="359" t="s">
        <v>6</v>
      </c>
      <c r="F54" s="359">
        <f t="shared" si="9"/>
        <v>-0.52092282819605684</v>
      </c>
      <c r="G54" s="249">
        <v>2</v>
      </c>
      <c r="H54" s="359">
        <f t="shared" si="10"/>
        <v>-0.70913188691944196</v>
      </c>
      <c r="I54" s="359">
        <f t="shared" si="11"/>
        <v>1.800787062097764</v>
      </c>
      <c r="J54" s="359">
        <f t="shared" si="12"/>
        <v>-2.5299091810411252</v>
      </c>
      <c r="K54" s="304">
        <f t="shared" si="13"/>
        <v>0.45019676552444099</v>
      </c>
      <c r="L54" s="304">
        <f t="shared" si="14"/>
        <v>-0.42165153017352086</v>
      </c>
      <c r="M54" s="304">
        <f t="shared" si="15"/>
        <v>2.4829274881473209</v>
      </c>
      <c r="N54" s="304">
        <f t="shared" si="16"/>
        <v>6.1011785922855069</v>
      </c>
      <c r="O54" s="354"/>
    </row>
    <row r="55" spans="1:25" ht="18" customHeight="1" x14ac:dyDescent="0.3">
      <c r="A55" s="259"/>
      <c r="B55" s="359">
        <v>-0.37806568533891394</v>
      </c>
      <c r="C55" s="359" t="s">
        <v>5</v>
      </c>
      <c r="D55" s="359">
        <v>-0.14285714285714288</v>
      </c>
      <c r="E55" s="359" t="s">
        <v>6</v>
      </c>
      <c r="F55" s="359">
        <f t="shared" si="9"/>
        <v>-0.52092282819605684</v>
      </c>
      <c r="G55" s="249">
        <v>2</v>
      </c>
      <c r="H55" s="359">
        <f t="shared" si="10"/>
        <v>-0.70913188691944196</v>
      </c>
      <c r="I55" s="359">
        <f t="shared" si="11"/>
        <v>1.800787062097764</v>
      </c>
      <c r="J55" s="359">
        <f t="shared" si="12"/>
        <v>-3.2390410679605672</v>
      </c>
      <c r="K55" s="304">
        <f t="shared" si="13"/>
        <v>0.45019676552444099</v>
      </c>
      <c r="L55" s="304">
        <f t="shared" si="14"/>
        <v>-0.53984017799342787</v>
      </c>
      <c r="M55" s="304">
        <f t="shared" si="15"/>
        <v>2.6522191970733351</v>
      </c>
      <c r="N55" s="304">
        <f t="shared" si="16"/>
        <v>7.2605072447293892</v>
      </c>
      <c r="O55" s="358"/>
    </row>
    <row r="56" spans="1:25" ht="18" customHeight="1" x14ac:dyDescent="0.3">
      <c r="A56" s="259"/>
      <c r="B56" s="359">
        <v>-0.37806568533891394</v>
      </c>
      <c r="C56" s="359" t="s">
        <v>5</v>
      </c>
      <c r="D56" s="359">
        <v>0.14285714285714288</v>
      </c>
      <c r="E56" s="359" t="s">
        <v>6</v>
      </c>
      <c r="F56" s="359">
        <f t="shared" si="9"/>
        <v>-0.23520854248177106</v>
      </c>
      <c r="G56" s="249">
        <v>2</v>
      </c>
      <c r="H56" s="359">
        <f t="shared" si="10"/>
        <v>-0.40276830274403669</v>
      </c>
      <c r="I56" s="359">
        <f t="shared" si="11"/>
        <v>1.800787062097764</v>
      </c>
      <c r="J56" s="359">
        <f t="shared" si="12"/>
        <v>-3.6418093707046038</v>
      </c>
      <c r="K56" s="304">
        <f t="shared" si="13"/>
        <v>0.45019676552444099</v>
      </c>
      <c r="L56" s="304">
        <f t="shared" si="14"/>
        <v>-0.60696822845076726</v>
      </c>
      <c r="M56" s="304">
        <f t="shared" si="15"/>
        <v>2.8564191227800655</v>
      </c>
      <c r="N56" s="304">
        <f t="shared" si="16"/>
        <v>8.1134723129978674</v>
      </c>
      <c r="O56" s="373">
        <f>M56/N56</f>
        <v>0.35205877490997933</v>
      </c>
    </row>
    <row r="60" spans="1:25" ht="18" customHeight="1" x14ac:dyDescent="0.3">
      <c r="A60" s="281" t="s">
        <v>10</v>
      </c>
      <c r="B60" s="282"/>
      <c r="C60" s="282"/>
      <c r="D60" s="282"/>
      <c r="E60" s="282"/>
      <c r="F60" s="283"/>
      <c r="G60" s="350"/>
      <c r="H60" s="281" t="s">
        <v>9</v>
      </c>
      <c r="I60" s="282"/>
      <c r="J60" s="282"/>
      <c r="K60" s="282"/>
      <c r="L60" s="282"/>
      <c r="M60" s="282"/>
      <c r="N60" s="283"/>
    </row>
    <row r="61" spans="1:25" ht="18" customHeight="1" x14ac:dyDescent="0.3">
      <c r="A61" s="351"/>
      <c r="B61" s="352"/>
      <c r="C61" s="353" t="s">
        <v>5</v>
      </c>
      <c r="D61" s="354"/>
      <c r="E61" s="353" t="s">
        <v>6</v>
      </c>
      <c r="F61" s="354"/>
      <c r="G61" s="240" t="s">
        <v>8</v>
      </c>
      <c r="H61" s="355"/>
      <c r="I61" s="356"/>
      <c r="J61" s="356"/>
      <c r="K61" s="357"/>
      <c r="L61" s="357"/>
      <c r="M61" s="358"/>
      <c r="N61" s="358"/>
      <c r="P61" s="269" t="s">
        <v>27</v>
      </c>
      <c r="Q61" s="269"/>
      <c r="R61" s="269"/>
      <c r="S61" s="269"/>
    </row>
    <row r="62" spans="1:25" ht="18" customHeight="1" x14ac:dyDescent="0.3">
      <c r="A62" s="259"/>
      <c r="B62" s="359">
        <v>-0.37806568533891394</v>
      </c>
      <c r="C62" s="359" t="s">
        <v>5</v>
      </c>
      <c r="D62" s="359">
        <v>-0.24074050000000002</v>
      </c>
      <c r="E62" s="359" t="s">
        <v>6</v>
      </c>
      <c r="F62" s="359">
        <f>SUM(B62,D62)</f>
        <v>-0.61880618533891396</v>
      </c>
      <c r="G62" s="249">
        <v>2</v>
      </c>
      <c r="H62" s="359">
        <f t="shared" ref="H62:H71" si="17">IF(OR($G62=1,$G62=2), $F62 + IF($G62=1,1,-1)*$N$23*(EXP(-$F62)/(1+EXP(-$F62))), NA())</f>
        <v>-0.81379028095872896</v>
      </c>
      <c r="I62" s="359">
        <f>IF(G62=1,H62+N(I61),N(I61))</f>
        <v>0</v>
      </c>
      <c r="J62" s="359">
        <f>IF(G62=2,H62+N(J61),N(J61))</f>
        <v>-0.81379028095872896</v>
      </c>
      <c r="K62" s="304">
        <f t="shared" ref="K62:K71" si="18">IFERROR(I62/COUNTIF($G$62:$G$71,1),"ERROR!!!")</f>
        <v>0</v>
      </c>
      <c r="L62" s="304">
        <f t="shared" ref="L62:L71" si="19">IFERROR(J62/COUNTIF($G$62:$G$71,2),"ERROR!!!")</f>
        <v>-0.1356317134931215</v>
      </c>
      <c r="M62" s="304">
        <f>IF(ROW()=62, 0, M61) + ABS(H62 - IF($G62=1, $K62, $L62))</f>
        <v>0.67815856746560743</v>
      </c>
      <c r="N62" s="304">
        <f>IF(ROW()=62, 0, N61) + ABS(H62 - IF($G62=1, $L62, $K62))</f>
        <v>0.81379028095872896</v>
      </c>
      <c r="P62" s="360"/>
      <c r="Q62" s="361"/>
      <c r="R62" s="316" t="s">
        <v>13</v>
      </c>
      <c r="S62" s="362">
        <f>IF(O71&lt;S47,O71,S47)</f>
        <v>0.3075181610342419</v>
      </c>
    </row>
    <row r="63" spans="1:25" ht="18" customHeight="1" x14ac:dyDescent="0.3">
      <c r="A63" s="259"/>
      <c r="B63" s="359">
        <v>0.40872845598398955</v>
      </c>
      <c r="C63" s="359" t="s">
        <v>5</v>
      </c>
      <c r="D63" s="359">
        <v>0.24074050000000002</v>
      </c>
      <c r="E63" s="359" t="s">
        <v>6</v>
      </c>
      <c r="F63" s="359">
        <f t="shared" ref="F63:F64" si="20">SUM(B63,D63)</f>
        <v>0.64946895598398957</v>
      </c>
      <c r="G63" s="249">
        <v>1</v>
      </c>
      <c r="H63" s="359">
        <f t="shared" si="17"/>
        <v>0.75240172104135061</v>
      </c>
      <c r="I63" s="359">
        <f>IF(G63=1,H63+N(I62),N(I62))</f>
        <v>0.75240172104135061</v>
      </c>
      <c r="J63" s="359">
        <f t="shared" ref="J63" si="21">IF(G63=2,H63+N(J62),N(J62))</f>
        <v>-0.81379028095872896</v>
      </c>
      <c r="K63" s="304">
        <f t="shared" si="18"/>
        <v>0.18810043026033765</v>
      </c>
      <c r="L63" s="304">
        <f t="shared" si="19"/>
        <v>-0.1356317134931215</v>
      </c>
      <c r="M63" s="304">
        <f t="shared" ref="M63:M71" si="22">IF(ROW()=62, 0, M62) + ABS(H63 - IF($G63=1, $K63, $L63))</f>
        <v>1.2424598582466204</v>
      </c>
      <c r="N63" s="304">
        <f t="shared" ref="N63:N71" si="23">IF(ROW()=62, 0, N62) + ABS(H63 - IF($G63=1, $L63, $K63))</f>
        <v>1.7018237154932012</v>
      </c>
      <c r="P63" s="364"/>
      <c r="Q63" s="365"/>
      <c r="R63" s="259" t="s">
        <v>17</v>
      </c>
      <c r="S63" s="366">
        <v>4</v>
      </c>
    </row>
    <row r="64" spans="1:25" ht="18" customHeight="1" x14ac:dyDescent="0.3">
      <c r="A64" s="259"/>
      <c r="B64" s="359">
        <v>-0.14942741726637135</v>
      </c>
      <c r="C64" s="359" t="s">
        <v>5</v>
      </c>
      <c r="D64" s="359">
        <v>-0.24074050000000002</v>
      </c>
      <c r="E64" s="359" t="s">
        <v>6</v>
      </c>
      <c r="F64" s="359">
        <f t="shared" si="20"/>
        <v>-0.39016791726637134</v>
      </c>
      <c r="G64" s="249">
        <v>2</v>
      </c>
      <c r="H64" s="359">
        <f t="shared" si="17"/>
        <v>-0.56906485365833848</v>
      </c>
      <c r="I64" s="359">
        <f>IF(G64=1,H64+N(I63),N(I63))</f>
        <v>0.75240172104135061</v>
      </c>
      <c r="J64" s="359">
        <f>IF(G64=2,H64+N(J63),N(J63))</f>
        <v>-1.3828551346170674</v>
      </c>
      <c r="K64" s="304">
        <f t="shared" si="18"/>
        <v>0.18810043026033765</v>
      </c>
      <c r="L64" s="304">
        <f t="shared" si="19"/>
        <v>-0.23047585576951124</v>
      </c>
      <c r="M64" s="304">
        <f t="shared" si="22"/>
        <v>1.5810488561354477</v>
      </c>
      <c r="N64" s="304">
        <f t="shared" si="23"/>
        <v>2.4589889994118774</v>
      </c>
      <c r="P64" s="368"/>
      <c r="Q64" s="369"/>
      <c r="R64" s="259" t="s">
        <v>15</v>
      </c>
      <c r="S64" s="366">
        <f>IF(O71&lt;S47,S63,S49)</f>
        <v>4</v>
      </c>
    </row>
    <row r="65" spans="1:19" ht="18" customHeight="1" x14ac:dyDescent="0.3">
      <c r="A65" s="259"/>
      <c r="B65" s="359">
        <v>0.23923915005200891</v>
      </c>
      <c r="C65" s="359" t="s">
        <v>5</v>
      </c>
      <c r="D65" s="359">
        <v>-0.24074050000000002</v>
      </c>
      <c r="E65" s="359" t="s">
        <v>6</v>
      </c>
      <c r="F65" s="359">
        <f>SUM(B65,D65)</f>
        <v>-1.5013499479911152E-3</v>
      </c>
      <c r="G65" s="249">
        <v>1</v>
      </c>
      <c r="H65" s="359">
        <f t="shared" si="17"/>
        <v>0.14861125127695748</v>
      </c>
      <c r="I65" s="359">
        <f t="shared" ref="I65:I68" si="24">IF(G65=1,H65+N(I64),N(I64))</f>
        <v>0.90101297231830813</v>
      </c>
      <c r="J65" s="359">
        <f t="shared" ref="J65:J71" si="25">IF(G65=2,H65+N(J64),N(J64))</f>
        <v>-1.3828551346170674</v>
      </c>
      <c r="K65" s="304">
        <f t="shared" si="18"/>
        <v>0.22525324307957703</v>
      </c>
      <c r="L65" s="304">
        <f t="shared" si="19"/>
        <v>-0.23047585576951124</v>
      </c>
      <c r="M65" s="304">
        <f t="shared" si="22"/>
        <v>1.6576908479380672</v>
      </c>
      <c r="N65" s="304">
        <f t="shared" si="23"/>
        <v>2.8380761064583462</v>
      </c>
    </row>
    <row r="66" spans="1:19" ht="18" customHeight="1" x14ac:dyDescent="0.3">
      <c r="A66" s="259"/>
      <c r="B66" s="359">
        <v>0.40872845598398955</v>
      </c>
      <c r="C66" s="359" t="s">
        <v>5</v>
      </c>
      <c r="D66" s="359">
        <v>0.24074050000000002</v>
      </c>
      <c r="E66" s="359" t="s">
        <v>6</v>
      </c>
      <c r="F66" s="359">
        <f t="shared" ref="F66" si="26">SUM(B66,D66)</f>
        <v>0.64946895598398957</v>
      </c>
      <c r="G66" s="249">
        <v>1</v>
      </c>
      <c r="H66" s="359">
        <f t="shared" si="17"/>
        <v>0.75240172104135061</v>
      </c>
      <c r="I66" s="359">
        <f t="shared" si="24"/>
        <v>1.6534146933596587</v>
      </c>
      <c r="J66" s="359">
        <f t="shared" si="25"/>
        <v>-1.3828551346170674</v>
      </c>
      <c r="K66" s="304">
        <f t="shared" si="18"/>
        <v>0.41335367333991468</v>
      </c>
      <c r="L66" s="304">
        <f t="shared" si="19"/>
        <v>-0.23047585576951124</v>
      </c>
      <c r="M66" s="304">
        <f t="shared" si="22"/>
        <v>1.9967388956395031</v>
      </c>
      <c r="N66" s="304">
        <f t="shared" si="23"/>
        <v>3.8209536832692081</v>
      </c>
    </row>
    <row r="67" spans="1:19" ht="18" customHeight="1" x14ac:dyDescent="0.3">
      <c r="A67" s="259"/>
      <c r="B67" s="359">
        <v>0.23923915005200891</v>
      </c>
      <c r="C67" s="359" t="s">
        <v>5</v>
      </c>
      <c r="D67" s="359">
        <v>0.24074050000000002</v>
      </c>
      <c r="E67" s="359" t="s">
        <v>6</v>
      </c>
      <c r="F67" s="359">
        <f>SUM(B67,D67)</f>
        <v>0.47997965005200893</v>
      </c>
      <c r="G67" s="249">
        <v>1</v>
      </c>
      <c r="H67" s="359">
        <f t="shared" si="17"/>
        <v>0.59465672922785306</v>
      </c>
      <c r="I67" s="359">
        <f>IF(G67=1,H67+N(I66),N(I66))</f>
        <v>2.248071422587512</v>
      </c>
      <c r="J67" s="359">
        <f t="shared" si="25"/>
        <v>-1.3828551346170674</v>
      </c>
      <c r="K67" s="304">
        <f t="shared" si="18"/>
        <v>0.56201785564687801</v>
      </c>
      <c r="L67" s="304">
        <f t="shared" si="19"/>
        <v>-0.23047585576951124</v>
      </c>
      <c r="M67" s="304">
        <f t="shared" si="22"/>
        <v>2.0293777692204782</v>
      </c>
      <c r="N67" s="304">
        <f t="shared" si="23"/>
        <v>4.646086268266572</v>
      </c>
    </row>
    <row r="68" spans="1:19" ht="18" customHeight="1" x14ac:dyDescent="0.3">
      <c r="A68" s="259"/>
      <c r="B68" s="359">
        <v>-0.32058777621177315</v>
      </c>
      <c r="C68" s="359" t="s">
        <v>5</v>
      </c>
      <c r="D68" s="359">
        <v>-0.24074050000000002</v>
      </c>
      <c r="E68" s="359" t="s">
        <v>6</v>
      </c>
      <c r="F68" s="359">
        <f t="shared" ref="F68:F71" si="27">SUM(B68,D68)</f>
        <v>-0.56132827621177317</v>
      </c>
      <c r="G68" s="249">
        <v>2</v>
      </c>
      <c r="H68" s="359">
        <f t="shared" si="17"/>
        <v>-0.75235622282014791</v>
      </c>
      <c r="I68" s="359">
        <f t="shared" si="24"/>
        <v>2.248071422587512</v>
      </c>
      <c r="J68" s="359">
        <f t="shared" si="25"/>
        <v>-2.1352113574372154</v>
      </c>
      <c r="K68" s="304">
        <f t="shared" si="18"/>
        <v>0.56201785564687801</v>
      </c>
      <c r="L68" s="304">
        <f t="shared" si="19"/>
        <v>-0.35586855957286923</v>
      </c>
      <c r="M68" s="304">
        <f t="shared" si="22"/>
        <v>2.4258654324677567</v>
      </c>
      <c r="N68" s="304">
        <f t="shared" si="23"/>
        <v>5.9604603467335977</v>
      </c>
    </row>
    <row r="69" spans="1:19" ht="18" customHeight="1" x14ac:dyDescent="0.3">
      <c r="A69" s="259"/>
      <c r="B69" s="359">
        <v>-0.37806568533891394</v>
      </c>
      <c r="C69" s="359" t="s">
        <v>5</v>
      </c>
      <c r="D69" s="359">
        <v>0.24074050000000002</v>
      </c>
      <c r="E69" s="359" t="s">
        <v>6</v>
      </c>
      <c r="F69" s="359">
        <f t="shared" si="27"/>
        <v>-0.13732518533891391</v>
      </c>
      <c r="G69" s="249">
        <v>2</v>
      </c>
      <c r="H69" s="359">
        <f t="shared" si="17"/>
        <v>-0.29760841903754515</v>
      </c>
      <c r="I69" s="359">
        <f>IF(G69=1,H69+N(I68),N(I68))</f>
        <v>2.248071422587512</v>
      </c>
      <c r="J69" s="359">
        <f t="shared" si="25"/>
        <v>-2.4328197764747603</v>
      </c>
      <c r="K69" s="304">
        <f t="shared" si="18"/>
        <v>0.56201785564687801</v>
      </c>
      <c r="L69" s="304">
        <f t="shared" si="19"/>
        <v>-0.40546996274579339</v>
      </c>
      <c r="M69" s="304">
        <f t="shared" si="22"/>
        <v>2.5337269761760051</v>
      </c>
      <c r="N69" s="304">
        <f t="shared" si="23"/>
        <v>6.8200866214180209</v>
      </c>
      <c r="O69" s="354"/>
    </row>
    <row r="70" spans="1:19" ht="18" customHeight="1" x14ac:dyDescent="0.3">
      <c r="A70" s="259"/>
      <c r="B70" s="359">
        <v>-0.37806568533891394</v>
      </c>
      <c r="C70" s="359" t="s">
        <v>5</v>
      </c>
      <c r="D70" s="359">
        <v>-0.24074050000000002</v>
      </c>
      <c r="E70" s="359" t="s">
        <v>6</v>
      </c>
      <c r="F70" s="359">
        <f>SUM(B70,D70)</f>
        <v>-0.61880618533891396</v>
      </c>
      <c r="G70" s="249">
        <v>2</v>
      </c>
      <c r="H70" s="359">
        <f t="shared" si="17"/>
        <v>-0.81379028095872896</v>
      </c>
      <c r="I70" s="359">
        <f>IF(G70=1,H70+N(I69),N(I69))</f>
        <v>2.248071422587512</v>
      </c>
      <c r="J70" s="359">
        <f>IF(G70=2,H70+N(J69),N(J69))</f>
        <v>-3.2466100574334895</v>
      </c>
      <c r="K70" s="304">
        <f t="shared" si="18"/>
        <v>0.56201785564687801</v>
      </c>
      <c r="L70" s="304">
        <f t="shared" si="19"/>
        <v>-0.54110167623891492</v>
      </c>
      <c r="M70" s="304">
        <f t="shared" si="22"/>
        <v>2.8064155808958189</v>
      </c>
      <c r="N70" s="304">
        <f t="shared" si="23"/>
        <v>8.195894758023627</v>
      </c>
      <c r="O70" s="358"/>
    </row>
    <row r="71" spans="1:19" ht="18" customHeight="1" x14ac:dyDescent="0.3">
      <c r="A71" s="259"/>
      <c r="B71" s="359">
        <v>-0.37806568533891394</v>
      </c>
      <c r="C71" s="359" t="s">
        <v>5</v>
      </c>
      <c r="D71" s="359">
        <v>-0.24074050000000002</v>
      </c>
      <c r="E71" s="359" t="s">
        <v>6</v>
      </c>
      <c r="F71" s="359">
        <f t="shared" si="27"/>
        <v>-0.61880618533891396</v>
      </c>
      <c r="G71" s="249">
        <v>2</v>
      </c>
      <c r="H71" s="359">
        <f t="shared" si="17"/>
        <v>-0.81379028095872896</v>
      </c>
      <c r="I71" s="359">
        <f t="shared" ref="I71" si="28">IF(G71=1,H71+N(I70),N(I70))</f>
        <v>2.248071422587512</v>
      </c>
      <c r="J71" s="359">
        <f t="shared" si="25"/>
        <v>-4.0604003383922187</v>
      </c>
      <c r="K71" s="304">
        <f t="shared" si="18"/>
        <v>0.56201785564687801</v>
      </c>
      <c r="L71" s="304">
        <f t="shared" si="19"/>
        <v>-0.67673338973203645</v>
      </c>
      <c r="M71" s="304">
        <f t="shared" si="22"/>
        <v>2.9434724721225116</v>
      </c>
      <c r="N71" s="304">
        <f t="shared" si="23"/>
        <v>9.5717028946292331</v>
      </c>
      <c r="O71" s="373">
        <f>M71/N71</f>
        <v>0.3075181610342419</v>
      </c>
    </row>
    <row r="75" spans="1:19" ht="18" customHeight="1" x14ac:dyDescent="0.3">
      <c r="A75" s="281" t="s">
        <v>10</v>
      </c>
      <c r="B75" s="282"/>
      <c r="C75" s="282"/>
      <c r="D75" s="282"/>
      <c r="E75" s="282"/>
      <c r="F75" s="283"/>
      <c r="G75" s="350"/>
      <c r="H75" s="281" t="s">
        <v>9</v>
      </c>
      <c r="I75" s="282"/>
      <c r="J75" s="282"/>
      <c r="K75" s="282"/>
      <c r="L75" s="282"/>
      <c r="M75" s="282"/>
      <c r="N75" s="283"/>
    </row>
    <row r="76" spans="1:19" ht="18" customHeight="1" x14ac:dyDescent="0.3">
      <c r="A76" s="351"/>
      <c r="B76" s="352"/>
      <c r="C76" s="353" t="s">
        <v>5</v>
      </c>
      <c r="D76" s="354"/>
      <c r="E76" s="353" t="s">
        <v>6</v>
      </c>
      <c r="F76" s="354"/>
      <c r="G76" s="240" t="s">
        <v>8</v>
      </c>
      <c r="H76" s="355"/>
      <c r="I76" s="356"/>
      <c r="J76" s="356"/>
      <c r="K76" s="357"/>
      <c r="L76" s="357"/>
      <c r="M76" s="358"/>
      <c r="N76" s="358"/>
      <c r="P76" s="269" t="s">
        <v>27</v>
      </c>
      <c r="Q76" s="269"/>
      <c r="R76" s="269"/>
      <c r="S76" s="269"/>
    </row>
    <row r="77" spans="1:19" ht="18" customHeight="1" x14ac:dyDescent="0.3">
      <c r="A77" s="259"/>
      <c r="B77" s="359">
        <v>-0.37806568533891394</v>
      </c>
      <c r="C77" s="359" t="s">
        <v>5</v>
      </c>
      <c r="D77" s="359">
        <v>-5.3571500000000001E-2</v>
      </c>
      <c r="E77" s="359" t="s">
        <v>6</v>
      </c>
      <c r="F77" s="359">
        <f>SUM(B77,D77)</f>
        <v>-0.43163718533891393</v>
      </c>
      <c r="G77" s="249">
        <v>2</v>
      </c>
      <c r="H77" s="359">
        <f t="shared" ref="H77:H86" si="29">IF(OR($G77=1,$G77=2), $F77 + IF($G77=1,1,-1)*$N$23*(EXP(-$F77)/(1+EXP(-$F77))), NA())</f>
        <v>-0.6135165489389891</v>
      </c>
      <c r="I77" s="359">
        <f>IF(G77=1,H77+N(I76),N(I76))</f>
        <v>0</v>
      </c>
      <c r="J77" s="359">
        <f>IF(G77=2,H77+N(J76),N(J76))</f>
        <v>-0.6135165489389891</v>
      </c>
      <c r="K77" s="304">
        <f t="shared" ref="K77:K86" si="30">IFERROR(I77/COUNTIF($G$77:$G$86,1),"ERROR!!!")</f>
        <v>0</v>
      </c>
      <c r="L77" s="304">
        <f t="shared" ref="L77:L86" si="31">IFERROR(J77/COUNTIF($G$77:$G$86,2),"ERROR!!!")</f>
        <v>-0.10225275815649819</v>
      </c>
      <c r="M77" s="304">
        <f>IF(ROW()=77, 0, M76) + ABS(H77 - IF($G77=1, $K77, $L77))</f>
        <v>0.51126379078249096</v>
      </c>
      <c r="N77" s="304">
        <f>IF(ROW()=77, 0, N76) + ABS(H77 - IF($G77=1, $L77, $K77))</f>
        <v>0.6135165489389891</v>
      </c>
      <c r="P77" s="360"/>
      <c r="Q77" s="361"/>
      <c r="R77" s="316" t="s">
        <v>13</v>
      </c>
      <c r="S77" s="362">
        <f>IF(O86&lt;S62,O86,S62)</f>
        <v>0.28261554505845599</v>
      </c>
    </row>
    <row r="78" spans="1:19" ht="18" customHeight="1" x14ac:dyDescent="0.3">
      <c r="A78" s="259"/>
      <c r="B78" s="359">
        <v>0.40872845598398955</v>
      </c>
      <c r="C78" s="359" t="s">
        <v>5</v>
      </c>
      <c r="D78" s="359">
        <v>-5.3571500000000001E-2</v>
      </c>
      <c r="E78" s="359" t="s">
        <v>6</v>
      </c>
      <c r="F78" s="359">
        <f t="shared" ref="F78:F79" si="32">SUM(B78,D78)</f>
        <v>0.35515695598398955</v>
      </c>
      <c r="G78" s="249">
        <v>1</v>
      </c>
      <c r="H78" s="359">
        <f t="shared" si="29"/>
        <v>0.47879668612657672</v>
      </c>
      <c r="I78" s="359">
        <f>IF(G78=1,H78+N(I77),N(I77))</f>
        <v>0.47879668612657672</v>
      </c>
      <c r="J78" s="359">
        <f t="shared" ref="J78" si="33">IF(G78=2,H78+N(J77),N(J77))</f>
        <v>-0.6135165489389891</v>
      </c>
      <c r="K78" s="304">
        <f t="shared" si="30"/>
        <v>0.11969917153164418</v>
      </c>
      <c r="L78" s="304">
        <f t="shared" si="31"/>
        <v>-0.10225275815649819</v>
      </c>
      <c r="M78" s="304">
        <f t="shared" ref="M78:M86" si="34">IF(ROW()=77, 0, M77) + ABS(H78 - IF($G78=1, $K78, $L78))</f>
        <v>0.87036130537742351</v>
      </c>
      <c r="N78" s="304">
        <f t="shared" ref="N78:N85" si="35">IF(ROW()=77, 0, N77) + ABS(H78 - IF($G78=1, $L78, $K78))</f>
        <v>1.194565993222064</v>
      </c>
      <c r="P78" s="364"/>
      <c r="Q78" s="365"/>
      <c r="R78" s="259" t="s">
        <v>17</v>
      </c>
      <c r="S78" s="366">
        <v>5</v>
      </c>
    </row>
    <row r="79" spans="1:19" ht="18" customHeight="1" x14ac:dyDescent="0.3">
      <c r="A79" s="259"/>
      <c r="B79" s="359">
        <v>-0.14942741726637135</v>
      </c>
      <c r="C79" s="359" t="s">
        <v>5</v>
      </c>
      <c r="D79" s="359">
        <v>-5.3571500000000001E-2</v>
      </c>
      <c r="E79" s="359" t="s">
        <v>6</v>
      </c>
      <c r="F79" s="359">
        <f t="shared" si="32"/>
        <v>-0.20299891726637134</v>
      </c>
      <c r="G79" s="249">
        <v>2</v>
      </c>
      <c r="H79" s="359">
        <f t="shared" si="29"/>
        <v>-0.3681717675355668</v>
      </c>
      <c r="I79" s="359">
        <f>IF(G79=1,H79+N(I78),N(I78))</f>
        <v>0.47879668612657672</v>
      </c>
      <c r="J79" s="359">
        <f>IF(G79=2,H79+N(J78),N(J78))</f>
        <v>-0.9816883164745559</v>
      </c>
      <c r="K79" s="304">
        <f t="shared" si="30"/>
        <v>0.11969917153164418</v>
      </c>
      <c r="L79" s="304">
        <f t="shared" si="31"/>
        <v>-0.16361471941242597</v>
      </c>
      <c r="M79" s="304">
        <f t="shared" si="34"/>
        <v>1.0749183535005644</v>
      </c>
      <c r="N79" s="304">
        <f t="shared" si="35"/>
        <v>1.6824369322892749</v>
      </c>
      <c r="P79" s="368"/>
      <c r="Q79" s="369"/>
      <c r="R79" s="259" t="s">
        <v>15</v>
      </c>
      <c r="S79" s="366">
        <f>IF(O86&lt;S62,S78,S64)</f>
        <v>5</v>
      </c>
    </row>
    <row r="80" spans="1:19" ht="18" customHeight="1" x14ac:dyDescent="0.3">
      <c r="A80" s="259"/>
      <c r="B80" s="359">
        <v>0.23923915005200891</v>
      </c>
      <c r="C80" s="359" t="s">
        <v>5</v>
      </c>
      <c r="D80" s="359">
        <v>-5.3571500000000001E-2</v>
      </c>
      <c r="E80" s="359" t="s">
        <v>6</v>
      </c>
      <c r="F80" s="359">
        <f>SUM(B80,D80)</f>
        <v>0.18566765005200891</v>
      </c>
      <c r="G80" s="249">
        <v>1</v>
      </c>
      <c r="H80" s="359">
        <f t="shared" si="29"/>
        <v>0.32178244152631752</v>
      </c>
      <c r="I80" s="359">
        <f t="shared" ref="I80:I81" si="36">IF(G80=1,H80+N(I79),N(I79))</f>
        <v>0.80057912765289418</v>
      </c>
      <c r="J80" s="359">
        <f>IF(G80=2,H80+N(J79),N(J79))</f>
        <v>-0.9816883164745559</v>
      </c>
      <c r="K80" s="304">
        <f t="shared" si="30"/>
        <v>0.20014478191322355</v>
      </c>
      <c r="L80" s="304">
        <f t="shared" si="31"/>
        <v>-0.16361471941242597</v>
      </c>
      <c r="M80" s="304">
        <f t="shared" si="34"/>
        <v>1.1965560131136583</v>
      </c>
      <c r="N80" s="304">
        <f t="shared" si="35"/>
        <v>2.1678340932280182</v>
      </c>
    </row>
    <row r="81" spans="1:19" ht="18" customHeight="1" x14ac:dyDescent="0.3">
      <c r="A81" s="259"/>
      <c r="B81" s="359">
        <v>0.40872845598398955</v>
      </c>
      <c r="C81" s="359" t="s">
        <v>5</v>
      </c>
      <c r="D81" s="359">
        <v>-5.3571500000000001E-2</v>
      </c>
      <c r="E81" s="359" t="s">
        <v>6</v>
      </c>
      <c r="F81" s="359">
        <f>SUM(B81,D81)</f>
        <v>0.35515695598398955</v>
      </c>
      <c r="G81" s="249">
        <v>1</v>
      </c>
      <c r="H81" s="359">
        <f t="shared" si="29"/>
        <v>0.47879668612657672</v>
      </c>
      <c r="I81" s="359">
        <f t="shared" si="36"/>
        <v>1.2793758137794708</v>
      </c>
      <c r="J81" s="359">
        <f t="shared" ref="J81:J84" si="37">IF(G81=2,H81+N(J80),N(J80))</f>
        <v>-0.9816883164745559</v>
      </c>
      <c r="K81" s="304">
        <f t="shared" si="30"/>
        <v>0.31984395344486771</v>
      </c>
      <c r="L81" s="304">
        <f t="shared" si="31"/>
        <v>-0.16361471941242597</v>
      </c>
      <c r="M81" s="304">
        <f t="shared" si="34"/>
        <v>1.3555087457953674</v>
      </c>
      <c r="N81" s="304">
        <f>IF(ROW()=77, 0, N80) + ABS(H81 - IF($G81=1, $L81, $K81))</f>
        <v>2.8102454987670207</v>
      </c>
    </row>
    <row r="82" spans="1:19" ht="18" customHeight="1" x14ac:dyDescent="0.3">
      <c r="A82" s="259"/>
      <c r="B82" s="359">
        <v>0.23923915005200891</v>
      </c>
      <c r="C82" s="359" t="s">
        <v>5</v>
      </c>
      <c r="D82" s="359">
        <v>5.3571500000000001E-2</v>
      </c>
      <c r="E82" s="359" t="s">
        <v>6</v>
      </c>
      <c r="F82" s="359">
        <f>SUM(B82,D82)</f>
        <v>0.2928106500520089</v>
      </c>
      <c r="G82" s="249">
        <v>1</v>
      </c>
      <c r="H82" s="359">
        <f t="shared" si="29"/>
        <v>0.42100542397142571</v>
      </c>
      <c r="I82" s="359">
        <f>IF(G82=1,H82+N(I81),N(I81))</f>
        <v>1.7003812377508964</v>
      </c>
      <c r="J82" s="359">
        <f>IF(G82=2,H82+N(J81),N(J81))</f>
        <v>-0.9816883164745559</v>
      </c>
      <c r="K82" s="304">
        <f t="shared" si="30"/>
        <v>0.42509530943772411</v>
      </c>
      <c r="L82" s="304">
        <f t="shared" si="31"/>
        <v>-0.16361471941242597</v>
      </c>
      <c r="M82" s="304">
        <f t="shared" si="34"/>
        <v>1.3595986312616657</v>
      </c>
      <c r="N82" s="304">
        <f t="shared" si="35"/>
        <v>3.3948656421508723</v>
      </c>
    </row>
    <row r="83" spans="1:19" ht="18" customHeight="1" x14ac:dyDescent="0.3">
      <c r="A83" s="259"/>
      <c r="B83" s="359">
        <v>-0.32058777621177315</v>
      </c>
      <c r="C83" s="359" t="s">
        <v>5</v>
      </c>
      <c r="D83" s="359">
        <v>-5.3571500000000001E-2</v>
      </c>
      <c r="E83" s="359" t="s">
        <v>6</v>
      </c>
      <c r="F83" s="359">
        <f t="shared" ref="F83:F84" si="38">SUM(B83,D83)</f>
        <v>-0.37415927621177314</v>
      </c>
      <c r="G83" s="249">
        <v>2</v>
      </c>
      <c r="H83" s="359">
        <f t="shared" si="29"/>
        <v>-0.55189836298691197</v>
      </c>
      <c r="I83" s="359">
        <f t="shared" ref="I83" si="39">IF(G83=1,H83+N(I82),N(I82))</f>
        <v>1.7003812377508964</v>
      </c>
      <c r="J83" s="359">
        <f t="shared" si="37"/>
        <v>-1.5335866794614679</v>
      </c>
      <c r="K83" s="304">
        <f t="shared" si="30"/>
        <v>0.42509530943772411</v>
      </c>
      <c r="L83" s="304">
        <f t="shared" si="31"/>
        <v>-0.25559777991024463</v>
      </c>
      <c r="M83" s="304">
        <f t="shared" si="34"/>
        <v>1.6558992143383331</v>
      </c>
      <c r="N83" s="304">
        <f t="shared" si="35"/>
        <v>4.3718593145755085</v>
      </c>
    </row>
    <row r="84" spans="1:19" ht="18" customHeight="1" x14ac:dyDescent="0.3">
      <c r="A84" s="259"/>
      <c r="B84" s="359">
        <v>-0.37806568533891394</v>
      </c>
      <c r="C84" s="359" t="s">
        <v>5</v>
      </c>
      <c r="D84" s="359">
        <v>-5.3571500000000001E-2</v>
      </c>
      <c r="E84" s="359" t="s">
        <v>6</v>
      </c>
      <c r="F84" s="359">
        <f t="shared" si="38"/>
        <v>-0.43163718533891393</v>
      </c>
      <c r="G84" s="249">
        <v>2</v>
      </c>
      <c r="H84" s="359">
        <f t="shared" si="29"/>
        <v>-0.6135165489389891</v>
      </c>
      <c r="I84" s="359">
        <f>IF(G84=1,H84+N(I83),N(I83))</f>
        <v>1.7003812377508964</v>
      </c>
      <c r="J84" s="359">
        <f t="shared" si="37"/>
        <v>-2.1471032284004572</v>
      </c>
      <c r="K84" s="304">
        <f t="shared" si="30"/>
        <v>0.42509530943772411</v>
      </c>
      <c r="L84" s="304">
        <f t="shared" si="31"/>
        <v>-0.35785053806674288</v>
      </c>
      <c r="M84" s="304">
        <f t="shared" si="34"/>
        <v>1.9115652252105793</v>
      </c>
      <c r="N84" s="304">
        <f t="shared" si="35"/>
        <v>5.4104711729522217</v>
      </c>
      <c r="O84" s="354"/>
    </row>
    <row r="85" spans="1:19" ht="18" customHeight="1" x14ac:dyDescent="0.3">
      <c r="A85" s="259"/>
      <c r="B85" s="359">
        <v>-0.37806568533891394</v>
      </c>
      <c r="C85" s="359" t="s">
        <v>5</v>
      </c>
      <c r="D85" s="359">
        <v>-5.3571500000000001E-2</v>
      </c>
      <c r="E85" s="359" t="s">
        <v>6</v>
      </c>
      <c r="F85" s="359">
        <f>SUM(B85,D85)</f>
        <v>-0.43163718533891393</v>
      </c>
      <c r="G85" s="249">
        <v>2</v>
      </c>
      <c r="H85" s="359">
        <f t="shared" si="29"/>
        <v>-0.6135165489389891</v>
      </c>
      <c r="I85" s="359">
        <f>IF(G85=1,H85+N(I84),N(I84))</f>
        <v>1.7003812377508964</v>
      </c>
      <c r="J85" s="359">
        <f>IF(G85=2,H85+N(J84),N(J84))</f>
        <v>-2.7606197773394463</v>
      </c>
      <c r="K85" s="304">
        <f t="shared" si="30"/>
        <v>0.42509530943772411</v>
      </c>
      <c r="L85" s="304">
        <f t="shared" si="31"/>
        <v>-0.46010329622324103</v>
      </c>
      <c r="M85" s="304">
        <f t="shared" si="34"/>
        <v>2.0649784779263274</v>
      </c>
      <c r="N85" s="304">
        <f t="shared" si="35"/>
        <v>6.4490830313289349</v>
      </c>
      <c r="O85" s="358"/>
    </row>
    <row r="86" spans="1:19" ht="18" customHeight="1" x14ac:dyDescent="0.3">
      <c r="A86" s="259"/>
      <c r="B86" s="359">
        <v>-0.37806568533891394</v>
      </c>
      <c r="C86" s="359" t="s">
        <v>5</v>
      </c>
      <c r="D86" s="359">
        <v>-5.3571500000000001E-2</v>
      </c>
      <c r="E86" s="359" t="s">
        <v>6</v>
      </c>
      <c r="F86" s="359">
        <f t="shared" ref="F86" si="40">SUM(B86,D86)</f>
        <v>-0.43163718533891393</v>
      </c>
      <c r="G86" s="249">
        <v>2</v>
      </c>
      <c r="H86" s="359">
        <f t="shared" si="29"/>
        <v>-0.6135165489389891</v>
      </c>
      <c r="I86" s="359">
        <f t="shared" ref="I86" si="41">IF(G86=1,H86+N(I85),N(I85))</f>
        <v>1.7003812377508964</v>
      </c>
      <c r="J86" s="359">
        <f t="shared" ref="J86" si="42">IF(G86=2,H86+N(J85),N(J85))</f>
        <v>-3.3741363262784354</v>
      </c>
      <c r="K86" s="304">
        <f t="shared" si="30"/>
        <v>0.42509530943772411</v>
      </c>
      <c r="L86" s="304">
        <f t="shared" si="31"/>
        <v>-0.56235605437973923</v>
      </c>
      <c r="M86" s="304">
        <f t="shared" si="34"/>
        <v>2.1161389724855773</v>
      </c>
      <c r="N86" s="304">
        <f>IF(ROW()=77, 0, N85) + ABS(H86 - IF($G86=1, $L86, $K86))</f>
        <v>7.4876948897056481</v>
      </c>
      <c r="O86" s="373">
        <f>M86/N86</f>
        <v>0.28261554505845599</v>
      </c>
    </row>
    <row r="89" spans="1:19" ht="14.4" customHeight="1" x14ac:dyDescent="0.3"/>
    <row r="90" spans="1:19" ht="18" customHeight="1" x14ac:dyDescent="0.3">
      <c r="A90" s="281" t="s">
        <v>10</v>
      </c>
      <c r="B90" s="282"/>
      <c r="C90" s="282"/>
      <c r="D90" s="282"/>
      <c r="E90" s="282"/>
      <c r="F90" s="283"/>
      <c r="G90" s="350"/>
      <c r="H90" s="281" t="s">
        <v>9</v>
      </c>
      <c r="I90" s="282"/>
      <c r="J90" s="282"/>
      <c r="K90" s="282"/>
      <c r="L90" s="282"/>
      <c r="M90" s="282"/>
      <c r="N90" s="283"/>
    </row>
    <row r="91" spans="1:19" ht="18" customHeight="1" x14ac:dyDescent="0.3">
      <c r="A91" s="351"/>
      <c r="B91" s="352"/>
      <c r="C91" s="353" t="s">
        <v>5</v>
      </c>
      <c r="D91" s="354"/>
      <c r="E91" s="353" t="s">
        <v>6</v>
      </c>
      <c r="F91" s="354"/>
      <c r="G91" s="240" t="s">
        <v>8</v>
      </c>
      <c r="H91" s="355"/>
      <c r="I91" s="356"/>
      <c r="J91" s="356"/>
      <c r="K91" s="357"/>
      <c r="L91" s="357"/>
      <c r="M91" s="358"/>
      <c r="N91" s="358"/>
      <c r="P91" s="269" t="s">
        <v>27</v>
      </c>
      <c r="Q91" s="269"/>
      <c r="R91" s="269"/>
      <c r="S91" s="269"/>
    </row>
    <row r="92" spans="1:19" ht="18" customHeight="1" x14ac:dyDescent="0.3">
      <c r="A92" s="259"/>
      <c r="B92" s="359">
        <v>-0.37806568533891394</v>
      </c>
      <c r="C92" s="359" t="s">
        <v>5</v>
      </c>
      <c r="D92" s="359">
        <v>-0.14285714285714288</v>
      </c>
      <c r="E92" s="359" t="s">
        <v>6</v>
      </c>
      <c r="F92" s="359">
        <f>SUM(B92,D92)</f>
        <v>-0.52092282819605684</v>
      </c>
      <c r="G92" s="249">
        <v>2</v>
      </c>
      <c r="H92" s="359">
        <f t="shared" ref="H92:H101" si="43">IF(OR($G92=1,$G92=2), $F92 + IF($G92=1,1,-1)*$N$23*(EXP(-$F92)/(1+EXP(-$F92))), NA())</f>
        <v>-0.70913188691944196</v>
      </c>
      <c r="I92" s="359">
        <f>IF(G92=1,H92+N(I91),N(I91))</f>
        <v>0</v>
      </c>
      <c r="J92" s="359">
        <f>IF(G92=2,H92+N(J91),N(J91))</f>
        <v>-0.70913188691944196</v>
      </c>
      <c r="K92" s="304">
        <f>IFERROR(I92/COUNTIF($G$92:$G$101,1),"ERROR!!!")</f>
        <v>0</v>
      </c>
      <c r="L92" s="304">
        <f>IFERROR(J92/COUNTIF($G$92:$G$101,2),"ERROR!!!")</f>
        <v>-0.118188647819907</v>
      </c>
      <c r="M92" s="304">
        <f>IF(ROW()=92, 0, M91) + ABS(H92 - IF($G92=1, $K92, $L92))</f>
        <v>0.59094323909953494</v>
      </c>
      <c r="N92" s="304">
        <f>IF(ROW()=92, 0, N91) + ABS(H92 - IF($G92=1, $L92, $K92))</f>
        <v>0.70913188691944196</v>
      </c>
      <c r="P92" s="360"/>
      <c r="Q92" s="361"/>
      <c r="R92" s="316" t="s">
        <v>13</v>
      </c>
      <c r="S92" s="362">
        <f>IF(O101&lt;S77,O101,S77)</f>
        <v>0.28261554505845599</v>
      </c>
    </row>
    <row r="93" spans="1:19" ht="18" customHeight="1" x14ac:dyDescent="0.3">
      <c r="A93" s="259"/>
      <c r="B93" s="359">
        <v>0.40872845598398955</v>
      </c>
      <c r="C93" s="359" t="s">
        <v>5</v>
      </c>
      <c r="D93" s="359">
        <v>-0.14285714285714288</v>
      </c>
      <c r="E93" s="359" t="s">
        <v>6</v>
      </c>
      <c r="F93" s="359">
        <f>SUM(B93,D93)</f>
        <v>0.26587131312684664</v>
      </c>
      <c r="G93" s="249">
        <v>1</v>
      </c>
      <c r="H93" s="359">
        <f t="shared" si="43"/>
        <v>0.39604760144156603</v>
      </c>
      <c r="I93" s="359">
        <f>IF(G93=1,H93+N(I92),N(I92))</f>
        <v>0.39604760144156603</v>
      </c>
      <c r="J93" s="359">
        <f t="shared" ref="J93" si="44">IF(G93=2,H93+N(J92),N(J92))</f>
        <v>-0.70913188691944196</v>
      </c>
      <c r="K93" s="304">
        <f t="shared" ref="K93:K101" si="45">IFERROR(I93/COUNTIF($G$92:$G$101,1),"ERROR!!!")</f>
        <v>9.9011900360391508E-2</v>
      </c>
      <c r="L93" s="304">
        <f t="shared" ref="L93:L101" si="46">IFERROR(J93/COUNTIF($G$92:$G$101,2),"ERROR!!!")</f>
        <v>-0.118188647819907</v>
      </c>
      <c r="M93" s="304">
        <f t="shared" ref="M93:M101" si="47">IF(ROW()=92, 0, M92) + ABS(H93 - IF($G93=1, $K93, $L93))</f>
        <v>0.88797894018070944</v>
      </c>
      <c r="N93" s="304">
        <f t="shared" ref="N93:N101" si="48">IF(ROW()=92, 0, N92) + ABS(H93 - IF($G93=1, $L93, $K93))</f>
        <v>1.223368136180915</v>
      </c>
      <c r="P93" s="364"/>
      <c r="Q93" s="365"/>
      <c r="R93" s="259" t="s">
        <v>17</v>
      </c>
      <c r="S93" s="366">
        <v>7</v>
      </c>
    </row>
    <row r="94" spans="1:19" ht="18" customHeight="1" x14ac:dyDescent="0.3">
      <c r="A94" s="259"/>
      <c r="B94" s="359">
        <v>-0.14942741726637135</v>
      </c>
      <c r="C94" s="359" t="s">
        <v>5</v>
      </c>
      <c r="D94" s="359">
        <v>0.14285714285714288</v>
      </c>
      <c r="E94" s="359" t="s">
        <v>6</v>
      </c>
      <c r="F94" s="359">
        <f t="shared" ref="F94" si="49">SUM(B94,D94)</f>
        <v>-6.5702744092284715E-3</v>
      </c>
      <c r="G94" s="249">
        <v>2</v>
      </c>
      <c r="H94" s="359">
        <f>IF(OR($G94=1,$G94=2), $F94 + IF($G94=1,1,-1)*$N$23*(EXP(-$F94)/(1+EXP(-$F94))), NA())</f>
        <v>-0.15706304321724743</v>
      </c>
      <c r="I94" s="359">
        <f>IF(G94=1,H94+N(I93),N(I93))</f>
        <v>0.39604760144156603</v>
      </c>
      <c r="J94" s="359">
        <f>IF(G94=2,H94+N(J93),N(J93))</f>
        <v>-0.86619493013668936</v>
      </c>
      <c r="K94" s="304">
        <f t="shared" si="45"/>
        <v>9.9011900360391508E-2</v>
      </c>
      <c r="L94" s="304">
        <f t="shared" si="46"/>
        <v>-0.14436582168944823</v>
      </c>
      <c r="M94" s="304">
        <f t="shared" si="47"/>
        <v>0.90067616170850862</v>
      </c>
      <c r="N94" s="304">
        <f t="shared" si="48"/>
        <v>1.4794430797585538</v>
      </c>
      <c r="P94" s="368"/>
      <c r="Q94" s="369"/>
      <c r="R94" s="259" t="s">
        <v>15</v>
      </c>
      <c r="S94" s="366">
        <f>IF(O101&lt;S77,S93,S79)</f>
        <v>5</v>
      </c>
    </row>
    <row r="95" spans="1:19" ht="18" customHeight="1" x14ac:dyDescent="0.3">
      <c r="A95" s="259"/>
      <c r="B95" s="359">
        <v>0.23923915005200891</v>
      </c>
      <c r="C95" s="359" t="s">
        <v>5</v>
      </c>
      <c r="D95" s="359">
        <v>0.14285714285714288</v>
      </c>
      <c r="E95" s="359" t="s">
        <v>6</v>
      </c>
      <c r="F95" s="359">
        <f>SUM(B95,D95)</f>
        <v>0.38209629290915181</v>
      </c>
      <c r="G95" s="249">
        <v>1</v>
      </c>
      <c r="H95" s="359">
        <f t="shared" si="43"/>
        <v>0.50378271181903655</v>
      </c>
      <c r="I95" s="359">
        <f t="shared" ref="I95:I96" si="50">IF(G95=1,H95+N(I94),N(I94))</f>
        <v>0.89983031326060259</v>
      </c>
      <c r="J95" s="359">
        <f>IF(G95=2,H95+N(J94),N(J94))</f>
        <v>-0.86619493013668936</v>
      </c>
      <c r="K95" s="304">
        <f t="shared" si="45"/>
        <v>0.22495757831515065</v>
      </c>
      <c r="L95" s="304">
        <f t="shared" si="46"/>
        <v>-0.14436582168944823</v>
      </c>
      <c r="M95" s="304">
        <f t="shared" si="47"/>
        <v>1.1795012952123947</v>
      </c>
      <c r="N95" s="304">
        <f t="shared" si="48"/>
        <v>2.1275916132670387</v>
      </c>
    </row>
    <row r="96" spans="1:19" ht="18" customHeight="1" x14ac:dyDescent="0.3">
      <c r="A96" s="259"/>
      <c r="B96" s="359">
        <v>0.40872845598398955</v>
      </c>
      <c r="C96" s="359" t="s">
        <v>5</v>
      </c>
      <c r="D96" s="359">
        <v>-0.14285714285714288</v>
      </c>
      <c r="E96" s="359" t="s">
        <v>6</v>
      </c>
      <c r="F96" s="359">
        <f>SUM(B96,D96)</f>
        <v>0.26587131312684664</v>
      </c>
      <c r="G96" s="249">
        <v>1</v>
      </c>
      <c r="H96" s="359">
        <f t="shared" si="43"/>
        <v>0.39604760144156603</v>
      </c>
      <c r="I96" s="359">
        <f t="shared" si="50"/>
        <v>1.2958779147021686</v>
      </c>
      <c r="J96" s="359">
        <f>IF(G96=2,H96+N(J95),N(J95))</f>
        <v>-0.86619493013668936</v>
      </c>
      <c r="K96" s="304">
        <f t="shared" si="45"/>
        <v>0.32396947867554216</v>
      </c>
      <c r="L96" s="304">
        <f t="shared" si="46"/>
        <v>-0.14436582168944823</v>
      </c>
      <c r="M96" s="304">
        <f t="shared" si="47"/>
        <v>1.2515794179784185</v>
      </c>
      <c r="N96" s="304">
        <f t="shared" si="48"/>
        <v>2.668005036398053</v>
      </c>
    </row>
    <row r="97" spans="1:19" ht="18" customHeight="1" x14ac:dyDescent="0.3">
      <c r="A97" s="259"/>
      <c r="B97" s="359">
        <v>0.23923915005200891</v>
      </c>
      <c r="C97" s="359" t="s">
        <v>5</v>
      </c>
      <c r="D97" s="359">
        <v>0.14285714285714288</v>
      </c>
      <c r="E97" s="359" t="s">
        <v>6</v>
      </c>
      <c r="F97" s="359">
        <f>SUM(B97,D97)</f>
        <v>0.38209629290915181</v>
      </c>
      <c r="G97" s="249">
        <v>1</v>
      </c>
      <c r="H97" s="359">
        <f t="shared" si="43"/>
        <v>0.50378271181903655</v>
      </c>
      <c r="I97" s="359">
        <f>IF(G97=1,H97+N(I96),N(I96))</f>
        <v>1.7996606265212052</v>
      </c>
      <c r="J97" s="359">
        <f>IF(G97=2,H97+N(J96),N(J96))</f>
        <v>-0.86619493013668936</v>
      </c>
      <c r="K97" s="304">
        <f t="shared" si="45"/>
        <v>0.44991515663030129</v>
      </c>
      <c r="L97" s="304">
        <f t="shared" si="46"/>
        <v>-0.14436582168944823</v>
      </c>
      <c r="M97" s="304">
        <f>IF(ROW()=92, 0, M96) + ABS(H97 - IF($G97=1, $K97, $L97))</f>
        <v>1.3054469731671539</v>
      </c>
      <c r="N97" s="304">
        <f t="shared" si="48"/>
        <v>3.3161535699065379</v>
      </c>
    </row>
    <row r="98" spans="1:19" ht="18" customHeight="1" x14ac:dyDescent="0.3">
      <c r="A98" s="259"/>
      <c r="B98" s="359">
        <v>-0.32058777621177315</v>
      </c>
      <c r="C98" s="359" t="s">
        <v>5</v>
      </c>
      <c r="D98" s="359">
        <v>-0.14285714285714288</v>
      </c>
      <c r="E98" s="359" t="s">
        <v>6</v>
      </c>
      <c r="F98" s="359">
        <f t="shared" ref="F98:F99" si="51">SUM(B98,D98)</f>
        <v>-0.46344491906891605</v>
      </c>
      <c r="G98" s="249">
        <v>2</v>
      </c>
      <c r="H98" s="359">
        <f t="shared" si="43"/>
        <v>-0.64759424542260724</v>
      </c>
      <c r="I98" s="359">
        <f t="shared" ref="I98" si="52">IF(G98=1,H98+N(I97),N(I97))</f>
        <v>1.7996606265212052</v>
      </c>
      <c r="J98" s="359">
        <f t="shared" ref="J98:J99" si="53">IF(G98=2,H98+N(J97),N(J97))</f>
        <v>-1.5137891755592965</v>
      </c>
      <c r="K98" s="304">
        <f t="shared" si="45"/>
        <v>0.44991515663030129</v>
      </c>
      <c r="L98" s="304">
        <f t="shared" si="46"/>
        <v>-0.2522981959265494</v>
      </c>
      <c r="M98" s="304">
        <f t="shared" si="47"/>
        <v>1.7007430226632116</v>
      </c>
      <c r="N98" s="304">
        <f t="shared" si="48"/>
        <v>4.4136629719594467</v>
      </c>
    </row>
    <row r="99" spans="1:19" ht="18" customHeight="1" x14ac:dyDescent="0.3">
      <c r="A99" s="259"/>
      <c r="B99" s="359">
        <v>-0.37806568533891394</v>
      </c>
      <c r="C99" s="359" t="s">
        <v>5</v>
      </c>
      <c r="D99" s="359">
        <v>-0.14285714285714288</v>
      </c>
      <c r="E99" s="359" t="s">
        <v>6</v>
      </c>
      <c r="F99" s="359">
        <f t="shared" si="51"/>
        <v>-0.52092282819605684</v>
      </c>
      <c r="G99" s="249">
        <v>2</v>
      </c>
      <c r="H99" s="359">
        <f t="shared" si="43"/>
        <v>-0.70913188691944196</v>
      </c>
      <c r="I99" s="359">
        <f>IF(G99=1,H99+N(I98),N(I98))</f>
        <v>1.7996606265212052</v>
      </c>
      <c r="J99" s="359">
        <f t="shared" si="53"/>
        <v>-2.2229210624787386</v>
      </c>
      <c r="K99" s="304">
        <f t="shared" si="45"/>
        <v>0.44991515663030129</v>
      </c>
      <c r="L99" s="304">
        <f t="shared" si="46"/>
        <v>-0.37048684374645641</v>
      </c>
      <c r="M99" s="304">
        <f t="shared" si="47"/>
        <v>2.0393880658361971</v>
      </c>
      <c r="N99" s="304">
        <f t="shared" si="48"/>
        <v>5.5727100155091902</v>
      </c>
      <c r="O99" s="354"/>
    </row>
    <row r="100" spans="1:19" ht="18" customHeight="1" x14ac:dyDescent="0.3">
      <c r="A100" s="259"/>
      <c r="B100" s="359">
        <v>-0.37806568533891394</v>
      </c>
      <c r="C100" s="359" t="s">
        <v>5</v>
      </c>
      <c r="D100" s="359">
        <v>-0.14285714285714288</v>
      </c>
      <c r="E100" s="359" t="s">
        <v>6</v>
      </c>
      <c r="F100" s="359">
        <f>SUM(B100,D100)</f>
        <v>-0.52092282819605684</v>
      </c>
      <c r="G100" s="249">
        <v>2</v>
      </c>
      <c r="H100" s="359">
        <f t="shared" si="43"/>
        <v>-0.70913188691944196</v>
      </c>
      <c r="I100" s="359">
        <f>IF(G100=1,H100+N(I99),N(I99))</f>
        <v>1.7996606265212052</v>
      </c>
      <c r="J100" s="359">
        <f>IF(G100=2,H100+N(J99),N(J99))</f>
        <v>-2.9320529493981806</v>
      </c>
      <c r="K100" s="304">
        <f t="shared" si="45"/>
        <v>0.44991515663030129</v>
      </c>
      <c r="L100" s="304">
        <f t="shared" si="46"/>
        <v>-0.48867549156636342</v>
      </c>
      <c r="M100" s="304">
        <f t="shared" si="47"/>
        <v>2.2598444611892758</v>
      </c>
      <c r="N100" s="304">
        <f>IF(ROW()=92, 0, N99) + ABS(H100 - IF($G100=1, $L100, $K100))</f>
        <v>6.7317570590589337</v>
      </c>
      <c r="O100" s="358"/>
    </row>
    <row r="101" spans="1:19" ht="18" customHeight="1" x14ac:dyDescent="0.3">
      <c r="A101" s="259"/>
      <c r="B101" s="359">
        <v>-0.37806568533891394</v>
      </c>
      <c r="C101" s="359" t="s">
        <v>5</v>
      </c>
      <c r="D101" s="359">
        <v>-0.14285714285714288</v>
      </c>
      <c r="E101" s="359" t="s">
        <v>6</v>
      </c>
      <c r="F101" s="359">
        <f t="shared" ref="F101" si="54">SUM(B101,D101)</f>
        <v>-0.52092282819605684</v>
      </c>
      <c r="G101" s="249">
        <v>2</v>
      </c>
      <c r="H101" s="359">
        <f t="shared" si="43"/>
        <v>-0.70913188691944196</v>
      </c>
      <c r="I101" s="359">
        <f t="shared" ref="I101" si="55">IF(G101=1,H101+N(I100),N(I100))</f>
        <v>1.7996606265212052</v>
      </c>
      <c r="J101" s="359">
        <f t="shared" ref="J101" si="56">IF(G101=2,H101+N(J100),N(J100))</f>
        <v>-3.6411848363176227</v>
      </c>
      <c r="K101" s="304">
        <f t="shared" si="45"/>
        <v>0.44991515663030129</v>
      </c>
      <c r="L101" s="304">
        <f t="shared" si="46"/>
        <v>-0.60686413938627048</v>
      </c>
      <c r="M101" s="304">
        <f t="shared" si="47"/>
        <v>2.3621122087224471</v>
      </c>
      <c r="N101" s="304">
        <f t="shared" si="48"/>
        <v>7.8908041026086773</v>
      </c>
      <c r="O101" s="373">
        <f>M101/N101</f>
        <v>0.29935000007686663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281" t="s">
        <v>10</v>
      </c>
      <c r="B105" s="282"/>
      <c r="C105" s="282"/>
      <c r="D105" s="282"/>
      <c r="E105" s="282"/>
      <c r="F105" s="283"/>
      <c r="G105" s="350"/>
      <c r="H105" s="281" t="s">
        <v>9</v>
      </c>
      <c r="I105" s="282"/>
      <c r="J105" s="282"/>
      <c r="K105" s="282"/>
      <c r="L105" s="282"/>
      <c r="M105" s="282"/>
      <c r="N105" s="283"/>
    </row>
    <row r="106" spans="1:19" ht="18" customHeight="1" x14ac:dyDescent="0.3">
      <c r="A106" s="351"/>
      <c r="B106" s="352"/>
      <c r="C106" s="353" t="s">
        <v>5</v>
      </c>
      <c r="D106" s="354"/>
      <c r="E106" s="353" t="s">
        <v>6</v>
      </c>
      <c r="F106" s="354"/>
      <c r="G106" s="240" t="s">
        <v>8</v>
      </c>
      <c r="H106" s="355"/>
      <c r="I106" s="356"/>
      <c r="J106" s="356"/>
      <c r="K106" s="357"/>
      <c r="L106" s="357"/>
      <c r="M106" s="358"/>
      <c r="N106" s="358"/>
      <c r="P106" s="269" t="s">
        <v>27</v>
      </c>
      <c r="Q106" s="269"/>
      <c r="R106" s="269"/>
      <c r="S106" s="269"/>
    </row>
    <row r="107" spans="1:19" ht="18" customHeight="1" x14ac:dyDescent="0.3">
      <c r="A107" s="259"/>
      <c r="B107" s="359">
        <v>-0.37806568533891394</v>
      </c>
      <c r="C107" s="359" t="s">
        <v>5</v>
      </c>
      <c r="D107" s="359">
        <v>0.24074050000000002</v>
      </c>
      <c r="E107" s="359" t="s">
        <v>6</v>
      </c>
      <c r="F107" s="359">
        <f>SUM(B107,D107)</f>
        <v>-0.13732518533891391</v>
      </c>
      <c r="G107" s="249">
        <v>2</v>
      </c>
      <c r="H107" s="359">
        <f t="shared" ref="H107:H116" si="57">IF(OR($G107=1,$G107=2), $F107 + IF($G107=1,1,-1)*$N$23*(EXP(-$F107)/(1+EXP(-$F107))), NA())</f>
        <v>-0.29760841903754515</v>
      </c>
      <c r="I107" s="359">
        <f>IF(G107=1,H107+N(I106),N(I106))</f>
        <v>0</v>
      </c>
      <c r="J107" s="359">
        <f>IF(G107=2,H107+N(J106),N(J106))</f>
        <v>-0.29760841903754515</v>
      </c>
      <c r="K107" s="304">
        <f>IFERROR(I107/COUNTIF($G$107:$G$116,1),"ERROR!!!")</f>
        <v>0</v>
      </c>
      <c r="L107" s="304">
        <f>IFERROR(J107/COUNTIF($G$107:$G$116,2),"ERROR!!!")</f>
        <v>-4.9601403172924191E-2</v>
      </c>
      <c r="M107" s="304">
        <f>IF(ROW()=107, 0, M106) + ABS(H107 - IF($G107=1, $K107, $L107))</f>
        <v>0.24800701586462096</v>
      </c>
      <c r="N107" s="304">
        <f>IF(ROW()=107, 0, N106) + ABS(H107 - IF($G107=1, $L107, $K107))</f>
        <v>0.29760841903754515</v>
      </c>
      <c r="P107" s="360"/>
      <c r="Q107" s="361"/>
      <c r="R107" s="316" t="s">
        <v>13</v>
      </c>
      <c r="S107" s="362">
        <f>IF(O116&lt;S92,O116,S92)</f>
        <v>0.28261554505845599</v>
      </c>
    </row>
    <row r="108" spans="1:19" ht="18" customHeight="1" x14ac:dyDescent="0.3">
      <c r="A108" s="259"/>
      <c r="B108" s="359">
        <v>0.40872845598398955</v>
      </c>
      <c r="C108" s="359" t="s">
        <v>5</v>
      </c>
      <c r="D108" s="359">
        <v>-0.24074050000000002</v>
      </c>
      <c r="E108" s="359" t="s">
        <v>6</v>
      </c>
      <c r="F108" s="359">
        <f>SUM(B108,D108)</f>
        <v>0.16798795598398952</v>
      </c>
      <c r="G108" s="249">
        <v>1</v>
      </c>
      <c r="H108" s="359">
        <f t="shared" si="57"/>
        <v>0.30541840473762516</v>
      </c>
      <c r="I108" s="359">
        <f>IF(G108=1,H108+N(I107),N(I107))</f>
        <v>0.30541840473762516</v>
      </c>
      <c r="J108" s="359">
        <f t="shared" ref="J108" si="58">IF(G108=2,H108+N(J107),N(J107))</f>
        <v>-0.29760841903754515</v>
      </c>
      <c r="K108" s="304">
        <f t="shared" ref="K108:K116" si="59">IFERROR(I108/COUNTIF($G$107:$G$116,1),"ERROR!!!")</f>
        <v>7.635460118440629E-2</v>
      </c>
      <c r="L108" s="304">
        <f t="shared" ref="L108:L116" si="60">IFERROR(J108/COUNTIF($G$107:$G$116,2),"ERROR!!!")</f>
        <v>-4.9601403172924191E-2</v>
      </c>
      <c r="M108" s="304">
        <f t="shared" ref="M108:M116" si="61">IF(ROW()=107, 0, M107) + ABS(H108 - IF($G108=1, $K108, $L108))</f>
        <v>0.4770708194178398</v>
      </c>
      <c r="N108" s="304">
        <f t="shared" ref="N108:N116" si="62">IF(ROW()=107, 0, N107) + ABS(H108 - IF($G108=1, $L108, $K108))</f>
        <v>0.65262822694809453</v>
      </c>
      <c r="P108" s="364"/>
      <c r="Q108" s="365"/>
      <c r="R108" s="259" t="s">
        <v>17</v>
      </c>
      <c r="S108" s="366">
        <v>8</v>
      </c>
    </row>
    <row r="109" spans="1:19" ht="18" customHeight="1" x14ac:dyDescent="0.3">
      <c r="A109" s="259"/>
      <c r="B109" s="359">
        <v>-0.14942741726637135</v>
      </c>
      <c r="C109" s="359" t="s">
        <v>5</v>
      </c>
      <c r="D109" s="359">
        <v>-0.24074050000000002</v>
      </c>
      <c r="E109" s="359" t="s">
        <v>6</v>
      </c>
      <c r="F109" s="359">
        <f t="shared" ref="F109" si="63">SUM(B109,D109)</f>
        <v>-0.39016791726637134</v>
      </c>
      <c r="G109" s="249">
        <v>2</v>
      </c>
      <c r="H109" s="359">
        <f>IF(OR($G109=1,$G109=2), $F109 + IF($G109=1,1,-1)*$N$23*(EXP(-$F109)/(1+EXP(-$F109))), NA())</f>
        <v>-0.56906485365833848</v>
      </c>
      <c r="I109" s="359">
        <f>IF(G109=1,H109+N(I108),N(I108))</f>
        <v>0.30541840473762516</v>
      </c>
      <c r="J109" s="359">
        <f>IF(G109=2,H109+N(J108),N(J108))</f>
        <v>-0.86667327269588368</v>
      </c>
      <c r="K109" s="304">
        <f t="shared" si="59"/>
        <v>7.635460118440629E-2</v>
      </c>
      <c r="L109" s="304">
        <f t="shared" si="60"/>
        <v>-0.14444554544931396</v>
      </c>
      <c r="M109" s="304">
        <f t="shared" si="61"/>
        <v>0.90169012762686429</v>
      </c>
      <c r="N109" s="304">
        <f t="shared" si="62"/>
        <v>1.2980476817908393</v>
      </c>
      <c r="P109" s="368"/>
      <c r="Q109" s="369"/>
      <c r="R109" s="259" t="s">
        <v>15</v>
      </c>
      <c r="S109" s="366">
        <f>IF(O116&lt;S92,S108,S94)</f>
        <v>5</v>
      </c>
    </row>
    <row r="110" spans="1:19" ht="18" customHeight="1" x14ac:dyDescent="0.3">
      <c r="A110" s="259"/>
      <c r="B110" s="359">
        <v>0.23923915005200891</v>
      </c>
      <c r="C110" s="359" t="s">
        <v>5</v>
      </c>
      <c r="D110" s="359">
        <v>0.24074050000000002</v>
      </c>
      <c r="E110" s="359" t="s">
        <v>6</v>
      </c>
      <c r="F110" s="359">
        <f>SUM(B110,D110)</f>
        <v>0.47997965005200893</v>
      </c>
      <c r="G110" s="249">
        <v>1</v>
      </c>
      <c r="H110" s="359">
        <f t="shared" si="57"/>
        <v>0.59465672922785306</v>
      </c>
      <c r="I110" s="359">
        <f t="shared" ref="I110:I111" si="64">IF(G110=1,H110+N(I109),N(I109))</f>
        <v>0.90007513396547822</v>
      </c>
      <c r="J110" s="359">
        <f>IF(G110=2,H110+N(J109),N(J109))</f>
        <v>-0.86667327269588368</v>
      </c>
      <c r="K110" s="304">
        <f t="shared" si="59"/>
        <v>0.22501878349136956</v>
      </c>
      <c r="L110" s="304">
        <f t="shared" si="60"/>
        <v>-0.14444554544931396</v>
      </c>
      <c r="M110" s="304">
        <f t="shared" si="61"/>
        <v>1.2713280733633479</v>
      </c>
      <c r="N110" s="304">
        <f t="shared" si="62"/>
        <v>2.0371499564680065</v>
      </c>
    </row>
    <row r="111" spans="1:19" ht="18" customHeight="1" x14ac:dyDescent="0.3">
      <c r="A111" s="259"/>
      <c r="B111" s="359">
        <v>0.40872845598398955</v>
      </c>
      <c r="C111" s="359" t="s">
        <v>5</v>
      </c>
      <c r="D111" s="359">
        <v>0.24074050000000002</v>
      </c>
      <c r="E111" s="359" t="s">
        <v>6</v>
      </c>
      <c r="F111" s="359">
        <f>SUM(B111,D111)</f>
        <v>0.64946895598398957</v>
      </c>
      <c r="G111" s="249">
        <v>1</v>
      </c>
      <c r="H111" s="359">
        <f t="shared" si="57"/>
        <v>0.75240172104135061</v>
      </c>
      <c r="I111" s="359">
        <f t="shared" si="64"/>
        <v>1.6524768550068289</v>
      </c>
      <c r="J111" s="359">
        <f>IF(G111=2,H111+N(J110),N(J110))</f>
        <v>-0.86667327269588368</v>
      </c>
      <c r="K111" s="304">
        <f t="shared" si="59"/>
        <v>0.41311921375170724</v>
      </c>
      <c r="L111" s="304">
        <f t="shared" si="60"/>
        <v>-0.14444554544931396</v>
      </c>
      <c r="M111" s="304">
        <f t="shared" si="61"/>
        <v>1.6106105806529913</v>
      </c>
      <c r="N111" s="304">
        <f t="shared" si="62"/>
        <v>2.9339972229586708</v>
      </c>
    </row>
    <row r="112" spans="1:19" ht="18" customHeight="1" x14ac:dyDescent="0.3">
      <c r="A112" s="259"/>
      <c r="B112" s="359">
        <v>0.23923915005200891</v>
      </c>
      <c r="C112" s="359" t="s">
        <v>5</v>
      </c>
      <c r="D112" s="359">
        <v>0.24074050000000002</v>
      </c>
      <c r="E112" s="359" t="s">
        <v>6</v>
      </c>
      <c r="F112" s="359">
        <f>SUM(B112,D112)</f>
        <v>0.47997965005200893</v>
      </c>
      <c r="G112" s="249">
        <v>1</v>
      </c>
      <c r="H112" s="359">
        <f>IF(OR($G112=1,$G112=2), $F112 + IF($G112=1,1,-1)*$N$23*(EXP(-$F112)/(1+EXP(-$F112))), NA())</f>
        <v>0.59465672922785306</v>
      </c>
      <c r="I112" s="359">
        <f>IF(G112=1,H112+N(I111),N(I111))</f>
        <v>2.2471335842346818</v>
      </c>
      <c r="J112" s="359">
        <f>IF(G112=2,H112+N(J111),N(J111))</f>
        <v>-0.86667327269588368</v>
      </c>
      <c r="K112" s="304">
        <f t="shared" si="59"/>
        <v>0.56178339605867045</v>
      </c>
      <c r="L112" s="304">
        <f t="shared" si="60"/>
        <v>-0.14444554544931396</v>
      </c>
      <c r="M112" s="304">
        <f t="shared" si="61"/>
        <v>1.643483913822174</v>
      </c>
      <c r="N112" s="304">
        <f t="shared" si="62"/>
        <v>3.673099497635838</v>
      </c>
    </row>
    <row r="113" spans="1:19" ht="18" customHeight="1" x14ac:dyDescent="0.3">
      <c r="A113" s="259"/>
      <c r="B113" s="359">
        <v>-0.32058777621177315</v>
      </c>
      <c r="C113" s="359" t="s">
        <v>5</v>
      </c>
      <c r="D113" s="359">
        <v>-0.24074050000000002</v>
      </c>
      <c r="E113" s="359" t="s">
        <v>6</v>
      </c>
      <c r="F113" s="359">
        <f t="shared" ref="F113:F114" si="65">SUM(B113,D113)</f>
        <v>-0.56132827621177317</v>
      </c>
      <c r="G113" s="249">
        <v>2</v>
      </c>
      <c r="H113" s="359">
        <f t="shared" si="57"/>
        <v>-0.75235622282014791</v>
      </c>
      <c r="I113" s="359">
        <f t="shared" ref="I113" si="66">IF(G113=1,H113+N(I112),N(I112))</f>
        <v>2.2471335842346818</v>
      </c>
      <c r="J113" s="359">
        <f>IF(G113=2,H113+N(J112),N(J112))</f>
        <v>-1.6190294955160316</v>
      </c>
      <c r="K113" s="304">
        <f t="shared" si="59"/>
        <v>0.56178339605867045</v>
      </c>
      <c r="L113" s="304">
        <f t="shared" si="60"/>
        <v>-0.26983824925267191</v>
      </c>
      <c r="M113" s="304">
        <f t="shared" si="61"/>
        <v>2.1260018873896498</v>
      </c>
      <c r="N113" s="304">
        <f t="shared" si="62"/>
        <v>4.9872391165146563</v>
      </c>
    </row>
    <row r="114" spans="1:19" ht="18" customHeight="1" x14ac:dyDescent="0.3">
      <c r="A114" s="259"/>
      <c r="B114" s="359">
        <v>-0.37806568533891394</v>
      </c>
      <c r="C114" s="359" t="s">
        <v>5</v>
      </c>
      <c r="D114" s="359">
        <v>-0.24074050000000002</v>
      </c>
      <c r="E114" s="359" t="s">
        <v>6</v>
      </c>
      <c r="F114" s="359">
        <f t="shared" si="65"/>
        <v>-0.61880618533891396</v>
      </c>
      <c r="G114" s="249">
        <v>2</v>
      </c>
      <c r="H114" s="359">
        <f t="shared" si="57"/>
        <v>-0.81379028095872896</v>
      </c>
      <c r="I114" s="359">
        <f>IF(G114=1,H114+N(I113),N(I113))</f>
        <v>2.2471335842346818</v>
      </c>
      <c r="J114" s="359">
        <f t="shared" ref="J114" si="67">IF(G114=2,H114+N(J113),N(J113))</f>
        <v>-2.4328197764747603</v>
      </c>
      <c r="K114" s="304">
        <f t="shared" si="59"/>
        <v>0.56178339605867045</v>
      </c>
      <c r="L114" s="304">
        <f>IFERROR(J114/COUNTIF($G$107:$G$116,2),"ERROR!!!")</f>
        <v>-0.40546996274579339</v>
      </c>
      <c r="M114" s="304">
        <f t="shared" si="61"/>
        <v>2.5343222056025851</v>
      </c>
      <c r="N114" s="304">
        <f t="shared" si="62"/>
        <v>6.362812793532056</v>
      </c>
      <c r="O114" s="354"/>
    </row>
    <row r="115" spans="1:19" ht="18" customHeight="1" x14ac:dyDescent="0.3">
      <c r="A115" s="259"/>
      <c r="B115" s="359">
        <v>-0.37806568533891394</v>
      </c>
      <c r="C115" s="359" t="s">
        <v>5</v>
      </c>
      <c r="D115" s="359">
        <v>-0.24074050000000002</v>
      </c>
      <c r="E115" s="359" t="s">
        <v>6</v>
      </c>
      <c r="F115" s="359">
        <f>SUM(B115,D115)</f>
        <v>-0.61880618533891396</v>
      </c>
      <c r="G115" s="249">
        <v>2</v>
      </c>
      <c r="H115" s="359">
        <f t="shared" si="57"/>
        <v>-0.81379028095872896</v>
      </c>
      <c r="I115" s="359">
        <f>IF(G115=1,H115+N(I114),N(I114))</f>
        <v>2.2471335842346818</v>
      </c>
      <c r="J115" s="359">
        <f>IF(G115=2,H115+N(J114),N(J114))</f>
        <v>-3.2466100574334895</v>
      </c>
      <c r="K115" s="304">
        <f t="shared" si="59"/>
        <v>0.56178339605867045</v>
      </c>
      <c r="L115" s="304">
        <f>IFERROR(J115/COUNTIF($G$107:$G$116,2),"ERROR!!!")</f>
        <v>-0.54110167623891492</v>
      </c>
      <c r="M115" s="304">
        <f t="shared" si="61"/>
        <v>2.8070108103223994</v>
      </c>
      <c r="N115" s="304">
        <f t="shared" si="62"/>
        <v>7.7383864705494556</v>
      </c>
      <c r="O115" s="358"/>
    </row>
    <row r="116" spans="1:19" ht="18" customHeight="1" x14ac:dyDescent="0.3">
      <c r="A116" s="259"/>
      <c r="B116" s="359">
        <v>-0.37806568533891394</v>
      </c>
      <c r="C116" s="359" t="s">
        <v>5</v>
      </c>
      <c r="D116" s="359">
        <v>-0.24074050000000002</v>
      </c>
      <c r="E116" s="359" t="s">
        <v>6</v>
      </c>
      <c r="F116" s="359">
        <f t="shared" ref="F116" si="68">SUM(B116,D116)</f>
        <v>-0.61880618533891396</v>
      </c>
      <c r="G116" s="249">
        <v>2</v>
      </c>
      <c r="H116" s="359">
        <f t="shared" si="57"/>
        <v>-0.81379028095872896</v>
      </c>
      <c r="I116" s="359">
        <f t="shared" ref="I116" si="69">IF(G116=1,H116+N(I115),N(I115))</f>
        <v>2.2471335842346818</v>
      </c>
      <c r="J116" s="359">
        <f t="shared" ref="J116" si="70">IF(G116=2,H116+N(J115),N(J115))</f>
        <v>-4.0604003383922187</v>
      </c>
      <c r="K116" s="304">
        <f t="shared" si="59"/>
        <v>0.56178339605867045</v>
      </c>
      <c r="L116" s="304">
        <f t="shared" si="60"/>
        <v>-0.67673338973203645</v>
      </c>
      <c r="M116" s="304">
        <f t="shared" si="61"/>
        <v>2.9440677015490921</v>
      </c>
      <c r="N116" s="304">
        <f t="shared" si="62"/>
        <v>9.1139601475668552</v>
      </c>
      <c r="O116" s="373">
        <f>M116/N116</f>
        <v>0.32302837118890265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281" t="s">
        <v>10</v>
      </c>
      <c r="B120" s="282"/>
      <c r="C120" s="282"/>
      <c r="D120" s="282"/>
      <c r="E120" s="282"/>
      <c r="F120" s="283"/>
      <c r="G120" s="350"/>
      <c r="H120" s="281" t="s">
        <v>9</v>
      </c>
      <c r="I120" s="282"/>
      <c r="J120" s="282"/>
      <c r="K120" s="282"/>
      <c r="L120" s="282"/>
      <c r="M120" s="282"/>
      <c r="N120" s="283"/>
    </row>
    <row r="121" spans="1:19" ht="18" customHeight="1" x14ac:dyDescent="0.3">
      <c r="A121" s="351"/>
      <c r="B121" s="352"/>
      <c r="C121" s="353" t="s">
        <v>5</v>
      </c>
      <c r="D121" s="354"/>
      <c r="E121" s="353" t="s">
        <v>6</v>
      </c>
      <c r="F121" s="354"/>
      <c r="G121" s="240" t="s">
        <v>8</v>
      </c>
      <c r="H121" s="355"/>
      <c r="I121" s="356"/>
      <c r="J121" s="356"/>
      <c r="K121" s="357"/>
      <c r="L121" s="357"/>
      <c r="M121" s="358"/>
      <c r="N121" s="358"/>
      <c r="P121" s="269" t="s">
        <v>27</v>
      </c>
      <c r="Q121" s="269"/>
      <c r="R121" s="269"/>
      <c r="S121" s="269"/>
    </row>
    <row r="122" spans="1:19" ht="18" customHeight="1" x14ac:dyDescent="0.3">
      <c r="A122" s="259"/>
      <c r="B122" s="359">
        <v>-0.37806568533891394</v>
      </c>
      <c r="C122" s="359" t="s">
        <v>5</v>
      </c>
      <c r="D122" s="359">
        <v>-5.3571428571428555E-2</v>
      </c>
      <c r="E122" s="359" t="s">
        <v>6</v>
      </c>
      <c r="F122" s="359">
        <f>SUM(B122,D122)</f>
        <v>-0.43163711391034248</v>
      </c>
      <c r="G122" s="249">
        <v>2</v>
      </c>
      <c r="H122" s="359">
        <f>IF(OR($G122=1,$G122=2), $F122 + IF($G122=1,1,-1)*$N$23*(EXP(-$F122)/(1+EXP(-$F122))), NA())</f>
        <v>-0.61351647239524953</v>
      </c>
      <c r="I122" s="359">
        <f>IF(G122=1,H122+N(I121),N(I121))</f>
        <v>0</v>
      </c>
      <c r="J122" s="359">
        <f>IF(G122=2,H122+N(J121),N(J121))</f>
        <v>-0.61351647239524953</v>
      </c>
      <c r="K122" s="304">
        <f>IFERROR(I122/COUNTIF($G$122:$G$131,1),"ERROR!!!")</f>
        <v>0</v>
      </c>
      <c r="L122" s="304">
        <f>IFERROR(J122/COUNTIF($G$122:$G$131,2),"ERROR!!!")</f>
        <v>-0.10225274539920826</v>
      </c>
      <c r="M122" s="304">
        <f>IF(ROW()=122, 0, M121) + ABS(H122 - IF($G122=1, $K122, $L122))</f>
        <v>0.51126372699604128</v>
      </c>
      <c r="N122" s="304">
        <f>IF(ROW()=122, 0, N121) + ABS(H122 - IF($G122=1, $L122, $K122))</f>
        <v>0.61351647239524953</v>
      </c>
      <c r="P122" s="360"/>
      <c r="Q122" s="361"/>
      <c r="R122" s="316" t="s">
        <v>13</v>
      </c>
      <c r="S122" s="362">
        <f>IF(O131&lt;S107,O131,S107)</f>
        <v>0.28261554505845599</v>
      </c>
    </row>
    <row r="123" spans="1:19" ht="18" customHeight="1" x14ac:dyDescent="0.3">
      <c r="A123" s="259"/>
      <c r="B123" s="359">
        <v>0.40872845598398955</v>
      </c>
      <c r="C123" s="359" t="s">
        <v>5</v>
      </c>
      <c r="D123" s="359">
        <v>-5.3571428571428555E-2</v>
      </c>
      <c r="E123" s="359" t="s">
        <v>6</v>
      </c>
      <c r="F123" s="359">
        <f>SUM(B123,D123)</f>
        <v>0.355157027412561</v>
      </c>
      <c r="G123" s="249">
        <v>1</v>
      </c>
      <c r="H123" s="359">
        <f t="shared" ref="H123:H131" si="71">IF(OR($G123=1,$G123=2), $F123 + IF($G123=1,1,-1)*$N$23*(EXP(-$F123)/(1+EXP(-$F123))), NA())</f>
        <v>0.4787967523634491</v>
      </c>
      <c r="I123" s="359">
        <f>IF(G123=1,H123+N(I122),N(I122))</f>
        <v>0.4787967523634491</v>
      </c>
      <c r="J123" s="359">
        <f t="shared" ref="J123" si="72">IF(G123=2,H123+N(J122),N(J122))</f>
        <v>-0.61351647239524953</v>
      </c>
      <c r="K123" s="304">
        <f t="shared" ref="K123:K131" si="73">IFERROR(I123/COUNTIF($G$122:$G$131,1),"ERROR!!!")</f>
        <v>0.11969918809086227</v>
      </c>
      <c r="L123" s="304">
        <f t="shared" ref="L123:L131" si="74">IFERROR(J123/COUNTIF($G$122:$G$131,2),"ERROR!!!")</f>
        <v>-0.10225274539920826</v>
      </c>
      <c r="M123" s="304">
        <f t="shared" ref="M123:M131" si="75">IF(ROW()=122, 0, M122) + ABS(H123 - IF($G123=1, $K123, $L123))</f>
        <v>0.87036129126862805</v>
      </c>
      <c r="N123" s="304">
        <f t="shared" ref="N123:N131" si="76">IF(ROW()=122, 0, N122) + ABS(H123 - IF($G123=1, $L123, $K123))</f>
        <v>1.1945659701579068</v>
      </c>
      <c r="P123" s="364"/>
      <c r="Q123" s="365"/>
      <c r="R123" s="259" t="s">
        <v>17</v>
      </c>
      <c r="S123" s="366">
        <v>9</v>
      </c>
    </row>
    <row r="124" spans="1:19" ht="18" customHeight="1" x14ac:dyDescent="0.3">
      <c r="A124" s="259"/>
      <c r="B124" s="359">
        <v>-0.14942741726637135</v>
      </c>
      <c r="C124" s="359" t="s">
        <v>5</v>
      </c>
      <c r="D124" s="359">
        <v>-5.3571428571428555E-2</v>
      </c>
      <c r="E124" s="359" t="s">
        <v>6</v>
      </c>
      <c r="F124" s="359">
        <f t="shared" ref="F124" si="77">SUM(B124,D124)</f>
        <v>-0.2029988458377999</v>
      </c>
      <c r="G124" s="249">
        <v>2</v>
      </c>
      <c r="H124" s="359">
        <f>IF(OR($G124=1,$G124=2), $F124 + IF($G124=1,1,-1)*$N$23*(EXP(-$F124)/(1+EXP(-$F124))), NA())</f>
        <v>-0.36817169080466566</v>
      </c>
      <c r="I124" s="359">
        <f>IF(G124=1,H124+N(I123),N(I123))</f>
        <v>0.4787967523634491</v>
      </c>
      <c r="J124" s="359">
        <f t="shared" ref="J124:J130" si="78">IF(G124=2,H124+N(J123),N(J123))</f>
        <v>-0.98168816319991525</v>
      </c>
      <c r="K124" s="304">
        <f t="shared" si="73"/>
        <v>0.11969918809086227</v>
      </c>
      <c r="L124" s="304">
        <f t="shared" si="74"/>
        <v>-0.16361469386665253</v>
      </c>
      <c r="M124" s="304">
        <f t="shared" si="75"/>
        <v>1.0749182882066413</v>
      </c>
      <c r="N124" s="304">
        <f t="shared" si="76"/>
        <v>1.6824368490534347</v>
      </c>
      <c r="P124" s="368"/>
      <c r="Q124" s="369"/>
      <c r="R124" s="259" t="s">
        <v>15</v>
      </c>
      <c r="S124" s="366">
        <f>IF(O131&lt;S107,S123,S109)</f>
        <v>5</v>
      </c>
    </row>
    <row r="125" spans="1:19" ht="18" customHeight="1" x14ac:dyDescent="0.3">
      <c r="A125" s="259"/>
      <c r="B125" s="359">
        <v>0.23923915005200891</v>
      </c>
      <c r="C125" s="359" t="s">
        <v>5</v>
      </c>
      <c r="D125" s="359">
        <v>5.3571428571428575E-2</v>
      </c>
      <c r="E125" s="359" t="s">
        <v>6</v>
      </c>
      <c r="F125" s="359">
        <f>SUM(B125,D125)</f>
        <v>0.29281057862343751</v>
      </c>
      <c r="G125" s="249">
        <v>1</v>
      </c>
      <c r="H125" s="359">
        <f t="shared" si="71"/>
        <v>0.42100535778679049</v>
      </c>
      <c r="I125" s="359">
        <f t="shared" ref="I125" si="79">IF(G125=1,H125+N(I124),N(I124))</f>
        <v>0.89980211015023959</v>
      </c>
      <c r="J125" s="359">
        <f t="shared" si="78"/>
        <v>-0.98168816319991525</v>
      </c>
      <c r="K125" s="304">
        <f t="shared" si="73"/>
        <v>0.2249505275375599</v>
      </c>
      <c r="L125" s="304">
        <f t="shared" si="74"/>
        <v>-0.16361469386665253</v>
      </c>
      <c r="M125" s="304">
        <f t="shared" si="75"/>
        <v>1.2709731184558719</v>
      </c>
      <c r="N125" s="304">
        <f t="shared" si="76"/>
        <v>2.2670569007068777</v>
      </c>
    </row>
    <row r="126" spans="1:19" ht="18" customHeight="1" x14ac:dyDescent="0.3">
      <c r="A126" s="259"/>
      <c r="B126" s="359">
        <v>0.40872845598398955</v>
      </c>
      <c r="C126" s="359" t="s">
        <v>5</v>
      </c>
      <c r="D126" s="359">
        <v>5.3571428571428575E-2</v>
      </c>
      <c r="E126" s="359" t="s">
        <v>6</v>
      </c>
      <c r="F126" s="359">
        <f>SUM(B126,D126)</f>
        <v>0.46229988455541815</v>
      </c>
      <c r="G126" s="249">
        <v>1</v>
      </c>
      <c r="H126" s="359">
        <f t="shared" si="71"/>
        <v>0.57823199535480163</v>
      </c>
      <c r="I126" s="359">
        <f>IF(G126=1,H126+N(I125),N(I125))</f>
        <v>1.4780341055050412</v>
      </c>
      <c r="J126" s="359">
        <f t="shared" si="78"/>
        <v>-0.98168816319991525</v>
      </c>
      <c r="K126" s="304">
        <f t="shared" si="73"/>
        <v>0.3695085263762603</v>
      </c>
      <c r="L126" s="304">
        <f t="shared" si="74"/>
        <v>-0.16361469386665253</v>
      </c>
      <c r="M126" s="304">
        <f t="shared" si="75"/>
        <v>1.4796965874344132</v>
      </c>
      <c r="N126" s="304">
        <f t="shared" si="76"/>
        <v>3.0089035899283321</v>
      </c>
    </row>
    <row r="127" spans="1:19" ht="18" customHeight="1" x14ac:dyDescent="0.3">
      <c r="A127" s="259"/>
      <c r="B127" s="359">
        <v>0.23923915005200891</v>
      </c>
      <c r="C127" s="359" t="s">
        <v>5</v>
      </c>
      <c r="D127" s="359">
        <v>-5.3571428571428555E-2</v>
      </c>
      <c r="E127" s="359" t="s">
        <v>6</v>
      </c>
      <c r="F127" s="359">
        <f>SUM(B127,D127)</f>
        <v>0.18566772148058036</v>
      </c>
      <c r="G127" s="249">
        <v>1</v>
      </c>
      <c r="H127" s="359">
        <f>IF(OR($G127=1,$G127=2), $F127 + IF($G127=1,1,-1)*$N$23*(EXP(-$F127)/(1+EXP(-$F127))), NA())</f>
        <v>0.32178250764365063</v>
      </c>
      <c r="I127" s="359">
        <f>IF(G127=1,H127+N(I126),N(I126))</f>
        <v>1.7998166131486919</v>
      </c>
      <c r="J127" s="359">
        <f t="shared" si="78"/>
        <v>-0.98168816319991525</v>
      </c>
      <c r="K127" s="304">
        <f t="shared" si="73"/>
        <v>0.44995415328717298</v>
      </c>
      <c r="L127" s="304">
        <f>IFERROR(J127/COUNTIF($G$122:$G$131,2),"ERROR!!!")</f>
        <v>-0.16361469386665253</v>
      </c>
      <c r="M127" s="304">
        <f t="shared" si="75"/>
        <v>1.6078682330779355</v>
      </c>
      <c r="N127" s="304">
        <f t="shared" si="76"/>
        <v>3.4943007914386355</v>
      </c>
    </row>
    <row r="128" spans="1:19" ht="18" customHeight="1" x14ac:dyDescent="0.3">
      <c r="A128" s="259"/>
      <c r="B128" s="359">
        <v>-0.32058777621177315</v>
      </c>
      <c r="C128" s="359" t="s">
        <v>5</v>
      </c>
      <c r="D128" s="359">
        <v>5.3571428571428575E-2</v>
      </c>
      <c r="E128" s="359" t="s">
        <v>6</v>
      </c>
      <c r="F128" s="359">
        <f t="shared" ref="F128:F129" si="80">SUM(B128,D128)</f>
        <v>-0.26701634764034454</v>
      </c>
      <c r="G128" s="249">
        <v>2</v>
      </c>
      <c r="H128" s="359">
        <f t="shared" si="71"/>
        <v>-0.43692443060401343</v>
      </c>
      <c r="I128" s="359">
        <f t="shared" ref="I128" si="81">IF(G128=1,H128+N(I127),N(I127))</f>
        <v>1.7998166131486919</v>
      </c>
      <c r="J128" s="359">
        <f t="shared" si="78"/>
        <v>-1.4186125938039287</v>
      </c>
      <c r="K128" s="304">
        <f t="shared" si="73"/>
        <v>0.44995415328717298</v>
      </c>
      <c r="L128" s="304">
        <f t="shared" si="74"/>
        <v>-0.23643543230065478</v>
      </c>
      <c r="M128" s="304">
        <f t="shared" si="75"/>
        <v>1.8083572313812941</v>
      </c>
      <c r="N128" s="304">
        <f>IF(ROW()=122, 0, N127) + ABS(H128 - IF($G128=1, $L128, $K128))</f>
        <v>4.3811793753298218</v>
      </c>
    </row>
    <row r="129" spans="1:19" ht="18" customHeight="1" x14ac:dyDescent="0.3">
      <c r="A129" s="259"/>
      <c r="B129" s="359">
        <v>-0.37806568533891394</v>
      </c>
      <c r="C129" s="359" t="s">
        <v>5</v>
      </c>
      <c r="D129" s="359">
        <v>5.3571428571428575E-2</v>
      </c>
      <c r="E129" s="359" t="s">
        <v>6</v>
      </c>
      <c r="F129" s="359">
        <f t="shared" si="80"/>
        <v>-0.32449425676748533</v>
      </c>
      <c r="G129" s="249">
        <v>2</v>
      </c>
      <c r="H129" s="359">
        <f t="shared" si="71"/>
        <v>-0.49862000020344499</v>
      </c>
      <c r="I129" s="359">
        <f>IF(G129=1,H129+N(I128),N(I128))</f>
        <v>1.7998166131486919</v>
      </c>
      <c r="J129" s="359">
        <f t="shared" si="78"/>
        <v>-1.9172325940073738</v>
      </c>
      <c r="K129" s="304">
        <f t="shared" si="73"/>
        <v>0.44995415328717298</v>
      </c>
      <c r="L129" s="304">
        <f t="shared" si="74"/>
        <v>-0.31953876566789563</v>
      </c>
      <c r="M129" s="304">
        <f t="shared" si="75"/>
        <v>1.9874384659168434</v>
      </c>
      <c r="N129" s="304">
        <f t="shared" si="76"/>
        <v>5.3297535288204401</v>
      </c>
      <c r="O129" s="354"/>
    </row>
    <row r="130" spans="1:19" ht="18" customHeight="1" x14ac:dyDescent="0.3">
      <c r="A130" s="259"/>
      <c r="B130" s="359">
        <v>-0.37806568533891394</v>
      </c>
      <c r="C130" s="359" t="s">
        <v>5</v>
      </c>
      <c r="D130" s="359">
        <v>-5.3571428571428555E-2</v>
      </c>
      <c r="E130" s="359" t="s">
        <v>6</v>
      </c>
      <c r="F130" s="359">
        <f>SUM(B130,D130)</f>
        <v>-0.43163711391034248</v>
      </c>
      <c r="G130" s="249">
        <v>2</v>
      </c>
      <c r="H130" s="359">
        <f t="shared" si="71"/>
        <v>-0.61351647239524953</v>
      </c>
      <c r="I130" s="359">
        <f>IF(G130=1,H130+N(I129),N(I129))</f>
        <v>1.7998166131486919</v>
      </c>
      <c r="J130" s="359">
        <f t="shared" si="78"/>
        <v>-2.5307490664026231</v>
      </c>
      <c r="K130" s="304">
        <f t="shared" si="73"/>
        <v>0.44995415328717298</v>
      </c>
      <c r="L130" s="304">
        <f t="shared" si="74"/>
        <v>-0.42179151106710383</v>
      </c>
      <c r="M130" s="304">
        <f>IF(ROW()=122, 0, M129) + ABS(H130 - IF($G130=1, $K130, $L130))</f>
        <v>2.1791634272449891</v>
      </c>
      <c r="N130" s="304">
        <f t="shared" si="76"/>
        <v>6.3932241545028621</v>
      </c>
      <c r="O130" s="358"/>
    </row>
    <row r="131" spans="1:19" ht="18" customHeight="1" x14ac:dyDescent="0.3">
      <c r="A131" s="259"/>
      <c r="B131" s="359">
        <v>-0.37806568533891394</v>
      </c>
      <c r="C131" s="359" t="s">
        <v>5</v>
      </c>
      <c r="D131" s="359">
        <v>-5.3571428571428555E-2</v>
      </c>
      <c r="E131" s="359" t="s">
        <v>6</v>
      </c>
      <c r="F131" s="359">
        <f t="shared" ref="F131" si="82">SUM(B131,D131)</f>
        <v>-0.43163711391034248</v>
      </c>
      <c r="G131" s="249">
        <v>2</v>
      </c>
      <c r="H131" s="359">
        <f t="shared" si="71"/>
        <v>-0.61351647239524953</v>
      </c>
      <c r="I131" s="359">
        <f t="shared" ref="I131" si="83">IF(G131=1,H131+N(I130),N(I130))</f>
        <v>1.7998166131486919</v>
      </c>
      <c r="J131" s="359">
        <f t="shared" ref="J131" si="84">IF(G131=2,H131+N(J130),N(J130))</f>
        <v>-3.1442655387978728</v>
      </c>
      <c r="K131" s="304">
        <f t="shared" si="73"/>
        <v>0.44995415328717298</v>
      </c>
      <c r="L131" s="304">
        <f t="shared" si="74"/>
        <v>-0.52404425646631214</v>
      </c>
      <c r="M131" s="304">
        <f t="shared" si="75"/>
        <v>2.2686356431739263</v>
      </c>
      <c r="N131" s="304">
        <f t="shared" si="76"/>
        <v>7.4566947801852841</v>
      </c>
      <c r="O131" s="373">
        <f>M131/N131</f>
        <v>0.30424145148094089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281" t="s">
        <v>10</v>
      </c>
      <c r="B135" s="282"/>
      <c r="C135" s="282"/>
      <c r="D135" s="282"/>
      <c r="E135" s="282"/>
      <c r="F135" s="283"/>
      <c r="G135" s="350"/>
      <c r="H135" s="281" t="s">
        <v>9</v>
      </c>
      <c r="I135" s="282"/>
      <c r="J135" s="282"/>
      <c r="K135" s="282"/>
      <c r="L135" s="282"/>
      <c r="M135" s="282"/>
      <c r="N135" s="283"/>
    </row>
    <row r="136" spans="1:19" ht="18" customHeight="1" x14ac:dyDescent="0.3">
      <c r="A136" s="351"/>
      <c r="B136" s="352"/>
      <c r="C136" s="353" t="s">
        <v>5</v>
      </c>
      <c r="D136" s="354"/>
      <c r="E136" s="353" t="s">
        <v>6</v>
      </c>
      <c r="F136" s="354"/>
      <c r="G136" s="240" t="s">
        <v>8</v>
      </c>
      <c r="H136" s="355"/>
      <c r="I136" s="356"/>
      <c r="J136" s="356"/>
      <c r="K136" s="357"/>
      <c r="L136" s="357"/>
      <c r="M136" s="358"/>
      <c r="N136" s="358"/>
      <c r="P136" s="269" t="s">
        <v>27</v>
      </c>
      <c r="Q136" s="269"/>
      <c r="R136" s="269"/>
      <c r="S136" s="269"/>
    </row>
    <row r="137" spans="1:19" ht="18" customHeight="1" x14ac:dyDescent="0.3">
      <c r="A137" s="259"/>
      <c r="B137" s="359">
        <v>-0.37806568533891394</v>
      </c>
      <c r="C137" s="359" t="s">
        <v>5</v>
      </c>
      <c r="D137" s="359">
        <v>-0.24074050000000002</v>
      </c>
      <c r="E137" s="359" t="s">
        <v>6</v>
      </c>
      <c r="F137" s="359">
        <f>SUM(B137,D137)</f>
        <v>-0.61880618533891396</v>
      </c>
      <c r="G137" s="249">
        <v>2</v>
      </c>
      <c r="H137" s="359">
        <f>IF(OR($G137=1,$G137=2), $F137 + IF($G137=1,1,-1)*$N$23*(EXP(-$F137)/(1+EXP(-$F137))), NA())</f>
        <v>-0.81379028095872896</v>
      </c>
      <c r="I137" s="359">
        <f>IF(G137=1,H137+N(I136),N(I136))</f>
        <v>0</v>
      </c>
      <c r="J137" s="359">
        <f>IF(G137=2,H137+N(J136),N(J136))</f>
        <v>-0.81379028095872896</v>
      </c>
      <c r="K137" s="304">
        <f>IFERROR(I137/COUNTIF($G$137:$G$146,1),"ERROR!!!")</f>
        <v>0</v>
      </c>
      <c r="L137" s="304">
        <f>IFERROR(J137/COUNTIF($G$137:$G$146,2),"ERROR!!!")</f>
        <v>-0.1356317134931215</v>
      </c>
      <c r="M137" s="304">
        <f>IF(ROW()=137, 0, M136) + ABS(H137 - IF($G137=1, $K137, $L137))</f>
        <v>0.67815856746560743</v>
      </c>
      <c r="N137" s="304">
        <f>IF(ROW()=137, 0, N136) + ABS(H137 - IF($G137=1, $L137, $K137))</f>
        <v>0.81379028095872896</v>
      </c>
      <c r="P137" s="360"/>
      <c r="Q137" s="361"/>
      <c r="R137" s="316" t="s">
        <v>13</v>
      </c>
      <c r="S137" s="362">
        <f>IF(O146&lt;S122,O146,S122)</f>
        <v>0.28261554505845599</v>
      </c>
    </row>
    <row r="138" spans="1:19" ht="18" customHeight="1" x14ac:dyDescent="0.3">
      <c r="A138" s="259"/>
      <c r="B138" s="359">
        <v>0.40872845598398955</v>
      </c>
      <c r="C138" s="359" t="s">
        <v>5</v>
      </c>
      <c r="D138" s="359">
        <v>-0.24074050000000002</v>
      </c>
      <c r="E138" s="359" t="s">
        <v>6</v>
      </c>
      <c r="F138" s="359">
        <f>SUM(B138,D138)</f>
        <v>0.16798795598398952</v>
      </c>
      <c r="G138" s="249">
        <v>1</v>
      </c>
      <c r="H138" s="359">
        <f t="shared" ref="H138:H146" si="85">IF(OR($G138=1,$G138=2), $F138 + IF($G138=1,1,-1)*$N$23*(EXP(-$F138)/(1+EXP(-$F138))), NA())</f>
        <v>0.30541840473762516</v>
      </c>
      <c r="I138" s="359">
        <f>IF(G138=1,H138+N(I137),N(I137))</f>
        <v>0.30541840473762516</v>
      </c>
      <c r="J138" s="359">
        <f t="shared" ref="J138" si="86">IF(G138=2,H138+N(J137),N(J137))</f>
        <v>-0.81379028095872896</v>
      </c>
      <c r="K138" s="304">
        <f t="shared" ref="K138:K146" si="87">IFERROR(I138/COUNTIF($G$137:$G$146,1),"ERROR!!!")</f>
        <v>7.635460118440629E-2</v>
      </c>
      <c r="L138" s="304">
        <f t="shared" ref="L138:L146" si="88">IFERROR(J138/COUNTIF($G$137:$G$146,2),"ERROR!!!")</f>
        <v>-0.1356317134931215</v>
      </c>
      <c r="M138" s="304">
        <f t="shared" ref="M138:M146" si="89">IF(ROW()=137, 0, M137) + ABS(H138 - IF($G138=1, $K138, $L138))</f>
        <v>0.9072223710188263</v>
      </c>
      <c r="N138" s="304">
        <f t="shared" ref="N138:N146" si="90">IF(ROW()=137, 0, N137) + ABS(H138 - IF($G138=1, $L138, $K138))</f>
        <v>1.2548403991894757</v>
      </c>
      <c r="P138" s="364"/>
      <c r="Q138" s="365"/>
      <c r="R138" s="259" t="s">
        <v>17</v>
      </c>
      <c r="S138" s="366">
        <v>10</v>
      </c>
    </row>
    <row r="139" spans="1:19" ht="18" customHeight="1" x14ac:dyDescent="0.3">
      <c r="A139" s="259"/>
      <c r="B139" s="359">
        <v>-0.14942741726637135</v>
      </c>
      <c r="C139" s="359" t="s">
        <v>5</v>
      </c>
      <c r="D139" s="359">
        <v>0.24074050000000002</v>
      </c>
      <c r="E139" s="359" t="s">
        <v>6</v>
      </c>
      <c r="F139" s="359">
        <f t="shared" ref="F139" si="91">SUM(B139,D139)</f>
        <v>9.1313082733628675E-2</v>
      </c>
      <c r="G139" s="249">
        <v>2</v>
      </c>
      <c r="H139" s="359">
        <f>IF(OR($G139=1,$G139=2), $F139 + IF($G139=1,1,-1)*$N$23*(EXP(-$F139)/(1+EXP(-$F139))), NA())</f>
        <v>-5.1843190695091801E-2</v>
      </c>
      <c r="I139" s="359">
        <f>IF(G139=1,H139+N(I138),N(I138))</f>
        <v>0.30541840473762516</v>
      </c>
      <c r="J139" s="359">
        <f t="shared" ref="J139:J145" si="92">IF(G139=2,H139+N(J138),N(J138))</f>
        <v>-0.86563347165382076</v>
      </c>
      <c r="K139" s="304">
        <f t="shared" si="87"/>
        <v>7.635460118440629E-2</v>
      </c>
      <c r="L139" s="304">
        <f t="shared" si="88"/>
        <v>-0.14427224527563678</v>
      </c>
      <c r="M139" s="304">
        <f t="shared" si="89"/>
        <v>0.99965142559937126</v>
      </c>
      <c r="N139" s="304">
        <f t="shared" si="90"/>
        <v>1.3830381910689737</v>
      </c>
      <c r="P139" s="368"/>
      <c r="Q139" s="369"/>
      <c r="R139" s="259" t="s">
        <v>15</v>
      </c>
      <c r="S139" s="366">
        <f>IF(O146&lt;S122,S138,S124)</f>
        <v>5</v>
      </c>
    </row>
    <row r="140" spans="1:19" ht="18" customHeight="1" x14ac:dyDescent="0.3">
      <c r="A140" s="259"/>
      <c r="B140" s="359">
        <v>0.23923915005200891</v>
      </c>
      <c r="C140" s="359" t="s">
        <v>5</v>
      </c>
      <c r="D140" s="359">
        <v>0.24074050000000002</v>
      </c>
      <c r="E140" s="359" t="s">
        <v>6</v>
      </c>
      <c r="F140" s="359">
        <f>SUM(B140,D140)</f>
        <v>0.47997965005200893</v>
      </c>
      <c r="G140" s="249">
        <v>1</v>
      </c>
      <c r="H140" s="359">
        <f t="shared" si="85"/>
        <v>0.59465672922785306</v>
      </c>
      <c r="I140" s="359">
        <f t="shared" ref="I140" si="93">IF(G140=1,H140+N(I139),N(I139))</f>
        <v>0.90007513396547822</v>
      </c>
      <c r="J140" s="359">
        <f>IF(G140=2,H140+N(J139),N(J139))</f>
        <v>-0.86563347165382076</v>
      </c>
      <c r="K140" s="304">
        <f t="shared" si="87"/>
        <v>0.22501878349136956</v>
      </c>
      <c r="L140" s="304">
        <f t="shared" si="88"/>
        <v>-0.14427224527563678</v>
      </c>
      <c r="M140" s="304">
        <f t="shared" si="89"/>
        <v>1.3692893713358547</v>
      </c>
      <c r="N140" s="304">
        <f t="shared" si="90"/>
        <v>2.1219671655724635</v>
      </c>
    </row>
    <row r="141" spans="1:19" ht="18" customHeight="1" x14ac:dyDescent="0.3">
      <c r="A141" s="259"/>
      <c r="B141" s="359">
        <v>0.40872845598398955</v>
      </c>
      <c r="C141" s="359" t="s">
        <v>5</v>
      </c>
      <c r="D141" s="359">
        <v>0.24074050000000002</v>
      </c>
      <c r="E141" s="359" t="s">
        <v>6</v>
      </c>
      <c r="F141" s="359">
        <f>SUM(B141,D141)</f>
        <v>0.64946895598398957</v>
      </c>
      <c r="G141" s="249">
        <v>1</v>
      </c>
      <c r="H141" s="359">
        <f t="shared" si="85"/>
        <v>0.75240172104135061</v>
      </c>
      <c r="I141" s="359">
        <f>IF(G141=1,H141+N(I140),N(I140))</f>
        <v>1.6524768550068289</v>
      </c>
      <c r="J141" s="359">
        <f t="shared" si="92"/>
        <v>-0.86563347165382076</v>
      </c>
      <c r="K141" s="304">
        <f t="shared" si="87"/>
        <v>0.41311921375170724</v>
      </c>
      <c r="L141" s="304">
        <f t="shared" si="88"/>
        <v>-0.14427224527563678</v>
      </c>
      <c r="M141" s="304">
        <f t="shared" si="89"/>
        <v>1.7085718786254982</v>
      </c>
      <c r="N141" s="304">
        <f t="shared" si="90"/>
        <v>3.018641131889451</v>
      </c>
    </row>
    <row r="142" spans="1:19" ht="18" customHeight="1" x14ac:dyDescent="0.3">
      <c r="A142" s="259"/>
      <c r="B142" s="359">
        <v>0.23923915005200891</v>
      </c>
      <c r="C142" s="359" t="s">
        <v>5</v>
      </c>
      <c r="D142" s="359">
        <v>0.24074050000000002</v>
      </c>
      <c r="E142" s="359" t="s">
        <v>6</v>
      </c>
      <c r="F142" s="359">
        <f>SUM(B142,D142)</f>
        <v>0.47997965005200893</v>
      </c>
      <c r="G142" s="249">
        <v>1</v>
      </c>
      <c r="H142" s="359">
        <f>IF(OR($G142=1,$G142=2), $F142 + IF($G142=1,1,-1)*$N$23*(EXP(-$F142)/(1+EXP(-$F142))), NA())</f>
        <v>0.59465672922785306</v>
      </c>
      <c r="I142" s="359">
        <f>IF(G142=1,H142+N(I141),N(I141))</f>
        <v>2.2471335842346818</v>
      </c>
      <c r="J142" s="359">
        <f t="shared" si="92"/>
        <v>-0.86563347165382076</v>
      </c>
      <c r="K142" s="304">
        <f t="shared" si="87"/>
        <v>0.56178339605867045</v>
      </c>
      <c r="L142" s="304">
        <f t="shared" si="88"/>
        <v>-0.14427224527563678</v>
      </c>
      <c r="M142" s="304">
        <f t="shared" si="89"/>
        <v>1.7414452117946808</v>
      </c>
      <c r="N142" s="304">
        <f t="shared" si="90"/>
        <v>3.757570106392941</v>
      </c>
    </row>
    <row r="143" spans="1:19" ht="18" customHeight="1" x14ac:dyDescent="0.3">
      <c r="A143" s="259"/>
      <c r="B143" s="359">
        <v>-0.32058777621177315</v>
      </c>
      <c r="C143" s="359" t="s">
        <v>5</v>
      </c>
      <c r="D143" s="359">
        <v>-0.24074050000000002</v>
      </c>
      <c r="E143" s="359" t="s">
        <v>6</v>
      </c>
      <c r="F143" s="359">
        <f t="shared" ref="F143:F144" si="94">SUM(B143,D143)</f>
        <v>-0.56132827621177317</v>
      </c>
      <c r="G143" s="249">
        <v>2</v>
      </c>
      <c r="H143" s="359">
        <f t="shared" si="85"/>
        <v>-0.75235622282014791</v>
      </c>
      <c r="I143" s="359">
        <f>IF(G143=1,H143+N(I142),N(I142))</f>
        <v>2.2471335842346818</v>
      </c>
      <c r="J143" s="359">
        <f t="shared" si="92"/>
        <v>-1.6179896944739687</v>
      </c>
      <c r="K143" s="304">
        <f t="shared" si="87"/>
        <v>0.56178339605867045</v>
      </c>
      <c r="L143" s="304">
        <f t="shared" si="88"/>
        <v>-0.2696649490789948</v>
      </c>
      <c r="M143" s="304">
        <f t="shared" si="89"/>
        <v>2.2241364855358339</v>
      </c>
      <c r="N143" s="304">
        <f t="shared" si="90"/>
        <v>5.0717097252717593</v>
      </c>
    </row>
    <row r="144" spans="1:19" ht="18" customHeight="1" x14ac:dyDescent="0.3">
      <c r="A144" s="259"/>
      <c r="B144" s="359">
        <v>-0.37806568533891394</v>
      </c>
      <c r="C144" s="359" t="s">
        <v>5</v>
      </c>
      <c r="D144" s="359">
        <v>-0.24074050000000002</v>
      </c>
      <c r="E144" s="359" t="s">
        <v>6</v>
      </c>
      <c r="F144" s="359">
        <f t="shared" si="94"/>
        <v>-0.61880618533891396</v>
      </c>
      <c r="G144" s="249">
        <v>2</v>
      </c>
      <c r="H144" s="359">
        <f t="shared" si="85"/>
        <v>-0.81379028095872896</v>
      </c>
      <c r="I144" s="359">
        <f>IF(G144=1,H144+N(I143),N(I143))</f>
        <v>2.2471335842346818</v>
      </c>
      <c r="J144" s="359">
        <f t="shared" si="92"/>
        <v>-2.4317799754326979</v>
      </c>
      <c r="K144" s="304">
        <f t="shared" si="87"/>
        <v>0.56178339605867045</v>
      </c>
      <c r="L144" s="304">
        <f t="shared" si="88"/>
        <v>-0.40529666257211633</v>
      </c>
      <c r="M144" s="304">
        <f t="shared" si="89"/>
        <v>2.6326301039224465</v>
      </c>
      <c r="N144" s="304">
        <f t="shared" si="90"/>
        <v>6.447283402289159</v>
      </c>
      <c r="O144" s="354"/>
    </row>
    <row r="145" spans="1:19" ht="18" customHeight="1" x14ac:dyDescent="0.3">
      <c r="A145" s="259"/>
      <c r="B145" s="359">
        <v>-0.37806568533891394</v>
      </c>
      <c r="C145" s="359" t="s">
        <v>5</v>
      </c>
      <c r="D145" s="359">
        <v>-0.24074050000000002</v>
      </c>
      <c r="E145" s="359" t="s">
        <v>6</v>
      </c>
      <c r="F145" s="359">
        <f>SUM(B145,D145)</f>
        <v>-0.61880618533891396</v>
      </c>
      <c r="G145" s="249">
        <v>2</v>
      </c>
      <c r="H145" s="359">
        <f t="shared" si="85"/>
        <v>-0.81379028095872896</v>
      </c>
      <c r="I145" s="359">
        <f>IF(G145=1,H145+N(I144),N(I144))</f>
        <v>2.2471335842346818</v>
      </c>
      <c r="J145" s="359">
        <f t="shared" si="92"/>
        <v>-3.245570256391427</v>
      </c>
      <c r="K145" s="304">
        <f t="shared" si="87"/>
        <v>0.56178339605867045</v>
      </c>
      <c r="L145" s="304">
        <f t="shared" si="88"/>
        <v>-0.5409283760652378</v>
      </c>
      <c r="M145" s="304">
        <f t="shared" si="89"/>
        <v>2.9054920088159375</v>
      </c>
      <c r="N145" s="304">
        <f t="shared" si="90"/>
        <v>7.8228570793065586</v>
      </c>
      <c r="O145" s="358"/>
    </row>
    <row r="146" spans="1:19" ht="18" customHeight="1" x14ac:dyDescent="0.3">
      <c r="A146" s="259"/>
      <c r="B146" s="359">
        <v>-0.37806568533891394</v>
      </c>
      <c r="C146" s="359" t="s">
        <v>5</v>
      </c>
      <c r="D146" s="359">
        <v>-0.24074050000000002</v>
      </c>
      <c r="E146" s="359" t="s">
        <v>6</v>
      </c>
      <c r="F146" s="359">
        <f t="shared" ref="F146" si="95">SUM(B146,D146)</f>
        <v>-0.61880618533891396</v>
      </c>
      <c r="G146" s="249">
        <v>2</v>
      </c>
      <c r="H146" s="359">
        <f t="shared" si="85"/>
        <v>-0.81379028095872896</v>
      </c>
      <c r="I146" s="359">
        <f t="shared" ref="I146" si="96">IF(G146=1,H146+N(I145),N(I145))</f>
        <v>2.2471335842346818</v>
      </c>
      <c r="J146" s="359">
        <f t="shared" ref="J146" si="97">IF(G146=2,H146+N(J145),N(J145))</f>
        <v>-4.0593605373501562</v>
      </c>
      <c r="K146" s="304">
        <f t="shared" si="87"/>
        <v>0.56178339605867045</v>
      </c>
      <c r="L146" s="304">
        <f t="shared" si="88"/>
        <v>-0.67656008955835933</v>
      </c>
      <c r="M146" s="304">
        <f t="shared" si="89"/>
        <v>3.042722200216307</v>
      </c>
      <c r="N146" s="304">
        <f t="shared" si="90"/>
        <v>9.1984307563239582</v>
      </c>
      <c r="O146" s="373">
        <f>M146/N146</f>
        <v>0.33078709627991965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281" t="s">
        <v>10</v>
      </c>
      <c r="B150" s="282"/>
      <c r="C150" s="282"/>
      <c r="D150" s="282"/>
      <c r="E150" s="282"/>
      <c r="F150" s="283"/>
      <c r="G150" s="350"/>
      <c r="H150" s="281" t="s">
        <v>9</v>
      </c>
      <c r="I150" s="282"/>
      <c r="J150" s="282"/>
      <c r="K150" s="282"/>
      <c r="L150" s="282"/>
      <c r="M150" s="282"/>
      <c r="N150" s="283"/>
    </row>
    <row r="151" spans="1:19" ht="18" customHeight="1" x14ac:dyDescent="0.3">
      <c r="A151" s="351"/>
      <c r="B151" s="352"/>
      <c r="C151" s="353" t="s">
        <v>5</v>
      </c>
      <c r="D151" s="354"/>
      <c r="E151" s="353" t="s">
        <v>6</v>
      </c>
      <c r="F151" s="354"/>
      <c r="G151" s="240" t="s">
        <v>8</v>
      </c>
      <c r="H151" s="355"/>
      <c r="I151" s="356"/>
      <c r="J151" s="356"/>
      <c r="K151" s="357"/>
      <c r="L151" s="357"/>
      <c r="M151" s="358"/>
      <c r="N151" s="358"/>
      <c r="P151" s="269" t="s">
        <v>27</v>
      </c>
      <c r="Q151" s="269"/>
      <c r="R151" s="269"/>
      <c r="S151" s="269"/>
    </row>
    <row r="152" spans="1:19" ht="18" customHeight="1" x14ac:dyDescent="0.3">
      <c r="A152" s="259"/>
      <c r="B152" s="359">
        <v>-0.37806568533891394</v>
      </c>
      <c r="C152" s="359" t="s">
        <v>5</v>
      </c>
      <c r="D152" s="359">
        <v>-0.14285714285714288</v>
      </c>
      <c r="E152" s="359" t="s">
        <v>6</v>
      </c>
      <c r="F152" s="359">
        <f>SUM(B152,D152)</f>
        <v>-0.52092282819605684</v>
      </c>
      <c r="G152" s="249">
        <v>2</v>
      </c>
      <c r="H152" s="359">
        <f>IF(OR($G152=1,$G152=2), $F152 + IF($G152=1,1,-1)*$N$23*(EXP(-$F152)/(1+EXP(-$F152))), NA())</f>
        <v>-0.70913188691944196</v>
      </c>
      <c r="I152" s="359">
        <f t="shared" ref="I152:I160" si="98">IF(G152=1,H152+N(I151),N(I151))</f>
        <v>0</v>
      </c>
      <c r="J152" s="359">
        <f>IF(G152=2,H152+N(J151),N(J151))</f>
        <v>-0.70913188691944196</v>
      </c>
      <c r="K152" s="304">
        <f>IFERROR(I152/COUNTIF($G$152:$G$161,1),"ERROR!!!")</f>
        <v>0</v>
      </c>
      <c r="L152" s="304">
        <f>IFERROR(J152/COUNTIF($G$152:$G$161,2),"ERROR!!!")</f>
        <v>-0.118188647819907</v>
      </c>
      <c r="M152" s="304">
        <f>IF(ROW()=152, 0, M151) + ABS(H152 - IF($G152=1, $K152, $L152))</f>
        <v>0.59094323909953494</v>
      </c>
      <c r="N152" s="304">
        <f>IF(ROW()=152, 0, N151) + ABS(H152 - IF($G152=1, $L152, $K152))</f>
        <v>0.70913188691944196</v>
      </c>
      <c r="P152" s="360"/>
      <c r="Q152" s="361"/>
      <c r="R152" s="316" t="s">
        <v>13</v>
      </c>
      <c r="S152" s="362">
        <f>IF(O161&lt;S137,O161,S137)</f>
        <v>0.28261554505845599</v>
      </c>
    </row>
    <row r="153" spans="1:19" ht="18" customHeight="1" x14ac:dyDescent="0.3">
      <c r="A153" s="259"/>
      <c r="B153" s="359">
        <v>0.40872845598398955</v>
      </c>
      <c r="C153" s="359" t="s">
        <v>5</v>
      </c>
      <c r="D153" s="359">
        <v>-0.14285714285714288</v>
      </c>
      <c r="E153" s="359" t="s">
        <v>6</v>
      </c>
      <c r="F153" s="359">
        <f>SUM(B153,D153)</f>
        <v>0.26587131312684664</v>
      </c>
      <c r="G153" s="249">
        <v>1</v>
      </c>
      <c r="H153" s="359">
        <f t="shared" ref="H153:H161" si="99">IF(OR($G153=1,$G153=2), $F153 + IF($G153=1,1,-1)*$N$23*(EXP(-$F153)/(1+EXP(-$F153))), NA())</f>
        <v>0.39604760144156603</v>
      </c>
      <c r="I153" s="359">
        <f t="shared" si="98"/>
        <v>0.39604760144156603</v>
      </c>
      <c r="J153" s="359">
        <f t="shared" ref="J153:J154" si="100">IF(G153=2,H153+N(J152),N(J152))</f>
        <v>-0.70913188691944196</v>
      </c>
      <c r="K153" s="304">
        <f t="shared" ref="K153:K161" si="101">IFERROR(I153/COUNTIF($G$152:$G$161,1),"ERROR!!!")</f>
        <v>9.9011900360391508E-2</v>
      </c>
      <c r="L153" s="304">
        <f t="shared" ref="L153:L161" si="102">IFERROR(J153/COUNTIF($G$152:$G$161,2),"ERROR!!!")</f>
        <v>-0.118188647819907</v>
      </c>
      <c r="M153" s="304">
        <f t="shared" ref="M153:M161" si="103">IF(ROW()=152, 0, M152) + ABS(H153 - IF($G153=1, $K153, $L153))</f>
        <v>0.88797894018070944</v>
      </c>
      <c r="N153" s="304">
        <f t="shared" ref="N153:N161" si="104">IF(ROW()=152, 0, N152) + ABS(H153 - IF($G153=1, $L153, $K153))</f>
        <v>1.223368136180915</v>
      </c>
      <c r="P153" s="364"/>
      <c r="Q153" s="365"/>
      <c r="R153" s="259" t="s">
        <v>17</v>
      </c>
      <c r="S153" s="366">
        <v>11</v>
      </c>
    </row>
    <row r="154" spans="1:19" ht="18" customHeight="1" x14ac:dyDescent="0.3">
      <c r="A154" s="259"/>
      <c r="B154" s="359">
        <v>-0.14942741726637135</v>
      </c>
      <c r="C154" s="359" t="s">
        <v>5</v>
      </c>
      <c r="D154" s="359">
        <v>0.14285714285714288</v>
      </c>
      <c r="E154" s="359" t="s">
        <v>6</v>
      </c>
      <c r="F154" s="359">
        <f t="shared" ref="F154" si="105">SUM(B154,D154)</f>
        <v>-6.5702744092284715E-3</v>
      </c>
      <c r="G154" s="249">
        <v>2</v>
      </c>
      <c r="H154" s="359">
        <f>IF(OR($G154=1,$G154=2), $F154 + IF($G154=1,1,-1)*$N$23*(EXP(-$F154)/(1+EXP(-$F154))), NA())</f>
        <v>-0.15706304321724743</v>
      </c>
      <c r="I154" s="359">
        <f t="shared" si="98"/>
        <v>0.39604760144156603</v>
      </c>
      <c r="J154" s="359">
        <f t="shared" si="100"/>
        <v>-0.86619493013668936</v>
      </c>
      <c r="K154" s="304">
        <f t="shared" si="101"/>
        <v>9.9011900360391508E-2</v>
      </c>
      <c r="L154" s="304">
        <f t="shared" si="102"/>
        <v>-0.14436582168944823</v>
      </c>
      <c r="M154" s="304">
        <f t="shared" si="103"/>
        <v>0.90067616170850862</v>
      </c>
      <c r="N154" s="304">
        <f t="shared" si="104"/>
        <v>1.4794430797585538</v>
      </c>
      <c r="P154" s="368"/>
      <c r="Q154" s="369"/>
      <c r="R154" s="259" t="s">
        <v>15</v>
      </c>
      <c r="S154" s="366">
        <f>IF(O161&lt;S137,S153,S139)</f>
        <v>5</v>
      </c>
    </row>
    <row r="155" spans="1:19" ht="18" customHeight="1" x14ac:dyDescent="0.3">
      <c r="A155" s="259"/>
      <c r="B155" s="359">
        <v>0.23923915005200891</v>
      </c>
      <c r="C155" s="359" t="s">
        <v>5</v>
      </c>
      <c r="D155" s="359">
        <v>-0.14285714285714288</v>
      </c>
      <c r="E155" s="359" t="s">
        <v>6</v>
      </c>
      <c r="F155" s="359">
        <f>SUM(B155,D155)</f>
        <v>9.6382007194866032E-2</v>
      </c>
      <c r="G155" s="249">
        <v>1</v>
      </c>
      <c r="H155" s="359">
        <f t="shared" si="99"/>
        <v>0.23915894733571552</v>
      </c>
      <c r="I155" s="359">
        <f t="shared" si="98"/>
        <v>0.63520654877728155</v>
      </c>
      <c r="J155" s="359">
        <f>IF(G155=2,H155+N(J154),N(J154))</f>
        <v>-0.86619493013668936</v>
      </c>
      <c r="K155" s="304">
        <f t="shared" si="101"/>
        <v>0.15880163719432039</v>
      </c>
      <c r="L155" s="304">
        <f t="shared" si="102"/>
        <v>-0.14436582168944823</v>
      </c>
      <c r="M155" s="304">
        <f t="shared" si="103"/>
        <v>0.98103347184990375</v>
      </c>
      <c r="N155" s="304">
        <f t="shared" si="104"/>
        <v>1.8629678487837176</v>
      </c>
    </row>
    <row r="156" spans="1:19" ht="18" customHeight="1" x14ac:dyDescent="0.3">
      <c r="A156" s="259"/>
      <c r="B156" s="359">
        <v>0.40872845598398955</v>
      </c>
      <c r="C156" s="359" t="s">
        <v>5</v>
      </c>
      <c r="D156" s="359">
        <v>0.14285714285714288</v>
      </c>
      <c r="E156" s="359" t="s">
        <v>6</v>
      </c>
      <c r="F156" s="359">
        <f>SUM(B156,D156)</f>
        <v>0.55158559884113245</v>
      </c>
      <c r="G156" s="249">
        <v>1</v>
      </c>
      <c r="H156" s="359">
        <f>IF(OR($G156=1,$G156=2), $F156 + IF($G156=1,1,-1)*$N$23*(EXP(-$F156)/(1+EXP(-$F156))), NA())</f>
        <v>0.66123458371316657</v>
      </c>
      <c r="I156" s="359">
        <f t="shared" si="98"/>
        <v>1.2964411324904481</v>
      </c>
      <c r="J156" s="359">
        <f t="shared" ref="J156:J161" si="106">IF(G156=2,H156+N(J155),N(J155))</f>
        <v>-0.86619493013668936</v>
      </c>
      <c r="K156" s="304">
        <f t="shared" si="101"/>
        <v>0.32411028312261203</v>
      </c>
      <c r="L156" s="304">
        <f t="shared" si="102"/>
        <v>-0.14436582168944823</v>
      </c>
      <c r="M156" s="304">
        <f t="shared" si="103"/>
        <v>1.3181577724404583</v>
      </c>
      <c r="N156" s="304">
        <f t="shared" si="104"/>
        <v>2.6685682541863325</v>
      </c>
    </row>
    <row r="157" spans="1:19" ht="18" customHeight="1" x14ac:dyDescent="0.3">
      <c r="A157" s="259"/>
      <c r="B157" s="359">
        <v>0.23923915005200891</v>
      </c>
      <c r="C157" s="359" t="s">
        <v>5</v>
      </c>
      <c r="D157" s="359">
        <v>0.14285714285714288</v>
      </c>
      <c r="E157" s="359" t="s">
        <v>6</v>
      </c>
      <c r="F157" s="359">
        <f>SUM(B157,D157)</f>
        <v>0.38209629290915181</v>
      </c>
      <c r="G157" s="249">
        <v>1</v>
      </c>
      <c r="H157" s="359">
        <f>IF(OR($G157=1,$G157=2), $F157 + IF($G157=1,1,-1)*$N$23*(EXP(-$F157)/(1+EXP(-$F157))), NA())</f>
        <v>0.50378271181903655</v>
      </c>
      <c r="I157" s="359">
        <f t="shared" si="98"/>
        <v>1.8002238443094847</v>
      </c>
      <c r="J157" s="359">
        <f t="shared" si="106"/>
        <v>-0.86619493013668936</v>
      </c>
      <c r="K157" s="304">
        <f t="shared" si="101"/>
        <v>0.45005596107737117</v>
      </c>
      <c r="L157" s="304">
        <f t="shared" si="102"/>
        <v>-0.14436582168944823</v>
      </c>
      <c r="M157" s="304">
        <f t="shared" si="103"/>
        <v>1.3718845231821237</v>
      </c>
      <c r="N157" s="304">
        <f t="shared" si="104"/>
        <v>3.3167167876948174</v>
      </c>
    </row>
    <row r="158" spans="1:19" ht="18" customHeight="1" x14ac:dyDescent="0.3">
      <c r="A158" s="259"/>
      <c r="B158" s="359">
        <v>-0.32058777621177315</v>
      </c>
      <c r="C158" s="359" t="s">
        <v>5</v>
      </c>
      <c r="D158" s="359">
        <v>-0.14285714285714288</v>
      </c>
      <c r="E158" s="359" t="s">
        <v>6</v>
      </c>
      <c r="F158" s="359">
        <f t="shared" ref="F158:F159" si="107">SUM(B158,D158)</f>
        <v>-0.46344491906891605</v>
      </c>
      <c r="G158" s="249">
        <v>2</v>
      </c>
      <c r="H158" s="359">
        <f t="shared" si="99"/>
        <v>-0.64759424542260724</v>
      </c>
      <c r="I158" s="359">
        <f t="shared" si="98"/>
        <v>1.8002238443094847</v>
      </c>
      <c r="J158" s="359">
        <f t="shared" si="106"/>
        <v>-1.5137891755592965</v>
      </c>
      <c r="K158" s="304">
        <f t="shared" si="101"/>
        <v>0.45005596107737117</v>
      </c>
      <c r="L158" s="304">
        <f t="shared" si="102"/>
        <v>-0.2522981959265494</v>
      </c>
      <c r="M158" s="304">
        <f t="shared" si="103"/>
        <v>1.7671805726781815</v>
      </c>
      <c r="N158" s="304">
        <f t="shared" si="104"/>
        <v>4.4143669941947961</v>
      </c>
    </row>
    <row r="159" spans="1:19" ht="18" customHeight="1" x14ac:dyDescent="0.3">
      <c r="A159" s="259"/>
      <c r="B159" s="359">
        <v>-0.37806568533891394</v>
      </c>
      <c r="C159" s="359" t="s">
        <v>5</v>
      </c>
      <c r="D159" s="359">
        <v>-0.14285714285714288</v>
      </c>
      <c r="E159" s="359" t="s">
        <v>6</v>
      </c>
      <c r="F159" s="359">
        <f t="shared" si="107"/>
        <v>-0.52092282819605684</v>
      </c>
      <c r="G159" s="249">
        <v>2</v>
      </c>
      <c r="H159" s="359">
        <f t="shared" si="99"/>
        <v>-0.70913188691944196</v>
      </c>
      <c r="I159" s="359">
        <f t="shared" si="98"/>
        <v>1.8002238443094847</v>
      </c>
      <c r="J159" s="359">
        <f>IF(G159=2,H159+N(J158),N(J158))</f>
        <v>-2.2229210624787386</v>
      </c>
      <c r="K159" s="304">
        <f t="shared" si="101"/>
        <v>0.45005596107737117</v>
      </c>
      <c r="L159" s="304">
        <f t="shared" si="102"/>
        <v>-0.37048684374645641</v>
      </c>
      <c r="M159" s="304">
        <f t="shared" si="103"/>
        <v>2.1058256158511672</v>
      </c>
      <c r="N159" s="304">
        <f t="shared" si="104"/>
        <v>5.5735548421916095</v>
      </c>
      <c r="O159" s="354"/>
    </row>
    <row r="160" spans="1:19" ht="18" customHeight="1" x14ac:dyDescent="0.3">
      <c r="A160" s="259"/>
      <c r="B160" s="359">
        <v>-0.37806568533891394</v>
      </c>
      <c r="C160" s="359" t="s">
        <v>5</v>
      </c>
      <c r="D160" s="359">
        <v>-0.14285714285714288</v>
      </c>
      <c r="E160" s="359" t="s">
        <v>6</v>
      </c>
      <c r="F160" s="359">
        <f>SUM(B160,D160)</f>
        <v>-0.52092282819605684</v>
      </c>
      <c r="G160" s="249">
        <v>2</v>
      </c>
      <c r="H160" s="359">
        <f t="shared" si="99"/>
        <v>-0.70913188691944196</v>
      </c>
      <c r="I160" s="359">
        <f t="shared" si="98"/>
        <v>1.8002238443094847</v>
      </c>
      <c r="J160" s="359">
        <f t="shared" si="106"/>
        <v>-2.9320529493981806</v>
      </c>
      <c r="K160" s="304">
        <f t="shared" si="101"/>
        <v>0.45005596107737117</v>
      </c>
      <c r="L160" s="304">
        <f t="shared" si="102"/>
        <v>-0.48867549156636342</v>
      </c>
      <c r="M160" s="304">
        <f t="shared" si="103"/>
        <v>2.3262820112042459</v>
      </c>
      <c r="N160" s="304">
        <f t="shared" si="104"/>
        <v>6.7327426901884229</v>
      </c>
      <c r="O160" s="358"/>
    </row>
    <row r="161" spans="1:19" ht="18" customHeight="1" x14ac:dyDescent="0.3">
      <c r="A161" s="259"/>
      <c r="B161" s="359">
        <v>-0.37806568533891394</v>
      </c>
      <c r="C161" s="359" t="s">
        <v>5</v>
      </c>
      <c r="D161" s="359">
        <v>-0.14285714285714288</v>
      </c>
      <c r="E161" s="359" t="s">
        <v>6</v>
      </c>
      <c r="F161" s="359">
        <f t="shared" ref="F161" si="108">SUM(B161,D161)</f>
        <v>-0.52092282819605684</v>
      </c>
      <c r="G161" s="249">
        <v>2</v>
      </c>
      <c r="H161" s="359">
        <f t="shared" si="99"/>
        <v>-0.70913188691944196</v>
      </c>
      <c r="I161" s="359">
        <f t="shared" ref="I161" si="109">IF(G161=1,H161+N(I160),N(I160))</f>
        <v>1.8002238443094847</v>
      </c>
      <c r="J161" s="359">
        <f t="shared" si="106"/>
        <v>-3.6411848363176227</v>
      </c>
      <c r="K161" s="304">
        <f t="shared" si="101"/>
        <v>0.45005596107737117</v>
      </c>
      <c r="L161" s="304">
        <f t="shared" si="102"/>
        <v>-0.60686413938627048</v>
      </c>
      <c r="M161" s="304">
        <f t="shared" si="103"/>
        <v>2.4285497587374172</v>
      </c>
      <c r="N161" s="304">
        <f t="shared" si="104"/>
        <v>7.8919305381852363</v>
      </c>
      <c r="O161" s="373">
        <f>M161/N161</f>
        <v>0.30772568853550331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A165" s="281" t="s">
        <v>10</v>
      </c>
      <c r="B165" s="282"/>
      <c r="C165" s="282"/>
      <c r="D165" s="282"/>
      <c r="E165" s="282"/>
      <c r="F165" s="283"/>
      <c r="G165" s="350"/>
      <c r="H165" s="281" t="s">
        <v>9</v>
      </c>
      <c r="I165" s="282"/>
      <c r="J165" s="282"/>
      <c r="K165" s="282"/>
      <c r="L165" s="282"/>
      <c r="M165" s="282"/>
      <c r="N165" s="283"/>
    </row>
    <row r="166" spans="1:19" ht="18" customHeight="1" x14ac:dyDescent="0.3">
      <c r="A166" s="351"/>
      <c r="B166" s="352"/>
      <c r="C166" s="353" t="s">
        <v>5</v>
      </c>
      <c r="D166" s="354"/>
      <c r="E166" s="353" t="s">
        <v>6</v>
      </c>
      <c r="F166" s="354"/>
      <c r="G166" s="240" t="s">
        <v>8</v>
      </c>
      <c r="H166" s="355"/>
      <c r="I166" s="356"/>
      <c r="J166" s="356"/>
      <c r="K166" s="357"/>
      <c r="L166" s="357"/>
      <c r="M166" s="358"/>
      <c r="N166" s="358"/>
      <c r="P166" s="269" t="s">
        <v>27</v>
      </c>
      <c r="Q166" s="269"/>
      <c r="R166" s="269"/>
      <c r="S166" s="269"/>
    </row>
    <row r="167" spans="1:19" ht="18" customHeight="1" x14ac:dyDescent="0.3">
      <c r="A167" s="259"/>
      <c r="B167" s="359">
        <v>-0.37806568533891394</v>
      </c>
      <c r="C167" s="359" t="s">
        <v>5</v>
      </c>
      <c r="D167" s="359">
        <v>-9.5238000000000017E-2</v>
      </c>
      <c r="E167" s="359" t="s">
        <v>6</v>
      </c>
      <c r="F167" s="359">
        <f t="shared" ref="F167:F172" si="110">SUM(B167,D167)</f>
        <v>-0.47330368533891398</v>
      </c>
      <c r="G167" s="249">
        <v>2</v>
      </c>
      <c r="H167" s="359">
        <f>IF(OR($G167=1,$G167=2), $F167 + IF($G167=1,1,-1)*$N$23*(EXP(-$F167)/(1+EXP(-$F167))), NA())</f>
        <v>-0.65815330406064221</v>
      </c>
      <c r="I167" s="359">
        <f t="shared" ref="I167:I175" si="111">IF(G167=1,H167+N(I166),N(I166))</f>
        <v>0</v>
      </c>
      <c r="J167" s="359">
        <f>IF(G167=2,H167+N(J166),N(J166))</f>
        <v>-0.65815330406064221</v>
      </c>
      <c r="K167" s="304">
        <f>IFERROR(I167/COUNTIF($G$167:$G$176,1),"ERROR!!!")</f>
        <v>0</v>
      </c>
      <c r="L167" s="304">
        <f>IFERROR(J167/COUNTIF($G$167:$G$176,2),"ERROR!!!")</f>
        <v>-0.10969221734344037</v>
      </c>
      <c r="M167" s="304">
        <f>IF(ROW()=167, 0, M166) + ABS(H167 - IF($G167=1, $K167, $L167))</f>
        <v>0.54846108671720184</v>
      </c>
      <c r="N167" s="304">
        <f>IF(ROW()=167, 0, N166) + ABS(H167 - IF($G167=1, $L167, $K167))</f>
        <v>0.65815330406064221</v>
      </c>
      <c r="P167" s="360"/>
      <c r="Q167" s="361"/>
      <c r="R167" s="316" t="s">
        <v>13</v>
      </c>
      <c r="S167" s="362">
        <f>IF(O176&lt;S152,O176,S152)</f>
        <v>0.28256273904253509</v>
      </c>
    </row>
    <row r="168" spans="1:19" ht="18" customHeight="1" x14ac:dyDescent="0.3">
      <c r="A168" s="259"/>
      <c r="B168" s="359">
        <v>0.40872845598398955</v>
      </c>
      <c r="C168" s="359" t="s">
        <v>5</v>
      </c>
      <c r="D168" s="359">
        <v>9.5238000000000017E-2</v>
      </c>
      <c r="E168" s="359" t="s">
        <v>6</v>
      </c>
      <c r="F168" s="359">
        <f t="shared" si="110"/>
        <v>0.50396645598398959</v>
      </c>
      <c r="G168" s="249">
        <v>1</v>
      </c>
      <c r="H168" s="359">
        <f t="shared" ref="H168:H176" si="112">IF(OR($G168=1,$G168=2), $F168 + IF($G168=1,1,-1)*$N$23*(EXP(-$F168)/(1+EXP(-$F168))), NA())</f>
        <v>0.61694915318880028</v>
      </c>
      <c r="I168" s="359">
        <f t="shared" si="111"/>
        <v>0.61694915318880028</v>
      </c>
      <c r="J168" s="359">
        <f t="shared" ref="J168:J169" si="113">IF(G168=2,H168+N(J167),N(J167))</f>
        <v>-0.65815330406064221</v>
      </c>
      <c r="K168" s="304">
        <f t="shared" ref="K168:K176" si="114">IFERROR(I168/COUNTIF($G$167:$G$176,1),"ERROR!!!")</f>
        <v>0.15423728829720007</v>
      </c>
      <c r="L168" s="304">
        <f t="shared" ref="L168:L176" si="115">IFERROR(J168/COUNTIF($G$167:$G$176,2),"ERROR!!!")</f>
        <v>-0.10969221734344037</v>
      </c>
      <c r="M168" s="304">
        <f t="shared" ref="M168:M176" si="116">IF(ROW()=167, 0, M167) + ABS(H168 - IF($G168=1, $K168, $L168))</f>
        <v>1.0111729516088022</v>
      </c>
      <c r="N168" s="304">
        <f t="shared" ref="N168:N176" si="117">IF(ROW()=167, 0, N167) + ABS(H168 - IF($G168=1, $L168, $K168))</f>
        <v>1.3847946745928827</v>
      </c>
      <c r="P168" s="364"/>
      <c r="Q168" s="365"/>
      <c r="R168" s="259" t="s">
        <v>17</v>
      </c>
      <c r="S168" s="366">
        <v>12</v>
      </c>
    </row>
    <row r="169" spans="1:19" ht="18" customHeight="1" x14ac:dyDescent="0.3">
      <c r="A169" s="259"/>
      <c r="B169" s="359">
        <v>-0.14942741726637135</v>
      </c>
      <c r="C169" s="359" t="s">
        <v>5</v>
      </c>
      <c r="D169" s="359">
        <v>9.5238000000000017E-2</v>
      </c>
      <c r="E169" s="359" t="s">
        <v>6</v>
      </c>
      <c r="F169" s="359">
        <f t="shared" si="110"/>
        <v>-5.4189417266371331E-2</v>
      </c>
      <c r="G169" s="249">
        <v>2</v>
      </c>
      <c r="H169" s="359">
        <f>IF(OR($G169=1,$G169=2), $F169 + IF($G169=1,1,-1)*$N$23*(EXP(-$F169)/(1+EXP(-$F169))), NA())</f>
        <v>-0.2082526293105503</v>
      </c>
      <c r="I169" s="359">
        <f t="shared" si="111"/>
        <v>0.61694915318880028</v>
      </c>
      <c r="J169" s="359">
        <f t="shared" si="113"/>
        <v>-0.86640593337119254</v>
      </c>
      <c r="K169" s="304">
        <f t="shared" si="114"/>
        <v>0.15423728829720007</v>
      </c>
      <c r="L169" s="304">
        <f t="shared" si="115"/>
        <v>-0.14440098889519876</v>
      </c>
      <c r="M169" s="304">
        <f t="shared" si="116"/>
        <v>1.0750245920241537</v>
      </c>
      <c r="N169" s="304">
        <f t="shared" si="117"/>
        <v>1.747284592200633</v>
      </c>
      <c r="P169" s="368"/>
      <c r="Q169" s="369"/>
      <c r="R169" s="259" t="s">
        <v>15</v>
      </c>
      <c r="S169" s="366">
        <f>IF(O176&lt;S152,S168,S154)</f>
        <v>12</v>
      </c>
    </row>
    <row r="170" spans="1:19" ht="18" customHeight="1" x14ac:dyDescent="0.3">
      <c r="A170" s="259"/>
      <c r="B170" s="359">
        <v>0.23923915005200891</v>
      </c>
      <c r="C170" s="359" t="s">
        <v>5</v>
      </c>
      <c r="D170" s="359">
        <v>-9.5238000000000017E-2</v>
      </c>
      <c r="E170" s="359" t="s">
        <v>6</v>
      </c>
      <c r="F170" s="359">
        <f t="shared" si="110"/>
        <v>0.14400115005200889</v>
      </c>
      <c r="G170" s="249">
        <v>1</v>
      </c>
      <c r="H170" s="359">
        <f t="shared" si="112"/>
        <v>0.28321968802638853</v>
      </c>
      <c r="I170" s="359">
        <f t="shared" si="111"/>
        <v>0.90016884121518881</v>
      </c>
      <c r="J170" s="359">
        <f>IF(G170=2,H170+N(J169),N(J169))</f>
        <v>-0.86640593337119254</v>
      </c>
      <c r="K170" s="304">
        <f t="shared" si="114"/>
        <v>0.2250422103037972</v>
      </c>
      <c r="L170" s="304">
        <f t="shared" si="115"/>
        <v>-0.14440098889519876</v>
      </c>
      <c r="M170" s="304">
        <f t="shared" si="116"/>
        <v>1.1332020697467451</v>
      </c>
      <c r="N170" s="304">
        <f t="shared" si="117"/>
        <v>2.1749052691222204</v>
      </c>
    </row>
    <row r="171" spans="1:19" ht="18" customHeight="1" x14ac:dyDescent="0.3">
      <c r="A171" s="259"/>
      <c r="B171" s="359">
        <v>0.40872845598398955</v>
      </c>
      <c r="C171" s="359" t="s">
        <v>5</v>
      </c>
      <c r="D171" s="359">
        <v>-9.5238000000000017E-2</v>
      </c>
      <c r="E171" s="359" t="s">
        <v>6</v>
      </c>
      <c r="F171" s="359">
        <f t="shared" si="110"/>
        <v>0.3134904559839895</v>
      </c>
      <c r="G171" s="249">
        <v>1</v>
      </c>
      <c r="H171" s="359">
        <f>IF(OR($G171=1,$G171=2), $F171 + IF($G171=1,1,-1)*$N$23*(EXP(-$F171)/(1+EXP(-$F171))), NA())</f>
        <v>0.44016935226413756</v>
      </c>
      <c r="I171" s="359">
        <f t="shared" si="111"/>
        <v>1.3403381934793264</v>
      </c>
      <c r="J171" s="359">
        <f t="shared" ref="J171:J173" si="118">IF(G171=2,H171+N(J170),N(J170))</f>
        <v>-0.86640593337119254</v>
      </c>
      <c r="K171" s="304">
        <f t="shared" si="114"/>
        <v>0.33508454836983159</v>
      </c>
      <c r="L171" s="304">
        <f t="shared" si="115"/>
        <v>-0.14440098889519876</v>
      </c>
      <c r="M171" s="304">
        <f t="shared" si="116"/>
        <v>1.2382868736410511</v>
      </c>
      <c r="N171" s="304">
        <f t="shared" si="117"/>
        <v>2.759475610281557</v>
      </c>
    </row>
    <row r="172" spans="1:19" ht="18" customHeight="1" x14ac:dyDescent="0.3">
      <c r="A172" s="259"/>
      <c r="B172" s="359">
        <v>0.23923915005200891</v>
      </c>
      <c r="C172" s="359" t="s">
        <v>5</v>
      </c>
      <c r="D172" s="359">
        <v>9.5238000000000017E-2</v>
      </c>
      <c r="E172" s="359" t="s">
        <v>6</v>
      </c>
      <c r="F172" s="359">
        <f t="shared" si="110"/>
        <v>0.33447715005200895</v>
      </c>
      <c r="G172" s="249">
        <v>1</v>
      </c>
      <c r="H172" s="359">
        <f>IF(OR($G172=1,$G172=2), $F172 + IF($G172=1,1,-1)*$N$23*(EXP(-$F172)/(1+EXP(-$F172))), NA())</f>
        <v>0.45962264925637741</v>
      </c>
      <c r="I172" s="359">
        <f t="shared" si="111"/>
        <v>1.7999608427357039</v>
      </c>
      <c r="J172" s="359">
        <f t="shared" si="118"/>
        <v>-0.86640593337119254</v>
      </c>
      <c r="K172" s="304">
        <f t="shared" si="114"/>
        <v>0.44999021068392597</v>
      </c>
      <c r="L172" s="304">
        <f t="shared" si="115"/>
        <v>-0.14440098889519876</v>
      </c>
      <c r="M172" s="304">
        <f t="shared" si="116"/>
        <v>1.2479193122135026</v>
      </c>
      <c r="N172" s="304">
        <f t="shared" si="117"/>
        <v>3.3634992484331332</v>
      </c>
    </row>
    <row r="173" spans="1:19" ht="18" customHeight="1" x14ac:dyDescent="0.3">
      <c r="A173" s="259"/>
      <c r="B173" s="359">
        <v>-0.32058777621177315</v>
      </c>
      <c r="C173" s="359" t="s">
        <v>5</v>
      </c>
      <c r="D173" s="359">
        <v>-9.5238000000000017E-2</v>
      </c>
      <c r="E173" s="359" t="s">
        <v>6</v>
      </c>
      <c r="F173" s="359">
        <f t="shared" ref="F173:F174" si="119">SUM(B173,D173)</f>
        <v>-0.41582577621177319</v>
      </c>
      <c r="G173" s="249">
        <v>2</v>
      </c>
      <c r="H173" s="359">
        <f t="shared" si="112"/>
        <v>-0.59657096558333689</v>
      </c>
      <c r="I173" s="359">
        <f t="shared" si="111"/>
        <v>1.7999608427357039</v>
      </c>
      <c r="J173" s="359">
        <f t="shared" si="118"/>
        <v>-1.4629768989545293</v>
      </c>
      <c r="K173" s="304">
        <f t="shared" si="114"/>
        <v>0.44999021068392597</v>
      </c>
      <c r="L173" s="304">
        <f t="shared" si="115"/>
        <v>-0.24382948315908823</v>
      </c>
      <c r="M173" s="304">
        <f t="shared" si="116"/>
        <v>1.6006607946377511</v>
      </c>
      <c r="N173" s="304">
        <f>IF(ROW()=167, 0, N172) + ABS(H173 - IF($G173=1, $L173, $K173))</f>
        <v>4.4100604247003963</v>
      </c>
    </row>
    <row r="174" spans="1:19" ht="18" customHeight="1" x14ac:dyDescent="0.3">
      <c r="A174" s="259"/>
      <c r="B174" s="359">
        <v>-0.37806568533891394</v>
      </c>
      <c r="C174" s="359" t="s">
        <v>5</v>
      </c>
      <c r="D174" s="359">
        <v>-9.5238000000000017E-2</v>
      </c>
      <c r="E174" s="359" t="s">
        <v>6</v>
      </c>
      <c r="F174" s="359">
        <f t="shared" si="119"/>
        <v>-0.47330368533891398</v>
      </c>
      <c r="G174" s="249">
        <v>2</v>
      </c>
      <c r="H174" s="359">
        <f>IF(OR($G174=1,$G174=2), $F174 + IF($G174=1,1,-1)*$N$23*(EXP(-$F174)/(1+EXP(-$F174))), NA())</f>
        <v>-0.65815330406064221</v>
      </c>
      <c r="I174" s="359">
        <f t="shared" si="111"/>
        <v>1.7999608427357039</v>
      </c>
      <c r="J174" s="359">
        <f>IF(G174=2,H174+N(J173),N(J173))</f>
        <v>-2.1211302030151717</v>
      </c>
      <c r="K174" s="304">
        <f t="shared" si="114"/>
        <v>0.44999021068392597</v>
      </c>
      <c r="L174" s="304">
        <f t="shared" si="115"/>
        <v>-0.35352170050252862</v>
      </c>
      <c r="M174" s="304">
        <f t="shared" si="116"/>
        <v>1.9052923981958647</v>
      </c>
      <c r="N174" s="304">
        <f t="shared" si="117"/>
        <v>5.5182039394449642</v>
      </c>
      <c r="O174" s="354"/>
    </row>
    <row r="175" spans="1:19" ht="18" customHeight="1" x14ac:dyDescent="0.3">
      <c r="A175" s="259"/>
      <c r="B175" s="359">
        <v>-0.37806568533891394</v>
      </c>
      <c r="C175" s="359" t="s">
        <v>5</v>
      </c>
      <c r="D175" s="359">
        <v>-9.5238000000000017E-2</v>
      </c>
      <c r="E175" s="359" t="s">
        <v>6</v>
      </c>
      <c r="F175" s="359">
        <f>SUM(B175,D175)</f>
        <v>-0.47330368533891398</v>
      </c>
      <c r="G175" s="249">
        <v>2</v>
      </c>
      <c r="H175" s="359">
        <f t="shared" si="112"/>
        <v>-0.65815330406064221</v>
      </c>
      <c r="I175" s="359">
        <f t="shared" si="111"/>
        <v>1.7999608427357039</v>
      </c>
      <c r="J175" s="359">
        <f t="shared" ref="J175:J176" si="120">IF(G175=2,H175+N(J174),N(J174))</f>
        <v>-2.7792835070758137</v>
      </c>
      <c r="K175" s="304">
        <f t="shared" si="114"/>
        <v>0.44999021068392597</v>
      </c>
      <c r="L175" s="304">
        <f t="shared" si="115"/>
        <v>-0.46321391784596894</v>
      </c>
      <c r="M175" s="304">
        <f t="shared" si="116"/>
        <v>2.1002317844105378</v>
      </c>
      <c r="N175" s="304">
        <f t="shared" si="117"/>
        <v>6.6263474541895322</v>
      </c>
      <c r="O175" s="358"/>
    </row>
    <row r="176" spans="1:19" ht="18" customHeight="1" x14ac:dyDescent="0.3">
      <c r="A176" s="259"/>
      <c r="B176" s="359">
        <v>-0.37806568533891394</v>
      </c>
      <c r="C176" s="359" t="s">
        <v>5</v>
      </c>
      <c r="D176" s="359">
        <v>-9.5238000000000017E-2</v>
      </c>
      <c r="E176" s="359" t="s">
        <v>6</v>
      </c>
      <c r="F176" s="359">
        <f t="shared" ref="F176" si="121">SUM(B176,D176)</f>
        <v>-0.47330368533891398</v>
      </c>
      <c r="G176" s="249">
        <v>2</v>
      </c>
      <c r="H176" s="359">
        <f t="shared" si="112"/>
        <v>-0.65815330406064221</v>
      </c>
      <c r="I176" s="359">
        <f t="shared" ref="I176" si="122">IF(G176=1,H176+N(I175),N(I175))</f>
        <v>1.7999608427357039</v>
      </c>
      <c r="J176" s="359">
        <f t="shared" si="120"/>
        <v>-3.4374368111364557</v>
      </c>
      <c r="K176" s="304">
        <f t="shared" si="114"/>
        <v>0.44999021068392597</v>
      </c>
      <c r="L176" s="304">
        <f t="shared" si="115"/>
        <v>-0.57290613518940925</v>
      </c>
      <c r="M176" s="304">
        <f t="shared" si="116"/>
        <v>2.1854789532817707</v>
      </c>
      <c r="N176" s="304">
        <f t="shared" si="117"/>
        <v>7.7344909689341002</v>
      </c>
      <c r="O176" s="373">
        <f>M176/N176</f>
        <v>0.28256273904253509</v>
      </c>
    </row>
    <row r="177" spans="1:19" ht="14.4" customHeight="1" x14ac:dyDescent="0.3"/>
    <row r="178" spans="1:19" ht="14.4" customHeight="1" x14ac:dyDescent="0.3"/>
    <row r="179" spans="1:19" ht="14.4" customHeight="1" x14ac:dyDescent="0.3"/>
    <row r="180" spans="1:19" ht="18" customHeight="1" x14ac:dyDescent="0.3">
      <c r="A180" s="281" t="s">
        <v>10</v>
      </c>
      <c r="B180" s="282"/>
      <c r="C180" s="282"/>
      <c r="D180" s="282"/>
      <c r="E180" s="282"/>
      <c r="F180" s="283"/>
      <c r="G180" s="350"/>
      <c r="H180" s="281" t="s">
        <v>9</v>
      </c>
      <c r="I180" s="282"/>
      <c r="J180" s="282"/>
      <c r="K180" s="282"/>
      <c r="L180" s="282"/>
      <c r="M180" s="282"/>
      <c r="N180" s="283"/>
    </row>
    <row r="181" spans="1:19" ht="18" customHeight="1" x14ac:dyDescent="0.3">
      <c r="A181" s="351"/>
      <c r="B181" s="352"/>
      <c r="C181" s="353" t="s">
        <v>5</v>
      </c>
      <c r="D181" s="354"/>
      <c r="E181" s="353" t="s">
        <v>6</v>
      </c>
      <c r="F181" s="354"/>
      <c r="G181" s="240" t="s">
        <v>8</v>
      </c>
      <c r="H181" s="355"/>
      <c r="I181" s="356"/>
      <c r="J181" s="356"/>
      <c r="K181" s="357"/>
      <c r="L181" s="357"/>
      <c r="M181" s="358"/>
      <c r="N181" s="358"/>
      <c r="P181" s="269" t="s">
        <v>27</v>
      </c>
      <c r="Q181" s="269"/>
      <c r="R181" s="269"/>
      <c r="S181" s="269"/>
    </row>
    <row r="182" spans="1:19" ht="18" customHeight="1" x14ac:dyDescent="0.3">
      <c r="A182" s="259"/>
      <c r="B182" s="359">
        <v>-0.37806568533891394</v>
      </c>
      <c r="C182" s="359" t="s">
        <v>5</v>
      </c>
      <c r="D182" s="359">
        <v>6.0763888888888902E-2</v>
      </c>
      <c r="E182" s="359" t="s">
        <v>6</v>
      </c>
      <c r="F182" s="359">
        <f t="shared" ref="F182:F187" si="123">SUM(B182,D182)</f>
        <v>-0.31730179645002504</v>
      </c>
      <c r="G182" s="249">
        <v>2</v>
      </c>
      <c r="H182" s="287">
        <f>IF(OR($G182=1,$G182=2), $F182 + IF($G182=1,1,-1)*$N$23*(EXP(-$F182)/(1+EXP(-$F182))), NA())</f>
        <v>-0.49090175811820469</v>
      </c>
      <c r="I182" s="359">
        <f t="shared" ref="I182:I190" si="124">IF(G182=1,H182+N(I181),N(I181))</f>
        <v>0</v>
      </c>
      <c r="J182" s="359">
        <f>IF(G182=2,H182+N(J181),N(J181))</f>
        <v>-0.49090175811820469</v>
      </c>
      <c r="K182" s="304">
        <f>IFERROR(I182/COUNTIF($G$182:$G$191,1),"ERROR!!!")</f>
        <v>0</v>
      </c>
      <c r="L182" s="304">
        <f>IFERROR(J182/COUNTIF($G$182:$G$191,2),"ERROR!!!")</f>
        <v>-8.1816959686367444E-2</v>
      </c>
      <c r="M182" s="304">
        <f>IF(ROW()=182, 0, M181) + ABS(H182 - IF($G182=1, $K182, $L182))</f>
        <v>0.40908479843183726</v>
      </c>
      <c r="N182" s="304">
        <f>IF(ROW()=182, 0, N181) + ABS(H182 - IF($G182=1, $L182, $K182))</f>
        <v>0.49090175811820469</v>
      </c>
      <c r="P182" s="360"/>
      <c r="Q182" s="361"/>
      <c r="R182" s="316" t="s">
        <v>13</v>
      </c>
      <c r="S182" s="362">
        <f>IF(O191&lt;S167,O191,S167)</f>
        <v>0.28185370345427874</v>
      </c>
    </row>
    <row r="183" spans="1:19" ht="18" customHeight="1" x14ac:dyDescent="0.3">
      <c r="A183" s="259"/>
      <c r="B183" s="359">
        <v>0.40872845598398955</v>
      </c>
      <c r="C183" s="359" t="s">
        <v>5</v>
      </c>
      <c r="D183" s="359">
        <v>6.0763888888888923E-2</v>
      </c>
      <c r="E183" s="359" t="s">
        <v>6</v>
      </c>
      <c r="F183" s="359">
        <f t="shared" si="123"/>
        <v>0.4694923448728785</v>
      </c>
      <c r="G183" s="249">
        <v>1</v>
      </c>
      <c r="H183" s="287">
        <f t="shared" ref="H183:H191" si="125">IF(OR($G183=1,$G183=2), $F183 + IF($G183=1,1,-1)*$N$23*(EXP(-$F183)/(1+EXP(-$F183))), NA())</f>
        <v>0.58491326661439713</v>
      </c>
      <c r="I183" s="359">
        <f t="shared" si="124"/>
        <v>0.58491326661439713</v>
      </c>
      <c r="J183" s="359">
        <f t="shared" ref="J183:J184" si="126">IF(G183=2,H183+N(J182),N(J182))</f>
        <v>-0.49090175811820469</v>
      </c>
      <c r="K183" s="304">
        <f t="shared" ref="K183:K191" si="127">IFERROR(I183/COUNTIF($G$182:$G$191,1),"ERROR!!!")</f>
        <v>0.14622831665359928</v>
      </c>
      <c r="L183" s="304">
        <f t="shared" ref="L183:L191" si="128">IFERROR(J183/COUNTIF($G$182:$G$191,2),"ERROR!!!")</f>
        <v>-8.1816959686367444E-2</v>
      </c>
      <c r="M183" s="304">
        <f t="shared" ref="M183:M191" si="129">IF(ROW()=182, 0, M182) + ABS(H183 - IF($G183=1, $K183, $L183))</f>
        <v>0.84776974839263519</v>
      </c>
      <c r="N183" s="304">
        <f t="shared" ref="N183:N191" si="130">IF(ROW()=182, 0, N182) + ABS(H183 - IF($G183=1, $L183, $K183))</f>
        <v>1.1576319844189693</v>
      </c>
      <c r="P183" s="364"/>
      <c r="Q183" s="365"/>
      <c r="R183" s="259" t="s">
        <v>17</v>
      </c>
      <c r="S183" s="366">
        <v>13</v>
      </c>
    </row>
    <row r="184" spans="1:19" ht="18" customHeight="1" x14ac:dyDescent="0.3">
      <c r="A184" s="259"/>
      <c r="B184" s="359">
        <v>-0.14942741726637135</v>
      </c>
      <c r="C184" s="359" t="s">
        <v>5</v>
      </c>
      <c r="D184" s="359">
        <v>6.0763888888888923E-2</v>
      </c>
      <c r="E184" s="359" t="s">
        <v>6</v>
      </c>
      <c r="F184" s="359">
        <f t="shared" si="123"/>
        <v>-8.8663528377482426E-2</v>
      </c>
      <c r="G184" s="249">
        <v>2</v>
      </c>
      <c r="H184" s="287">
        <f>IF(OR($G184=1,$G184=2), $F184 + IF($G184=1,1,-1)*$N$23*(EXP(-$F184)/(1+EXP(-$F184))), NA())</f>
        <v>-0.24530894015504226</v>
      </c>
      <c r="I184" s="359">
        <f t="shared" si="124"/>
        <v>0.58491326661439713</v>
      </c>
      <c r="J184" s="359">
        <f t="shared" si="126"/>
        <v>-0.73621069827324692</v>
      </c>
      <c r="K184" s="304">
        <f t="shared" si="127"/>
        <v>0.14622831665359928</v>
      </c>
      <c r="L184" s="304">
        <f t="shared" si="128"/>
        <v>-0.12270178304554115</v>
      </c>
      <c r="M184" s="304">
        <f t="shared" si="129"/>
        <v>0.97037690550213629</v>
      </c>
      <c r="N184" s="304">
        <f t="shared" si="130"/>
        <v>1.5491692412276108</v>
      </c>
      <c r="P184" s="368"/>
      <c r="Q184" s="369"/>
      <c r="R184" s="259" t="s">
        <v>15</v>
      </c>
      <c r="S184" s="366">
        <f>IF(O191&lt;S167,S183,S169)</f>
        <v>13</v>
      </c>
    </row>
    <row r="185" spans="1:19" ht="18" customHeight="1" x14ac:dyDescent="0.3">
      <c r="A185" s="259"/>
      <c r="B185" s="359">
        <v>0.23923915005200891</v>
      </c>
      <c r="C185" s="359" t="s">
        <v>5</v>
      </c>
      <c r="D185" s="359">
        <v>6.0763888888888923E-2</v>
      </c>
      <c r="E185" s="359" t="s">
        <v>6</v>
      </c>
      <c r="F185" s="359">
        <f t="shared" si="123"/>
        <v>0.30000303894089786</v>
      </c>
      <c r="G185" s="249">
        <v>1</v>
      </c>
      <c r="H185" s="287">
        <f t="shared" si="125"/>
        <v>0.42767006102914218</v>
      </c>
      <c r="I185" s="359">
        <f t="shared" si="124"/>
        <v>1.0125833276435392</v>
      </c>
      <c r="J185" s="359">
        <f>IF(G185=2,H185+N(J184),N(J184))</f>
        <v>-0.73621069827324692</v>
      </c>
      <c r="K185" s="304">
        <f t="shared" si="127"/>
        <v>0.2531458319108848</v>
      </c>
      <c r="L185" s="304">
        <f t="shared" si="128"/>
        <v>-0.12270178304554115</v>
      </c>
      <c r="M185" s="304">
        <f t="shared" si="129"/>
        <v>1.1449011346203937</v>
      </c>
      <c r="N185" s="304">
        <f t="shared" si="130"/>
        <v>2.099541085302294</v>
      </c>
    </row>
    <row r="186" spans="1:19" ht="18" customHeight="1" x14ac:dyDescent="0.3">
      <c r="A186" s="259"/>
      <c r="B186" s="359">
        <v>0.40872845598398955</v>
      </c>
      <c r="C186" s="359" t="s">
        <v>5</v>
      </c>
      <c r="D186" s="359">
        <v>6.0763888888888902E-2</v>
      </c>
      <c r="E186" s="359" t="s">
        <v>6</v>
      </c>
      <c r="F186" s="359">
        <f t="shared" si="123"/>
        <v>0.46949234487287844</v>
      </c>
      <c r="G186" s="249">
        <v>1</v>
      </c>
      <c r="H186" s="287">
        <f>IF(OR($G186=1,$G186=2), $F186 + IF($G186=1,1,-1)*$N$23*(EXP(-$F186)/(1+EXP(-$F186))), NA())</f>
        <v>0.58491326661439702</v>
      </c>
      <c r="I186" s="359">
        <f t="shared" si="124"/>
        <v>1.5974965942579362</v>
      </c>
      <c r="J186" s="359">
        <f>IF(G186=2,H186+N(J185),N(J185))</f>
        <v>-0.73621069827324692</v>
      </c>
      <c r="K186" s="304">
        <f t="shared" si="127"/>
        <v>0.39937414856448405</v>
      </c>
      <c r="L186" s="304">
        <f t="shared" si="128"/>
        <v>-0.12270178304554115</v>
      </c>
      <c r="M186" s="304">
        <f t="shared" si="129"/>
        <v>1.3304402526703067</v>
      </c>
      <c r="N186" s="304">
        <f t="shared" si="130"/>
        <v>2.807156134962232</v>
      </c>
    </row>
    <row r="187" spans="1:19" ht="18" customHeight="1" x14ac:dyDescent="0.3">
      <c r="A187" s="259"/>
      <c r="B187" s="359">
        <v>0.23923915005200891</v>
      </c>
      <c r="C187" s="359" t="s">
        <v>5</v>
      </c>
      <c r="D187" s="359">
        <v>6.0763888888888923E-2</v>
      </c>
      <c r="E187" s="359" t="s">
        <v>6</v>
      </c>
      <c r="F187" s="359">
        <f t="shared" si="123"/>
        <v>0.30000303894089786</v>
      </c>
      <c r="G187" s="249">
        <v>1</v>
      </c>
      <c r="H187" s="287">
        <f>IF(OR($G187=1,$G187=2), $F187 + IF($G187=1,1,-1)*$N$23*(EXP(-$F187)/(1+EXP(-$F187))), NA())</f>
        <v>0.42767006102914218</v>
      </c>
      <c r="I187" s="359">
        <f t="shared" si="124"/>
        <v>2.0251666552870784</v>
      </c>
      <c r="J187" s="359">
        <f t="shared" ref="J187:J188" si="131">IF(G187=2,H187+N(J186),N(J186))</f>
        <v>-0.73621069827324692</v>
      </c>
      <c r="K187" s="304">
        <f t="shared" si="127"/>
        <v>0.5062916638217696</v>
      </c>
      <c r="L187" s="304">
        <f t="shared" si="128"/>
        <v>-0.12270178304554115</v>
      </c>
      <c r="M187" s="304">
        <f t="shared" si="129"/>
        <v>1.4090618554629342</v>
      </c>
      <c r="N187" s="304">
        <f t="shared" si="130"/>
        <v>3.3575279790369152</v>
      </c>
    </row>
    <row r="188" spans="1:19" ht="18" customHeight="1" x14ac:dyDescent="0.3">
      <c r="A188" s="259"/>
      <c r="B188" s="359">
        <v>-0.32058777621177315</v>
      </c>
      <c r="C188" s="359" t="s">
        <v>5</v>
      </c>
      <c r="D188" s="359">
        <v>-0.12152777777777779</v>
      </c>
      <c r="E188" s="359" t="s">
        <v>6</v>
      </c>
      <c r="F188" s="359">
        <f t="shared" ref="F188:F189" si="132">SUM(B188,D188)</f>
        <v>-0.44211555398955094</v>
      </c>
      <c r="G188" s="249">
        <v>2</v>
      </c>
      <c r="H188" s="287">
        <f t="shared" si="125"/>
        <v>-0.62474445677971324</v>
      </c>
      <c r="I188" s="359">
        <f t="shared" si="124"/>
        <v>2.0251666552870784</v>
      </c>
      <c r="J188" s="359">
        <f t="shared" si="131"/>
        <v>-1.3609551550529602</v>
      </c>
      <c r="K188" s="304">
        <f t="shared" si="127"/>
        <v>0.5062916638217696</v>
      </c>
      <c r="L188" s="304">
        <f t="shared" si="128"/>
        <v>-0.22682585917549336</v>
      </c>
      <c r="M188" s="304">
        <f t="shared" si="129"/>
        <v>1.806980453067154</v>
      </c>
      <c r="N188" s="304">
        <f t="shared" si="130"/>
        <v>4.4885640996383982</v>
      </c>
    </row>
    <row r="189" spans="1:19" ht="18" customHeight="1" x14ac:dyDescent="0.3">
      <c r="A189" s="259"/>
      <c r="B189" s="359">
        <v>-0.37806568533891394</v>
      </c>
      <c r="C189" s="359" t="s">
        <v>5</v>
      </c>
      <c r="D189" s="359">
        <v>6.0763888888888923E-2</v>
      </c>
      <c r="E189" s="359" t="s">
        <v>6</v>
      </c>
      <c r="F189" s="359">
        <f t="shared" si="132"/>
        <v>-0.31730179645002499</v>
      </c>
      <c r="G189" s="249">
        <v>2</v>
      </c>
      <c r="H189" s="287">
        <f>IF(OR($G189=1,$G189=2), $F189 + IF($G189=1,1,-1)*$N$23*(EXP(-$F189)/(1+EXP(-$F189))), NA())</f>
        <v>-0.49090175811820463</v>
      </c>
      <c r="I189" s="359">
        <f t="shared" si="124"/>
        <v>2.0251666552870784</v>
      </c>
      <c r="J189" s="359">
        <f>IF(G189=2,H189+N(J188),N(J188))</f>
        <v>-1.8518569131711649</v>
      </c>
      <c r="K189" s="304">
        <f t="shared" si="127"/>
        <v>0.5062916638217696</v>
      </c>
      <c r="L189" s="304">
        <f t="shared" si="128"/>
        <v>-0.30864281886186079</v>
      </c>
      <c r="M189" s="304">
        <f t="shared" si="129"/>
        <v>1.9892393923234979</v>
      </c>
      <c r="N189" s="304">
        <f t="shared" si="130"/>
        <v>5.4857575215783729</v>
      </c>
      <c r="O189" s="354"/>
    </row>
    <row r="190" spans="1:19" ht="18" customHeight="1" x14ac:dyDescent="0.3">
      <c r="A190" s="259"/>
      <c r="B190" s="359">
        <v>-0.37806568533891394</v>
      </c>
      <c r="C190" s="359" t="s">
        <v>5</v>
      </c>
      <c r="D190" s="359">
        <v>6.0763888888888923E-2</v>
      </c>
      <c r="E190" s="359" t="s">
        <v>6</v>
      </c>
      <c r="F190" s="359">
        <f>SUM(B190,D190)</f>
        <v>-0.31730179645002499</v>
      </c>
      <c r="G190" s="249">
        <v>2</v>
      </c>
      <c r="H190" s="287">
        <f t="shared" si="125"/>
        <v>-0.49090175811820463</v>
      </c>
      <c r="I190" s="359">
        <f t="shared" si="124"/>
        <v>2.0251666552870784</v>
      </c>
      <c r="J190" s="359">
        <f t="shared" ref="J190:J191" si="133">IF(G190=2,H190+N(J189),N(J189))</f>
        <v>-2.3427586712893693</v>
      </c>
      <c r="K190" s="304">
        <f t="shared" si="127"/>
        <v>0.5062916638217696</v>
      </c>
      <c r="L190" s="304">
        <f t="shared" si="128"/>
        <v>-0.39045977854822822</v>
      </c>
      <c r="M190" s="304">
        <f t="shared" si="129"/>
        <v>2.0896813718934744</v>
      </c>
      <c r="N190" s="304">
        <f t="shared" si="130"/>
        <v>6.4829509435183468</v>
      </c>
      <c r="O190" s="358"/>
    </row>
    <row r="191" spans="1:19" ht="18" customHeight="1" x14ac:dyDescent="0.3">
      <c r="A191" s="259"/>
      <c r="B191" s="359">
        <v>-0.37806568533891394</v>
      </c>
      <c r="C191" s="359" t="s">
        <v>5</v>
      </c>
      <c r="D191" s="359">
        <v>6.0763888888888923E-2</v>
      </c>
      <c r="E191" s="359" t="s">
        <v>6</v>
      </c>
      <c r="F191" s="359">
        <f t="shared" ref="F191" si="134">SUM(B191,D191)</f>
        <v>-0.31730179645002499</v>
      </c>
      <c r="G191" s="249">
        <v>2</v>
      </c>
      <c r="H191" s="287">
        <f t="shared" si="125"/>
        <v>-0.49090175811820463</v>
      </c>
      <c r="I191" s="359">
        <f t="shared" ref="I191" si="135">IF(G191=1,H191+N(I190),N(I190))</f>
        <v>2.0251666552870784</v>
      </c>
      <c r="J191" s="359">
        <f t="shared" si="133"/>
        <v>-2.833660429407574</v>
      </c>
      <c r="K191" s="304">
        <f t="shared" si="127"/>
        <v>0.5062916638217696</v>
      </c>
      <c r="L191" s="304">
        <f t="shared" si="128"/>
        <v>-0.47227673823459565</v>
      </c>
      <c r="M191" s="304">
        <f t="shared" si="129"/>
        <v>2.1083063917770835</v>
      </c>
      <c r="N191" s="304">
        <f t="shared" si="130"/>
        <v>7.4801443654583206</v>
      </c>
      <c r="O191" s="373">
        <f>M191/N191</f>
        <v>0.28185370345427874</v>
      </c>
    </row>
    <row r="192" spans="1:19" ht="14.4" customHeight="1" x14ac:dyDescent="0.3"/>
    <row r="193" spans="1:19" ht="14.4" customHeight="1" x14ac:dyDescent="0.3"/>
    <row r="194" spans="1:19" ht="14.4" customHeight="1" x14ac:dyDescent="0.3"/>
    <row r="195" spans="1:19" ht="18" customHeight="1" x14ac:dyDescent="0.3">
      <c r="L195" s="313"/>
      <c r="M195" s="259"/>
      <c r="N195" s="259"/>
      <c r="O195" s="390">
        <f>MIN(O41,O56,O71,O86,O101,O116,O131,O146,O161,O176,O191)</f>
        <v>0.28185370345427874</v>
      </c>
    </row>
    <row r="196" spans="1:19" ht="18" customHeight="1" x14ac:dyDescent="0.3">
      <c r="L196" s="316"/>
      <c r="M196" s="259"/>
      <c r="N196" s="259"/>
      <c r="O196" s="391"/>
    </row>
    <row r="197" spans="1:19" ht="18" customHeight="1" x14ac:dyDescent="0.3"/>
    <row r="198" spans="1:19" ht="18" customHeight="1" x14ac:dyDescent="0.3">
      <c r="L198" s="313"/>
      <c r="M198" s="259"/>
      <c r="N198" s="259"/>
      <c r="O198" s="392">
        <f>IF(O191&lt;S167,S183,S169)</f>
        <v>13</v>
      </c>
    </row>
    <row r="199" spans="1:19" ht="18" customHeight="1" x14ac:dyDescent="0.3">
      <c r="L199" s="316"/>
      <c r="M199" s="259"/>
      <c r="N199" s="259"/>
      <c r="O199" s="392"/>
    </row>
    <row r="200" spans="1:19" ht="14.4" customHeight="1" x14ac:dyDescent="0.3"/>
    <row r="201" spans="1:19" ht="14.4" customHeight="1" thickBot="1" x14ac:dyDescent="0.35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</row>
    <row r="202" spans="1:19" ht="14.4" customHeight="1" x14ac:dyDescent="0.3"/>
    <row r="203" spans="1:19" ht="14.4" customHeight="1" x14ac:dyDescent="0.3"/>
    <row r="204" spans="1:19" ht="18" customHeight="1" x14ac:dyDescent="0.3">
      <c r="K204" s="394" t="s">
        <v>84</v>
      </c>
    </row>
    <row r="205" spans="1:19" ht="18" customHeight="1" x14ac:dyDescent="0.3">
      <c r="A205" s="281" t="s">
        <v>10</v>
      </c>
      <c r="B205" s="282"/>
      <c r="C205" s="282"/>
      <c r="D205" s="282"/>
      <c r="E205" s="282"/>
      <c r="F205" s="283"/>
      <c r="H205" s="269" t="s">
        <v>81</v>
      </c>
      <c r="I205" s="269"/>
      <c r="K205" s="394"/>
      <c r="N205" s="269" t="s">
        <v>28</v>
      </c>
      <c r="O205" s="269"/>
    </row>
    <row r="206" spans="1:19" ht="18" customHeight="1" x14ac:dyDescent="0.3">
      <c r="A206" s="351"/>
      <c r="B206" s="352"/>
      <c r="C206" s="353" t="s">
        <v>5</v>
      </c>
      <c r="D206" s="354"/>
      <c r="E206" s="353" t="s">
        <v>6</v>
      </c>
      <c r="F206" s="354"/>
      <c r="G206" s="240" t="s">
        <v>8</v>
      </c>
      <c r="H206" s="354"/>
      <c r="I206" s="354"/>
      <c r="J206" s="301" t="s">
        <v>34</v>
      </c>
      <c r="K206" s="354"/>
      <c r="N206" s="395"/>
      <c r="O206" s="395"/>
    </row>
    <row r="207" spans="1:19" ht="18" customHeight="1" x14ac:dyDescent="0.3">
      <c r="A207" s="259"/>
      <c r="B207" s="359">
        <v>-0.37806568533891394</v>
      </c>
      <c r="C207" s="359" t="s">
        <v>5</v>
      </c>
      <c r="D207" s="359">
        <v>6.0763888888888902E-2</v>
      </c>
      <c r="E207" s="359" t="s">
        <v>6</v>
      </c>
      <c r="F207" s="359">
        <f>SUM(B207,D207)</f>
        <v>-0.31730179645002504</v>
      </c>
      <c r="G207" s="249">
        <v>2</v>
      </c>
      <c r="H207" s="287">
        <f>IF(OR($G207=1,$G207=2), $F207 + IF($G207=1,1,-1)*$N$23*(EXP(-$F207)/(1+EXP(-$F207))), NA())</f>
        <v>-0.49090175811820469</v>
      </c>
      <c r="I207" s="305">
        <f>IF(OR($G207=1,$G207=2), $H207 + IF($G207=1,1,-1)*$N$23*(EXP(-$H207)/(1+EXP(-$H207))), NA())</f>
        <v>-0.67699741026567173</v>
      </c>
      <c r="J207" s="320"/>
      <c r="K207" s="305">
        <v>-0.67699741026567173</v>
      </c>
      <c r="N207" s="396"/>
      <c r="O207" s="349">
        <f>O195</f>
        <v>0.28185370345427874</v>
      </c>
    </row>
    <row r="208" spans="1:19" ht="18" customHeight="1" x14ac:dyDescent="0.3">
      <c r="A208" s="259"/>
      <c r="B208" s="359">
        <v>0.40872845598398955</v>
      </c>
      <c r="C208" s="359" t="s">
        <v>5</v>
      </c>
      <c r="D208" s="359">
        <v>6.0763888888888923E-2</v>
      </c>
      <c r="E208" s="359" t="s">
        <v>6</v>
      </c>
      <c r="F208" s="359">
        <f t="shared" ref="F208:F210" si="136">SUM(B208,D208)</f>
        <v>0.4694923448728785</v>
      </c>
      <c r="G208" s="249">
        <v>1</v>
      </c>
      <c r="H208" s="287">
        <f t="shared" ref="H208:H216" si="137">IF(OR($G208=1,$G208=2), $F208 + IF($G208=1,1,-1)*$N$23*(EXP(-$F208)/(1+EXP(-$F208))), NA())</f>
        <v>0.58491326661439713</v>
      </c>
      <c r="I208" s="305">
        <f t="shared" ref="I208:I216" si="138">IF(OR($G208=1,$G208=2), $H208 + IF($G208=1,1,-1)*$N$23*(EXP(-$H208)/(1+EXP(-$H208))), NA())</f>
        <v>0.69225411753175969</v>
      </c>
      <c r="K208" s="305">
        <v>0.69225411753175969</v>
      </c>
      <c r="N208" s="396"/>
      <c r="O208" s="349">
        <v>10</v>
      </c>
    </row>
    <row r="209" spans="1:24" ht="18" customHeight="1" x14ac:dyDescent="0.3">
      <c r="A209" s="259"/>
      <c r="B209" s="359">
        <v>-0.14942741726637135</v>
      </c>
      <c r="C209" s="359" t="s">
        <v>5</v>
      </c>
      <c r="D209" s="359">
        <v>6.0763888888888923E-2</v>
      </c>
      <c r="E209" s="359" t="s">
        <v>6</v>
      </c>
      <c r="F209" s="359">
        <f t="shared" si="136"/>
        <v>-8.8663528377482426E-2</v>
      </c>
      <c r="G209" s="249">
        <v>2</v>
      </c>
      <c r="H209" s="287">
        <f t="shared" si="137"/>
        <v>-0.24530894015504226</v>
      </c>
      <c r="I209" s="305">
        <f t="shared" si="138"/>
        <v>-0.41361540108076145</v>
      </c>
      <c r="K209" s="305">
        <v>-0.41361540108076145</v>
      </c>
      <c r="N209" s="345"/>
      <c r="O209" s="301"/>
    </row>
    <row r="210" spans="1:24" ht="18" customHeight="1" x14ac:dyDescent="0.3">
      <c r="A210" s="259"/>
      <c r="B210" s="359">
        <v>0.23923915005200891</v>
      </c>
      <c r="C210" s="359" t="s">
        <v>5</v>
      </c>
      <c r="D210" s="359">
        <v>6.0763888888888923E-2</v>
      </c>
      <c r="E210" s="359" t="s">
        <v>6</v>
      </c>
      <c r="F210" s="359">
        <f t="shared" si="136"/>
        <v>0.30000303894089786</v>
      </c>
      <c r="G210" s="249">
        <v>1</v>
      </c>
      <c r="H210" s="287">
        <f t="shared" si="137"/>
        <v>0.42767006102914218</v>
      </c>
      <c r="I210" s="305">
        <f t="shared" si="138"/>
        <v>0.54607491198125124</v>
      </c>
      <c r="K210" s="305">
        <v>0.54607491198125124</v>
      </c>
      <c r="N210" s="259"/>
      <c r="O210" s="301">
        <v>3</v>
      </c>
    </row>
    <row r="211" spans="1:24" ht="18" customHeight="1" x14ac:dyDescent="0.3">
      <c r="A211" s="259"/>
      <c r="B211" s="359">
        <v>0.40872845598398955</v>
      </c>
      <c r="C211" s="359" t="s">
        <v>5</v>
      </c>
      <c r="D211" s="359">
        <v>6.0763888888888902E-2</v>
      </c>
      <c r="E211" s="359" t="s">
        <v>6</v>
      </c>
      <c r="F211" s="359">
        <f>SUM(B211,D211)</f>
        <v>0.46949234487287844</v>
      </c>
      <c r="G211" s="249">
        <v>1</v>
      </c>
      <c r="H211" s="287">
        <f t="shared" si="137"/>
        <v>0.58491326661439702</v>
      </c>
      <c r="I211" s="305">
        <f>IF(OR($G211=1,$G211=2), $H211 + IF($G211=1,1,-1)*$N$23*(EXP(-$H211)/(1+EXP(-$H211))), NA())</f>
        <v>0.69225411753175958</v>
      </c>
      <c r="K211" s="305">
        <v>0.69225411753175958</v>
      </c>
      <c r="N211" s="345"/>
      <c r="O211" s="301"/>
    </row>
    <row r="212" spans="1:24" ht="18" customHeight="1" x14ac:dyDescent="0.3">
      <c r="A212" s="259"/>
      <c r="B212" s="359">
        <v>0.23923915005200891</v>
      </c>
      <c r="C212" s="359" t="s">
        <v>5</v>
      </c>
      <c r="D212" s="359">
        <v>6.0763888888888923E-2</v>
      </c>
      <c r="E212" s="359" t="s">
        <v>6</v>
      </c>
      <c r="F212" s="359">
        <f>SUM(B212,D212)</f>
        <v>0.30000303894089786</v>
      </c>
      <c r="G212" s="249">
        <v>1</v>
      </c>
      <c r="H212" s="287">
        <f t="shared" si="137"/>
        <v>0.42767006102914218</v>
      </c>
      <c r="I212" s="305">
        <f t="shared" si="138"/>
        <v>0.54607491198125124</v>
      </c>
      <c r="K212" s="305">
        <v>0.54607491198125124</v>
      </c>
      <c r="N212" s="259"/>
      <c r="O212" s="301">
        <v>10</v>
      </c>
    </row>
    <row r="213" spans="1:24" ht="18" customHeight="1" x14ac:dyDescent="0.3">
      <c r="A213" s="259"/>
      <c r="B213" s="359">
        <v>-0.32058777621177315</v>
      </c>
      <c r="C213" s="359" t="s">
        <v>5</v>
      </c>
      <c r="D213" s="359">
        <v>-0.12152777777777779</v>
      </c>
      <c r="E213" s="359" t="s">
        <v>6</v>
      </c>
      <c r="F213" s="359">
        <f t="shared" ref="F213:F216" si="139">SUM(B213,D213)</f>
        <v>-0.44211555398955094</v>
      </c>
      <c r="G213" s="249">
        <v>2</v>
      </c>
      <c r="H213" s="287">
        <f>IF(OR($G213=1,$G213=2), $F213 + IF($G213=1,1,-1)*$N$23*(EXP(-$F213)/(1+EXP(-$F213))), NA())</f>
        <v>-0.62474445677971324</v>
      </c>
      <c r="I213" s="305">
        <f t="shared" si="138"/>
        <v>-0.82013350598256329</v>
      </c>
      <c r="K213" s="305">
        <v>-0.82013350598256329</v>
      </c>
      <c r="N213" s="259"/>
      <c r="O213" s="301">
        <v>0.1</v>
      </c>
      <c r="X213" s="340"/>
    </row>
    <row r="214" spans="1:24" ht="18" customHeight="1" x14ac:dyDescent="0.3">
      <c r="A214" s="259"/>
      <c r="B214" s="359">
        <v>-0.37806568533891394</v>
      </c>
      <c r="C214" s="359" t="s">
        <v>5</v>
      </c>
      <c r="D214" s="359">
        <v>6.0763888888888923E-2</v>
      </c>
      <c r="E214" s="359" t="s">
        <v>6</v>
      </c>
      <c r="F214" s="359">
        <f t="shared" si="139"/>
        <v>-0.31730179645002499</v>
      </c>
      <c r="G214" s="249">
        <v>2</v>
      </c>
      <c r="H214" s="287">
        <f t="shared" si="137"/>
        <v>-0.49090175811820463</v>
      </c>
      <c r="I214" s="305">
        <f>IF(OR($G214=1,$G214=2), $H214 + IF($G214=1,1,-1)*$N$23*(EXP(-$H214)/(1+EXP(-$H214))), NA())</f>
        <v>-0.67699741026567162</v>
      </c>
      <c r="K214" s="305">
        <v>-0.67699741026567162</v>
      </c>
      <c r="N214" s="259"/>
      <c r="O214" s="301">
        <v>5</v>
      </c>
    </row>
    <row r="215" spans="1:24" ht="18" customHeight="1" x14ac:dyDescent="0.3">
      <c r="A215" s="259"/>
      <c r="B215" s="359">
        <v>-0.37806568533891394</v>
      </c>
      <c r="C215" s="359" t="s">
        <v>5</v>
      </c>
      <c r="D215" s="359">
        <v>6.0763888888888923E-2</v>
      </c>
      <c r="E215" s="359" t="s">
        <v>6</v>
      </c>
      <c r="F215" s="359">
        <f>SUM(B215,D215)</f>
        <v>-0.31730179645002499</v>
      </c>
      <c r="G215" s="249">
        <v>2</v>
      </c>
      <c r="H215" s="287">
        <f t="shared" si="137"/>
        <v>-0.49090175811820463</v>
      </c>
      <c r="I215" s="305">
        <f>IF(OR($G215=1,$G215=2), $H215 + IF($G215=1,1,-1)*$N$23*(EXP(-$H215)/(1+EXP(-$H215))), NA())</f>
        <v>-0.67699741026567162</v>
      </c>
      <c r="K215" s="305">
        <v>-0.67699741026567162</v>
      </c>
    </row>
    <row r="216" spans="1:24" ht="18" customHeight="1" x14ac:dyDescent="0.3">
      <c r="A216" s="259"/>
      <c r="B216" s="359">
        <v>-0.37806568533891394</v>
      </c>
      <c r="C216" s="359" t="s">
        <v>5</v>
      </c>
      <c r="D216" s="359">
        <v>6.0763888888888923E-2</v>
      </c>
      <c r="E216" s="359" t="s">
        <v>6</v>
      </c>
      <c r="F216" s="359">
        <f t="shared" si="139"/>
        <v>-0.31730179645002499</v>
      </c>
      <c r="G216" s="249">
        <v>2</v>
      </c>
      <c r="H216" s="287">
        <f t="shared" si="137"/>
        <v>-0.49090175811820463</v>
      </c>
      <c r="I216" s="305">
        <f t="shared" si="138"/>
        <v>-0.67699741026567162</v>
      </c>
      <c r="K216" s="305">
        <v>-0.67699741026567162</v>
      </c>
      <c r="N216" s="281" t="s">
        <v>82</v>
      </c>
      <c r="O216" s="283"/>
    </row>
    <row r="217" spans="1:24" ht="18" customHeight="1" x14ac:dyDescent="0.3">
      <c r="N217" s="360"/>
      <c r="O217" s="361"/>
    </row>
    <row r="218" spans="1:24" ht="18" customHeight="1" x14ac:dyDescent="0.3">
      <c r="N218" s="368"/>
      <c r="O218" s="369"/>
    </row>
    <row r="219" spans="1:24" ht="18" customHeight="1" x14ac:dyDescent="0.3">
      <c r="M219" s="290" t="b">
        <v>1</v>
      </c>
      <c r="N219" s="397" t="str">
        <f>IF(AND($O$210&lt;$O$214, $O$207&gt;$O$213), "Go back to Step 3", "Output SET and stop")</f>
        <v>Go back to Step 3</v>
      </c>
      <c r="O219" s="398"/>
    </row>
    <row r="220" spans="1:24" ht="14.4" customHeight="1" x14ac:dyDescent="0.3"/>
    <row r="221" spans="1:24" ht="14.4" customHeight="1" x14ac:dyDescent="0.3"/>
    <row r="222" spans="1:24" ht="14.4" customHeight="1" x14ac:dyDescent="0.3"/>
    <row r="223" spans="1:24" ht="14.4" customHeight="1" x14ac:dyDescent="0.3">
      <c r="A223" s="399"/>
      <c r="B223" s="399"/>
      <c r="C223" s="399"/>
      <c r="D223" s="399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</row>
    <row r="224" spans="1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08">
    <mergeCell ref="U34:Y34"/>
    <mergeCell ref="A75:F75"/>
    <mergeCell ref="H75:N75"/>
    <mergeCell ref="A76:B76"/>
    <mergeCell ref="P76:S76"/>
    <mergeCell ref="P77:Q79"/>
    <mergeCell ref="A150:F150"/>
    <mergeCell ref="H150:N150"/>
    <mergeCell ref="P62:Q64"/>
    <mergeCell ref="A61:B61"/>
    <mergeCell ref="P61:S61"/>
    <mergeCell ref="P47:Q49"/>
    <mergeCell ref="A60:F60"/>
    <mergeCell ref="H60:N60"/>
    <mergeCell ref="A151:B151"/>
    <mergeCell ref="P151:S151"/>
    <mergeCell ref="P92:Q94"/>
    <mergeCell ref="A105:F105"/>
    <mergeCell ref="H105:N105"/>
    <mergeCell ref="A106:B106"/>
    <mergeCell ref="P106:S106"/>
    <mergeCell ref="P122:Q124"/>
    <mergeCell ref="A135:F135"/>
    <mergeCell ref="H135:N135"/>
    <mergeCell ref="A136:B136"/>
    <mergeCell ref="P136:S136"/>
    <mergeCell ref="P107:Q109"/>
    <mergeCell ref="A120:F120"/>
    <mergeCell ref="H120:N120"/>
    <mergeCell ref="A121:B121"/>
    <mergeCell ref="P137:Q139"/>
    <mergeCell ref="P121:S121"/>
    <mergeCell ref="A1:O1"/>
    <mergeCell ref="D3:D12"/>
    <mergeCell ref="V47:X47"/>
    <mergeCell ref="U48:Y48"/>
    <mergeCell ref="U49:Y49"/>
    <mergeCell ref="X20:AA22"/>
    <mergeCell ref="Q18:Q19"/>
    <mergeCell ref="R18:R19"/>
    <mergeCell ref="V20:W22"/>
    <mergeCell ref="V15:W17"/>
    <mergeCell ref="X15:AA17"/>
    <mergeCell ref="Q16:Q17"/>
    <mergeCell ref="R16:R17"/>
    <mergeCell ref="Q9:Q10"/>
    <mergeCell ref="R9:S10"/>
    <mergeCell ref="R11:S11"/>
    <mergeCell ref="B16:N16"/>
    <mergeCell ref="E23:F24"/>
    <mergeCell ref="G25:H25"/>
    <mergeCell ref="A30:F30"/>
    <mergeCell ref="H30:N30"/>
    <mergeCell ref="V2:W4"/>
    <mergeCell ref="V32:X32"/>
    <mergeCell ref="U33:Y33"/>
    <mergeCell ref="X2:Y4"/>
    <mergeCell ref="A90:F90"/>
    <mergeCell ref="H90:N90"/>
    <mergeCell ref="A91:B91"/>
    <mergeCell ref="P91:S91"/>
    <mergeCell ref="V11:W13"/>
    <mergeCell ref="X11:AA13"/>
    <mergeCell ref="Q13:R14"/>
    <mergeCell ref="Q5:Q6"/>
    <mergeCell ref="R5:S6"/>
    <mergeCell ref="V6:W8"/>
    <mergeCell ref="X6:Y8"/>
    <mergeCell ref="R7:S7"/>
    <mergeCell ref="U50:Y51"/>
    <mergeCell ref="U35:Y36"/>
    <mergeCell ref="U46:Y46"/>
    <mergeCell ref="U31:Y31"/>
    <mergeCell ref="P31:S31"/>
    <mergeCell ref="P32:Q34"/>
    <mergeCell ref="A45:F45"/>
    <mergeCell ref="H45:N45"/>
    <mergeCell ref="A46:B46"/>
    <mergeCell ref="P46:S46"/>
    <mergeCell ref="A31:B31"/>
    <mergeCell ref="P152:Q154"/>
    <mergeCell ref="A165:F165"/>
    <mergeCell ref="H165:N165"/>
    <mergeCell ref="A166:B166"/>
    <mergeCell ref="P166:S166"/>
    <mergeCell ref="P167:Q169"/>
    <mergeCell ref="A180:F180"/>
    <mergeCell ref="H180:N180"/>
    <mergeCell ref="A206:B206"/>
    <mergeCell ref="J206:J207"/>
    <mergeCell ref="A181:B181"/>
    <mergeCell ref="P181:S181"/>
    <mergeCell ref="P182:Q184"/>
    <mergeCell ref="K204:K205"/>
    <mergeCell ref="A205:F205"/>
    <mergeCell ref="H205:I205"/>
    <mergeCell ref="N205:O205"/>
    <mergeCell ref="N216:O216"/>
    <mergeCell ref="N217:O218"/>
    <mergeCell ref="N219:O219"/>
    <mergeCell ref="A223:S223"/>
    <mergeCell ref="N206:O206"/>
    <mergeCell ref="L195:L196"/>
    <mergeCell ref="M195:N196"/>
    <mergeCell ref="O195:O196"/>
    <mergeCell ref="L198:L199"/>
    <mergeCell ref="M198:N199"/>
    <mergeCell ref="O198:O199"/>
  </mergeCells>
  <conditionalFormatting sqref="A259">
    <cfRule type="duplicateValues" dxfId="1091" priority="494"/>
  </conditionalFormatting>
  <conditionalFormatting sqref="A260">
    <cfRule type="duplicateValues" dxfId="1090" priority="493"/>
  </conditionalFormatting>
  <conditionalFormatting sqref="A261">
    <cfRule type="duplicateValues" dxfId="1089" priority="492"/>
  </conditionalFormatting>
  <conditionalFormatting sqref="A262">
    <cfRule type="duplicateValues" dxfId="1088" priority="491"/>
  </conditionalFormatting>
  <conditionalFormatting sqref="A263">
    <cfRule type="duplicateValues" dxfId="1087" priority="490"/>
  </conditionalFormatting>
  <conditionalFormatting sqref="A264">
    <cfRule type="duplicateValues" dxfId="1086" priority="489"/>
  </conditionalFormatting>
  <conditionalFormatting sqref="A269">
    <cfRule type="duplicateValues" dxfId="1085" priority="488"/>
  </conditionalFormatting>
  <conditionalFormatting sqref="A283">
    <cfRule type="duplicateValues" dxfId="1084" priority="487"/>
  </conditionalFormatting>
  <conditionalFormatting sqref="A284">
    <cfRule type="duplicateValues" dxfId="1083" priority="486"/>
  </conditionalFormatting>
  <conditionalFormatting sqref="A297">
    <cfRule type="duplicateValues" dxfId="1082" priority="485"/>
  </conditionalFormatting>
  <conditionalFormatting sqref="A298">
    <cfRule type="duplicateValues" dxfId="1081" priority="484"/>
  </conditionalFormatting>
  <conditionalFormatting sqref="A299">
    <cfRule type="duplicateValues" dxfId="1080" priority="483"/>
  </conditionalFormatting>
  <conditionalFormatting sqref="A312">
    <cfRule type="duplicateValues" dxfId="1079" priority="482"/>
  </conditionalFormatting>
  <conditionalFormatting sqref="A313">
    <cfRule type="duplicateValues" dxfId="1078" priority="481"/>
  </conditionalFormatting>
  <conditionalFormatting sqref="A314">
    <cfRule type="duplicateValues" dxfId="1077" priority="480"/>
  </conditionalFormatting>
  <conditionalFormatting sqref="A327">
    <cfRule type="duplicateValues" dxfId="1076" priority="479"/>
  </conditionalFormatting>
  <conditionalFormatting sqref="A328">
    <cfRule type="duplicateValues" dxfId="1075" priority="478"/>
  </conditionalFormatting>
  <conditionalFormatting sqref="A329">
    <cfRule type="duplicateValues" dxfId="1074" priority="477"/>
  </conditionalFormatting>
  <conditionalFormatting sqref="A330">
    <cfRule type="duplicateValues" dxfId="1073" priority="476"/>
  </conditionalFormatting>
  <conditionalFormatting sqref="A331">
    <cfRule type="duplicateValues" dxfId="1072" priority="475"/>
  </conditionalFormatting>
  <conditionalFormatting sqref="A332">
    <cfRule type="duplicateValues" dxfId="1071" priority="474"/>
  </conditionalFormatting>
  <conditionalFormatting sqref="A333">
    <cfRule type="duplicateValues" dxfId="1070" priority="473"/>
  </conditionalFormatting>
  <conditionalFormatting sqref="A334">
    <cfRule type="duplicateValues" dxfId="1069" priority="472"/>
  </conditionalFormatting>
  <conditionalFormatting sqref="A339">
    <cfRule type="duplicateValues" dxfId="1068" priority="471"/>
  </conditionalFormatting>
  <conditionalFormatting sqref="A340">
    <cfRule type="duplicateValues" dxfId="1067" priority="470"/>
  </conditionalFormatting>
  <conditionalFormatting sqref="A341">
    <cfRule type="duplicateValues" dxfId="1066" priority="469"/>
  </conditionalFormatting>
  <conditionalFormatting sqref="A342">
    <cfRule type="duplicateValues" dxfId="1065" priority="468"/>
  </conditionalFormatting>
  <conditionalFormatting sqref="A343">
    <cfRule type="duplicateValues" dxfId="1064" priority="467"/>
  </conditionalFormatting>
  <conditionalFormatting sqref="A344">
    <cfRule type="duplicateValues" dxfId="1063" priority="466"/>
  </conditionalFormatting>
  <conditionalFormatting sqref="A345">
    <cfRule type="duplicateValues" dxfId="1062" priority="465"/>
  </conditionalFormatting>
  <conditionalFormatting sqref="A346">
    <cfRule type="duplicateValues" dxfId="1061" priority="464"/>
  </conditionalFormatting>
  <conditionalFormatting sqref="A347">
    <cfRule type="duplicateValues" dxfId="1060" priority="463"/>
  </conditionalFormatting>
  <conditionalFormatting sqref="A348">
    <cfRule type="duplicateValues" dxfId="1059" priority="462"/>
  </conditionalFormatting>
  <conditionalFormatting sqref="A353">
    <cfRule type="duplicateValues" dxfId="1058" priority="461"/>
  </conditionalFormatting>
  <conditionalFormatting sqref="A354">
    <cfRule type="duplicateValues" dxfId="1057" priority="460"/>
  </conditionalFormatting>
  <conditionalFormatting sqref="A355">
    <cfRule type="duplicateValues" dxfId="1056" priority="459"/>
  </conditionalFormatting>
  <conditionalFormatting sqref="A356">
    <cfRule type="duplicateValues" dxfId="1055" priority="458"/>
  </conditionalFormatting>
  <conditionalFormatting sqref="A357">
    <cfRule type="duplicateValues" dxfId="1054" priority="457"/>
  </conditionalFormatting>
  <conditionalFormatting sqref="A358">
    <cfRule type="duplicateValues" dxfId="1053" priority="456"/>
  </conditionalFormatting>
  <conditionalFormatting sqref="A359">
    <cfRule type="duplicateValues" dxfId="1052" priority="455"/>
  </conditionalFormatting>
  <conditionalFormatting sqref="A360">
    <cfRule type="duplicateValues" dxfId="1051" priority="454"/>
  </conditionalFormatting>
  <conditionalFormatting sqref="A361">
    <cfRule type="duplicateValues" dxfId="1050" priority="453"/>
  </conditionalFormatting>
  <conditionalFormatting sqref="A362">
    <cfRule type="duplicateValues" dxfId="1049" priority="452"/>
  </conditionalFormatting>
  <conditionalFormatting sqref="A367">
    <cfRule type="duplicateValues" dxfId="1048" priority="451"/>
  </conditionalFormatting>
  <conditionalFormatting sqref="A368">
    <cfRule type="duplicateValues" dxfId="1047" priority="450"/>
  </conditionalFormatting>
  <conditionalFormatting sqref="A369">
    <cfRule type="duplicateValues" dxfId="1046" priority="449"/>
  </conditionalFormatting>
  <conditionalFormatting sqref="A370">
    <cfRule type="duplicateValues" dxfId="1045" priority="448"/>
  </conditionalFormatting>
  <conditionalFormatting sqref="A371">
    <cfRule type="duplicateValues" dxfId="1044" priority="447"/>
  </conditionalFormatting>
  <conditionalFormatting sqref="A372">
    <cfRule type="duplicateValues" dxfId="1043" priority="446"/>
  </conditionalFormatting>
  <conditionalFormatting sqref="A373">
    <cfRule type="duplicateValues" dxfId="1042" priority="445"/>
  </conditionalFormatting>
  <conditionalFormatting sqref="A374">
    <cfRule type="duplicateValues" dxfId="1041" priority="444"/>
  </conditionalFormatting>
  <conditionalFormatting sqref="A375">
    <cfRule type="duplicateValues" dxfId="1040" priority="443"/>
  </conditionalFormatting>
  <conditionalFormatting sqref="A376">
    <cfRule type="duplicateValues" dxfId="1039" priority="442"/>
  </conditionalFormatting>
  <conditionalFormatting sqref="A417">
    <cfRule type="duplicateValues" dxfId="1038" priority="441"/>
  </conditionalFormatting>
  <conditionalFormatting sqref="A418">
    <cfRule type="duplicateValues" dxfId="1037" priority="440"/>
  </conditionalFormatting>
  <conditionalFormatting sqref="A419">
    <cfRule type="duplicateValues" dxfId="1036" priority="439"/>
  </conditionalFormatting>
  <conditionalFormatting sqref="A420">
    <cfRule type="duplicateValues" dxfId="1035" priority="438"/>
  </conditionalFormatting>
  <conditionalFormatting sqref="A421">
    <cfRule type="duplicateValues" dxfId="1034" priority="437"/>
  </conditionalFormatting>
  <conditionalFormatting sqref="A422">
    <cfRule type="duplicateValues" dxfId="1033" priority="436"/>
  </conditionalFormatting>
  <conditionalFormatting sqref="A423">
    <cfRule type="duplicateValues" dxfId="1032" priority="435"/>
  </conditionalFormatting>
  <conditionalFormatting sqref="A424">
    <cfRule type="duplicateValues" dxfId="1031" priority="434"/>
  </conditionalFormatting>
  <conditionalFormatting sqref="A425">
    <cfRule type="duplicateValues" dxfId="1030" priority="433"/>
  </conditionalFormatting>
  <conditionalFormatting sqref="A426">
    <cfRule type="duplicateValues" dxfId="1029" priority="432"/>
  </conditionalFormatting>
  <conditionalFormatting sqref="A431">
    <cfRule type="duplicateValues" dxfId="1028" priority="431"/>
  </conditionalFormatting>
  <conditionalFormatting sqref="A432">
    <cfRule type="duplicateValues" dxfId="1027" priority="430"/>
  </conditionalFormatting>
  <conditionalFormatting sqref="A433">
    <cfRule type="duplicateValues" dxfId="1026" priority="429"/>
  </conditionalFormatting>
  <conditionalFormatting sqref="A434">
    <cfRule type="duplicateValues" dxfId="1025" priority="428"/>
  </conditionalFormatting>
  <conditionalFormatting sqref="A435">
    <cfRule type="duplicateValues" dxfId="1024" priority="427"/>
  </conditionalFormatting>
  <conditionalFormatting sqref="A436">
    <cfRule type="duplicateValues" dxfId="1023" priority="426"/>
  </conditionalFormatting>
  <conditionalFormatting sqref="A437">
    <cfRule type="duplicateValues" dxfId="1022" priority="425"/>
  </conditionalFormatting>
  <conditionalFormatting sqref="A438">
    <cfRule type="duplicateValues" dxfId="1021" priority="424"/>
  </conditionalFormatting>
  <conditionalFormatting sqref="A439">
    <cfRule type="duplicateValues" dxfId="1020" priority="423"/>
  </conditionalFormatting>
  <conditionalFormatting sqref="A440">
    <cfRule type="duplicateValues" dxfId="1019" priority="422"/>
  </conditionalFormatting>
  <conditionalFormatting sqref="A445">
    <cfRule type="duplicateValues" dxfId="1018" priority="421"/>
  </conditionalFormatting>
  <conditionalFormatting sqref="A446">
    <cfRule type="duplicateValues" dxfId="1017" priority="420"/>
  </conditionalFormatting>
  <conditionalFormatting sqref="A447">
    <cfRule type="duplicateValues" dxfId="1016" priority="419"/>
  </conditionalFormatting>
  <conditionalFormatting sqref="A448">
    <cfRule type="duplicateValues" dxfId="1015" priority="418"/>
  </conditionalFormatting>
  <conditionalFormatting sqref="A449">
    <cfRule type="duplicateValues" dxfId="1014" priority="417"/>
  </conditionalFormatting>
  <conditionalFormatting sqref="A450">
    <cfRule type="duplicateValues" dxfId="1013" priority="416"/>
  </conditionalFormatting>
  <conditionalFormatting sqref="A451">
    <cfRule type="duplicateValues" dxfId="1012" priority="415"/>
  </conditionalFormatting>
  <conditionalFormatting sqref="A452">
    <cfRule type="duplicateValues" dxfId="1011" priority="414"/>
  </conditionalFormatting>
  <conditionalFormatting sqref="A453">
    <cfRule type="duplicateValues" dxfId="1010" priority="413"/>
  </conditionalFormatting>
  <conditionalFormatting sqref="A454">
    <cfRule type="duplicateValues" dxfId="1009" priority="412"/>
  </conditionalFormatting>
  <conditionalFormatting sqref="A459">
    <cfRule type="duplicateValues" dxfId="1008" priority="411"/>
  </conditionalFormatting>
  <conditionalFormatting sqref="A460">
    <cfRule type="duplicateValues" dxfId="1007" priority="410"/>
  </conditionalFormatting>
  <conditionalFormatting sqref="A461">
    <cfRule type="duplicateValues" dxfId="1006" priority="409"/>
  </conditionalFormatting>
  <conditionalFormatting sqref="A462">
    <cfRule type="duplicateValues" dxfId="1005" priority="408"/>
  </conditionalFormatting>
  <conditionalFormatting sqref="A463">
    <cfRule type="duplicateValues" dxfId="1004" priority="407"/>
  </conditionalFormatting>
  <conditionalFormatting sqref="A464">
    <cfRule type="duplicateValues" dxfId="1003" priority="406"/>
  </conditionalFormatting>
  <conditionalFormatting sqref="A465">
    <cfRule type="duplicateValues" dxfId="1002" priority="405"/>
  </conditionalFormatting>
  <conditionalFormatting sqref="A466">
    <cfRule type="duplicateValues" dxfId="1001" priority="404"/>
  </conditionalFormatting>
  <conditionalFormatting sqref="A467">
    <cfRule type="duplicateValues" dxfId="1000" priority="403"/>
  </conditionalFormatting>
  <conditionalFormatting sqref="A468">
    <cfRule type="duplicateValues" dxfId="999" priority="402"/>
  </conditionalFormatting>
  <conditionalFormatting sqref="A473">
    <cfRule type="duplicateValues" dxfId="998" priority="401"/>
  </conditionalFormatting>
  <conditionalFormatting sqref="A474">
    <cfRule type="duplicateValues" dxfId="997" priority="400"/>
  </conditionalFormatting>
  <conditionalFormatting sqref="A475">
    <cfRule type="duplicateValues" dxfId="996" priority="399"/>
  </conditionalFormatting>
  <conditionalFormatting sqref="A476">
    <cfRule type="duplicateValues" dxfId="995" priority="398"/>
  </conditionalFormatting>
  <conditionalFormatting sqref="A477">
    <cfRule type="duplicateValues" dxfId="994" priority="397"/>
  </conditionalFormatting>
  <conditionalFormatting sqref="A478">
    <cfRule type="duplicateValues" dxfId="993" priority="396"/>
  </conditionalFormatting>
  <conditionalFormatting sqref="A479">
    <cfRule type="duplicateValues" dxfId="992" priority="395"/>
  </conditionalFormatting>
  <conditionalFormatting sqref="A480">
    <cfRule type="duplicateValues" dxfId="991" priority="394"/>
  </conditionalFormatting>
  <conditionalFormatting sqref="A481">
    <cfRule type="duplicateValues" dxfId="990" priority="393"/>
  </conditionalFormatting>
  <conditionalFormatting sqref="A482">
    <cfRule type="duplicateValues" dxfId="989" priority="392"/>
  </conditionalFormatting>
  <conditionalFormatting sqref="A487">
    <cfRule type="duplicateValues" dxfId="988" priority="391"/>
  </conditionalFormatting>
  <conditionalFormatting sqref="A488">
    <cfRule type="duplicateValues" dxfId="987" priority="390"/>
  </conditionalFormatting>
  <conditionalFormatting sqref="A489">
    <cfRule type="duplicateValues" dxfId="986" priority="389"/>
  </conditionalFormatting>
  <conditionalFormatting sqref="A490">
    <cfRule type="duplicateValues" dxfId="985" priority="388"/>
  </conditionalFormatting>
  <conditionalFormatting sqref="A491">
    <cfRule type="duplicateValues" dxfId="984" priority="387"/>
  </conditionalFormatting>
  <conditionalFormatting sqref="A492">
    <cfRule type="duplicateValues" dxfId="983" priority="386"/>
  </conditionalFormatting>
  <conditionalFormatting sqref="A493">
    <cfRule type="duplicateValues" dxfId="982" priority="385"/>
  </conditionalFormatting>
  <conditionalFormatting sqref="A494">
    <cfRule type="duplicateValues" dxfId="981" priority="384"/>
  </conditionalFormatting>
  <conditionalFormatting sqref="A495">
    <cfRule type="duplicateValues" dxfId="980" priority="383"/>
  </conditionalFormatting>
  <conditionalFormatting sqref="A496">
    <cfRule type="duplicateValues" dxfId="979" priority="382"/>
  </conditionalFormatting>
  <conditionalFormatting sqref="A501">
    <cfRule type="duplicateValues" dxfId="978" priority="381"/>
  </conditionalFormatting>
  <conditionalFormatting sqref="A502">
    <cfRule type="duplicateValues" dxfId="977" priority="380"/>
  </conditionalFormatting>
  <conditionalFormatting sqref="A503">
    <cfRule type="duplicateValues" dxfId="976" priority="379"/>
  </conditionalFormatting>
  <conditionalFormatting sqref="A504">
    <cfRule type="duplicateValues" dxfId="975" priority="378"/>
  </conditionalFormatting>
  <conditionalFormatting sqref="A505">
    <cfRule type="duplicateValues" dxfId="974" priority="377"/>
  </conditionalFormatting>
  <conditionalFormatting sqref="A506">
    <cfRule type="duplicateValues" dxfId="973" priority="376"/>
  </conditionalFormatting>
  <conditionalFormatting sqref="A507">
    <cfRule type="duplicateValues" dxfId="972" priority="375"/>
  </conditionalFormatting>
  <conditionalFormatting sqref="A508">
    <cfRule type="duplicateValues" dxfId="971" priority="374"/>
  </conditionalFormatting>
  <conditionalFormatting sqref="A509">
    <cfRule type="duplicateValues" dxfId="970" priority="373"/>
  </conditionalFormatting>
  <conditionalFormatting sqref="A510">
    <cfRule type="duplicateValues" dxfId="969" priority="372"/>
  </conditionalFormatting>
  <conditionalFormatting sqref="A515">
    <cfRule type="duplicateValues" dxfId="968" priority="371"/>
  </conditionalFormatting>
  <conditionalFormatting sqref="A516">
    <cfRule type="duplicateValues" dxfId="967" priority="370"/>
  </conditionalFormatting>
  <conditionalFormatting sqref="A517">
    <cfRule type="duplicateValues" dxfId="966" priority="369"/>
  </conditionalFormatting>
  <conditionalFormatting sqref="A518">
    <cfRule type="duplicateValues" dxfId="965" priority="368"/>
  </conditionalFormatting>
  <conditionalFormatting sqref="A519">
    <cfRule type="duplicateValues" dxfId="964" priority="367"/>
  </conditionalFormatting>
  <conditionalFormatting sqref="A520">
    <cfRule type="duplicateValues" dxfId="963" priority="366"/>
  </conditionalFormatting>
  <conditionalFormatting sqref="A521">
    <cfRule type="duplicateValues" dxfId="962" priority="365"/>
  </conditionalFormatting>
  <conditionalFormatting sqref="A522">
    <cfRule type="duplicateValues" dxfId="961" priority="364"/>
  </conditionalFormatting>
  <conditionalFormatting sqref="A523">
    <cfRule type="duplicateValues" dxfId="960" priority="363"/>
  </conditionalFormatting>
  <conditionalFormatting sqref="A524">
    <cfRule type="duplicateValues" dxfId="959" priority="362"/>
  </conditionalFormatting>
  <conditionalFormatting sqref="A529">
    <cfRule type="duplicateValues" dxfId="958" priority="361"/>
  </conditionalFormatting>
  <conditionalFormatting sqref="A530">
    <cfRule type="duplicateValues" dxfId="957" priority="360"/>
  </conditionalFormatting>
  <conditionalFormatting sqref="A531">
    <cfRule type="duplicateValues" dxfId="956" priority="359"/>
  </conditionalFormatting>
  <conditionalFormatting sqref="A532">
    <cfRule type="duplicateValues" dxfId="955" priority="358"/>
  </conditionalFormatting>
  <conditionalFormatting sqref="A533">
    <cfRule type="duplicateValues" dxfId="954" priority="357"/>
  </conditionalFormatting>
  <conditionalFormatting sqref="A534">
    <cfRule type="duplicateValues" dxfId="953" priority="356"/>
  </conditionalFormatting>
  <conditionalFormatting sqref="A535">
    <cfRule type="duplicateValues" dxfId="952" priority="355"/>
  </conditionalFormatting>
  <conditionalFormatting sqref="A536">
    <cfRule type="duplicateValues" dxfId="951" priority="354"/>
  </conditionalFormatting>
  <conditionalFormatting sqref="A537">
    <cfRule type="duplicateValues" dxfId="950" priority="353"/>
  </conditionalFormatting>
  <conditionalFormatting sqref="A538">
    <cfRule type="duplicateValues" dxfId="949" priority="352"/>
  </conditionalFormatting>
  <conditionalFormatting sqref="A543">
    <cfRule type="duplicateValues" dxfId="948" priority="351"/>
  </conditionalFormatting>
  <conditionalFormatting sqref="A544">
    <cfRule type="duplicateValues" dxfId="947" priority="350"/>
  </conditionalFormatting>
  <conditionalFormatting sqref="A545">
    <cfRule type="duplicateValues" dxfId="946" priority="349"/>
  </conditionalFormatting>
  <conditionalFormatting sqref="A546">
    <cfRule type="duplicateValues" dxfId="945" priority="348"/>
  </conditionalFormatting>
  <conditionalFormatting sqref="A547">
    <cfRule type="duplicateValues" dxfId="944" priority="347"/>
  </conditionalFormatting>
  <conditionalFormatting sqref="A548">
    <cfRule type="duplicateValues" dxfId="943" priority="346"/>
  </conditionalFormatting>
  <conditionalFormatting sqref="A549">
    <cfRule type="duplicateValues" dxfId="942" priority="345"/>
  </conditionalFormatting>
  <conditionalFormatting sqref="A550">
    <cfRule type="duplicateValues" dxfId="941" priority="344"/>
  </conditionalFormatting>
  <conditionalFormatting sqref="A551">
    <cfRule type="duplicateValues" dxfId="940" priority="343"/>
  </conditionalFormatting>
  <conditionalFormatting sqref="A552">
    <cfRule type="duplicateValues" dxfId="939" priority="342"/>
  </conditionalFormatting>
  <conditionalFormatting sqref="A593">
    <cfRule type="duplicateValues" dxfId="938" priority="341"/>
  </conditionalFormatting>
  <conditionalFormatting sqref="A594">
    <cfRule type="duplicateValues" dxfId="937" priority="340"/>
  </conditionalFormatting>
  <conditionalFormatting sqref="A595">
    <cfRule type="duplicateValues" dxfId="936" priority="339"/>
  </conditionalFormatting>
  <conditionalFormatting sqref="A596">
    <cfRule type="duplicateValues" dxfId="935" priority="338"/>
  </conditionalFormatting>
  <conditionalFormatting sqref="A597">
    <cfRule type="duplicateValues" dxfId="934" priority="337"/>
  </conditionalFormatting>
  <conditionalFormatting sqref="A598">
    <cfRule type="duplicateValues" dxfId="933" priority="336"/>
  </conditionalFormatting>
  <conditionalFormatting sqref="A599">
    <cfRule type="duplicateValues" dxfId="932" priority="335"/>
  </conditionalFormatting>
  <conditionalFormatting sqref="A600">
    <cfRule type="duplicateValues" dxfId="931" priority="334"/>
  </conditionalFormatting>
  <conditionalFormatting sqref="A601">
    <cfRule type="duplicateValues" dxfId="930" priority="333"/>
  </conditionalFormatting>
  <conditionalFormatting sqref="A602">
    <cfRule type="duplicateValues" dxfId="929" priority="332"/>
  </conditionalFormatting>
  <conditionalFormatting sqref="A607">
    <cfRule type="duplicateValues" dxfId="928" priority="331"/>
  </conditionalFormatting>
  <conditionalFormatting sqref="A608">
    <cfRule type="duplicateValues" dxfId="927" priority="330"/>
  </conditionalFormatting>
  <conditionalFormatting sqref="A609">
    <cfRule type="duplicateValues" dxfId="926" priority="329"/>
  </conditionalFormatting>
  <conditionalFormatting sqref="A610">
    <cfRule type="duplicateValues" dxfId="925" priority="328"/>
  </conditionalFormatting>
  <conditionalFormatting sqref="A611">
    <cfRule type="duplicateValues" dxfId="924" priority="327"/>
  </conditionalFormatting>
  <conditionalFormatting sqref="A612">
    <cfRule type="duplicateValues" dxfId="923" priority="326"/>
  </conditionalFormatting>
  <conditionalFormatting sqref="A613">
    <cfRule type="duplicateValues" dxfId="922" priority="325"/>
  </conditionalFormatting>
  <conditionalFormatting sqref="A614">
    <cfRule type="duplicateValues" dxfId="921" priority="324"/>
  </conditionalFormatting>
  <conditionalFormatting sqref="A615">
    <cfRule type="duplicateValues" dxfId="920" priority="323"/>
  </conditionalFormatting>
  <conditionalFormatting sqref="A616">
    <cfRule type="duplicateValues" dxfId="919" priority="322"/>
  </conditionalFormatting>
  <conditionalFormatting sqref="A621">
    <cfRule type="duplicateValues" dxfId="918" priority="321"/>
  </conditionalFormatting>
  <conditionalFormatting sqref="A622">
    <cfRule type="duplicateValues" dxfId="917" priority="320"/>
  </conditionalFormatting>
  <conditionalFormatting sqref="A623">
    <cfRule type="duplicateValues" dxfId="916" priority="319"/>
  </conditionalFormatting>
  <conditionalFormatting sqref="A624">
    <cfRule type="duplicateValues" dxfId="915" priority="318"/>
  </conditionalFormatting>
  <conditionalFormatting sqref="A625">
    <cfRule type="duplicateValues" dxfId="914" priority="317"/>
  </conditionalFormatting>
  <conditionalFormatting sqref="A626">
    <cfRule type="duplicateValues" dxfId="913" priority="316"/>
  </conditionalFormatting>
  <conditionalFormatting sqref="A627">
    <cfRule type="duplicateValues" dxfId="912" priority="315"/>
  </conditionalFormatting>
  <conditionalFormatting sqref="A628">
    <cfRule type="duplicateValues" dxfId="911" priority="314"/>
  </conditionalFormatting>
  <conditionalFormatting sqref="A629">
    <cfRule type="duplicateValues" dxfId="910" priority="313"/>
  </conditionalFormatting>
  <conditionalFormatting sqref="A630">
    <cfRule type="duplicateValues" dxfId="909" priority="312"/>
  </conditionalFormatting>
  <conditionalFormatting sqref="A635">
    <cfRule type="duplicateValues" dxfId="908" priority="311"/>
  </conditionalFormatting>
  <conditionalFormatting sqref="A636">
    <cfRule type="duplicateValues" dxfId="907" priority="310"/>
  </conditionalFormatting>
  <conditionalFormatting sqref="A637">
    <cfRule type="duplicateValues" dxfId="906" priority="309"/>
  </conditionalFormatting>
  <conditionalFormatting sqref="A638">
    <cfRule type="duplicateValues" dxfId="905" priority="308"/>
  </conditionalFormatting>
  <conditionalFormatting sqref="A639">
    <cfRule type="duplicateValues" dxfId="904" priority="307"/>
  </conditionalFormatting>
  <conditionalFormatting sqref="A640">
    <cfRule type="duplicateValues" dxfId="903" priority="306"/>
  </conditionalFormatting>
  <conditionalFormatting sqref="A641">
    <cfRule type="duplicateValues" dxfId="902" priority="305"/>
  </conditionalFormatting>
  <conditionalFormatting sqref="A642">
    <cfRule type="duplicateValues" dxfId="901" priority="304"/>
  </conditionalFormatting>
  <conditionalFormatting sqref="A643">
    <cfRule type="duplicateValues" dxfId="900" priority="303"/>
  </conditionalFormatting>
  <conditionalFormatting sqref="A644">
    <cfRule type="duplicateValues" dxfId="899" priority="302"/>
  </conditionalFormatting>
  <conditionalFormatting sqref="A649">
    <cfRule type="duplicateValues" dxfId="898" priority="301"/>
  </conditionalFormatting>
  <conditionalFormatting sqref="A650">
    <cfRule type="duplicateValues" dxfId="897" priority="300"/>
  </conditionalFormatting>
  <conditionalFormatting sqref="A651">
    <cfRule type="duplicateValues" dxfId="896" priority="299"/>
  </conditionalFormatting>
  <conditionalFormatting sqref="A652">
    <cfRule type="duplicateValues" dxfId="895" priority="298"/>
  </conditionalFormatting>
  <conditionalFormatting sqref="A653">
    <cfRule type="duplicateValues" dxfId="894" priority="297"/>
  </conditionalFormatting>
  <conditionalFormatting sqref="A654">
    <cfRule type="duplicateValues" dxfId="893" priority="296"/>
  </conditionalFormatting>
  <conditionalFormatting sqref="A655">
    <cfRule type="duplicateValues" dxfId="892" priority="295"/>
  </conditionalFormatting>
  <conditionalFormatting sqref="A656">
    <cfRule type="duplicateValues" dxfId="891" priority="294"/>
  </conditionalFormatting>
  <conditionalFormatting sqref="A657">
    <cfRule type="duplicateValues" dxfId="890" priority="293"/>
  </conditionalFormatting>
  <conditionalFormatting sqref="A658">
    <cfRule type="duplicateValues" dxfId="889" priority="292"/>
  </conditionalFormatting>
  <conditionalFormatting sqref="A663">
    <cfRule type="duplicateValues" dxfId="888" priority="291"/>
  </conditionalFormatting>
  <conditionalFormatting sqref="A664">
    <cfRule type="duplicateValues" dxfId="887" priority="290"/>
  </conditionalFormatting>
  <conditionalFormatting sqref="A665">
    <cfRule type="duplicateValues" dxfId="886" priority="289"/>
  </conditionalFormatting>
  <conditionalFormatting sqref="A666">
    <cfRule type="duplicateValues" dxfId="885" priority="288"/>
  </conditionalFormatting>
  <conditionalFormatting sqref="A667">
    <cfRule type="duplicateValues" dxfId="884" priority="287"/>
  </conditionalFormatting>
  <conditionalFormatting sqref="A668">
    <cfRule type="duplicateValues" dxfId="883" priority="286"/>
  </conditionalFormatting>
  <conditionalFormatting sqref="A669">
    <cfRule type="duplicateValues" dxfId="882" priority="285"/>
  </conditionalFormatting>
  <conditionalFormatting sqref="A670">
    <cfRule type="duplicateValues" dxfId="881" priority="284"/>
  </conditionalFormatting>
  <conditionalFormatting sqref="A671">
    <cfRule type="duplicateValues" dxfId="880" priority="283"/>
  </conditionalFormatting>
  <conditionalFormatting sqref="A672">
    <cfRule type="duplicateValues" dxfId="879" priority="282"/>
  </conditionalFormatting>
  <conditionalFormatting sqref="A677">
    <cfRule type="duplicateValues" dxfId="878" priority="281"/>
  </conditionalFormatting>
  <conditionalFormatting sqref="A678">
    <cfRule type="duplicateValues" dxfId="877" priority="280"/>
  </conditionalFormatting>
  <conditionalFormatting sqref="A679">
    <cfRule type="duplicateValues" dxfId="876" priority="279"/>
  </conditionalFormatting>
  <conditionalFormatting sqref="A680">
    <cfRule type="duplicateValues" dxfId="875" priority="278"/>
  </conditionalFormatting>
  <conditionalFormatting sqref="A681">
    <cfRule type="duplicateValues" dxfId="874" priority="277"/>
  </conditionalFormatting>
  <conditionalFormatting sqref="A682">
    <cfRule type="duplicateValues" dxfId="873" priority="276"/>
  </conditionalFormatting>
  <conditionalFormatting sqref="A683">
    <cfRule type="duplicateValues" dxfId="872" priority="275"/>
  </conditionalFormatting>
  <conditionalFormatting sqref="A684">
    <cfRule type="duplicateValues" dxfId="871" priority="274"/>
  </conditionalFormatting>
  <conditionalFormatting sqref="A685">
    <cfRule type="duplicateValues" dxfId="870" priority="273"/>
  </conditionalFormatting>
  <conditionalFormatting sqref="A686">
    <cfRule type="duplicateValues" dxfId="869" priority="272"/>
  </conditionalFormatting>
  <conditionalFormatting sqref="A691">
    <cfRule type="duplicateValues" dxfId="868" priority="271"/>
  </conditionalFormatting>
  <conditionalFormatting sqref="A692">
    <cfRule type="duplicateValues" dxfId="867" priority="270"/>
  </conditionalFormatting>
  <conditionalFormatting sqref="A693">
    <cfRule type="duplicateValues" dxfId="866" priority="269"/>
  </conditionalFormatting>
  <conditionalFormatting sqref="A694">
    <cfRule type="duplicateValues" dxfId="865" priority="268"/>
  </conditionalFormatting>
  <conditionalFormatting sqref="A695">
    <cfRule type="duplicateValues" dxfId="864" priority="267"/>
  </conditionalFormatting>
  <conditionalFormatting sqref="A696">
    <cfRule type="duplicateValues" dxfId="863" priority="266"/>
  </conditionalFormatting>
  <conditionalFormatting sqref="A697">
    <cfRule type="duplicateValues" dxfId="862" priority="265"/>
  </conditionalFormatting>
  <conditionalFormatting sqref="A698">
    <cfRule type="duplicateValues" dxfId="861" priority="264"/>
  </conditionalFormatting>
  <conditionalFormatting sqref="A699">
    <cfRule type="duplicateValues" dxfId="860" priority="263"/>
  </conditionalFormatting>
  <conditionalFormatting sqref="A700">
    <cfRule type="duplicateValues" dxfId="859" priority="262"/>
  </conditionalFormatting>
  <conditionalFormatting sqref="A705">
    <cfRule type="duplicateValues" dxfId="858" priority="261"/>
  </conditionalFormatting>
  <conditionalFormatting sqref="A706">
    <cfRule type="duplicateValues" dxfId="857" priority="260"/>
  </conditionalFormatting>
  <conditionalFormatting sqref="A707">
    <cfRule type="duplicateValues" dxfId="856" priority="259"/>
  </conditionalFormatting>
  <conditionalFormatting sqref="A708">
    <cfRule type="duplicateValues" dxfId="855" priority="258"/>
  </conditionalFormatting>
  <conditionalFormatting sqref="A709">
    <cfRule type="duplicateValues" dxfId="854" priority="257"/>
  </conditionalFormatting>
  <conditionalFormatting sqref="A710">
    <cfRule type="duplicateValues" dxfId="853" priority="256"/>
  </conditionalFormatting>
  <conditionalFormatting sqref="A711">
    <cfRule type="duplicateValues" dxfId="852" priority="255"/>
  </conditionalFormatting>
  <conditionalFormatting sqref="A712">
    <cfRule type="duplicateValues" dxfId="851" priority="254"/>
  </conditionalFormatting>
  <conditionalFormatting sqref="A713">
    <cfRule type="duplicateValues" dxfId="850" priority="253"/>
  </conditionalFormatting>
  <conditionalFormatting sqref="A714">
    <cfRule type="duplicateValues" dxfId="849" priority="252"/>
  </conditionalFormatting>
  <conditionalFormatting sqref="A729">
    <cfRule type="duplicateValues" dxfId="848" priority="251"/>
  </conditionalFormatting>
  <conditionalFormatting sqref="A730">
    <cfRule type="duplicateValues" dxfId="847" priority="250"/>
  </conditionalFormatting>
  <conditionalFormatting sqref="A731">
    <cfRule type="duplicateValues" dxfId="846" priority="249"/>
  </conditionalFormatting>
  <conditionalFormatting sqref="A732">
    <cfRule type="duplicateValues" dxfId="845" priority="248"/>
  </conditionalFormatting>
  <conditionalFormatting sqref="A733">
    <cfRule type="duplicateValues" dxfId="844" priority="247"/>
  </conditionalFormatting>
  <conditionalFormatting sqref="A734">
    <cfRule type="duplicateValues" dxfId="843" priority="246"/>
  </conditionalFormatting>
  <conditionalFormatting sqref="A735">
    <cfRule type="duplicateValues" dxfId="842" priority="245"/>
  </conditionalFormatting>
  <conditionalFormatting sqref="A736">
    <cfRule type="duplicateValues" dxfId="841" priority="244"/>
  </conditionalFormatting>
  <conditionalFormatting sqref="A737">
    <cfRule type="duplicateValues" dxfId="840" priority="243"/>
  </conditionalFormatting>
  <conditionalFormatting sqref="A738">
    <cfRule type="duplicateValues" dxfId="839" priority="242"/>
  </conditionalFormatting>
  <conditionalFormatting sqref="A728">
    <cfRule type="duplicateValues" dxfId="838" priority="241"/>
  </conditionalFormatting>
  <conditionalFormatting sqref="A32">
    <cfRule type="duplicateValues" dxfId="837" priority="120"/>
  </conditionalFormatting>
  <conditionalFormatting sqref="A33">
    <cfRule type="duplicateValues" dxfId="836" priority="119"/>
  </conditionalFormatting>
  <conditionalFormatting sqref="A34">
    <cfRule type="duplicateValues" dxfId="835" priority="118"/>
  </conditionalFormatting>
  <conditionalFormatting sqref="A35">
    <cfRule type="duplicateValues" dxfId="834" priority="117"/>
  </conditionalFormatting>
  <conditionalFormatting sqref="A36">
    <cfRule type="duplicateValues" dxfId="833" priority="116"/>
  </conditionalFormatting>
  <conditionalFormatting sqref="A37">
    <cfRule type="duplicateValues" dxfId="832" priority="115"/>
  </conditionalFormatting>
  <conditionalFormatting sqref="A38">
    <cfRule type="duplicateValues" dxfId="831" priority="114"/>
  </conditionalFormatting>
  <conditionalFormatting sqref="A39">
    <cfRule type="duplicateValues" dxfId="830" priority="113"/>
  </conditionalFormatting>
  <conditionalFormatting sqref="A40">
    <cfRule type="duplicateValues" dxfId="829" priority="112"/>
  </conditionalFormatting>
  <conditionalFormatting sqref="A41">
    <cfRule type="duplicateValues" dxfId="828" priority="111"/>
  </conditionalFormatting>
  <conditionalFormatting sqref="A47">
    <cfRule type="duplicateValues" dxfId="827" priority="110"/>
  </conditionalFormatting>
  <conditionalFormatting sqref="A48">
    <cfRule type="duplicateValues" dxfId="826" priority="109"/>
  </conditionalFormatting>
  <conditionalFormatting sqref="A49">
    <cfRule type="duplicateValues" dxfId="825" priority="108"/>
  </conditionalFormatting>
  <conditionalFormatting sqref="A50">
    <cfRule type="duplicateValues" dxfId="824" priority="107"/>
  </conditionalFormatting>
  <conditionalFormatting sqref="A51">
    <cfRule type="duplicateValues" dxfId="823" priority="106"/>
  </conditionalFormatting>
  <conditionalFormatting sqref="A52">
    <cfRule type="duplicateValues" dxfId="822" priority="105"/>
  </conditionalFormatting>
  <conditionalFormatting sqref="A53">
    <cfRule type="duplicateValues" dxfId="821" priority="104"/>
  </conditionalFormatting>
  <conditionalFormatting sqref="A54">
    <cfRule type="duplicateValues" dxfId="820" priority="103"/>
  </conditionalFormatting>
  <conditionalFormatting sqref="A55">
    <cfRule type="duplicateValues" dxfId="819" priority="102"/>
  </conditionalFormatting>
  <conditionalFormatting sqref="A56">
    <cfRule type="duplicateValues" dxfId="818" priority="101"/>
  </conditionalFormatting>
  <conditionalFormatting sqref="A62">
    <cfRule type="duplicateValues" dxfId="817" priority="100"/>
  </conditionalFormatting>
  <conditionalFormatting sqref="A63">
    <cfRule type="duplicateValues" dxfId="816" priority="99"/>
  </conditionalFormatting>
  <conditionalFormatting sqref="A64">
    <cfRule type="duplicateValues" dxfId="815" priority="98"/>
  </conditionalFormatting>
  <conditionalFormatting sqref="A65">
    <cfRule type="duplicateValues" dxfId="814" priority="97"/>
  </conditionalFormatting>
  <conditionalFormatting sqref="A66">
    <cfRule type="duplicateValues" dxfId="813" priority="96"/>
  </conditionalFormatting>
  <conditionalFormatting sqref="A67">
    <cfRule type="duplicateValues" dxfId="812" priority="95"/>
  </conditionalFormatting>
  <conditionalFormatting sqref="A68">
    <cfRule type="duplicateValues" dxfId="811" priority="94"/>
  </conditionalFormatting>
  <conditionalFormatting sqref="A69">
    <cfRule type="duplicateValues" dxfId="810" priority="93"/>
  </conditionalFormatting>
  <conditionalFormatting sqref="A70">
    <cfRule type="duplicateValues" dxfId="809" priority="92"/>
  </conditionalFormatting>
  <conditionalFormatting sqref="A71">
    <cfRule type="duplicateValues" dxfId="808" priority="91"/>
  </conditionalFormatting>
  <conditionalFormatting sqref="A77">
    <cfRule type="duplicateValues" dxfId="807" priority="90"/>
  </conditionalFormatting>
  <conditionalFormatting sqref="A78">
    <cfRule type="duplicateValues" dxfId="806" priority="89"/>
  </conditionalFormatting>
  <conditionalFormatting sqref="A79">
    <cfRule type="duplicateValues" dxfId="805" priority="88"/>
  </conditionalFormatting>
  <conditionalFormatting sqref="A80">
    <cfRule type="duplicateValues" dxfId="804" priority="87"/>
  </conditionalFormatting>
  <conditionalFormatting sqref="A81">
    <cfRule type="duplicateValues" dxfId="803" priority="86"/>
  </conditionalFormatting>
  <conditionalFormatting sqref="A82">
    <cfRule type="duplicateValues" dxfId="802" priority="85"/>
  </conditionalFormatting>
  <conditionalFormatting sqref="A83">
    <cfRule type="duplicateValues" dxfId="801" priority="84"/>
  </conditionalFormatting>
  <conditionalFormatting sqref="A84">
    <cfRule type="duplicateValues" dxfId="800" priority="83"/>
  </conditionalFormatting>
  <conditionalFormatting sqref="A85">
    <cfRule type="duplicateValues" dxfId="799" priority="82"/>
  </conditionalFormatting>
  <conditionalFormatting sqref="A86">
    <cfRule type="duplicateValues" dxfId="798" priority="81"/>
  </conditionalFormatting>
  <conditionalFormatting sqref="A92">
    <cfRule type="duplicateValues" dxfId="797" priority="80"/>
  </conditionalFormatting>
  <conditionalFormatting sqref="A93">
    <cfRule type="duplicateValues" dxfId="796" priority="79"/>
  </conditionalFormatting>
  <conditionalFormatting sqref="A94">
    <cfRule type="duplicateValues" dxfId="795" priority="78"/>
  </conditionalFormatting>
  <conditionalFormatting sqref="A95">
    <cfRule type="duplicateValues" dxfId="794" priority="77"/>
  </conditionalFormatting>
  <conditionalFormatting sqref="A96">
    <cfRule type="duplicateValues" dxfId="793" priority="76"/>
  </conditionalFormatting>
  <conditionalFormatting sqref="A97">
    <cfRule type="duplicateValues" dxfId="792" priority="75"/>
  </conditionalFormatting>
  <conditionalFormatting sqref="A98">
    <cfRule type="duplicateValues" dxfId="791" priority="74"/>
  </conditionalFormatting>
  <conditionalFormatting sqref="A99">
    <cfRule type="duplicateValues" dxfId="790" priority="73"/>
  </conditionalFormatting>
  <conditionalFormatting sqref="A100">
    <cfRule type="duplicateValues" dxfId="789" priority="72"/>
  </conditionalFormatting>
  <conditionalFormatting sqref="A101">
    <cfRule type="duplicateValues" dxfId="788" priority="71"/>
  </conditionalFormatting>
  <conditionalFormatting sqref="A107">
    <cfRule type="duplicateValues" dxfId="787" priority="70"/>
  </conditionalFormatting>
  <conditionalFormatting sqref="A108">
    <cfRule type="duplicateValues" dxfId="786" priority="69"/>
  </conditionalFormatting>
  <conditionalFormatting sqref="A109">
    <cfRule type="duplicateValues" dxfId="785" priority="68"/>
  </conditionalFormatting>
  <conditionalFormatting sqref="A110">
    <cfRule type="duplicateValues" dxfId="784" priority="67"/>
  </conditionalFormatting>
  <conditionalFormatting sqref="A111">
    <cfRule type="duplicateValues" dxfId="783" priority="66"/>
  </conditionalFormatting>
  <conditionalFormatting sqref="A112">
    <cfRule type="duplicateValues" dxfId="782" priority="65"/>
  </conditionalFormatting>
  <conditionalFormatting sqref="A113">
    <cfRule type="duplicateValues" dxfId="781" priority="64"/>
  </conditionalFormatting>
  <conditionalFormatting sqref="A114">
    <cfRule type="duplicateValues" dxfId="780" priority="63"/>
  </conditionalFormatting>
  <conditionalFormatting sqref="A115">
    <cfRule type="duplicateValues" dxfId="779" priority="62"/>
  </conditionalFormatting>
  <conditionalFormatting sqref="A116">
    <cfRule type="duplicateValues" dxfId="778" priority="61"/>
  </conditionalFormatting>
  <conditionalFormatting sqref="A122">
    <cfRule type="duplicateValues" dxfId="777" priority="60"/>
  </conditionalFormatting>
  <conditionalFormatting sqref="A123">
    <cfRule type="duplicateValues" dxfId="776" priority="59"/>
  </conditionalFormatting>
  <conditionalFormatting sqref="A124">
    <cfRule type="duplicateValues" dxfId="775" priority="58"/>
  </conditionalFormatting>
  <conditionalFormatting sqref="A125">
    <cfRule type="duplicateValues" dxfId="774" priority="57"/>
  </conditionalFormatting>
  <conditionalFormatting sqref="A126">
    <cfRule type="duplicateValues" dxfId="773" priority="56"/>
  </conditionalFormatting>
  <conditionalFormatting sqref="A127">
    <cfRule type="duplicateValues" dxfId="772" priority="55"/>
  </conditionalFormatting>
  <conditionalFormatting sqref="A128">
    <cfRule type="duplicateValues" dxfId="771" priority="54"/>
  </conditionalFormatting>
  <conditionalFormatting sqref="A129">
    <cfRule type="duplicateValues" dxfId="770" priority="53"/>
  </conditionalFormatting>
  <conditionalFormatting sqref="A130">
    <cfRule type="duplicateValues" dxfId="769" priority="52"/>
  </conditionalFormatting>
  <conditionalFormatting sqref="A131">
    <cfRule type="duplicateValues" dxfId="768" priority="51"/>
  </conditionalFormatting>
  <conditionalFormatting sqref="A137">
    <cfRule type="duplicateValues" dxfId="767" priority="50"/>
  </conditionalFormatting>
  <conditionalFormatting sqref="A138">
    <cfRule type="duplicateValues" dxfId="766" priority="49"/>
  </conditionalFormatting>
  <conditionalFormatting sqref="A139">
    <cfRule type="duplicateValues" dxfId="765" priority="48"/>
  </conditionalFormatting>
  <conditionalFormatting sqref="A140">
    <cfRule type="duplicateValues" dxfId="764" priority="47"/>
  </conditionalFormatting>
  <conditionalFormatting sqref="A141">
    <cfRule type="duplicateValues" dxfId="763" priority="46"/>
  </conditionalFormatting>
  <conditionalFormatting sqref="A142">
    <cfRule type="duplicateValues" dxfId="762" priority="45"/>
  </conditionalFormatting>
  <conditionalFormatting sqref="A143">
    <cfRule type="duplicateValues" dxfId="761" priority="44"/>
  </conditionalFormatting>
  <conditionalFormatting sqref="A144">
    <cfRule type="duplicateValues" dxfId="760" priority="43"/>
  </conditionalFormatting>
  <conditionalFormatting sqref="A145">
    <cfRule type="duplicateValues" dxfId="759" priority="42"/>
  </conditionalFormatting>
  <conditionalFormatting sqref="A146">
    <cfRule type="duplicateValues" dxfId="758" priority="41"/>
  </conditionalFormatting>
  <conditionalFormatting sqref="A152">
    <cfRule type="duplicateValues" dxfId="757" priority="40"/>
  </conditionalFormatting>
  <conditionalFormatting sqref="A153">
    <cfRule type="duplicateValues" dxfId="756" priority="39"/>
  </conditionalFormatting>
  <conditionalFormatting sqref="A154">
    <cfRule type="duplicateValues" dxfId="755" priority="38"/>
  </conditionalFormatting>
  <conditionalFormatting sqref="A155">
    <cfRule type="duplicateValues" dxfId="754" priority="37"/>
  </conditionalFormatting>
  <conditionalFormatting sqref="A156">
    <cfRule type="duplicateValues" dxfId="753" priority="36"/>
  </conditionalFormatting>
  <conditionalFormatting sqref="A157">
    <cfRule type="duplicateValues" dxfId="752" priority="35"/>
  </conditionalFormatting>
  <conditionalFormatting sqref="A158">
    <cfRule type="duplicateValues" dxfId="751" priority="34"/>
  </conditionalFormatting>
  <conditionalFormatting sqref="A159">
    <cfRule type="duplicateValues" dxfId="750" priority="33"/>
  </conditionalFormatting>
  <conditionalFormatting sqref="A160">
    <cfRule type="duplicateValues" dxfId="749" priority="32"/>
  </conditionalFormatting>
  <conditionalFormatting sqref="A161">
    <cfRule type="duplicateValues" dxfId="748" priority="31"/>
  </conditionalFormatting>
  <conditionalFormatting sqref="A167">
    <cfRule type="duplicateValues" dxfId="747" priority="30"/>
  </conditionalFormatting>
  <conditionalFormatting sqref="A168">
    <cfRule type="duplicateValues" dxfId="746" priority="29"/>
  </conditionalFormatting>
  <conditionalFormatting sqref="A169">
    <cfRule type="duplicateValues" dxfId="745" priority="28"/>
  </conditionalFormatting>
  <conditionalFormatting sqref="A170">
    <cfRule type="duplicateValues" dxfId="744" priority="27"/>
  </conditionalFormatting>
  <conditionalFormatting sqref="A171">
    <cfRule type="duplicateValues" dxfId="743" priority="26"/>
  </conditionalFormatting>
  <conditionalFormatting sqref="A172">
    <cfRule type="duplicateValues" dxfId="742" priority="25"/>
  </conditionalFormatting>
  <conditionalFormatting sqref="A173">
    <cfRule type="duplicateValues" dxfId="741" priority="24"/>
  </conditionalFormatting>
  <conditionalFormatting sqref="A174">
    <cfRule type="duplicateValues" dxfId="740" priority="23"/>
  </conditionalFormatting>
  <conditionalFormatting sqref="A175">
    <cfRule type="duplicateValues" dxfId="739" priority="22"/>
  </conditionalFormatting>
  <conditionalFormatting sqref="A176">
    <cfRule type="duplicateValues" dxfId="738" priority="21"/>
  </conditionalFormatting>
  <conditionalFormatting sqref="A182">
    <cfRule type="duplicateValues" dxfId="737" priority="20"/>
  </conditionalFormatting>
  <conditionalFormatting sqref="A183">
    <cfRule type="duplicateValues" dxfId="736" priority="19"/>
  </conditionalFormatting>
  <conditionalFormatting sqref="A184">
    <cfRule type="duplicateValues" dxfId="735" priority="18"/>
  </conditionalFormatting>
  <conditionalFormatting sqref="A185">
    <cfRule type="duplicateValues" dxfId="734" priority="17"/>
  </conditionalFormatting>
  <conditionalFormatting sqref="A186">
    <cfRule type="duplicateValues" dxfId="733" priority="16"/>
  </conditionalFormatting>
  <conditionalFormatting sqref="A187">
    <cfRule type="duplicateValues" dxfId="732" priority="15"/>
  </conditionalFormatting>
  <conditionalFormatting sqref="A188">
    <cfRule type="duplicateValues" dxfId="731" priority="14"/>
  </conditionalFormatting>
  <conditionalFormatting sqref="A189">
    <cfRule type="duplicateValues" dxfId="730" priority="13"/>
  </conditionalFormatting>
  <conditionalFormatting sqref="A190">
    <cfRule type="duplicateValues" dxfId="729" priority="12"/>
  </conditionalFormatting>
  <conditionalFormatting sqref="A191">
    <cfRule type="duplicateValues" dxfId="728" priority="11"/>
  </conditionalFormatting>
  <conditionalFormatting sqref="A207">
    <cfRule type="duplicateValues" dxfId="727" priority="10"/>
  </conditionalFormatting>
  <conditionalFormatting sqref="A208">
    <cfRule type="duplicateValues" dxfId="726" priority="9"/>
  </conditionalFormatting>
  <conditionalFormatting sqref="A209">
    <cfRule type="duplicateValues" dxfId="725" priority="8"/>
  </conditionalFormatting>
  <conditionalFormatting sqref="A210">
    <cfRule type="duplicateValues" dxfId="724" priority="7"/>
  </conditionalFormatting>
  <conditionalFormatting sqref="A211">
    <cfRule type="duplicateValues" dxfId="723" priority="6"/>
  </conditionalFormatting>
  <conditionalFormatting sqref="A212">
    <cfRule type="duplicateValues" dxfId="722" priority="5"/>
  </conditionalFormatting>
  <conditionalFormatting sqref="A213">
    <cfRule type="duplicateValues" dxfId="721" priority="4"/>
  </conditionalFormatting>
  <conditionalFormatting sqref="A214">
    <cfRule type="duplicateValues" dxfId="720" priority="3"/>
  </conditionalFormatting>
  <conditionalFormatting sqref="A215">
    <cfRule type="duplicateValues" dxfId="719" priority="2"/>
  </conditionalFormatting>
  <conditionalFormatting sqref="A216">
    <cfRule type="duplicateValues" dxfId="718" priority="1"/>
  </conditionalFormatting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EB46-0647-4015-A10F-BE200E8706C3}">
  <sheetPr>
    <tabColor rgb="FFC55A11"/>
    <pageSetUpPr fitToPage="1"/>
  </sheetPr>
  <dimension ref="A1:AA721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8.6640625" customWidth="1"/>
    <col min="9" max="9" width="21.109375" customWidth="1"/>
    <col min="10" max="10" width="12.77734375" customWidth="1"/>
    <col min="11" max="12" width="13.77734375" customWidth="1"/>
    <col min="13" max="14" width="12.77734375" customWidth="1"/>
    <col min="15" max="15" width="21.10937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239" t="s">
        <v>75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27" ht="18" customHeight="1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  <c r="Q2" s="300" t="s">
        <v>11</v>
      </c>
      <c r="R2" s="301">
        <v>4</v>
      </c>
      <c r="V2" s="302" t="s">
        <v>30</v>
      </c>
      <c r="W2" s="303"/>
      <c r="X2" s="301"/>
      <c r="Y2" s="301"/>
    </row>
    <row r="3" spans="1:27" ht="18" customHeight="1" x14ac:dyDescent="0.3">
      <c r="A3" s="246"/>
      <c r="B3" s="304">
        <v>0.52910083333333335</v>
      </c>
      <c r="C3" s="304">
        <v>-0.14285714285714288</v>
      </c>
      <c r="D3" s="400" t="s">
        <v>86</v>
      </c>
      <c r="E3" s="304">
        <v>-0.24074050000000002</v>
      </c>
      <c r="F3" s="304">
        <v>-5.3571500000000001E-2</v>
      </c>
      <c r="G3" s="305">
        <v>7.4074074074074042E-2</v>
      </c>
      <c r="H3" s="304">
        <v>-0.14285714285714288</v>
      </c>
      <c r="I3" s="304">
        <v>0.24074050000000002</v>
      </c>
      <c r="J3" s="304">
        <v>-5.3571428571428555E-2</v>
      </c>
      <c r="K3" s="304">
        <v>-0.24074050000000002</v>
      </c>
      <c r="L3" s="304">
        <v>-0.14285714285714288</v>
      </c>
      <c r="M3" s="304">
        <v>-9.5238000000000017E-2</v>
      </c>
      <c r="N3" s="305">
        <v>6.0763888888888902E-2</v>
      </c>
      <c r="O3" s="249">
        <v>2</v>
      </c>
      <c r="Q3" s="300" t="s">
        <v>12</v>
      </c>
      <c r="R3" s="301">
        <v>6</v>
      </c>
      <c r="V3" s="309"/>
      <c r="W3" s="310"/>
      <c r="X3" s="301"/>
      <c r="Y3" s="301"/>
    </row>
    <row r="4" spans="1:27" ht="18" customHeight="1" x14ac:dyDescent="0.3">
      <c r="A4" s="246"/>
      <c r="B4" s="304">
        <v>0.52910083333333335</v>
      </c>
      <c r="C4" s="304">
        <v>0.14285714285714288</v>
      </c>
      <c r="D4" s="401"/>
      <c r="E4" s="304">
        <v>0.24074050000000002</v>
      </c>
      <c r="F4" s="304">
        <v>-5.3571500000000001E-2</v>
      </c>
      <c r="G4" s="305">
        <v>7.4074074074074042E-2</v>
      </c>
      <c r="H4" s="304">
        <v>-0.14285714285714288</v>
      </c>
      <c r="I4" s="304">
        <v>-0.24074050000000002</v>
      </c>
      <c r="J4" s="304">
        <v>-5.3571428571428555E-2</v>
      </c>
      <c r="K4" s="304">
        <v>-0.24074050000000002</v>
      </c>
      <c r="L4" s="304">
        <v>-0.14285714285714288</v>
      </c>
      <c r="M4" s="304">
        <v>9.5238000000000017E-2</v>
      </c>
      <c r="N4" s="305">
        <v>6.0763888888888923E-2</v>
      </c>
      <c r="O4" s="249">
        <v>1</v>
      </c>
      <c r="V4" s="311"/>
      <c r="W4" s="312"/>
      <c r="X4" s="301"/>
      <c r="Y4" s="301"/>
    </row>
    <row r="5" spans="1:27" ht="18" customHeight="1" x14ac:dyDescent="0.3">
      <c r="A5" s="246"/>
      <c r="B5" s="304">
        <v>-0.52910083333333335</v>
      </c>
      <c r="C5" s="304">
        <v>-0.14285714285714288</v>
      </c>
      <c r="D5" s="401"/>
      <c r="E5" s="304">
        <v>-0.24074050000000002</v>
      </c>
      <c r="F5" s="304">
        <v>-5.3571500000000001E-2</v>
      </c>
      <c r="G5" s="305">
        <v>7.4074074074074042E-2</v>
      </c>
      <c r="H5" s="304">
        <v>0.14285714285714288</v>
      </c>
      <c r="I5" s="304">
        <v>-0.24074050000000002</v>
      </c>
      <c r="J5" s="304">
        <v>-5.3571428571428555E-2</v>
      </c>
      <c r="K5" s="304">
        <v>0.24074050000000002</v>
      </c>
      <c r="L5" s="304">
        <v>0.14285714285714288</v>
      </c>
      <c r="M5" s="304">
        <v>9.5238000000000017E-2</v>
      </c>
      <c r="N5" s="305">
        <v>6.0763888888888923E-2</v>
      </c>
      <c r="O5" s="249">
        <v>2</v>
      </c>
      <c r="Q5" s="313" t="s">
        <v>18</v>
      </c>
      <c r="R5" s="314"/>
      <c r="S5" s="315"/>
    </row>
    <row r="6" spans="1:27" ht="18" customHeight="1" x14ac:dyDescent="0.3">
      <c r="A6" s="246"/>
      <c r="B6" s="304">
        <v>0.52910083333333335</v>
      </c>
      <c r="C6" s="304">
        <v>-0.14285714285714288</v>
      </c>
      <c r="D6" s="401"/>
      <c r="E6" s="304">
        <v>-0.24074050000000002</v>
      </c>
      <c r="F6" s="304">
        <v>-5.3571500000000001E-2</v>
      </c>
      <c r="G6" s="305">
        <v>7.4074074074074042E-2</v>
      </c>
      <c r="H6" s="304">
        <v>0.14285714285714288</v>
      </c>
      <c r="I6" s="304">
        <v>0.24074050000000002</v>
      </c>
      <c r="J6" s="304">
        <v>5.3571428571428575E-2</v>
      </c>
      <c r="K6" s="304">
        <v>0.24074050000000002</v>
      </c>
      <c r="L6" s="304">
        <v>-0.14285714285714288</v>
      </c>
      <c r="M6" s="304">
        <v>-9.5238000000000017E-2</v>
      </c>
      <c r="N6" s="305">
        <v>6.0763888888888923E-2</v>
      </c>
      <c r="O6" s="249">
        <v>1</v>
      </c>
      <c r="Q6" s="316"/>
      <c r="R6" s="317"/>
      <c r="S6" s="318"/>
      <c r="V6" s="302" t="s">
        <v>31</v>
      </c>
      <c r="W6" s="303"/>
      <c r="X6" s="301"/>
      <c r="Y6" s="301"/>
    </row>
    <row r="7" spans="1:27" ht="18" customHeight="1" x14ac:dyDescent="0.3">
      <c r="A7" s="246"/>
      <c r="B7" s="304">
        <v>0.52910083333333335</v>
      </c>
      <c r="C7" s="304">
        <v>0.14285714285714288</v>
      </c>
      <c r="D7" s="401"/>
      <c r="E7" s="304">
        <v>0.24074050000000002</v>
      </c>
      <c r="F7" s="304">
        <v>-5.3571500000000001E-2</v>
      </c>
      <c r="G7" s="305">
        <v>7.4074074074074042E-2</v>
      </c>
      <c r="H7" s="304">
        <v>-0.14285714285714288</v>
      </c>
      <c r="I7" s="304">
        <v>0.24074050000000002</v>
      </c>
      <c r="J7" s="304">
        <v>5.3571428571428575E-2</v>
      </c>
      <c r="K7" s="304">
        <v>0.24074050000000002</v>
      </c>
      <c r="L7" s="304">
        <v>0.14285714285714288</v>
      </c>
      <c r="M7" s="304">
        <v>-9.5238000000000017E-2</v>
      </c>
      <c r="N7" s="305">
        <v>6.0763888888888902E-2</v>
      </c>
      <c r="O7" s="249">
        <v>1</v>
      </c>
      <c r="Q7" s="319" t="s">
        <v>77</v>
      </c>
      <c r="R7" s="320">
        <v>10</v>
      </c>
      <c r="S7" s="321"/>
      <c r="V7" s="309"/>
      <c r="W7" s="310"/>
      <c r="X7" s="301"/>
      <c r="Y7" s="301"/>
    </row>
    <row r="8" spans="1:27" ht="18" customHeight="1" x14ac:dyDescent="0.3">
      <c r="A8" s="246"/>
      <c r="B8" s="304">
        <v>0.52910083333333335</v>
      </c>
      <c r="C8" s="304">
        <v>-0.14285714285714288</v>
      </c>
      <c r="D8" s="401"/>
      <c r="E8" s="304">
        <v>0.24074050000000002</v>
      </c>
      <c r="F8" s="304">
        <v>5.3571500000000001E-2</v>
      </c>
      <c r="G8" s="305">
        <v>7.4074074074074042E-2</v>
      </c>
      <c r="H8" s="304">
        <v>0.14285714285714288</v>
      </c>
      <c r="I8" s="304">
        <v>0.24074050000000002</v>
      </c>
      <c r="J8" s="304">
        <v>-5.3571428571428555E-2</v>
      </c>
      <c r="K8" s="304">
        <v>0.24074050000000002</v>
      </c>
      <c r="L8" s="304">
        <v>0.14285714285714288</v>
      </c>
      <c r="M8" s="304">
        <v>9.5238000000000017E-2</v>
      </c>
      <c r="N8" s="305">
        <v>6.0763888888888923E-2</v>
      </c>
      <c r="O8" s="249">
        <v>1</v>
      </c>
      <c r="V8" s="311"/>
      <c r="W8" s="312"/>
      <c r="X8" s="301"/>
      <c r="Y8" s="301"/>
    </row>
    <row r="9" spans="1:27" ht="18" customHeight="1" x14ac:dyDescent="0.3">
      <c r="A9" s="246"/>
      <c r="B9" s="304">
        <v>-0.52910083333333335</v>
      </c>
      <c r="C9" s="304">
        <v>-0.14285714285714288</v>
      </c>
      <c r="D9" s="401"/>
      <c r="E9" s="304">
        <v>-0.24074050000000002</v>
      </c>
      <c r="F9" s="304">
        <v>-5.3571500000000001E-2</v>
      </c>
      <c r="G9" s="305">
        <v>-7.4074074074074056E-2</v>
      </c>
      <c r="H9" s="304">
        <v>-0.14285714285714288</v>
      </c>
      <c r="I9" s="304">
        <v>-0.24074050000000002</v>
      </c>
      <c r="J9" s="304">
        <v>5.3571428571428575E-2</v>
      </c>
      <c r="K9" s="304">
        <v>-0.24074050000000002</v>
      </c>
      <c r="L9" s="304">
        <v>-0.14285714285714288</v>
      </c>
      <c r="M9" s="304">
        <v>-9.5238000000000017E-2</v>
      </c>
      <c r="N9" s="305">
        <v>-0.12152777777777779</v>
      </c>
      <c r="O9" s="249">
        <v>2</v>
      </c>
      <c r="Q9" s="259" t="s">
        <v>17</v>
      </c>
      <c r="R9" s="314"/>
      <c r="S9" s="315"/>
    </row>
    <row r="10" spans="1:27" ht="18" customHeight="1" x14ac:dyDescent="0.3">
      <c r="A10" s="246"/>
      <c r="B10" s="304">
        <v>-0.52910083333333335</v>
      </c>
      <c r="C10" s="304">
        <v>-0.14285714285714288</v>
      </c>
      <c r="D10" s="401"/>
      <c r="E10" s="304">
        <v>0.24074050000000002</v>
      </c>
      <c r="F10" s="304">
        <v>-5.3571500000000001E-2</v>
      </c>
      <c r="G10" s="305">
        <v>7.4074074074074042E-2</v>
      </c>
      <c r="H10" s="304">
        <v>-0.14285714285714288</v>
      </c>
      <c r="I10" s="304">
        <v>-0.24074050000000002</v>
      </c>
      <c r="J10" s="304">
        <v>5.3571428571428575E-2</v>
      </c>
      <c r="K10" s="304">
        <v>-0.24074050000000002</v>
      </c>
      <c r="L10" s="304">
        <v>-0.14285714285714288</v>
      </c>
      <c r="M10" s="304">
        <v>-9.5238000000000017E-2</v>
      </c>
      <c r="N10" s="305">
        <v>6.0763888888888923E-2</v>
      </c>
      <c r="O10" s="249">
        <v>2</v>
      </c>
      <c r="Q10" s="259"/>
      <c r="R10" s="322"/>
      <c r="S10" s="323"/>
    </row>
    <row r="11" spans="1:27" ht="18" customHeight="1" x14ac:dyDescent="0.3">
      <c r="A11" s="246"/>
      <c r="B11" s="304">
        <v>-0.52910083333333335</v>
      </c>
      <c r="C11" s="304">
        <v>-0.14285714285714288</v>
      </c>
      <c r="D11" s="401"/>
      <c r="E11" s="304">
        <v>-0.24074050000000002</v>
      </c>
      <c r="F11" s="304">
        <v>-5.3571500000000001E-2</v>
      </c>
      <c r="G11" s="305">
        <v>7.4074074074074042E-2</v>
      </c>
      <c r="H11" s="304">
        <v>-0.14285714285714288</v>
      </c>
      <c r="I11" s="304">
        <v>-0.24074050000000002</v>
      </c>
      <c r="J11" s="304">
        <v>-5.3571428571428555E-2</v>
      </c>
      <c r="K11" s="304">
        <v>-0.24074050000000002</v>
      </c>
      <c r="L11" s="304">
        <v>-0.14285714285714288</v>
      </c>
      <c r="M11" s="304">
        <v>-9.5238000000000017E-2</v>
      </c>
      <c r="N11" s="305">
        <v>6.0763888888888923E-2</v>
      </c>
      <c r="O11" s="249">
        <v>2</v>
      </c>
      <c r="Q11" s="259" t="s">
        <v>26</v>
      </c>
      <c r="R11" s="324" t="s">
        <v>29</v>
      </c>
      <c r="S11" s="324"/>
      <c r="V11" s="325" t="s">
        <v>33</v>
      </c>
      <c r="W11" s="326"/>
      <c r="X11" s="314"/>
      <c r="Y11" s="327"/>
      <c r="Z11" s="327"/>
      <c r="AA11" s="315"/>
    </row>
    <row r="12" spans="1:27" ht="18" customHeight="1" x14ac:dyDescent="0.3">
      <c r="A12" s="246"/>
      <c r="B12" s="304">
        <v>-0.52910083333333335</v>
      </c>
      <c r="C12" s="304">
        <v>0.14285714285714288</v>
      </c>
      <c r="D12" s="402"/>
      <c r="E12" s="304">
        <v>-0.24074050000000002</v>
      </c>
      <c r="F12" s="304">
        <v>-5.3571500000000001E-2</v>
      </c>
      <c r="G12" s="305">
        <v>7.4074074074074042E-2</v>
      </c>
      <c r="H12" s="304">
        <v>-0.14285714285714288</v>
      </c>
      <c r="I12" s="304">
        <v>-0.24074050000000002</v>
      </c>
      <c r="J12" s="304">
        <v>-5.3571428571428555E-2</v>
      </c>
      <c r="K12" s="304">
        <v>-0.24074050000000002</v>
      </c>
      <c r="L12" s="304">
        <v>-0.14285714285714288</v>
      </c>
      <c r="M12" s="304">
        <v>-9.5238000000000017E-2</v>
      </c>
      <c r="N12" s="305">
        <v>6.0763888888888923E-2</v>
      </c>
      <c r="O12" s="249">
        <v>2</v>
      </c>
      <c r="V12" s="328"/>
      <c r="W12" s="329"/>
      <c r="X12" s="317"/>
      <c r="Y12" s="330"/>
      <c r="Z12" s="330"/>
      <c r="AA12" s="318"/>
    </row>
    <row r="13" spans="1:27" ht="18" customHeight="1" x14ac:dyDescent="0.3">
      <c r="A13" s="244"/>
      <c r="B13" s="251">
        <v>1</v>
      </c>
      <c r="C13" s="252">
        <v>0</v>
      </c>
      <c r="D13" s="252">
        <v>0</v>
      </c>
      <c r="E13" s="251">
        <v>1</v>
      </c>
      <c r="F13" s="251">
        <v>1</v>
      </c>
      <c r="G13" s="252">
        <v>0</v>
      </c>
      <c r="H13" s="252">
        <v>0</v>
      </c>
      <c r="I13" s="251">
        <v>1</v>
      </c>
      <c r="J13" s="252">
        <v>0</v>
      </c>
      <c r="K13" s="251">
        <v>1</v>
      </c>
      <c r="L13" s="252">
        <v>0</v>
      </c>
      <c r="M13" s="251">
        <v>1</v>
      </c>
      <c r="N13" s="252">
        <v>0</v>
      </c>
      <c r="O13" s="244"/>
      <c r="Q13" s="314"/>
      <c r="R13" s="315"/>
      <c r="V13" s="331"/>
      <c r="W13" s="332"/>
      <c r="X13" s="322"/>
      <c r="Y13" s="333"/>
      <c r="Z13" s="333"/>
      <c r="AA13" s="323"/>
    </row>
    <row r="14" spans="1:27" x14ac:dyDescent="0.3">
      <c r="Q14" s="322"/>
      <c r="R14" s="323"/>
    </row>
    <row r="15" spans="1:27" x14ac:dyDescent="0.3">
      <c r="V15" s="325" t="s">
        <v>32</v>
      </c>
      <c r="W15" s="326"/>
      <c r="X15" s="314"/>
      <c r="Y15" s="327"/>
      <c r="Z15" s="327"/>
      <c r="AA15" s="315"/>
    </row>
    <row r="16" spans="1:27" ht="18" customHeight="1" x14ac:dyDescent="0.3">
      <c r="B16" s="269" t="s">
        <v>76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Q16" s="259" t="s">
        <v>13</v>
      </c>
      <c r="R16" s="301"/>
      <c r="V16" s="328"/>
      <c r="W16" s="329"/>
      <c r="X16" s="317"/>
      <c r="Y16" s="330"/>
      <c r="Z16" s="330"/>
      <c r="AA16" s="318"/>
    </row>
    <row r="17" spans="1:27" ht="18" customHeight="1" x14ac:dyDescent="0.3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Q17" s="259"/>
      <c r="R17" s="301"/>
      <c r="V17" s="331"/>
      <c r="W17" s="332"/>
      <c r="X17" s="322"/>
      <c r="Y17" s="333"/>
      <c r="Z17" s="333"/>
      <c r="AA17" s="323"/>
    </row>
    <row r="18" spans="1:27" ht="18" customHeight="1" x14ac:dyDescent="0.3">
      <c r="B18" s="304">
        <v>0.63492099999999996</v>
      </c>
      <c r="C18" s="304">
        <v>0.42857142857142855</v>
      </c>
      <c r="D18" s="304">
        <v>0.79166666666666696</v>
      </c>
      <c r="E18" s="304">
        <v>0.41269800000000001</v>
      </c>
      <c r="F18" s="304">
        <v>0.214286</v>
      </c>
      <c r="G18" s="304">
        <v>0.44444444444444436</v>
      </c>
      <c r="H18" s="304">
        <v>0.42857142857142855</v>
      </c>
      <c r="I18" s="304">
        <v>0.41269800000000001</v>
      </c>
      <c r="J18" s="304">
        <v>0.3214285714285714</v>
      </c>
      <c r="K18" s="304">
        <v>0.41269800000000001</v>
      </c>
      <c r="L18" s="304">
        <v>0.42857142857142855</v>
      </c>
      <c r="M18" s="304">
        <v>0.28571400000000002</v>
      </c>
      <c r="N18" s="304">
        <v>0.72916666666666674</v>
      </c>
      <c r="Q18" s="259" t="s">
        <v>14</v>
      </c>
      <c r="R18" s="301"/>
    </row>
    <row r="19" spans="1:27" ht="18" customHeight="1" x14ac:dyDescent="0.3">
      <c r="B19" s="298">
        <f>COUNTIF($B$18:$N$18, "&gt;" &amp; B18) + COUNTIF($B$18:B18, "=" &amp; B18)</f>
        <v>3</v>
      </c>
      <c r="C19" s="298">
        <f>COUNTIF($B$18:$N$18, "&gt;" &amp; C18) + COUNTIF($B$18:C18, "=" &amp; C18)</f>
        <v>5</v>
      </c>
      <c r="D19" s="335">
        <f>COUNTIF($B$18:$N$18, "&gt;" &amp; D18) + COUNTIF($B$18:D18, "=" &amp; D18)</f>
        <v>1</v>
      </c>
      <c r="E19" s="298">
        <f>COUNTIF($B$18:$N$18, "&gt;" &amp; E18) + COUNTIF($B$18:E18, "=" &amp; E18)</f>
        <v>8</v>
      </c>
      <c r="F19" s="298">
        <f>COUNTIF($B$18:$N$18, "&gt;" &amp; F18) + COUNTIF($B$18:F18, "=" &amp; F18)</f>
        <v>13</v>
      </c>
      <c r="G19" s="335">
        <f>COUNTIF($B$18:$N$18, "&gt;" &amp; G18) + COUNTIF($B$18:G18, "=" &amp; G18)</f>
        <v>4</v>
      </c>
      <c r="H19" s="298">
        <f>COUNTIF($B$18:$N$18, "&gt;" &amp; H18) + COUNTIF($B$18:H18, "=" &amp; H18)</f>
        <v>6</v>
      </c>
      <c r="I19" s="298">
        <f>COUNTIF($B$18:$N$18, "&gt;" &amp; I18) + COUNTIF($B$18:I18, "=" &amp; I18)</f>
        <v>9</v>
      </c>
      <c r="J19" s="298">
        <f>COUNTIF($B$18:$N$18, "&gt;" &amp; J18) + COUNTIF($B$18:J18, "=" &amp; J18)</f>
        <v>11</v>
      </c>
      <c r="K19" s="298">
        <f>COUNTIF($B$18:$N$18, "&gt;" &amp; K18) + COUNTIF($B$18:K18, "=" &amp; K18)</f>
        <v>10</v>
      </c>
      <c r="L19" s="298">
        <f>COUNTIF($B$18:$N$18, "&gt;" &amp; L18) + COUNTIF($B$18:L18, "=" &amp; L18)</f>
        <v>7</v>
      </c>
      <c r="M19" s="298">
        <f>COUNTIF($B$18:$N$18, "&gt;" &amp; M18) + COUNTIF($B$18:M18, "=" &amp; M18)</f>
        <v>12</v>
      </c>
      <c r="N19" s="335">
        <f>COUNTIF($B$18:$N$18, "&gt;" &amp; N18) + COUNTIF($B$18:N18, "=" &amp; N18)</f>
        <v>2</v>
      </c>
      <c r="Q19" s="259"/>
      <c r="R19" s="301"/>
    </row>
    <row r="20" spans="1:27" ht="15.6" customHeight="1" x14ac:dyDescent="0.3">
      <c r="V20" s="337" t="s">
        <v>79</v>
      </c>
      <c r="W20" s="338"/>
      <c r="X20" s="339"/>
      <c r="Y20" s="339"/>
      <c r="Z20" s="339"/>
      <c r="AA20" s="339"/>
    </row>
    <row r="21" spans="1:27" x14ac:dyDescent="0.3">
      <c r="V21" s="341"/>
      <c r="W21" s="342"/>
      <c r="X21" s="339"/>
      <c r="Y21" s="339"/>
      <c r="Z21" s="339"/>
      <c r="AA21" s="339"/>
    </row>
    <row r="22" spans="1:27" ht="15.6" customHeight="1" x14ac:dyDescent="0.3">
      <c r="V22" s="343"/>
      <c r="W22" s="344"/>
      <c r="X22" s="339"/>
      <c r="Y22" s="339"/>
      <c r="Z22" s="339"/>
      <c r="AA22" s="339"/>
    </row>
    <row r="23" spans="1:27" ht="18" customHeight="1" x14ac:dyDescent="0.3">
      <c r="B23" s="259"/>
      <c r="C23" s="301">
        <v>10</v>
      </c>
      <c r="E23" s="314"/>
      <c r="F23" s="315"/>
      <c r="J23" s="345"/>
      <c r="K23" s="301"/>
      <c r="M23" s="259"/>
      <c r="N23" s="301">
        <v>0.3</v>
      </c>
    </row>
    <row r="24" spans="1:27" ht="18" customHeight="1" x14ac:dyDescent="0.3">
      <c r="B24" s="259"/>
      <c r="C24" s="301">
        <v>0.28185370345427874</v>
      </c>
      <c r="E24" s="322"/>
      <c r="F24" s="323"/>
      <c r="J24" s="259"/>
      <c r="K24" s="301">
        <v>3</v>
      </c>
      <c r="M24" s="259"/>
      <c r="N24" s="301">
        <v>0.1</v>
      </c>
    </row>
    <row r="25" spans="1:27" ht="18" customHeight="1" x14ac:dyDescent="0.3">
      <c r="E25" s="259"/>
      <c r="F25" s="346" t="s">
        <v>34</v>
      </c>
      <c r="G25" s="347"/>
      <c r="H25" s="348"/>
      <c r="I25" s="346" t="s">
        <v>34</v>
      </c>
      <c r="J25" s="345"/>
      <c r="K25" s="301"/>
      <c r="M25" s="259"/>
      <c r="N25" s="301">
        <v>5</v>
      </c>
    </row>
    <row r="26" spans="1:27" ht="18" customHeight="1" x14ac:dyDescent="0.3">
      <c r="B26" s="244"/>
      <c r="C26" s="244"/>
      <c r="D26" s="244"/>
      <c r="E26" s="259"/>
      <c r="F26" s="349">
        <v>0</v>
      </c>
      <c r="I26" s="340"/>
      <c r="J26" s="259"/>
      <c r="K26" s="301">
        <v>10</v>
      </c>
    </row>
    <row r="30" spans="1:27" ht="18" customHeight="1" x14ac:dyDescent="0.3">
      <c r="A30" s="281" t="s">
        <v>10</v>
      </c>
      <c r="B30" s="282"/>
      <c r="C30" s="282"/>
      <c r="D30" s="282"/>
      <c r="E30" s="282"/>
      <c r="F30" s="283"/>
      <c r="G30" s="350"/>
      <c r="H30" s="281" t="s">
        <v>9</v>
      </c>
      <c r="I30" s="282"/>
      <c r="J30" s="282"/>
      <c r="K30" s="282"/>
      <c r="L30" s="282"/>
      <c r="M30" s="282"/>
      <c r="N30" s="283"/>
    </row>
    <row r="31" spans="1:27" ht="18" customHeight="1" x14ac:dyDescent="0.3">
      <c r="A31" s="351"/>
      <c r="B31" s="352"/>
      <c r="C31" s="353" t="s">
        <v>5</v>
      </c>
      <c r="D31" s="354"/>
      <c r="E31" s="353" t="s">
        <v>6</v>
      </c>
      <c r="F31" s="354"/>
      <c r="G31" s="240" t="s">
        <v>8</v>
      </c>
      <c r="H31" s="355"/>
      <c r="I31" s="356"/>
      <c r="J31" s="356"/>
      <c r="K31" s="357"/>
      <c r="L31" s="357"/>
      <c r="M31" s="358"/>
      <c r="N31" s="358"/>
      <c r="P31" s="269" t="s">
        <v>27</v>
      </c>
      <c r="Q31" s="269"/>
      <c r="R31" s="269"/>
      <c r="S31" s="269"/>
      <c r="U31" s="269" t="s">
        <v>22</v>
      </c>
      <c r="V31" s="269"/>
      <c r="W31" s="269"/>
      <c r="X31" s="269"/>
      <c r="Y31" s="269"/>
    </row>
    <row r="32" spans="1:27" ht="18" customHeight="1" x14ac:dyDescent="0.3">
      <c r="A32" s="259"/>
      <c r="B32" s="359">
        <v>-0.67699741026567173</v>
      </c>
      <c r="C32" s="359" t="s">
        <v>5</v>
      </c>
      <c r="D32" s="359">
        <v>0.52910083333333335</v>
      </c>
      <c r="E32" s="359" t="s">
        <v>6</v>
      </c>
      <c r="F32" s="359">
        <f>SUM(B32,D32)</f>
        <v>-0.14789657693233837</v>
      </c>
      <c r="G32" s="249">
        <v>2</v>
      </c>
      <c r="H32" s="304">
        <f t="shared" ref="H32:H41" si="0">IF(OR($G32=1,$G32=2), $F32 + IF($G32=1,1,-1)*$N$23*(EXP(-$F32)/(1+EXP(-$F32))), NA())</f>
        <v>-0.30896864557605519</v>
      </c>
      <c r="I32" s="359">
        <f>IF(G32=1,H32+N(I31),N(I31))</f>
        <v>0</v>
      </c>
      <c r="J32" s="359">
        <f>IF(G32=2,H32+N(J31),N(J31))</f>
        <v>-0.30896864557605519</v>
      </c>
      <c r="K32" s="304">
        <f>IFERROR(I32/COUNTIF($G$32:$G$41,1),"ERROR!!!")</f>
        <v>0</v>
      </c>
      <c r="L32" s="304">
        <f t="shared" ref="L32:L41" si="1">IFERROR(J32/COUNTIF($G$32:$G$41,2),"ERROR!!!")</f>
        <v>-5.1494774262675867E-2</v>
      </c>
      <c r="M32" s="304">
        <f>IF(ROW()=32, 0, M31) + ABS(H32 - IF($G32=1, $K32, $L32))</f>
        <v>0.25747387131337934</v>
      </c>
      <c r="N32" s="304">
        <f>IF(ROW()=32, 0, N31) + ABS(H32 - IF($G32=1, $L32, $K32))</f>
        <v>0.30896864557605519</v>
      </c>
      <c r="P32" s="360"/>
      <c r="Q32" s="361"/>
      <c r="R32" s="259"/>
      <c r="S32" s="362">
        <f>IF(O41&lt;C23,O41,C23)</f>
        <v>0.30324636331855187</v>
      </c>
      <c r="V32" s="363"/>
      <c r="W32" s="363"/>
      <c r="X32" s="363"/>
    </row>
    <row r="33" spans="1:25" ht="18" customHeight="1" x14ac:dyDescent="0.3">
      <c r="A33" s="259"/>
      <c r="B33" s="359">
        <v>0.69225411753175969</v>
      </c>
      <c r="C33" s="359" t="s">
        <v>5</v>
      </c>
      <c r="D33" s="359">
        <v>0.52910083333333335</v>
      </c>
      <c r="E33" s="359" t="s">
        <v>6</v>
      </c>
      <c r="F33" s="359">
        <f>SUM(B33,D33)</f>
        <v>1.2213549508650932</v>
      </c>
      <c r="G33" s="249">
        <v>1</v>
      </c>
      <c r="H33" s="304">
        <f t="shared" si="0"/>
        <v>1.2896643785527551</v>
      </c>
      <c r="I33" s="359">
        <f t="shared" ref="I33:I41" si="2">IF(G33=1,H33+N(I32),N(I32))</f>
        <v>1.2896643785527551</v>
      </c>
      <c r="J33" s="359">
        <f t="shared" ref="J33:J41" si="3">IF(G33=2,H33+N(J32),N(J32))</f>
        <v>-0.30896864557605519</v>
      </c>
      <c r="K33" s="304">
        <f t="shared" ref="K33:K41" si="4">IFERROR(I33/COUNTIF($G$32:$G$41,1),"ERROR!!!")</f>
        <v>0.32241609463818877</v>
      </c>
      <c r="L33" s="304">
        <f t="shared" si="1"/>
        <v>-5.1494774262675867E-2</v>
      </c>
      <c r="M33" s="304">
        <f t="shared" ref="M33:M41" si="5">IF(ROW()=32, 0, M32) + ABS(H33 - IF($G33=1, $K33, $L33))</f>
        <v>1.2247221552279457</v>
      </c>
      <c r="N33" s="304">
        <f t="shared" ref="N33:N41" si="6">IF(ROW()=32, 0, N32) + ABS(H33 - IF($G33=1, $L33, $K33))</f>
        <v>1.6501277983914862</v>
      </c>
      <c r="P33" s="364"/>
      <c r="Q33" s="365"/>
      <c r="R33" s="259"/>
      <c r="S33" s="366">
        <v>1</v>
      </c>
      <c r="U33" s="367" t="s">
        <v>23</v>
      </c>
      <c r="V33" s="367"/>
      <c r="W33" s="367"/>
      <c r="X33" s="367"/>
      <c r="Y33" s="367"/>
    </row>
    <row r="34" spans="1:25" ht="18" customHeight="1" x14ac:dyDescent="0.3">
      <c r="A34" s="259"/>
      <c r="B34" s="359">
        <v>-0.41361540108076145</v>
      </c>
      <c r="C34" s="359" t="s">
        <v>5</v>
      </c>
      <c r="D34" s="359">
        <v>-0.52910083333333335</v>
      </c>
      <c r="E34" s="359" t="s">
        <v>6</v>
      </c>
      <c r="F34" s="359">
        <f t="shared" ref="F34:F36" si="7">SUM(B34,D34)</f>
        <v>-0.9427162344140948</v>
      </c>
      <c r="G34" s="249">
        <v>2</v>
      </c>
      <c r="H34" s="304">
        <f t="shared" si="0"/>
        <v>-1.1586106336467392</v>
      </c>
      <c r="I34" s="304">
        <f t="shared" si="2"/>
        <v>1.2896643785527551</v>
      </c>
      <c r="J34" s="359">
        <f t="shared" si="3"/>
        <v>-1.4675792792227944</v>
      </c>
      <c r="K34" s="304">
        <f t="shared" si="4"/>
        <v>0.32241609463818877</v>
      </c>
      <c r="L34" s="304">
        <f t="shared" si="1"/>
        <v>-0.24459654653713239</v>
      </c>
      <c r="M34" s="304">
        <f t="shared" si="5"/>
        <v>2.1387362423375524</v>
      </c>
      <c r="N34" s="304">
        <f>IF(ROW()=32, 0, N33) + ABS(H34 - IF($G34=1, $L34, $K34))</f>
        <v>3.131154526676414</v>
      </c>
      <c r="P34" s="368"/>
      <c r="Q34" s="369"/>
      <c r="R34" s="259"/>
      <c r="S34" s="366">
        <f>IF(O41&lt;C23,S33,F26)</f>
        <v>1</v>
      </c>
      <c r="U34" s="370" t="s">
        <v>24</v>
      </c>
      <c r="V34" s="371"/>
      <c r="W34" s="371"/>
      <c r="X34" s="371"/>
      <c r="Y34" s="372"/>
    </row>
    <row r="35" spans="1:25" ht="18" customHeight="1" x14ac:dyDescent="0.3">
      <c r="A35" s="259"/>
      <c r="B35" s="359">
        <v>0.54607491198125124</v>
      </c>
      <c r="C35" s="359" t="s">
        <v>5</v>
      </c>
      <c r="D35" s="359">
        <v>0.52910083333333335</v>
      </c>
      <c r="E35" s="359" t="s">
        <v>6</v>
      </c>
      <c r="F35" s="359">
        <f>SUM(B35,D35)</f>
        <v>1.0751757453145845</v>
      </c>
      <c r="G35" s="249">
        <v>1</v>
      </c>
      <c r="H35" s="304">
        <f>IF(OR($G35=1,$G35=2), $F35 + IF($G35=1,1,-1)*$N$23*(EXP(-$F35)/(1+EXP(-$F35))), NA())</f>
        <v>1.1515017594807428</v>
      </c>
      <c r="I35" s="359">
        <f t="shared" si="2"/>
        <v>2.4411661380334979</v>
      </c>
      <c r="J35" s="359">
        <f t="shared" si="3"/>
        <v>-1.4675792792227944</v>
      </c>
      <c r="K35" s="304">
        <f t="shared" si="4"/>
        <v>0.61029153450837448</v>
      </c>
      <c r="L35" s="304">
        <f>IFERROR(J35/COUNTIF($G$32:$G$41,2),"ERROR!!!")</f>
        <v>-0.24459654653713239</v>
      </c>
      <c r="M35" s="304">
        <f t="shared" si="5"/>
        <v>2.6799464673099207</v>
      </c>
      <c r="N35" s="304">
        <f>IF(ROW()=32, 0, N34) + ABS(H35 - IF($G35=1, $L35, $K35))</f>
        <v>4.5272528326942894</v>
      </c>
      <c r="U35" s="306"/>
      <c r="V35" s="306"/>
      <c r="W35" s="306"/>
      <c r="X35" s="306"/>
      <c r="Y35" s="306"/>
    </row>
    <row r="36" spans="1:25" ht="18" customHeight="1" x14ac:dyDescent="0.3">
      <c r="A36" s="259"/>
      <c r="B36" s="359">
        <v>0.69225411753175958</v>
      </c>
      <c r="C36" s="359" t="s">
        <v>5</v>
      </c>
      <c r="D36" s="359">
        <v>0.52910083333333335</v>
      </c>
      <c r="E36" s="359" t="s">
        <v>6</v>
      </c>
      <c r="F36" s="359">
        <f t="shared" si="7"/>
        <v>1.2213549508650929</v>
      </c>
      <c r="G36" s="249">
        <v>1</v>
      </c>
      <c r="H36" s="304">
        <f t="shared" si="0"/>
        <v>1.2896643785527548</v>
      </c>
      <c r="I36" s="359">
        <f t="shared" si="2"/>
        <v>3.730830516586253</v>
      </c>
      <c r="J36" s="359">
        <f t="shared" si="3"/>
        <v>-1.4675792792227944</v>
      </c>
      <c r="K36" s="304">
        <f t="shared" si="4"/>
        <v>0.93270762914656324</v>
      </c>
      <c r="L36" s="304">
        <f t="shared" si="1"/>
        <v>-0.24459654653713239</v>
      </c>
      <c r="M36" s="304">
        <f t="shared" si="5"/>
        <v>3.0369032167161123</v>
      </c>
      <c r="N36" s="304">
        <f t="shared" si="6"/>
        <v>6.0615137577841764</v>
      </c>
      <c r="U36" s="306"/>
      <c r="V36" s="306"/>
      <c r="W36" s="306"/>
      <c r="X36" s="306"/>
      <c r="Y36" s="306"/>
    </row>
    <row r="37" spans="1:25" ht="18" customHeight="1" x14ac:dyDescent="0.3">
      <c r="A37" s="259"/>
      <c r="B37" s="359">
        <v>0.54607491198125124</v>
      </c>
      <c r="C37" s="359" t="s">
        <v>5</v>
      </c>
      <c r="D37" s="359">
        <v>0.52910083333333335</v>
      </c>
      <c r="E37" s="359" t="s">
        <v>6</v>
      </c>
      <c r="F37" s="359">
        <f>SUM(B37,D37)</f>
        <v>1.0751757453145845</v>
      </c>
      <c r="G37" s="249">
        <v>1</v>
      </c>
      <c r="H37" s="304">
        <f t="shared" si="0"/>
        <v>1.1515017594807428</v>
      </c>
      <c r="I37" s="359">
        <f>IF(G37=1,H37+N(I36),N(I36))</f>
        <v>4.8823322760669958</v>
      </c>
      <c r="J37" s="359">
        <f>IF(G37=2,H37+N(J36),N(J36))</f>
        <v>-1.4675792792227944</v>
      </c>
      <c r="K37" s="304">
        <f t="shared" si="4"/>
        <v>1.220583069016749</v>
      </c>
      <c r="L37" s="304">
        <f t="shared" si="1"/>
        <v>-0.24459654653713239</v>
      </c>
      <c r="M37" s="304">
        <f>IF(ROW()=32, 0, M36) + ABS(H37 - IF($G37=1, $K37, $L37))</f>
        <v>3.1059845262521186</v>
      </c>
      <c r="N37" s="304">
        <f t="shared" si="6"/>
        <v>7.4576120638020518</v>
      </c>
    </row>
    <row r="38" spans="1:25" ht="18" customHeight="1" x14ac:dyDescent="0.3">
      <c r="A38" s="259"/>
      <c r="B38" s="359">
        <v>-0.82013350598256329</v>
      </c>
      <c r="C38" s="359" t="s">
        <v>5</v>
      </c>
      <c r="D38" s="359">
        <v>-0.52910083333333335</v>
      </c>
      <c r="E38" s="359" t="s">
        <v>6</v>
      </c>
      <c r="F38" s="359">
        <f t="shared" ref="F38:F41" si="8">SUM(B38,D38)</f>
        <v>-1.3492343393158968</v>
      </c>
      <c r="G38" s="249">
        <v>2</v>
      </c>
      <c r="H38" s="304">
        <f t="shared" si="0"/>
        <v>-1.5874356664730449</v>
      </c>
      <c r="I38" s="359">
        <f>IF(G38=1,H38+N(I37),N(I37))</f>
        <v>4.8823322760669958</v>
      </c>
      <c r="J38" s="359">
        <f t="shared" si="3"/>
        <v>-3.0550149456958393</v>
      </c>
      <c r="K38" s="304">
        <f t="shared" si="4"/>
        <v>1.220583069016749</v>
      </c>
      <c r="L38" s="304">
        <f t="shared" si="1"/>
        <v>-0.50916915761597326</v>
      </c>
      <c r="M38" s="304">
        <f>IF(ROW()=32, 0, M37) + ABS(H38 - IF($G38=1, $K38, $L38))</f>
        <v>4.1842510351091899</v>
      </c>
      <c r="N38" s="304">
        <f t="shared" si="6"/>
        <v>10.265630799291845</v>
      </c>
    </row>
    <row r="39" spans="1:25" ht="18" customHeight="1" x14ac:dyDescent="0.3">
      <c r="A39" s="259"/>
      <c r="B39" s="359">
        <v>-0.67699741026567162</v>
      </c>
      <c r="C39" s="359" t="s">
        <v>5</v>
      </c>
      <c r="D39" s="359">
        <v>-0.52910083333333335</v>
      </c>
      <c r="E39" s="359" t="s">
        <v>6</v>
      </c>
      <c r="F39" s="359">
        <f t="shared" si="8"/>
        <v>-1.2060982435990049</v>
      </c>
      <c r="G39" s="249">
        <v>2</v>
      </c>
      <c r="H39" s="304">
        <f t="shared" si="0"/>
        <v>-1.4369805986658331</v>
      </c>
      <c r="I39" s="359">
        <f t="shared" si="2"/>
        <v>4.8823322760669958</v>
      </c>
      <c r="J39" s="359">
        <f t="shared" si="3"/>
        <v>-4.4919955443616724</v>
      </c>
      <c r="K39" s="304">
        <f t="shared" si="4"/>
        <v>1.220583069016749</v>
      </c>
      <c r="L39" s="304">
        <f t="shared" si="1"/>
        <v>-0.74866592406027876</v>
      </c>
      <c r="M39" s="304">
        <f t="shared" si="5"/>
        <v>4.8725657097147446</v>
      </c>
      <c r="N39" s="304">
        <f t="shared" si="6"/>
        <v>12.923194466974426</v>
      </c>
      <c r="O39" s="354"/>
    </row>
    <row r="40" spans="1:25" ht="18" customHeight="1" x14ac:dyDescent="0.3">
      <c r="A40" s="259"/>
      <c r="B40" s="359">
        <v>-0.67699741026567162</v>
      </c>
      <c r="C40" s="359" t="s">
        <v>5</v>
      </c>
      <c r="D40" s="359">
        <v>-0.52910083333333335</v>
      </c>
      <c r="E40" s="359" t="s">
        <v>6</v>
      </c>
      <c r="F40" s="359">
        <f t="shared" si="8"/>
        <v>-1.2060982435990049</v>
      </c>
      <c r="G40" s="249">
        <v>2</v>
      </c>
      <c r="H40" s="304">
        <f t="shared" si="0"/>
        <v>-1.4369805986658331</v>
      </c>
      <c r="I40" s="359">
        <f t="shared" si="2"/>
        <v>4.8823322760669958</v>
      </c>
      <c r="J40" s="359">
        <f>IF(G40=2,H40+N(J39),N(J39))</f>
        <v>-5.928976143027505</v>
      </c>
      <c r="K40" s="304">
        <f t="shared" si="4"/>
        <v>1.220583069016749</v>
      </c>
      <c r="L40" s="304">
        <f t="shared" si="1"/>
        <v>-0.98816269050458416</v>
      </c>
      <c r="M40" s="304">
        <f t="shared" si="5"/>
        <v>5.321383617875993</v>
      </c>
      <c r="N40" s="304">
        <f t="shared" si="6"/>
        <v>15.580758134657007</v>
      </c>
      <c r="O40" s="358"/>
    </row>
    <row r="41" spans="1:25" ht="18" customHeight="1" x14ac:dyDescent="0.3">
      <c r="A41" s="259"/>
      <c r="B41" s="359">
        <v>-0.67699741026567162</v>
      </c>
      <c r="C41" s="359" t="s">
        <v>5</v>
      </c>
      <c r="D41" s="359">
        <v>-0.52910083333333335</v>
      </c>
      <c r="E41" s="359" t="s">
        <v>6</v>
      </c>
      <c r="F41" s="359">
        <f t="shared" si="8"/>
        <v>-1.2060982435990049</v>
      </c>
      <c r="G41" s="249">
        <v>2</v>
      </c>
      <c r="H41" s="304">
        <f t="shared" si="0"/>
        <v>-1.4369805986658331</v>
      </c>
      <c r="I41" s="359">
        <f t="shared" si="2"/>
        <v>4.8823322760669958</v>
      </c>
      <c r="J41" s="359">
        <f t="shared" si="3"/>
        <v>-7.3659567416933385</v>
      </c>
      <c r="K41" s="304">
        <f t="shared" si="4"/>
        <v>1.220583069016749</v>
      </c>
      <c r="L41" s="304">
        <f t="shared" si="1"/>
        <v>-1.2276594569488897</v>
      </c>
      <c r="M41" s="304">
        <f t="shared" si="5"/>
        <v>5.5307047595929362</v>
      </c>
      <c r="N41" s="304">
        <f t="shared" si="6"/>
        <v>18.238321802339588</v>
      </c>
      <c r="O41" s="373">
        <f>M41/N41</f>
        <v>0.30324636331855187</v>
      </c>
    </row>
    <row r="45" spans="1:25" ht="18" customHeight="1" x14ac:dyDescent="0.3">
      <c r="A45" s="281" t="s">
        <v>10</v>
      </c>
      <c r="B45" s="282"/>
      <c r="C45" s="282"/>
      <c r="D45" s="282"/>
      <c r="E45" s="282"/>
      <c r="F45" s="283"/>
      <c r="G45" s="350"/>
      <c r="H45" s="281" t="s">
        <v>9</v>
      </c>
      <c r="I45" s="282"/>
      <c r="J45" s="282"/>
      <c r="K45" s="282"/>
      <c r="L45" s="282"/>
      <c r="M45" s="282"/>
      <c r="N45" s="283"/>
    </row>
    <row r="46" spans="1:25" ht="18" customHeight="1" x14ac:dyDescent="0.3">
      <c r="A46" s="351"/>
      <c r="B46" s="352"/>
      <c r="C46" s="353" t="s">
        <v>5</v>
      </c>
      <c r="D46" s="354"/>
      <c r="E46" s="353" t="s">
        <v>6</v>
      </c>
      <c r="F46" s="354"/>
      <c r="G46" s="240" t="s">
        <v>8</v>
      </c>
      <c r="H46" s="355"/>
      <c r="I46" s="356"/>
      <c r="J46" s="356"/>
      <c r="K46" s="357"/>
      <c r="L46" s="357"/>
      <c r="M46" s="358"/>
      <c r="N46" s="358"/>
      <c r="P46" s="269" t="s">
        <v>27</v>
      </c>
      <c r="Q46" s="269"/>
      <c r="R46" s="269"/>
      <c r="S46" s="269"/>
      <c r="U46" s="269" t="s">
        <v>22</v>
      </c>
      <c r="V46" s="269"/>
      <c r="W46" s="269"/>
      <c r="X46" s="269"/>
      <c r="Y46" s="269"/>
    </row>
    <row r="47" spans="1:25" ht="18" customHeight="1" x14ac:dyDescent="0.3">
      <c r="A47" s="259"/>
      <c r="B47" s="359">
        <v>-0.67699741026567173</v>
      </c>
      <c r="C47" s="359" t="s">
        <v>5</v>
      </c>
      <c r="D47" s="359">
        <v>-0.14285714285714288</v>
      </c>
      <c r="E47" s="359" t="s">
        <v>6</v>
      </c>
      <c r="F47" s="359">
        <f t="shared" ref="F47:F56" si="9">SUM(B47,D47)</f>
        <v>-0.81985455312281463</v>
      </c>
      <c r="G47" s="249">
        <v>2</v>
      </c>
      <c r="H47" s="359">
        <f>IF(OR($G47=1,$G47=2), $F47 + IF($G47=1,1,-1)*$N$23*(EXP(-$F47)/(1+EXP(-$F47))), NA())</f>
        <v>-1.028116192593054</v>
      </c>
      <c r="I47" s="359">
        <f t="shared" ref="I47:I56" si="10">IF(G47=1,H47+N(I46),N(I46))</f>
        <v>0</v>
      </c>
      <c r="J47" s="359">
        <f t="shared" ref="J47:J56" si="11">IF(G47=2,H47+N(J46),N(J46))</f>
        <v>-1.028116192593054</v>
      </c>
      <c r="K47" s="304">
        <f>IFERROR(I47/COUNTIF($G$47:$G$56,1),"ERROR!!!")</f>
        <v>0</v>
      </c>
      <c r="L47" s="304">
        <f t="shared" ref="L47:L56" si="12">IFERROR(J47/COUNTIF($G$47:$G$56,2),"ERROR!!!")</f>
        <v>-0.17135269876550899</v>
      </c>
      <c r="M47" s="304">
        <f>IF(ROW()=47, 0, M46) + ABS(H47 - IF($G47=1, $K47, $L47))</f>
        <v>0.85676349382754502</v>
      </c>
      <c r="N47" s="304">
        <f>IF(ROW()=47, 0, N46) + ABS(H47 - IF($G47=1, $L47, $K47))</f>
        <v>1.028116192593054</v>
      </c>
      <c r="P47" s="360"/>
      <c r="Q47" s="361"/>
      <c r="R47" s="316" t="s">
        <v>13</v>
      </c>
      <c r="S47" s="362">
        <f>IF(O56&lt;S32,O56,S32)</f>
        <v>0.30324636331855187</v>
      </c>
      <c r="V47" s="363"/>
      <c r="W47" s="363"/>
      <c r="X47" s="363"/>
    </row>
    <row r="48" spans="1:25" ht="18" customHeight="1" x14ac:dyDescent="0.3">
      <c r="A48" s="259"/>
      <c r="B48" s="359">
        <v>0.69225411753175969</v>
      </c>
      <c r="C48" s="359" t="s">
        <v>5</v>
      </c>
      <c r="D48" s="359">
        <v>0.14285714285714288</v>
      </c>
      <c r="E48" s="359" t="s">
        <v>6</v>
      </c>
      <c r="F48" s="359">
        <f t="shared" si="9"/>
        <v>0.8351112603889026</v>
      </c>
      <c r="G48" s="249">
        <v>1</v>
      </c>
      <c r="H48" s="359">
        <f t="shared" ref="H48:H56" si="13">IF(OR($G48=1,$G48=2), $F48 + IF($G48=1,1,-1)*$N$23*(EXP(-$F48)/(1+EXP(-$F48))), NA())</f>
        <v>0.92588088247921085</v>
      </c>
      <c r="I48" s="359">
        <f t="shared" si="10"/>
        <v>0.92588088247921085</v>
      </c>
      <c r="J48" s="359">
        <f t="shared" si="11"/>
        <v>-1.028116192593054</v>
      </c>
      <c r="K48" s="304">
        <f t="shared" ref="K48:K56" si="14">IFERROR(I48/COUNTIF($G$47:$G$56,1),"ERROR!!!")</f>
        <v>0.23147022061980271</v>
      </c>
      <c r="L48" s="304">
        <f t="shared" si="12"/>
        <v>-0.17135269876550899</v>
      </c>
      <c r="M48" s="304">
        <f t="shared" ref="M48:M56" si="15">IF(ROW()=47, 0, M47) + ABS(H48 - IF($G48=1, $K48, $L48))</f>
        <v>1.5511741556869532</v>
      </c>
      <c r="N48" s="304">
        <f t="shared" ref="N48:N56" si="16">IF(ROW()=47, 0, N47) + ABS(H48 - IF($G48=1, $L48, $K48))</f>
        <v>2.1253497738377738</v>
      </c>
      <c r="P48" s="364"/>
      <c r="Q48" s="365"/>
      <c r="R48" s="259" t="s">
        <v>17</v>
      </c>
      <c r="S48" s="366">
        <v>2</v>
      </c>
      <c r="U48" s="367" t="s">
        <v>25</v>
      </c>
      <c r="V48" s="367"/>
      <c r="W48" s="367"/>
      <c r="X48" s="367"/>
      <c r="Y48" s="367"/>
    </row>
    <row r="49" spans="1:25" ht="18" customHeight="1" x14ac:dyDescent="0.3">
      <c r="A49" s="259"/>
      <c r="B49" s="359">
        <v>-0.41361540108076145</v>
      </c>
      <c r="C49" s="359" t="s">
        <v>5</v>
      </c>
      <c r="D49" s="359">
        <v>-0.14285714285714288</v>
      </c>
      <c r="E49" s="359" t="s">
        <v>6</v>
      </c>
      <c r="F49" s="359">
        <f t="shared" si="9"/>
        <v>-0.55647254393790435</v>
      </c>
      <c r="G49" s="249">
        <v>2</v>
      </c>
      <c r="H49" s="359">
        <f t="shared" si="13"/>
        <v>-0.74716333278297886</v>
      </c>
      <c r="I49" s="359">
        <f>IF(G49=1,H49+N(I48),N(I48))</f>
        <v>0.92588088247921085</v>
      </c>
      <c r="J49" s="359">
        <f t="shared" si="11"/>
        <v>-1.7752795253760327</v>
      </c>
      <c r="K49" s="304">
        <f t="shared" si="14"/>
        <v>0.23147022061980271</v>
      </c>
      <c r="L49" s="304">
        <f t="shared" si="12"/>
        <v>-0.29587992089600545</v>
      </c>
      <c r="M49" s="304">
        <f t="shared" si="15"/>
        <v>2.0024575675739267</v>
      </c>
      <c r="N49" s="304">
        <f>IF(ROW()=47, 0, N48) + ABS(H49 - IF($G49=1, $L49, $K49))</f>
        <v>3.1039833272405555</v>
      </c>
      <c r="P49" s="368"/>
      <c r="Q49" s="369"/>
      <c r="R49" s="259" t="s">
        <v>15</v>
      </c>
      <c r="S49" s="366">
        <f>IF(O56&lt;S32,S48,S34)</f>
        <v>1</v>
      </c>
      <c r="U49" s="370" t="s">
        <v>24</v>
      </c>
      <c r="V49" s="371"/>
      <c r="W49" s="371"/>
      <c r="X49" s="371"/>
      <c r="Y49" s="372"/>
    </row>
    <row r="50" spans="1:25" ht="18" customHeight="1" x14ac:dyDescent="0.3">
      <c r="A50" s="259"/>
      <c r="B50" s="359">
        <v>0.54607491198125124</v>
      </c>
      <c r="C50" s="359" t="s">
        <v>5</v>
      </c>
      <c r="D50" s="359">
        <v>-0.14285714285714288</v>
      </c>
      <c r="E50" s="359" t="s">
        <v>6</v>
      </c>
      <c r="F50" s="359">
        <f t="shared" si="9"/>
        <v>0.40321776912410834</v>
      </c>
      <c r="G50" s="249">
        <v>1</v>
      </c>
      <c r="H50" s="359">
        <f t="shared" si="13"/>
        <v>0.52337961383483633</v>
      </c>
      <c r="I50" s="359">
        <f t="shared" si="10"/>
        <v>1.4492604963140472</v>
      </c>
      <c r="J50" s="359">
        <f t="shared" si="11"/>
        <v>-1.7752795253760327</v>
      </c>
      <c r="K50" s="304">
        <f t="shared" si="14"/>
        <v>0.3623151240785118</v>
      </c>
      <c r="L50" s="304">
        <f t="shared" si="12"/>
        <v>-0.29587992089600545</v>
      </c>
      <c r="M50" s="304">
        <f>IF(ROW()=47, 0, M49) + ABS(H50 - IF($G50=1, $K50, $L50))</f>
        <v>2.1635220573302512</v>
      </c>
      <c r="N50" s="304">
        <f t="shared" si="16"/>
        <v>3.9232428619713975</v>
      </c>
      <c r="U50" s="306"/>
      <c r="V50" s="306"/>
      <c r="W50" s="306"/>
      <c r="X50" s="306"/>
      <c r="Y50" s="306"/>
    </row>
    <row r="51" spans="1:25" ht="18" customHeight="1" x14ac:dyDescent="0.3">
      <c r="A51" s="259"/>
      <c r="B51" s="359">
        <v>0.69225411753175958</v>
      </c>
      <c r="C51" s="359" t="s">
        <v>5</v>
      </c>
      <c r="D51" s="359">
        <v>0.14285714285714288</v>
      </c>
      <c r="E51" s="359" t="s">
        <v>6</v>
      </c>
      <c r="F51" s="359">
        <f>SUM(B51,D51)</f>
        <v>0.83511126038890249</v>
      </c>
      <c r="G51" s="249">
        <v>1</v>
      </c>
      <c r="H51" s="359">
        <f t="shared" si="13"/>
        <v>0.92588088247921074</v>
      </c>
      <c r="I51" s="359">
        <f t="shared" si="10"/>
        <v>2.3751413787932578</v>
      </c>
      <c r="J51" s="359">
        <f t="shared" si="11"/>
        <v>-1.7752795253760327</v>
      </c>
      <c r="K51" s="304">
        <f t="shared" si="14"/>
        <v>0.59378534469831445</v>
      </c>
      <c r="L51" s="304">
        <f>IFERROR(J51/COUNTIF($G$47:$G$56,2),"ERROR!!!")</f>
        <v>-0.29587992089600545</v>
      </c>
      <c r="M51" s="304">
        <f t="shared" si="15"/>
        <v>2.4956175951111472</v>
      </c>
      <c r="N51" s="304">
        <f t="shared" si="16"/>
        <v>5.1450036653466142</v>
      </c>
      <c r="U51" s="306"/>
      <c r="V51" s="306"/>
      <c r="W51" s="306"/>
      <c r="X51" s="306"/>
      <c r="Y51" s="306"/>
    </row>
    <row r="52" spans="1:25" ht="18" customHeight="1" x14ac:dyDescent="0.3">
      <c r="A52" s="259"/>
      <c r="B52" s="359">
        <v>0.54607491198125124</v>
      </c>
      <c r="C52" s="359" t="s">
        <v>5</v>
      </c>
      <c r="D52" s="359">
        <v>-0.14285714285714288</v>
      </c>
      <c r="E52" s="359" t="s">
        <v>6</v>
      </c>
      <c r="F52" s="359">
        <f t="shared" si="9"/>
        <v>0.40321776912410834</v>
      </c>
      <c r="G52" s="249">
        <v>1</v>
      </c>
      <c r="H52" s="359">
        <f t="shared" si="13"/>
        <v>0.52337961383483633</v>
      </c>
      <c r="I52" s="359">
        <f t="shared" si="10"/>
        <v>2.8985209926280939</v>
      </c>
      <c r="J52" s="359">
        <f>IF(G52=2,H52+N(J51),N(J51))</f>
        <v>-1.7752795253760327</v>
      </c>
      <c r="K52" s="304">
        <f t="shared" si="14"/>
        <v>0.72463024815702348</v>
      </c>
      <c r="L52" s="304">
        <f t="shared" si="12"/>
        <v>-0.29587992089600545</v>
      </c>
      <c r="M52" s="304">
        <f t="shared" si="15"/>
        <v>2.6968682294333344</v>
      </c>
      <c r="N52" s="304">
        <f t="shared" si="16"/>
        <v>5.9642632000774558</v>
      </c>
    </row>
    <row r="53" spans="1:25" ht="18" customHeight="1" x14ac:dyDescent="0.3">
      <c r="A53" s="259"/>
      <c r="B53" s="359">
        <v>-0.82013350598256329</v>
      </c>
      <c r="C53" s="359" t="s">
        <v>5</v>
      </c>
      <c r="D53" s="359">
        <v>-0.14285714285714288</v>
      </c>
      <c r="E53" s="359" t="s">
        <v>6</v>
      </c>
      <c r="F53" s="359">
        <f t="shared" si="9"/>
        <v>-0.9629906488397062</v>
      </c>
      <c r="G53" s="249">
        <v>2</v>
      </c>
      <c r="H53" s="359">
        <f t="shared" si="13"/>
        <v>-1.1801067037743573</v>
      </c>
      <c r="I53" s="359">
        <f t="shared" si="10"/>
        <v>2.8985209926280939</v>
      </c>
      <c r="J53" s="359">
        <f t="shared" si="11"/>
        <v>-2.9553862291503901</v>
      </c>
      <c r="K53" s="304">
        <f t="shared" si="14"/>
        <v>0.72463024815702348</v>
      </c>
      <c r="L53" s="304">
        <f t="shared" si="12"/>
        <v>-0.49256437152506499</v>
      </c>
      <c r="M53" s="304">
        <f t="shared" si="15"/>
        <v>3.3844105616826266</v>
      </c>
      <c r="N53" s="304">
        <f t="shared" si="16"/>
        <v>7.8690001520088364</v>
      </c>
    </row>
    <row r="54" spans="1:25" ht="18" customHeight="1" x14ac:dyDescent="0.3">
      <c r="A54" s="259"/>
      <c r="B54" s="359">
        <v>-0.67699741026567162</v>
      </c>
      <c r="C54" s="359" t="s">
        <v>5</v>
      </c>
      <c r="D54" s="359">
        <v>-0.14285714285714288</v>
      </c>
      <c r="E54" s="359" t="s">
        <v>6</v>
      </c>
      <c r="F54" s="359">
        <f t="shared" si="9"/>
        <v>-0.81985455312281452</v>
      </c>
      <c r="G54" s="249">
        <v>2</v>
      </c>
      <c r="H54" s="359">
        <f t="shared" si="13"/>
        <v>-1.028116192593054</v>
      </c>
      <c r="I54" s="359">
        <f t="shared" si="10"/>
        <v>2.8985209926280939</v>
      </c>
      <c r="J54" s="359">
        <f t="shared" si="11"/>
        <v>-3.9835024217434443</v>
      </c>
      <c r="K54" s="304">
        <f t="shared" si="14"/>
        <v>0.72463024815702348</v>
      </c>
      <c r="L54" s="304">
        <f t="shared" si="12"/>
        <v>-0.66391707029057401</v>
      </c>
      <c r="M54" s="304">
        <f t="shared" si="15"/>
        <v>3.7486096839851064</v>
      </c>
      <c r="N54" s="304">
        <f t="shared" si="16"/>
        <v>9.6217465927589139</v>
      </c>
      <c r="O54" s="354"/>
    </row>
    <row r="55" spans="1:25" ht="18" customHeight="1" x14ac:dyDescent="0.3">
      <c r="A55" s="259"/>
      <c r="B55" s="359">
        <v>-0.67699741026567162</v>
      </c>
      <c r="C55" s="359" t="s">
        <v>5</v>
      </c>
      <c r="D55" s="359">
        <v>-0.14285714285714288</v>
      </c>
      <c r="E55" s="359" t="s">
        <v>6</v>
      </c>
      <c r="F55" s="359">
        <f t="shared" si="9"/>
        <v>-0.81985455312281452</v>
      </c>
      <c r="G55" s="249">
        <v>2</v>
      </c>
      <c r="H55" s="359">
        <f t="shared" si="13"/>
        <v>-1.028116192593054</v>
      </c>
      <c r="I55" s="359">
        <f t="shared" si="10"/>
        <v>2.8985209926280939</v>
      </c>
      <c r="J55" s="359">
        <f t="shared" si="11"/>
        <v>-5.0116186143364985</v>
      </c>
      <c r="K55" s="304">
        <f t="shared" si="14"/>
        <v>0.72463024815702348</v>
      </c>
      <c r="L55" s="304">
        <f t="shared" si="12"/>
        <v>-0.83526976905608308</v>
      </c>
      <c r="M55" s="304">
        <f t="shared" si="15"/>
        <v>3.9414561075220771</v>
      </c>
      <c r="N55" s="304">
        <f t="shared" si="16"/>
        <v>11.37449303350899</v>
      </c>
      <c r="O55" s="358"/>
    </row>
    <row r="56" spans="1:25" ht="18" customHeight="1" x14ac:dyDescent="0.3">
      <c r="A56" s="259"/>
      <c r="B56" s="359">
        <v>-0.67699741026567162</v>
      </c>
      <c r="C56" s="359" t="s">
        <v>5</v>
      </c>
      <c r="D56" s="359">
        <v>0.14285714285714288</v>
      </c>
      <c r="E56" s="359" t="s">
        <v>6</v>
      </c>
      <c r="F56" s="359">
        <f t="shared" si="9"/>
        <v>-0.53414026740852871</v>
      </c>
      <c r="G56" s="249">
        <v>2</v>
      </c>
      <c r="H56" s="359">
        <f t="shared" si="13"/>
        <v>-0.72327474085665089</v>
      </c>
      <c r="I56" s="359">
        <f t="shared" si="10"/>
        <v>2.8985209926280939</v>
      </c>
      <c r="J56" s="359">
        <f t="shared" si="11"/>
        <v>-5.7348933551931491</v>
      </c>
      <c r="K56" s="304">
        <f t="shared" si="14"/>
        <v>0.72463024815702348</v>
      </c>
      <c r="L56" s="304">
        <f t="shared" si="12"/>
        <v>-0.95581555919885819</v>
      </c>
      <c r="M56" s="304">
        <f t="shared" si="15"/>
        <v>4.1739969258642846</v>
      </c>
      <c r="N56" s="304">
        <f t="shared" si="16"/>
        <v>12.822398022522664</v>
      </c>
      <c r="O56" s="373">
        <f>M56/N56</f>
        <v>0.32552389331017639</v>
      </c>
    </row>
    <row r="60" spans="1:25" ht="18" customHeight="1" x14ac:dyDescent="0.3">
      <c r="A60" s="281" t="s">
        <v>10</v>
      </c>
      <c r="B60" s="282"/>
      <c r="C60" s="282"/>
      <c r="D60" s="282"/>
      <c r="E60" s="282"/>
      <c r="F60" s="283"/>
      <c r="G60" s="350"/>
      <c r="H60" s="281" t="s">
        <v>9</v>
      </c>
      <c r="I60" s="282"/>
      <c r="J60" s="282"/>
      <c r="K60" s="282"/>
      <c r="L60" s="282"/>
      <c r="M60" s="282"/>
      <c r="N60" s="283"/>
    </row>
    <row r="61" spans="1:25" ht="18" customHeight="1" x14ac:dyDescent="0.3">
      <c r="A61" s="351"/>
      <c r="B61" s="352"/>
      <c r="C61" s="353" t="s">
        <v>5</v>
      </c>
      <c r="D61" s="354"/>
      <c r="E61" s="353" t="s">
        <v>6</v>
      </c>
      <c r="F61" s="354"/>
      <c r="G61" s="240" t="s">
        <v>8</v>
      </c>
      <c r="H61" s="355"/>
      <c r="I61" s="356"/>
      <c r="J61" s="356"/>
      <c r="K61" s="357"/>
      <c r="L61" s="357"/>
      <c r="M61" s="358"/>
      <c r="N61" s="358"/>
      <c r="P61" s="269" t="s">
        <v>27</v>
      </c>
      <c r="Q61" s="269"/>
      <c r="R61" s="269"/>
      <c r="S61" s="269"/>
    </row>
    <row r="62" spans="1:25" ht="18" customHeight="1" x14ac:dyDescent="0.3">
      <c r="A62" s="259"/>
      <c r="B62" s="359">
        <v>-0.67699741026567173</v>
      </c>
      <c r="C62" s="359" t="s">
        <v>5</v>
      </c>
      <c r="D62" s="359">
        <v>-0.24074050000000002</v>
      </c>
      <c r="E62" s="359" t="s">
        <v>6</v>
      </c>
      <c r="F62" s="359">
        <f>SUM(B62,D62)</f>
        <v>-0.91773791026567175</v>
      </c>
      <c r="G62" s="249">
        <v>2</v>
      </c>
      <c r="H62" s="287">
        <f t="shared" ref="H62:H71" si="17">IF(OR($G62=1,$G62=2), $F62 + IF($G62=1,1,-1)*$N$23*(EXP(-$F62)/(1+EXP(-$F62))), NA())</f>
        <v>-1.1321121998265435</v>
      </c>
      <c r="I62" s="359">
        <f>IF(G62=1,H62+N(I61),N(I61))</f>
        <v>0</v>
      </c>
      <c r="J62" s="359">
        <f>IF(G62=2,H62+N(J61),N(J61))</f>
        <v>-1.1321121998265435</v>
      </c>
      <c r="K62" s="304">
        <f t="shared" ref="K62:K71" si="18">IFERROR(I62/COUNTIF($G$62:$G$71,1),"ERROR!!!")</f>
        <v>0</v>
      </c>
      <c r="L62" s="304">
        <f t="shared" ref="L62:L71" si="19">IFERROR(J62/COUNTIF($G$62:$G$71,2),"ERROR!!!")</f>
        <v>-0.18868536663775726</v>
      </c>
      <c r="M62" s="304">
        <f>IF(ROW()=62, 0, M61) + ABS(H62 - IF($G62=1, $K62, $L62))</f>
        <v>0.94342683318878628</v>
      </c>
      <c r="N62" s="304">
        <f>IF(ROW()=62, 0, N61) + ABS(H62 - IF($G62=1, $L62, $K62))</f>
        <v>1.1321121998265435</v>
      </c>
      <c r="P62" s="360"/>
      <c r="Q62" s="361"/>
      <c r="R62" s="316" t="s">
        <v>13</v>
      </c>
      <c r="S62" s="362">
        <f>IF(O71&lt;S47,O71,S47)</f>
        <v>0.27398222793044313</v>
      </c>
    </row>
    <row r="63" spans="1:25" ht="18" customHeight="1" x14ac:dyDescent="0.3">
      <c r="A63" s="259"/>
      <c r="B63" s="359">
        <v>0.69225411753175969</v>
      </c>
      <c r="C63" s="359" t="s">
        <v>5</v>
      </c>
      <c r="D63" s="359">
        <v>0.24074050000000002</v>
      </c>
      <c r="E63" s="359" t="s">
        <v>6</v>
      </c>
      <c r="F63" s="359">
        <f t="shared" ref="F63:F64" si="20">SUM(B63,D63)</f>
        <v>0.93299461753175972</v>
      </c>
      <c r="G63" s="249">
        <v>1</v>
      </c>
      <c r="H63" s="287">
        <f t="shared" si="17"/>
        <v>1.0176898875317302</v>
      </c>
      <c r="I63" s="359">
        <f>IF(G63=1,H63+N(I62),N(I62))</f>
        <v>1.0176898875317302</v>
      </c>
      <c r="J63" s="359">
        <f t="shared" ref="J63" si="21">IF(G63=2,H63+N(J62),N(J62))</f>
        <v>-1.1321121998265435</v>
      </c>
      <c r="K63" s="304">
        <f t="shared" si="18"/>
        <v>0.25442247188293254</v>
      </c>
      <c r="L63" s="304">
        <f t="shared" si="19"/>
        <v>-0.18868536663775726</v>
      </c>
      <c r="M63" s="304">
        <f t="shared" ref="M63:M71" si="22">IF(ROW()=62, 0, M62) + ABS(H63 - IF($G63=1, $K63, $L63))</f>
        <v>1.706694248837584</v>
      </c>
      <c r="N63" s="304">
        <f t="shared" ref="N63:N71" si="23">IF(ROW()=62, 0, N62) + ABS(H63 - IF($G63=1, $L63, $K63))</f>
        <v>2.3384874539960308</v>
      </c>
      <c r="P63" s="364"/>
      <c r="Q63" s="365"/>
      <c r="R63" s="259" t="s">
        <v>17</v>
      </c>
      <c r="S63" s="366">
        <v>4</v>
      </c>
    </row>
    <row r="64" spans="1:25" ht="18" customHeight="1" x14ac:dyDescent="0.3">
      <c r="A64" s="259"/>
      <c r="B64" s="359">
        <v>-0.41361540108076145</v>
      </c>
      <c r="C64" s="359" t="s">
        <v>5</v>
      </c>
      <c r="D64" s="359">
        <v>-0.24074050000000002</v>
      </c>
      <c r="E64" s="359" t="s">
        <v>6</v>
      </c>
      <c r="F64" s="359">
        <f t="shared" si="20"/>
        <v>-0.65435590108076147</v>
      </c>
      <c r="G64" s="249">
        <v>2</v>
      </c>
      <c r="H64" s="287">
        <f t="shared" si="17"/>
        <v>-0.85175331586177228</v>
      </c>
      <c r="I64" s="359">
        <f>IF(G64=1,H64+N(I63),N(I63))</f>
        <v>1.0176898875317302</v>
      </c>
      <c r="J64" s="359">
        <f>IF(G64=2,H64+N(J63),N(J63))</f>
        <v>-1.9838655156883158</v>
      </c>
      <c r="K64" s="304">
        <f t="shared" si="18"/>
        <v>0.25442247188293254</v>
      </c>
      <c r="L64" s="304">
        <f>IFERROR(J64/COUNTIF($G$62:$G$71,2),"ERROR!!!")</f>
        <v>-0.3306442526147193</v>
      </c>
      <c r="M64" s="304">
        <f t="shared" si="22"/>
        <v>2.227803312084637</v>
      </c>
      <c r="N64" s="304">
        <f t="shared" si="23"/>
        <v>3.4446632417407357</v>
      </c>
      <c r="P64" s="368"/>
      <c r="Q64" s="369"/>
      <c r="R64" s="259" t="s">
        <v>15</v>
      </c>
      <c r="S64" s="366">
        <f>IF(O71&lt;S47,S63,S49)</f>
        <v>4</v>
      </c>
    </row>
    <row r="65" spans="1:19" ht="18" customHeight="1" x14ac:dyDescent="0.3">
      <c r="A65" s="259"/>
      <c r="B65" s="359">
        <v>0.54607491198125124</v>
      </c>
      <c r="C65" s="359" t="s">
        <v>5</v>
      </c>
      <c r="D65" s="359">
        <v>-0.24074050000000002</v>
      </c>
      <c r="E65" s="359" t="s">
        <v>6</v>
      </c>
      <c r="F65" s="359">
        <f>SUM(B65,D65)</f>
        <v>0.30533441198125122</v>
      </c>
      <c r="G65" s="249">
        <v>1</v>
      </c>
      <c r="H65" s="287">
        <f t="shared" si="17"/>
        <v>0.43261060075220581</v>
      </c>
      <c r="I65" s="359">
        <f t="shared" ref="I65:I68" si="24">IF(G65=1,H65+N(I64),N(I64))</f>
        <v>1.4503004882839359</v>
      </c>
      <c r="J65" s="359">
        <f t="shared" ref="J65:J71" si="25">IF(G65=2,H65+N(J64),N(J64))</f>
        <v>-1.9838655156883158</v>
      </c>
      <c r="K65" s="304">
        <f t="shared" si="18"/>
        <v>0.36257512207098397</v>
      </c>
      <c r="L65" s="304">
        <f t="shared" si="19"/>
        <v>-0.3306442526147193</v>
      </c>
      <c r="M65" s="304">
        <f t="shared" si="22"/>
        <v>2.2978387907658586</v>
      </c>
      <c r="N65" s="304">
        <f t="shared" si="23"/>
        <v>4.2079180951076607</v>
      </c>
    </row>
    <row r="66" spans="1:19" ht="18" customHeight="1" x14ac:dyDescent="0.3">
      <c r="A66" s="259"/>
      <c r="B66" s="359">
        <v>0.69225411753175958</v>
      </c>
      <c r="C66" s="359" t="s">
        <v>5</v>
      </c>
      <c r="D66" s="359">
        <v>0.24074050000000002</v>
      </c>
      <c r="E66" s="359" t="s">
        <v>6</v>
      </c>
      <c r="F66" s="359">
        <f t="shared" ref="F66" si="26">SUM(B66,D66)</f>
        <v>0.93299461753175961</v>
      </c>
      <c r="G66" s="249">
        <v>1</v>
      </c>
      <c r="H66" s="287">
        <f t="shared" si="17"/>
        <v>1.01768988753173</v>
      </c>
      <c r="I66" s="359">
        <f t="shared" si="24"/>
        <v>2.467990375815666</v>
      </c>
      <c r="J66" s="359">
        <f t="shared" si="25"/>
        <v>-1.9838655156883158</v>
      </c>
      <c r="K66" s="304">
        <f t="shared" si="18"/>
        <v>0.61699759395391651</v>
      </c>
      <c r="L66" s="304">
        <f t="shared" si="19"/>
        <v>-0.3306442526147193</v>
      </c>
      <c r="M66" s="304">
        <f t="shared" si="22"/>
        <v>2.6985310843436721</v>
      </c>
      <c r="N66" s="304">
        <f>IF(ROW()=62, 0, N65) + ABS(H66 - IF($G66=1, $L66, $K66))</f>
        <v>5.5562522352541102</v>
      </c>
    </row>
    <row r="67" spans="1:19" ht="18" customHeight="1" x14ac:dyDescent="0.3">
      <c r="A67" s="259"/>
      <c r="B67" s="359">
        <v>0.54607491198125124</v>
      </c>
      <c r="C67" s="359" t="s">
        <v>5</v>
      </c>
      <c r="D67" s="359">
        <v>0.24074050000000002</v>
      </c>
      <c r="E67" s="359" t="s">
        <v>6</v>
      </c>
      <c r="F67" s="359">
        <f>SUM(B67,D67)</f>
        <v>0.78681541198125127</v>
      </c>
      <c r="G67" s="249">
        <v>1</v>
      </c>
      <c r="H67" s="287">
        <f t="shared" si="17"/>
        <v>0.88067127325285655</v>
      </c>
      <c r="I67" s="359">
        <f>IF(G67=1,H67+N(I66),N(I66))</f>
        <v>3.3486616490685224</v>
      </c>
      <c r="J67" s="359">
        <f t="shared" si="25"/>
        <v>-1.9838655156883158</v>
      </c>
      <c r="K67" s="304">
        <f t="shared" si="18"/>
        <v>0.83716541226713059</v>
      </c>
      <c r="L67" s="304">
        <f t="shared" si="19"/>
        <v>-0.3306442526147193</v>
      </c>
      <c r="M67" s="304">
        <f t="shared" si="22"/>
        <v>2.742036945329398</v>
      </c>
      <c r="N67" s="304">
        <f t="shared" si="23"/>
        <v>6.7675677611216862</v>
      </c>
    </row>
    <row r="68" spans="1:19" ht="18" customHeight="1" x14ac:dyDescent="0.3">
      <c r="A68" s="259"/>
      <c r="B68" s="359">
        <v>-0.82013350598256329</v>
      </c>
      <c r="C68" s="359" t="s">
        <v>5</v>
      </c>
      <c r="D68" s="359">
        <v>-0.24074050000000002</v>
      </c>
      <c r="E68" s="359" t="s">
        <v>6</v>
      </c>
      <c r="F68" s="359">
        <f t="shared" ref="F68:F71" si="27">SUM(B68,D68)</f>
        <v>-1.0608740059825634</v>
      </c>
      <c r="G68" s="249">
        <v>2</v>
      </c>
      <c r="H68" s="287">
        <f t="shared" si="17"/>
        <v>-1.2837312660477056</v>
      </c>
      <c r="I68" s="359">
        <f t="shared" si="24"/>
        <v>3.3486616490685224</v>
      </c>
      <c r="J68" s="359">
        <f t="shared" si="25"/>
        <v>-3.2675967817360214</v>
      </c>
      <c r="K68" s="304">
        <f t="shared" si="18"/>
        <v>0.83716541226713059</v>
      </c>
      <c r="L68" s="304">
        <f t="shared" si="19"/>
        <v>-0.5445994636226702</v>
      </c>
      <c r="M68" s="304">
        <f>IF(ROW()=62, 0, M67) + ABS(H68 - IF($G68=1, $K68, $L68))</f>
        <v>3.4811687477544333</v>
      </c>
      <c r="N68" s="304">
        <f t="shared" si="23"/>
        <v>8.8884644394365218</v>
      </c>
    </row>
    <row r="69" spans="1:19" ht="18" customHeight="1" x14ac:dyDescent="0.3">
      <c r="A69" s="259"/>
      <c r="B69" s="359">
        <v>-0.67699741026567162</v>
      </c>
      <c r="C69" s="359" t="s">
        <v>5</v>
      </c>
      <c r="D69" s="359">
        <v>0.24074050000000002</v>
      </c>
      <c r="E69" s="359" t="s">
        <v>6</v>
      </c>
      <c r="F69" s="359">
        <f t="shared" si="27"/>
        <v>-0.43625691026567159</v>
      </c>
      <c r="G69" s="249">
        <v>2</v>
      </c>
      <c r="H69" s="287">
        <f t="shared" si="17"/>
        <v>-0.61846694032568206</v>
      </c>
      <c r="I69" s="359">
        <f>IF(G69=1,H69+N(I68),N(I68))</f>
        <v>3.3486616490685224</v>
      </c>
      <c r="J69" s="359">
        <f t="shared" si="25"/>
        <v>-3.8860637220617034</v>
      </c>
      <c r="K69" s="304">
        <f t="shared" si="18"/>
        <v>0.83716541226713059</v>
      </c>
      <c r="L69" s="304">
        <f t="shared" si="19"/>
        <v>-0.64767728701028393</v>
      </c>
      <c r="M69" s="304">
        <f t="shared" si="22"/>
        <v>3.5103790944390352</v>
      </c>
      <c r="N69" s="304">
        <f t="shared" si="23"/>
        <v>10.344096792029335</v>
      </c>
      <c r="O69" s="354"/>
    </row>
    <row r="70" spans="1:19" ht="18" customHeight="1" x14ac:dyDescent="0.3">
      <c r="A70" s="259"/>
      <c r="B70" s="359">
        <v>-0.67699741026567162</v>
      </c>
      <c r="C70" s="359" t="s">
        <v>5</v>
      </c>
      <c r="D70" s="359">
        <v>-0.24074050000000002</v>
      </c>
      <c r="E70" s="359" t="s">
        <v>6</v>
      </c>
      <c r="F70" s="359">
        <f>SUM(B70,D70)</f>
        <v>-0.91773791026567164</v>
      </c>
      <c r="G70" s="249">
        <v>2</v>
      </c>
      <c r="H70" s="287">
        <f t="shared" si="17"/>
        <v>-1.1321121998265433</v>
      </c>
      <c r="I70" s="359">
        <f>IF(G70=1,H70+N(I69),N(I69))</f>
        <v>3.3486616490685224</v>
      </c>
      <c r="J70" s="359">
        <f>IF(G70=2,H70+N(J69),N(J69))</f>
        <v>-5.0181759218882469</v>
      </c>
      <c r="K70" s="304">
        <f t="shared" si="18"/>
        <v>0.83716541226713059</v>
      </c>
      <c r="L70" s="304">
        <f t="shared" si="19"/>
        <v>-0.83636265364804119</v>
      </c>
      <c r="M70" s="304">
        <f t="shared" si="22"/>
        <v>3.8061286406175374</v>
      </c>
      <c r="N70" s="304">
        <f t="shared" si="23"/>
        <v>12.313374404123008</v>
      </c>
      <c r="O70" s="358"/>
    </row>
    <row r="71" spans="1:19" ht="18" customHeight="1" x14ac:dyDescent="0.3">
      <c r="A71" s="259"/>
      <c r="B71" s="359">
        <v>-0.67699741026567162</v>
      </c>
      <c r="C71" s="359" t="s">
        <v>5</v>
      </c>
      <c r="D71" s="359">
        <v>-0.24074050000000002</v>
      </c>
      <c r="E71" s="359" t="s">
        <v>6</v>
      </c>
      <c r="F71" s="359">
        <f t="shared" si="27"/>
        <v>-0.91773791026567164</v>
      </c>
      <c r="G71" s="249">
        <v>2</v>
      </c>
      <c r="H71" s="287">
        <f t="shared" si="17"/>
        <v>-1.1321121998265433</v>
      </c>
      <c r="I71" s="359">
        <f t="shared" ref="I71" si="28">IF(G71=1,H71+N(I70),N(I70))</f>
        <v>3.3486616490685224</v>
      </c>
      <c r="J71" s="359">
        <f t="shared" si="25"/>
        <v>-6.15028812171479</v>
      </c>
      <c r="K71" s="304">
        <f t="shared" si="18"/>
        <v>0.83716541226713059</v>
      </c>
      <c r="L71" s="304">
        <f t="shared" si="19"/>
        <v>-1.0250480202857983</v>
      </c>
      <c r="M71" s="304">
        <f t="shared" si="22"/>
        <v>3.9131928201582822</v>
      </c>
      <c r="N71" s="304">
        <f t="shared" si="23"/>
        <v>14.282652016216682</v>
      </c>
      <c r="O71" s="373">
        <f>M71/N71</f>
        <v>0.27398222793044313</v>
      </c>
    </row>
    <row r="75" spans="1:19" ht="18" customHeight="1" x14ac:dyDescent="0.3">
      <c r="A75" s="281" t="s">
        <v>10</v>
      </c>
      <c r="B75" s="282"/>
      <c r="C75" s="282"/>
      <c r="D75" s="282"/>
      <c r="E75" s="282"/>
      <c r="F75" s="283"/>
      <c r="G75" s="350"/>
      <c r="H75" s="281" t="s">
        <v>9</v>
      </c>
      <c r="I75" s="282"/>
      <c r="J75" s="282"/>
      <c r="K75" s="282"/>
      <c r="L75" s="282"/>
      <c r="M75" s="282"/>
      <c r="N75" s="283"/>
    </row>
    <row r="76" spans="1:19" ht="18" customHeight="1" x14ac:dyDescent="0.3">
      <c r="A76" s="351"/>
      <c r="B76" s="352"/>
      <c r="C76" s="353" t="s">
        <v>5</v>
      </c>
      <c r="D76" s="354"/>
      <c r="E76" s="353" t="s">
        <v>6</v>
      </c>
      <c r="F76" s="354"/>
      <c r="G76" s="240" t="s">
        <v>8</v>
      </c>
      <c r="H76" s="355"/>
      <c r="I76" s="356"/>
      <c r="J76" s="356"/>
      <c r="K76" s="357"/>
      <c r="L76" s="357"/>
      <c r="M76" s="358"/>
      <c r="N76" s="358"/>
      <c r="P76" s="269" t="s">
        <v>27</v>
      </c>
      <c r="Q76" s="269"/>
      <c r="R76" s="269"/>
      <c r="S76" s="269"/>
    </row>
    <row r="77" spans="1:19" ht="18" customHeight="1" x14ac:dyDescent="0.3">
      <c r="A77" s="259"/>
      <c r="B77" s="359">
        <v>-0.67699741026567173</v>
      </c>
      <c r="C77" s="359" t="s">
        <v>5</v>
      </c>
      <c r="D77" s="359">
        <v>-5.3571500000000001E-2</v>
      </c>
      <c r="E77" s="359" t="s">
        <v>6</v>
      </c>
      <c r="F77" s="359">
        <f>SUM(B77,D77)</f>
        <v>-0.73056891026567172</v>
      </c>
      <c r="G77" s="249">
        <v>2</v>
      </c>
      <c r="H77" s="359">
        <f t="shared" ref="H77:H86" si="29">IF(OR($G77=1,$G77=2), $F77 + IF($G77=1,1,-1)*$N$23*(EXP(-$F77)/(1+EXP(-$F77))), NA())</f>
        <v>-0.93304794134762037</v>
      </c>
      <c r="I77" s="359">
        <f>IF(G77=1,H77+N(I76),N(I76))</f>
        <v>0</v>
      </c>
      <c r="J77" s="359">
        <f>IF(G77=2,H77+N(J76),N(J76))</f>
        <v>-0.93304794134762037</v>
      </c>
      <c r="K77" s="304">
        <f t="shared" ref="K77:K86" si="30">IFERROR(I77/COUNTIF($G$77:$G$86,1),"ERROR!!!")</f>
        <v>0</v>
      </c>
      <c r="L77" s="304">
        <f t="shared" ref="L77:L86" si="31">IFERROR(J77/COUNTIF($G$77:$G$86,2),"ERROR!!!")</f>
        <v>-0.1555079902246034</v>
      </c>
      <c r="M77" s="304">
        <f>IF(ROW()=77, 0, M76) + ABS(H77 - IF($G77=1, $K77, $L77))</f>
        <v>0.77753995112301699</v>
      </c>
      <c r="N77" s="304">
        <f>IF(ROW()=77, 0, N76) + ABS(H77 - IF($G77=1, $L77, $K77))</f>
        <v>0.93304794134762037</v>
      </c>
      <c r="P77" s="360"/>
      <c r="Q77" s="361"/>
      <c r="R77" s="316" t="s">
        <v>13</v>
      </c>
      <c r="S77" s="362">
        <f>IF(O86&lt;S62,O86,S62)</f>
        <v>0.27398222793044313</v>
      </c>
    </row>
    <row r="78" spans="1:19" ht="18" customHeight="1" x14ac:dyDescent="0.3">
      <c r="A78" s="259"/>
      <c r="B78" s="359">
        <v>0.69225411753175969</v>
      </c>
      <c r="C78" s="359" t="s">
        <v>5</v>
      </c>
      <c r="D78" s="359">
        <v>-5.3571500000000001E-2</v>
      </c>
      <c r="E78" s="359" t="s">
        <v>6</v>
      </c>
      <c r="F78" s="359">
        <f t="shared" ref="F78:F79" si="32">SUM(B78,D78)</f>
        <v>0.6386826175317597</v>
      </c>
      <c r="G78" s="249">
        <v>1</v>
      </c>
      <c r="H78" s="359">
        <f t="shared" si="29"/>
        <v>0.74234593638623181</v>
      </c>
      <c r="I78" s="359">
        <f>IF(G78=1,H78+N(I77),N(I77))</f>
        <v>0.74234593638623181</v>
      </c>
      <c r="J78" s="359">
        <f t="shared" ref="J78" si="33">IF(G78=2,H78+N(J77),N(J77))</f>
        <v>-0.93304794134762037</v>
      </c>
      <c r="K78" s="304">
        <f t="shared" si="30"/>
        <v>0.18558648409655795</v>
      </c>
      <c r="L78" s="304">
        <f t="shared" si="31"/>
        <v>-0.1555079902246034</v>
      </c>
      <c r="M78" s="304">
        <f t="shared" ref="M78:M86" si="34">IF(ROW()=77, 0, M77) + ABS(H78 - IF($G78=1, $K78, $L78))</f>
        <v>1.3342994034126909</v>
      </c>
      <c r="N78" s="304">
        <f t="shared" ref="N78:N85" si="35">IF(ROW()=77, 0, N77) + ABS(H78 - IF($G78=1, $L78, $K78))</f>
        <v>1.8309018679584557</v>
      </c>
      <c r="P78" s="364"/>
      <c r="Q78" s="365"/>
      <c r="R78" s="259" t="s">
        <v>17</v>
      </c>
      <c r="S78" s="366">
        <v>5</v>
      </c>
    </row>
    <row r="79" spans="1:19" ht="18" customHeight="1" x14ac:dyDescent="0.3">
      <c r="A79" s="259"/>
      <c r="B79" s="359">
        <v>-0.41361540108076145</v>
      </c>
      <c r="C79" s="359" t="s">
        <v>5</v>
      </c>
      <c r="D79" s="359">
        <v>-5.3571500000000001E-2</v>
      </c>
      <c r="E79" s="359" t="s">
        <v>6</v>
      </c>
      <c r="F79" s="359">
        <f t="shared" si="32"/>
        <v>-0.46718690108076144</v>
      </c>
      <c r="G79" s="249">
        <v>2</v>
      </c>
      <c r="H79" s="359">
        <f t="shared" si="29"/>
        <v>-0.65160221643775207</v>
      </c>
      <c r="I79" s="359">
        <f>IF(G79=1,H79+N(I78),N(I78))</f>
        <v>0.74234593638623181</v>
      </c>
      <c r="J79" s="359">
        <f>IF(G79=2,H79+N(J78),N(J78))</f>
        <v>-1.5846501577853724</v>
      </c>
      <c r="K79" s="304">
        <f>IFERROR(I79/COUNTIF($G$77:$G$86,1),"ERROR!!!")</f>
        <v>0.18558648409655795</v>
      </c>
      <c r="L79" s="304">
        <f t="shared" si="31"/>
        <v>-0.26410835963089541</v>
      </c>
      <c r="M79" s="304">
        <f>IF(ROW()=77, 0, M78) + ABS(H79 - IF($G79=1, $K79, $L79))</f>
        <v>1.7217932602195476</v>
      </c>
      <c r="N79" s="304">
        <f t="shared" si="35"/>
        <v>2.6680905684927656</v>
      </c>
      <c r="P79" s="368"/>
      <c r="Q79" s="369"/>
      <c r="R79" s="259" t="s">
        <v>15</v>
      </c>
      <c r="S79" s="366">
        <f>IF(O86&lt;S62,S78,S64)</f>
        <v>4</v>
      </c>
    </row>
    <row r="80" spans="1:19" ht="18" customHeight="1" x14ac:dyDescent="0.3">
      <c r="A80" s="259"/>
      <c r="B80" s="359">
        <v>0.54607491198125124</v>
      </c>
      <c r="C80" s="359" t="s">
        <v>5</v>
      </c>
      <c r="D80" s="359">
        <v>-5.3571500000000001E-2</v>
      </c>
      <c r="E80" s="359" t="s">
        <v>6</v>
      </c>
      <c r="F80" s="359">
        <f>SUM(B80,D80)</f>
        <v>0.49250341198125125</v>
      </c>
      <c r="G80" s="249">
        <v>1</v>
      </c>
      <c r="H80" s="359">
        <f t="shared" si="29"/>
        <v>0.60629461358448622</v>
      </c>
      <c r="I80" s="359">
        <f>IF(G80=1,H80+N(I79),N(I79))</f>
        <v>1.3486405499707179</v>
      </c>
      <c r="J80" s="359">
        <f>IF(G80=2,H80+N(J79),N(J79))</f>
        <v>-1.5846501577853724</v>
      </c>
      <c r="K80" s="304">
        <f t="shared" si="30"/>
        <v>0.33716013749267948</v>
      </c>
      <c r="L80" s="304">
        <f t="shared" si="31"/>
        <v>-0.26410835963089541</v>
      </c>
      <c r="M80" s="304">
        <f t="shared" si="34"/>
        <v>1.9909277363113542</v>
      </c>
      <c r="N80" s="304">
        <f t="shared" si="35"/>
        <v>3.5384935417081471</v>
      </c>
    </row>
    <row r="81" spans="1:19" ht="18" customHeight="1" x14ac:dyDescent="0.3">
      <c r="A81" s="259"/>
      <c r="B81" s="359">
        <v>0.69225411753175958</v>
      </c>
      <c r="C81" s="359" t="s">
        <v>5</v>
      </c>
      <c r="D81" s="359">
        <v>-5.3571500000000001E-2</v>
      </c>
      <c r="E81" s="359" t="s">
        <v>6</v>
      </c>
      <c r="F81" s="359">
        <f>SUM(B81,D81)</f>
        <v>0.63868261753175959</v>
      </c>
      <c r="G81" s="249">
        <v>1</v>
      </c>
      <c r="H81" s="359">
        <f t="shared" si="29"/>
        <v>0.7423459363862317</v>
      </c>
      <c r="I81" s="359">
        <f t="shared" ref="I81" si="36">IF(G81=1,H81+N(I80),N(I80))</f>
        <v>2.0909864863569494</v>
      </c>
      <c r="J81" s="359">
        <f t="shared" ref="J81:J84" si="37">IF(G81=2,H81+N(J80),N(J80))</f>
        <v>-1.5846501577853724</v>
      </c>
      <c r="K81" s="304">
        <f t="shared" si="30"/>
        <v>0.52274662158923735</v>
      </c>
      <c r="L81" s="304">
        <f t="shared" si="31"/>
        <v>-0.26410835963089541</v>
      </c>
      <c r="M81" s="304">
        <f t="shared" si="34"/>
        <v>2.2105270511083486</v>
      </c>
      <c r="N81" s="304">
        <f>IF(ROW()=77, 0, N80) + ABS(H81 - IF($G81=1, $L81, $K81))</f>
        <v>4.5449478377252746</v>
      </c>
    </row>
    <row r="82" spans="1:19" ht="18" customHeight="1" x14ac:dyDescent="0.3">
      <c r="A82" s="259"/>
      <c r="B82" s="359">
        <v>0.54607491198125124</v>
      </c>
      <c r="C82" s="359" t="s">
        <v>5</v>
      </c>
      <c r="D82" s="359">
        <v>5.3571500000000001E-2</v>
      </c>
      <c r="E82" s="359" t="s">
        <v>6</v>
      </c>
      <c r="F82" s="359">
        <f>SUM(B82,D82)</f>
        <v>0.59964641198125124</v>
      </c>
      <c r="G82" s="249">
        <v>1</v>
      </c>
      <c r="H82" s="359">
        <f t="shared" si="29"/>
        <v>0.70597378997310511</v>
      </c>
      <c r="I82" s="359">
        <f>IF(G82=1,H82+N(I81),N(I81))</f>
        <v>2.7969602763300543</v>
      </c>
      <c r="J82" s="359">
        <f>IF(G82=2,H82+N(J81),N(J81))</f>
        <v>-1.5846501577853724</v>
      </c>
      <c r="K82" s="304">
        <f t="shared" si="30"/>
        <v>0.69924006908251357</v>
      </c>
      <c r="L82" s="304">
        <f t="shared" si="31"/>
        <v>-0.26410835963089541</v>
      </c>
      <c r="M82" s="304">
        <f t="shared" si="34"/>
        <v>2.2172607719989399</v>
      </c>
      <c r="N82" s="304">
        <f>IF(ROW()=77, 0, N81) + ABS(H82 - IF($G82=1, $L82, $K82))</f>
        <v>5.5150299873292754</v>
      </c>
    </row>
    <row r="83" spans="1:19" ht="18" customHeight="1" x14ac:dyDescent="0.3">
      <c r="A83" s="259"/>
      <c r="B83" s="359">
        <v>-0.82013350598256329</v>
      </c>
      <c r="C83" s="359" t="s">
        <v>5</v>
      </c>
      <c r="D83" s="359">
        <v>-5.3571500000000001E-2</v>
      </c>
      <c r="E83" s="359" t="s">
        <v>6</v>
      </c>
      <c r="F83" s="359">
        <f t="shared" ref="F83:F84" si="38">SUM(B83,D83)</f>
        <v>-0.87370500598256329</v>
      </c>
      <c r="G83" s="249">
        <v>2</v>
      </c>
      <c r="H83" s="359">
        <f t="shared" si="29"/>
        <v>-1.0853598202085033</v>
      </c>
      <c r="I83" s="359">
        <f t="shared" ref="I83" si="39">IF(G83=1,H83+N(I82),N(I82))</f>
        <v>2.7969602763300543</v>
      </c>
      <c r="J83" s="359">
        <f t="shared" si="37"/>
        <v>-2.6700099779938755</v>
      </c>
      <c r="K83" s="304">
        <f t="shared" si="30"/>
        <v>0.69924006908251357</v>
      </c>
      <c r="L83" s="304">
        <f>IFERROR(J83/COUNTIF($G$77:$G$86,2),"ERROR!!!")</f>
        <v>-0.44500166299897925</v>
      </c>
      <c r="M83" s="304">
        <f t="shared" si="34"/>
        <v>2.8576189292084639</v>
      </c>
      <c r="N83" s="304">
        <f t="shared" si="35"/>
        <v>7.2996298766202923</v>
      </c>
    </row>
    <row r="84" spans="1:19" ht="18" customHeight="1" x14ac:dyDescent="0.3">
      <c r="A84" s="259"/>
      <c r="B84" s="359">
        <v>-0.67699741026567162</v>
      </c>
      <c r="C84" s="359" t="s">
        <v>5</v>
      </c>
      <c r="D84" s="359">
        <v>-5.3571500000000001E-2</v>
      </c>
      <c r="E84" s="359" t="s">
        <v>6</v>
      </c>
      <c r="F84" s="359">
        <f t="shared" si="38"/>
        <v>-0.73056891026567161</v>
      </c>
      <c r="G84" s="249">
        <v>2</v>
      </c>
      <c r="H84" s="359">
        <f>IF(OR($G84=1,$G84=2), $F84 + IF($G84=1,1,-1)*$N$23*(EXP(-$F84)/(1+EXP(-$F84))), NA())</f>
        <v>-0.93304794134762026</v>
      </c>
      <c r="I84" s="359">
        <f>IF(G84=1,H84+N(I83),N(I83))</f>
        <v>2.7969602763300543</v>
      </c>
      <c r="J84" s="359">
        <f t="shared" si="37"/>
        <v>-3.603057919341496</v>
      </c>
      <c r="K84" s="304">
        <f t="shared" si="30"/>
        <v>0.69924006908251357</v>
      </c>
      <c r="L84" s="304">
        <f t="shared" si="31"/>
        <v>-0.60050965322358263</v>
      </c>
      <c r="M84" s="304">
        <f t="shared" si="34"/>
        <v>3.1901572173325015</v>
      </c>
      <c r="N84" s="304">
        <f t="shared" si="35"/>
        <v>8.9319178870504263</v>
      </c>
      <c r="O84" s="354"/>
    </row>
    <row r="85" spans="1:19" ht="18" customHeight="1" x14ac:dyDescent="0.3">
      <c r="A85" s="259"/>
      <c r="B85" s="359">
        <v>-0.67699741026567162</v>
      </c>
      <c r="C85" s="359" t="s">
        <v>5</v>
      </c>
      <c r="D85" s="359">
        <v>-5.3571500000000001E-2</v>
      </c>
      <c r="E85" s="359" t="s">
        <v>6</v>
      </c>
      <c r="F85" s="359">
        <f>SUM(B85,D85)</f>
        <v>-0.73056891026567161</v>
      </c>
      <c r="G85" s="249">
        <v>2</v>
      </c>
      <c r="H85" s="359">
        <f t="shared" si="29"/>
        <v>-0.93304794134762026</v>
      </c>
      <c r="I85" s="359">
        <f>IF(G85=1,H85+N(I84),N(I84))</f>
        <v>2.7969602763300543</v>
      </c>
      <c r="J85" s="359">
        <f>IF(G85=2,H85+N(J84),N(J84))</f>
        <v>-4.5361058606891165</v>
      </c>
      <c r="K85" s="304">
        <f t="shared" si="30"/>
        <v>0.69924006908251357</v>
      </c>
      <c r="L85" s="304">
        <f t="shared" si="31"/>
        <v>-0.75601764344818612</v>
      </c>
      <c r="M85" s="304">
        <f t="shared" si="34"/>
        <v>3.3671875152319357</v>
      </c>
      <c r="N85" s="304">
        <f t="shared" si="35"/>
        <v>10.56420589748056</v>
      </c>
      <c r="O85" s="358"/>
    </row>
    <row r="86" spans="1:19" ht="18" customHeight="1" x14ac:dyDescent="0.3">
      <c r="A86" s="259"/>
      <c r="B86" s="359">
        <v>-0.67699741026567162</v>
      </c>
      <c r="C86" s="359" t="s">
        <v>5</v>
      </c>
      <c r="D86" s="359">
        <v>-5.3571500000000001E-2</v>
      </c>
      <c r="E86" s="359" t="s">
        <v>6</v>
      </c>
      <c r="F86" s="359">
        <f t="shared" ref="F86" si="40">SUM(B86,D86)</f>
        <v>-0.73056891026567161</v>
      </c>
      <c r="G86" s="249">
        <v>2</v>
      </c>
      <c r="H86" s="359">
        <f t="shared" si="29"/>
        <v>-0.93304794134762026</v>
      </c>
      <c r="I86" s="359">
        <f t="shared" ref="I86" si="41">IF(G86=1,H86+N(I85),N(I85))</f>
        <v>2.7969602763300543</v>
      </c>
      <c r="J86" s="359">
        <f t="shared" ref="J86" si="42">IF(G86=2,H86+N(J85),N(J85))</f>
        <v>-5.469153802036737</v>
      </c>
      <c r="K86" s="304">
        <f t="shared" si="30"/>
        <v>0.69924006908251357</v>
      </c>
      <c r="L86" s="304">
        <f t="shared" si="31"/>
        <v>-0.91152563367278949</v>
      </c>
      <c r="M86" s="304">
        <f t="shared" si="34"/>
        <v>3.3887098229067663</v>
      </c>
      <c r="N86" s="304">
        <f>IF(ROW()=77, 0, N85) + ABS(H86 - IF($G86=1, $L86, $K86))</f>
        <v>12.196493907910694</v>
      </c>
      <c r="O86" s="373">
        <f>M86/N86</f>
        <v>0.27784294802204063</v>
      </c>
    </row>
    <row r="89" spans="1:19" ht="14.4" customHeight="1" x14ac:dyDescent="0.3"/>
    <row r="90" spans="1:19" ht="18" customHeight="1" x14ac:dyDescent="0.3">
      <c r="A90" s="281" t="s">
        <v>10</v>
      </c>
      <c r="B90" s="282"/>
      <c r="C90" s="282"/>
      <c r="D90" s="282"/>
      <c r="E90" s="282"/>
      <c r="F90" s="283"/>
      <c r="G90" s="350"/>
      <c r="H90" s="281" t="s">
        <v>9</v>
      </c>
      <c r="I90" s="282"/>
      <c r="J90" s="282"/>
      <c r="K90" s="282"/>
      <c r="L90" s="282"/>
      <c r="M90" s="282"/>
      <c r="N90" s="283"/>
    </row>
    <row r="91" spans="1:19" ht="18" customHeight="1" x14ac:dyDescent="0.3">
      <c r="A91" s="351"/>
      <c r="B91" s="352"/>
      <c r="C91" s="353" t="s">
        <v>5</v>
      </c>
      <c r="D91" s="354"/>
      <c r="E91" s="353" t="s">
        <v>6</v>
      </c>
      <c r="F91" s="354"/>
      <c r="G91" s="240" t="s">
        <v>8</v>
      </c>
      <c r="H91" s="355"/>
      <c r="I91" s="356"/>
      <c r="J91" s="356"/>
      <c r="K91" s="357"/>
      <c r="L91" s="357"/>
      <c r="M91" s="358"/>
      <c r="N91" s="358"/>
      <c r="P91" s="269" t="s">
        <v>27</v>
      </c>
      <c r="Q91" s="269"/>
      <c r="R91" s="269"/>
      <c r="S91" s="269"/>
    </row>
    <row r="92" spans="1:19" ht="18" customHeight="1" x14ac:dyDescent="0.3">
      <c r="A92" s="259"/>
      <c r="B92" s="359">
        <v>-0.67699741026567173</v>
      </c>
      <c r="C92" s="359" t="s">
        <v>5</v>
      </c>
      <c r="D92" s="359">
        <v>-0.14285714285714288</v>
      </c>
      <c r="E92" s="359" t="s">
        <v>6</v>
      </c>
      <c r="F92" s="359">
        <f>SUM(B92,D92)</f>
        <v>-0.81985455312281463</v>
      </c>
      <c r="G92" s="249">
        <v>2</v>
      </c>
      <c r="H92" s="359">
        <f t="shared" ref="H92:H101" si="43">IF(OR($G92=1,$G92=2), $F92 + IF($G92=1,1,-1)*$N$23*(EXP(-$F92)/(1+EXP(-$F92))), NA())</f>
        <v>-1.028116192593054</v>
      </c>
      <c r="I92" s="359">
        <f>IF(G92=1,H92+N(I91),N(I91))</f>
        <v>0</v>
      </c>
      <c r="J92" s="359">
        <f>IF(G92=2,H92+N(J91),N(J91))</f>
        <v>-1.028116192593054</v>
      </c>
      <c r="K92" s="304">
        <f>IFERROR(I92/COUNTIF($G$92:$G$101,1),"ERROR!!!")</f>
        <v>0</v>
      </c>
      <c r="L92" s="304">
        <f>IFERROR(J92/COUNTIF($G$92:$G$101,2),"ERROR!!!")</f>
        <v>-0.17135269876550899</v>
      </c>
      <c r="M92" s="304">
        <f>IF(ROW()=92, 0, M91) + ABS(H92 - IF($G92=1, $K92, $L92))</f>
        <v>0.85676349382754502</v>
      </c>
      <c r="N92" s="304">
        <f>IF(ROW()=92, 0, N91) + ABS(H92 - IF($G92=1, $L92, $K92))</f>
        <v>1.028116192593054</v>
      </c>
      <c r="P92" s="360"/>
      <c r="Q92" s="361"/>
      <c r="R92" s="316" t="s">
        <v>13</v>
      </c>
      <c r="S92" s="362">
        <f>IF(O101&lt;S77,O101,S77)</f>
        <v>0.27398222793044313</v>
      </c>
    </row>
    <row r="93" spans="1:19" ht="18" customHeight="1" x14ac:dyDescent="0.3">
      <c r="A93" s="259"/>
      <c r="B93" s="359">
        <v>0.69225411753175969</v>
      </c>
      <c r="C93" s="359" t="s">
        <v>5</v>
      </c>
      <c r="D93" s="359">
        <v>-0.14285714285714288</v>
      </c>
      <c r="E93" s="359" t="s">
        <v>6</v>
      </c>
      <c r="F93" s="359">
        <f>SUM(B93,D93)</f>
        <v>0.54939697467461679</v>
      </c>
      <c r="G93" s="249">
        <v>1</v>
      </c>
      <c r="H93" s="359">
        <f t="shared" si="43"/>
        <v>0.6591982727107345</v>
      </c>
      <c r="I93" s="359">
        <f>IF(G93=1,H93+N(I92),N(I92))</f>
        <v>0.6591982727107345</v>
      </c>
      <c r="J93" s="359">
        <f t="shared" ref="J93" si="44">IF(G93=2,H93+N(J92),N(J92))</f>
        <v>-1.028116192593054</v>
      </c>
      <c r="K93" s="304">
        <f t="shared" ref="K93:K101" si="45">IFERROR(I93/COUNTIF($G$92:$G$101,1),"ERROR!!!")</f>
        <v>0.16479956817768363</v>
      </c>
      <c r="L93" s="304">
        <f t="shared" ref="L93:L101" si="46">IFERROR(J93/COUNTIF($G$92:$G$101,2),"ERROR!!!")</f>
        <v>-0.17135269876550899</v>
      </c>
      <c r="M93" s="304">
        <f t="shared" ref="M93:M101" si="47">IF(ROW()=92, 0, M92) + ABS(H93 - IF($G93=1, $K93, $L93))</f>
        <v>1.3511621983605959</v>
      </c>
      <c r="N93" s="304">
        <f t="shared" ref="N93:N101" si="48">IF(ROW()=92, 0, N92) + ABS(H93 - IF($G93=1, $L93, $K93))</f>
        <v>1.8586671640692973</v>
      </c>
      <c r="P93" s="364"/>
      <c r="Q93" s="365"/>
      <c r="R93" s="259" t="s">
        <v>17</v>
      </c>
      <c r="S93" s="366">
        <v>7</v>
      </c>
    </row>
    <row r="94" spans="1:19" ht="18" customHeight="1" x14ac:dyDescent="0.3">
      <c r="A94" s="259"/>
      <c r="B94" s="359">
        <v>-0.41361540108076145</v>
      </c>
      <c r="C94" s="359" t="s">
        <v>5</v>
      </c>
      <c r="D94" s="359">
        <v>0.14285714285714288</v>
      </c>
      <c r="E94" s="359" t="s">
        <v>6</v>
      </c>
      <c r="F94" s="359">
        <f t="shared" ref="F94" si="49">SUM(B94,D94)</f>
        <v>-0.27075825822361854</v>
      </c>
      <c r="G94" s="249">
        <v>2</v>
      </c>
      <c r="H94" s="359">
        <f>IF(OR($G94=1,$G94=2), $F94 + IF($G94=1,1,-1)*$N$23*(EXP(-$F94)/(1+EXP(-$F94))), NA())</f>
        <v>-0.4409419722561907</v>
      </c>
      <c r="I94" s="359">
        <f>IF(G94=1,H94+N(I93),N(I93))</f>
        <v>0.6591982727107345</v>
      </c>
      <c r="J94" s="359">
        <f>IF(G94=2,H94+N(J93),N(J93))</f>
        <v>-1.4690581648492447</v>
      </c>
      <c r="K94" s="304">
        <f t="shared" si="45"/>
        <v>0.16479956817768363</v>
      </c>
      <c r="L94" s="304">
        <f t="shared" si="46"/>
        <v>-0.2448430274748741</v>
      </c>
      <c r="M94" s="304">
        <f t="shared" si="47"/>
        <v>1.5472611431419125</v>
      </c>
      <c r="N94" s="304">
        <f t="shared" si="48"/>
        <v>2.4644087045031715</v>
      </c>
      <c r="P94" s="368"/>
      <c r="Q94" s="369"/>
      <c r="R94" s="259" t="s">
        <v>15</v>
      </c>
      <c r="S94" s="366">
        <f>IF(O101&lt;S77,S93,S79)</f>
        <v>4</v>
      </c>
    </row>
    <row r="95" spans="1:19" ht="18" customHeight="1" x14ac:dyDescent="0.3">
      <c r="A95" s="259"/>
      <c r="B95" s="359">
        <v>0.54607491198125124</v>
      </c>
      <c r="C95" s="359" t="s">
        <v>5</v>
      </c>
      <c r="D95" s="359">
        <v>0.14285714285714288</v>
      </c>
      <c r="E95" s="359" t="s">
        <v>6</v>
      </c>
      <c r="F95" s="359">
        <f>SUM(B95,D95)</f>
        <v>0.68893205483839415</v>
      </c>
      <c r="G95" s="249">
        <v>1</v>
      </c>
      <c r="H95" s="359">
        <f t="shared" si="43"/>
        <v>0.78921326035624473</v>
      </c>
      <c r="I95" s="359">
        <f t="shared" ref="I95:I96" si="50">IF(G95=1,H95+N(I94),N(I94))</f>
        <v>1.4484115330669791</v>
      </c>
      <c r="J95" s="359">
        <f>IF(G95=2,H95+N(J94),N(J94))</f>
        <v>-1.4690581648492447</v>
      </c>
      <c r="K95" s="304">
        <f t="shared" si="45"/>
        <v>0.36210288326674478</v>
      </c>
      <c r="L95" s="304">
        <f t="shared" si="46"/>
        <v>-0.2448430274748741</v>
      </c>
      <c r="M95" s="304">
        <f t="shared" si="47"/>
        <v>1.9743715202314125</v>
      </c>
      <c r="N95" s="304">
        <f t="shared" si="48"/>
        <v>3.4984649923342905</v>
      </c>
    </row>
    <row r="96" spans="1:19" ht="18" customHeight="1" x14ac:dyDescent="0.3">
      <c r="A96" s="259"/>
      <c r="B96" s="359">
        <v>0.69225411753175958</v>
      </c>
      <c r="C96" s="359" t="s">
        <v>5</v>
      </c>
      <c r="D96" s="359">
        <v>-0.14285714285714288</v>
      </c>
      <c r="E96" s="359" t="s">
        <v>6</v>
      </c>
      <c r="F96" s="359">
        <f>SUM(B96,D96)</f>
        <v>0.54939697467461668</v>
      </c>
      <c r="G96" s="249">
        <v>1</v>
      </c>
      <c r="H96" s="359">
        <f t="shared" si="43"/>
        <v>0.65919827271073439</v>
      </c>
      <c r="I96" s="359">
        <f t="shared" si="50"/>
        <v>2.1076098057777135</v>
      </c>
      <c r="J96" s="359">
        <f>IF(G96=2,H96+N(J95),N(J95))</f>
        <v>-1.4690581648492447</v>
      </c>
      <c r="K96" s="304">
        <f t="shared" si="45"/>
        <v>0.52690245144442838</v>
      </c>
      <c r="L96" s="304">
        <f t="shared" si="46"/>
        <v>-0.2448430274748741</v>
      </c>
      <c r="M96" s="304">
        <f>IF(ROW()=92, 0, M95) + ABS(H96 - IF($G96=1, $K96, $L96))</f>
        <v>2.1066673414977184</v>
      </c>
      <c r="N96" s="304">
        <f t="shared" si="48"/>
        <v>4.4025062925198988</v>
      </c>
    </row>
    <row r="97" spans="1:19" ht="18" customHeight="1" x14ac:dyDescent="0.3">
      <c r="A97" s="259"/>
      <c r="B97" s="359">
        <v>0.54607491198125124</v>
      </c>
      <c r="C97" s="359" t="s">
        <v>5</v>
      </c>
      <c r="D97" s="359">
        <v>0.14285714285714288</v>
      </c>
      <c r="E97" s="359" t="s">
        <v>6</v>
      </c>
      <c r="F97" s="359">
        <f>SUM(B97,D97)</f>
        <v>0.68893205483839415</v>
      </c>
      <c r="G97" s="249">
        <v>1</v>
      </c>
      <c r="H97" s="359">
        <f t="shared" si="43"/>
        <v>0.78921326035624473</v>
      </c>
      <c r="I97" s="359">
        <f>IF(G97=1,H97+N(I96),N(I96))</f>
        <v>2.8968230661339582</v>
      </c>
      <c r="J97" s="359">
        <f>IF(G97=2,H97+N(J96),N(J96))</f>
        <v>-1.4690581648492447</v>
      </c>
      <c r="K97" s="304">
        <f t="shared" si="45"/>
        <v>0.72420576653348956</v>
      </c>
      <c r="L97" s="304">
        <f t="shared" si="46"/>
        <v>-0.2448430274748741</v>
      </c>
      <c r="M97" s="304">
        <f>IF(ROW()=92, 0, M96) + ABS(H97 - IF($G97=1, $K97, $L97))</f>
        <v>2.1716748353204736</v>
      </c>
      <c r="N97" s="304">
        <f t="shared" si="48"/>
        <v>5.4365625803510174</v>
      </c>
    </row>
    <row r="98" spans="1:19" ht="18" customHeight="1" x14ac:dyDescent="0.3">
      <c r="A98" s="259"/>
      <c r="B98" s="359">
        <v>-0.82013350598256329</v>
      </c>
      <c r="C98" s="359" t="s">
        <v>5</v>
      </c>
      <c r="D98" s="359">
        <v>-0.14285714285714288</v>
      </c>
      <c r="E98" s="359" t="s">
        <v>6</v>
      </c>
      <c r="F98" s="359">
        <f t="shared" ref="F98:F99" si="51">SUM(B98,D98)</f>
        <v>-0.9629906488397062</v>
      </c>
      <c r="G98" s="249">
        <v>2</v>
      </c>
      <c r="H98" s="359">
        <f t="shared" si="43"/>
        <v>-1.1801067037743573</v>
      </c>
      <c r="I98" s="359">
        <f t="shared" ref="I98" si="52">IF(G98=1,H98+N(I97),N(I97))</f>
        <v>2.8968230661339582</v>
      </c>
      <c r="J98" s="359">
        <f t="shared" ref="J98:J99" si="53">IF(G98=2,H98+N(J97),N(J97))</f>
        <v>-2.6491648686236022</v>
      </c>
      <c r="K98" s="304">
        <f>IFERROR(I98/COUNTIF($G$92:$G$101,1),"ERROR!!!")</f>
        <v>0.72420576653348956</v>
      </c>
      <c r="L98" s="304">
        <f t="shared" si="46"/>
        <v>-0.44152747810393372</v>
      </c>
      <c r="M98" s="304">
        <f t="shared" si="47"/>
        <v>2.9102540609908969</v>
      </c>
      <c r="N98" s="304">
        <f t="shared" si="48"/>
        <v>7.3408750506588643</v>
      </c>
    </row>
    <row r="99" spans="1:19" ht="18" customHeight="1" x14ac:dyDescent="0.3">
      <c r="A99" s="259"/>
      <c r="B99" s="359">
        <v>-0.67699741026567162</v>
      </c>
      <c r="C99" s="359" t="s">
        <v>5</v>
      </c>
      <c r="D99" s="359">
        <v>-0.14285714285714288</v>
      </c>
      <c r="E99" s="359" t="s">
        <v>6</v>
      </c>
      <c r="F99" s="359">
        <f t="shared" si="51"/>
        <v>-0.81985455312281452</v>
      </c>
      <c r="G99" s="249">
        <v>2</v>
      </c>
      <c r="H99" s="359">
        <f t="shared" si="43"/>
        <v>-1.028116192593054</v>
      </c>
      <c r="I99" s="359">
        <f>IF(G99=1,H99+N(I98),N(I98))</f>
        <v>2.8968230661339582</v>
      </c>
      <c r="J99" s="359">
        <f t="shared" si="53"/>
        <v>-3.6772810612166564</v>
      </c>
      <c r="K99" s="304">
        <f t="shared" si="45"/>
        <v>0.72420576653348956</v>
      </c>
      <c r="L99" s="304">
        <f t="shared" si="46"/>
        <v>-0.61288017686944274</v>
      </c>
      <c r="M99" s="304">
        <f t="shared" si="47"/>
        <v>3.3254900767145079</v>
      </c>
      <c r="N99" s="304">
        <f t="shared" si="48"/>
        <v>9.093197009785408</v>
      </c>
      <c r="O99" s="354"/>
    </row>
    <row r="100" spans="1:19" ht="18" customHeight="1" x14ac:dyDescent="0.3">
      <c r="A100" s="259"/>
      <c r="B100" s="359">
        <v>-0.67699741026567162</v>
      </c>
      <c r="C100" s="359" t="s">
        <v>5</v>
      </c>
      <c r="D100" s="359">
        <v>-0.14285714285714288</v>
      </c>
      <c r="E100" s="359" t="s">
        <v>6</v>
      </c>
      <c r="F100" s="359">
        <f>SUM(B100,D100)</f>
        <v>-0.81985455312281452</v>
      </c>
      <c r="G100" s="249">
        <v>2</v>
      </c>
      <c r="H100" s="359">
        <f t="shared" si="43"/>
        <v>-1.028116192593054</v>
      </c>
      <c r="I100" s="359">
        <f>IF(G100=1,H100+N(I99),N(I99))</f>
        <v>2.8968230661339582</v>
      </c>
      <c r="J100" s="359">
        <f>IF(G100=2,H100+N(J99),N(J99))</f>
        <v>-4.7053972538097106</v>
      </c>
      <c r="K100" s="304">
        <f t="shared" si="45"/>
        <v>0.72420576653348956</v>
      </c>
      <c r="L100" s="304">
        <f t="shared" si="46"/>
        <v>-0.78423287563495181</v>
      </c>
      <c r="M100" s="304">
        <f t="shared" si="47"/>
        <v>3.5693733936726102</v>
      </c>
      <c r="N100" s="304">
        <f>IF(ROW()=92, 0, N99) + ABS(H100 - IF($G100=1, $L100, $K100))</f>
        <v>10.845518968911952</v>
      </c>
      <c r="O100" s="358"/>
    </row>
    <row r="101" spans="1:19" ht="18" customHeight="1" x14ac:dyDescent="0.3">
      <c r="A101" s="259"/>
      <c r="B101" s="359">
        <v>-0.67699741026567162</v>
      </c>
      <c r="C101" s="359" t="s">
        <v>5</v>
      </c>
      <c r="D101" s="359">
        <v>-0.14285714285714288</v>
      </c>
      <c r="E101" s="359" t="s">
        <v>6</v>
      </c>
      <c r="F101" s="359">
        <f t="shared" ref="F101" si="54">SUM(B101,D101)</f>
        <v>-0.81985455312281452</v>
      </c>
      <c r="G101" s="249">
        <v>2</v>
      </c>
      <c r="H101" s="359">
        <f t="shared" si="43"/>
        <v>-1.028116192593054</v>
      </c>
      <c r="I101" s="359">
        <f t="shared" ref="I101" si="55">IF(G101=1,H101+N(I100),N(I100))</f>
        <v>2.8968230661339582</v>
      </c>
      <c r="J101" s="359">
        <f t="shared" ref="J101" si="56">IF(G101=2,H101+N(J100),N(J100))</f>
        <v>-5.7335134464027648</v>
      </c>
      <c r="K101" s="304">
        <f t="shared" si="45"/>
        <v>0.72420576653348956</v>
      </c>
      <c r="L101" s="304">
        <f t="shared" si="46"/>
        <v>-0.95558557440046077</v>
      </c>
      <c r="M101" s="304">
        <f t="shared" si="47"/>
        <v>3.6419040118652033</v>
      </c>
      <c r="N101" s="304">
        <f t="shared" si="48"/>
        <v>12.597840928038496</v>
      </c>
      <c r="O101" s="373">
        <f>M101/N101</f>
        <v>0.2890895378556152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281" t="s">
        <v>10</v>
      </c>
      <c r="B105" s="282"/>
      <c r="C105" s="282"/>
      <c r="D105" s="282"/>
      <c r="E105" s="282"/>
      <c r="F105" s="283"/>
      <c r="G105" s="350"/>
      <c r="H105" s="281" t="s">
        <v>9</v>
      </c>
      <c r="I105" s="282"/>
      <c r="J105" s="282"/>
      <c r="K105" s="282"/>
      <c r="L105" s="282"/>
      <c r="M105" s="282"/>
      <c r="N105" s="283"/>
    </row>
    <row r="106" spans="1:19" ht="18" customHeight="1" x14ac:dyDescent="0.3">
      <c r="A106" s="351"/>
      <c r="B106" s="352"/>
      <c r="C106" s="353" t="s">
        <v>5</v>
      </c>
      <c r="D106" s="354"/>
      <c r="E106" s="353" t="s">
        <v>6</v>
      </c>
      <c r="F106" s="354"/>
      <c r="G106" s="240" t="s">
        <v>8</v>
      </c>
      <c r="H106" s="355"/>
      <c r="I106" s="356"/>
      <c r="J106" s="356"/>
      <c r="K106" s="357"/>
      <c r="L106" s="357"/>
      <c r="M106" s="358"/>
      <c r="N106" s="358"/>
      <c r="P106" s="269" t="s">
        <v>27</v>
      </c>
      <c r="Q106" s="269"/>
      <c r="R106" s="269"/>
      <c r="S106" s="269"/>
    </row>
    <row r="107" spans="1:19" ht="18" customHeight="1" x14ac:dyDescent="0.3">
      <c r="A107" s="259"/>
      <c r="B107" s="359">
        <v>-0.67699741026567173</v>
      </c>
      <c r="C107" s="359" t="s">
        <v>5</v>
      </c>
      <c r="D107" s="359">
        <v>0.24074050000000002</v>
      </c>
      <c r="E107" s="359" t="s">
        <v>6</v>
      </c>
      <c r="F107" s="359">
        <f t="shared" ref="F107:F112" si="57">SUM(B107,D107)</f>
        <v>-0.4362569102656717</v>
      </c>
      <c r="G107" s="249">
        <v>2</v>
      </c>
      <c r="H107" s="359">
        <f t="shared" ref="H107:H116" si="58">IF(OR($G107=1,$G107=2), $F107 + IF($G107=1,1,-1)*$N$23*(EXP(-$F107)/(1+EXP(-$F107))), NA())</f>
        <v>-0.61846694032568217</v>
      </c>
      <c r="I107" s="359">
        <f>IF(G107=1,H107+N(I106),N(I106))</f>
        <v>0</v>
      </c>
      <c r="J107" s="359">
        <f>IF(G107=2,H107+N(J106),N(J106))</f>
        <v>-0.61846694032568217</v>
      </c>
      <c r="K107" s="304">
        <f>IFERROR(I107/COUNTIF($G$107:$G$116,1),"ERROR!!!")</f>
        <v>0</v>
      </c>
      <c r="L107" s="304">
        <f>IFERROR(J107/COUNTIF($G$107:$G$116,2),"ERROR!!!")</f>
        <v>-0.10307782338761369</v>
      </c>
      <c r="M107" s="304">
        <f>IF(ROW()=107, 0, M106) + ABS(H107 - IF($G107=1, $K107, $L107))</f>
        <v>0.51538911693806844</v>
      </c>
      <c r="N107" s="304">
        <f>IF(ROW()=107, 0, N106) + ABS(H107 - IF($G107=1, $L107, $K107))</f>
        <v>0.61846694032568217</v>
      </c>
      <c r="P107" s="360"/>
      <c r="Q107" s="361"/>
      <c r="R107" s="316" t="s">
        <v>13</v>
      </c>
      <c r="S107" s="362">
        <f>IF(O116&lt;S92,O116,S92)</f>
        <v>0.27398222793044313</v>
      </c>
    </row>
    <row r="108" spans="1:19" ht="18" customHeight="1" x14ac:dyDescent="0.3">
      <c r="A108" s="259"/>
      <c r="B108" s="359">
        <v>0.69225411753175969</v>
      </c>
      <c r="C108" s="359" t="s">
        <v>5</v>
      </c>
      <c r="D108" s="359">
        <v>-0.24074050000000002</v>
      </c>
      <c r="E108" s="359" t="s">
        <v>6</v>
      </c>
      <c r="F108" s="359">
        <f t="shared" si="57"/>
        <v>0.45151361753175967</v>
      </c>
      <c r="G108" s="249">
        <v>1</v>
      </c>
      <c r="H108" s="359">
        <f t="shared" si="58"/>
        <v>0.56821390260560389</v>
      </c>
      <c r="I108" s="359">
        <f>IF(G108=1,H108+N(I107),N(I107))</f>
        <v>0.56821390260560389</v>
      </c>
      <c r="J108" s="359">
        <f t="shared" ref="J108" si="59">IF(G108=2,H108+N(J107),N(J107))</f>
        <v>-0.61846694032568217</v>
      </c>
      <c r="K108" s="304">
        <f t="shared" ref="K108:K116" si="60">IFERROR(I108/COUNTIF($G$107:$G$116,1),"ERROR!!!")</f>
        <v>0.14205347565140097</v>
      </c>
      <c r="L108" s="304">
        <f t="shared" ref="L108:L113" si="61">IFERROR(J108/COUNTIF($G$107:$G$116,2),"ERROR!!!")</f>
        <v>-0.10307782338761369</v>
      </c>
      <c r="M108" s="304">
        <f t="shared" ref="M108:M116" si="62">IF(ROW()=107, 0, M107) + ABS(H108 - IF($G108=1, $K108, $L108))</f>
        <v>0.94154954389227141</v>
      </c>
      <c r="N108" s="304">
        <f t="shared" ref="N108:N116" si="63">IF(ROW()=107, 0, N107) + ABS(H108 - IF($G108=1, $L108, $K108))</f>
        <v>1.2897586663188998</v>
      </c>
      <c r="P108" s="364"/>
      <c r="Q108" s="365"/>
      <c r="R108" s="259" t="s">
        <v>17</v>
      </c>
      <c r="S108" s="366">
        <v>8</v>
      </c>
    </row>
    <row r="109" spans="1:19" ht="18" customHeight="1" x14ac:dyDescent="0.3">
      <c r="A109" s="259"/>
      <c r="B109" s="359">
        <v>-0.41361540108076145</v>
      </c>
      <c r="C109" s="359" t="s">
        <v>5</v>
      </c>
      <c r="D109" s="359">
        <v>-0.24074050000000002</v>
      </c>
      <c r="E109" s="359" t="s">
        <v>6</v>
      </c>
      <c r="F109" s="359">
        <f t="shared" si="57"/>
        <v>-0.65435590108076147</v>
      </c>
      <c r="G109" s="249">
        <v>2</v>
      </c>
      <c r="H109" s="359">
        <f>IF(OR($G109=1,$G109=2), $F109 + IF($G109=1,1,-1)*$N$23*(EXP(-$F109)/(1+EXP(-$F109))), NA())</f>
        <v>-0.85175331586177228</v>
      </c>
      <c r="I109" s="359">
        <f>IF(G109=1,H109+N(I108),N(I108))</f>
        <v>0.56821390260560389</v>
      </c>
      <c r="J109" s="359">
        <f t="shared" ref="J109:J115" si="64">IF(G109=2,H109+N(J108),N(J108))</f>
        <v>-1.4702202561874544</v>
      </c>
      <c r="K109" s="304">
        <f>IFERROR(I109/COUNTIF($G$107:$G$116,1),"ERROR!!!")</f>
        <v>0.14205347565140097</v>
      </c>
      <c r="L109" s="304">
        <f t="shared" si="61"/>
        <v>-0.24503670936457575</v>
      </c>
      <c r="M109" s="304">
        <f>IF(ROW()=107, 0, M108) + ABS(H109 - IF($G109=1, $K109, $L109))</f>
        <v>1.5482661503894679</v>
      </c>
      <c r="N109" s="304">
        <f t="shared" si="63"/>
        <v>2.283565457832073</v>
      </c>
      <c r="P109" s="368"/>
      <c r="Q109" s="369"/>
      <c r="R109" s="259" t="s">
        <v>15</v>
      </c>
      <c r="S109" s="366">
        <f>IF(O116&lt;S92,S108,S94)</f>
        <v>4</v>
      </c>
    </row>
    <row r="110" spans="1:19" ht="18" customHeight="1" x14ac:dyDescent="0.3">
      <c r="A110" s="259"/>
      <c r="B110" s="359">
        <v>0.54607491198125124</v>
      </c>
      <c r="C110" s="359" t="s">
        <v>5</v>
      </c>
      <c r="D110" s="359">
        <v>0.24074050000000002</v>
      </c>
      <c r="E110" s="359" t="s">
        <v>6</v>
      </c>
      <c r="F110" s="359">
        <f t="shared" si="57"/>
        <v>0.78681541198125127</v>
      </c>
      <c r="G110" s="249">
        <v>1</v>
      </c>
      <c r="H110" s="359">
        <f t="shared" si="58"/>
        <v>0.88067127325285655</v>
      </c>
      <c r="I110" s="359">
        <f t="shared" ref="I110:I111" si="65">IF(G110=1,H110+N(I109),N(I109))</f>
        <v>1.4488851758584604</v>
      </c>
      <c r="J110" s="359">
        <f t="shared" si="64"/>
        <v>-1.4702202561874544</v>
      </c>
      <c r="K110" s="304">
        <f t="shared" si="60"/>
        <v>0.36222129396461511</v>
      </c>
      <c r="L110" s="304">
        <f t="shared" si="61"/>
        <v>-0.24503670936457575</v>
      </c>
      <c r="M110" s="304">
        <f t="shared" si="62"/>
        <v>2.0667161296777095</v>
      </c>
      <c r="N110" s="304">
        <f t="shared" si="63"/>
        <v>3.4092734404495051</v>
      </c>
    </row>
    <row r="111" spans="1:19" ht="18" customHeight="1" x14ac:dyDescent="0.3">
      <c r="A111" s="259"/>
      <c r="B111" s="359">
        <v>0.69225411753175958</v>
      </c>
      <c r="C111" s="359" t="s">
        <v>5</v>
      </c>
      <c r="D111" s="359">
        <v>0.24074050000000002</v>
      </c>
      <c r="E111" s="359" t="s">
        <v>6</v>
      </c>
      <c r="F111" s="359">
        <f t="shared" si="57"/>
        <v>0.93299461753175961</v>
      </c>
      <c r="G111" s="249">
        <v>1</v>
      </c>
      <c r="H111" s="359">
        <f t="shared" si="58"/>
        <v>1.01768988753173</v>
      </c>
      <c r="I111" s="359">
        <f t="shared" si="65"/>
        <v>2.4665750633901906</v>
      </c>
      <c r="J111" s="359">
        <f t="shared" si="64"/>
        <v>-1.4702202561874544</v>
      </c>
      <c r="K111" s="304">
        <f t="shared" si="60"/>
        <v>0.61664376584754765</v>
      </c>
      <c r="L111" s="304">
        <f t="shared" si="61"/>
        <v>-0.24503670936457575</v>
      </c>
      <c r="M111" s="304">
        <f t="shared" si="62"/>
        <v>2.4677622513618918</v>
      </c>
      <c r="N111" s="304">
        <f t="shared" si="63"/>
        <v>4.6720000373458106</v>
      </c>
    </row>
    <row r="112" spans="1:19" ht="18" customHeight="1" x14ac:dyDescent="0.3">
      <c r="A112" s="259"/>
      <c r="B112" s="359">
        <v>0.54607491198125124</v>
      </c>
      <c r="C112" s="359" t="s">
        <v>5</v>
      </c>
      <c r="D112" s="359">
        <v>0.24074050000000002</v>
      </c>
      <c r="E112" s="359" t="s">
        <v>6</v>
      </c>
      <c r="F112" s="359">
        <f t="shared" si="57"/>
        <v>0.78681541198125127</v>
      </c>
      <c r="G112" s="249">
        <v>1</v>
      </c>
      <c r="H112" s="359">
        <f>IF(OR($G112=1,$G112=2), $F112 + IF($G112=1,1,-1)*$N$23*(EXP(-$F112)/(1+EXP(-$F112))), NA())</f>
        <v>0.88067127325285655</v>
      </c>
      <c r="I112" s="359">
        <f>IF(G112=1,H112+N(I111),N(I111))</f>
        <v>3.3472463366430469</v>
      </c>
      <c r="J112" s="359">
        <f t="shared" si="64"/>
        <v>-1.4702202561874544</v>
      </c>
      <c r="K112" s="304">
        <f t="shared" si="60"/>
        <v>0.83681158416076173</v>
      </c>
      <c r="L112" s="304">
        <f t="shared" si="61"/>
        <v>-0.24503670936457575</v>
      </c>
      <c r="M112" s="304">
        <f t="shared" si="62"/>
        <v>2.5116219404539866</v>
      </c>
      <c r="N112" s="304">
        <f t="shared" si="63"/>
        <v>5.7977080199632427</v>
      </c>
    </row>
    <row r="113" spans="1:19" ht="18" customHeight="1" x14ac:dyDescent="0.3">
      <c r="A113" s="259"/>
      <c r="B113" s="359">
        <v>-0.82013350598256329</v>
      </c>
      <c r="C113" s="359" t="s">
        <v>5</v>
      </c>
      <c r="D113" s="359">
        <v>-0.24074050000000002</v>
      </c>
      <c r="E113" s="359" t="s">
        <v>6</v>
      </c>
      <c r="F113" s="359">
        <f t="shared" ref="F113:F114" si="66">SUM(B113,D113)</f>
        <v>-1.0608740059825634</v>
      </c>
      <c r="G113" s="249">
        <v>2</v>
      </c>
      <c r="H113" s="359">
        <f t="shared" si="58"/>
        <v>-1.2837312660477056</v>
      </c>
      <c r="I113" s="359">
        <f t="shared" ref="I113" si="67">IF(G113=1,H113+N(I112),N(I112))</f>
        <v>3.3472463366430469</v>
      </c>
      <c r="J113" s="359">
        <f t="shared" si="64"/>
        <v>-2.7539515222351598</v>
      </c>
      <c r="K113" s="304">
        <f t="shared" si="60"/>
        <v>0.83681158416076173</v>
      </c>
      <c r="L113" s="304">
        <f t="shared" si="61"/>
        <v>-0.45899192037252662</v>
      </c>
      <c r="M113" s="304">
        <f t="shared" si="62"/>
        <v>3.3363612861291658</v>
      </c>
      <c r="N113" s="304">
        <f>IF(ROW()=107, 0, N112) + ABS(H113 - IF($G113=1, $L113, $K113))</f>
        <v>7.9182508701717103</v>
      </c>
    </row>
    <row r="114" spans="1:19" ht="18" customHeight="1" x14ac:dyDescent="0.3">
      <c r="A114" s="259"/>
      <c r="B114" s="359">
        <v>-0.67699741026567162</v>
      </c>
      <c r="C114" s="359" t="s">
        <v>5</v>
      </c>
      <c r="D114" s="359">
        <v>-0.24074050000000002</v>
      </c>
      <c r="E114" s="359" t="s">
        <v>6</v>
      </c>
      <c r="F114" s="359">
        <f t="shared" si="66"/>
        <v>-0.91773791026567164</v>
      </c>
      <c r="G114" s="249">
        <v>2</v>
      </c>
      <c r="H114" s="359">
        <f t="shared" si="58"/>
        <v>-1.1321121998265433</v>
      </c>
      <c r="I114" s="359">
        <f>IF(G114=1,H114+N(I113),N(I113))</f>
        <v>3.3472463366430469</v>
      </c>
      <c r="J114" s="359">
        <f t="shared" si="64"/>
        <v>-3.8860637220617029</v>
      </c>
      <c r="K114" s="304">
        <f t="shared" si="60"/>
        <v>0.83681158416076173</v>
      </c>
      <c r="L114" s="304">
        <f>IFERROR(J114/COUNTIF($G$107:$G$116,2),"ERROR!!!")</f>
        <v>-0.64767728701028382</v>
      </c>
      <c r="M114" s="304">
        <f t="shared" si="62"/>
        <v>3.8207961989454251</v>
      </c>
      <c r="N114" s="304">
        <f t="shared" si="63"/>
        <v>9.8871746541590149</v>
      </c>
      <c r="O114" s="354"/>
    </row>
    <row r="115" spans="1:19" ht="18" customHeight="1" x14ac:dyDescent="0.3">
      <c r="A115" s="259"/>
      <c r="B115" s="359">
        <v>-0.67699741026567162</v>
      </c>
      <c r="C115" s="359" t="s">
        <v>5</v>
      </c>
      <c r="D115" s="359">
        <v>-0.24074050000000002</v>
      </c>
      <c r="E115" s="359" t="s">
        <v>6</v>
      </c>
      <c r="F115" s="359">
        <f>SUM(B115,D115)</f>
        <v>-0.91773791026567164</v>
      </c>
      <c r="G115" s="249">
        <v>2</v>
      </c>
      <c r="H115" s="359">
        <f t="shared" si="58"/>
        <v>-1.1321121998265433</v>
      </c>
      <c r="I115" s="359">
        <f>IF(G115=1,H115+N(I114),N(I114))</f>
        <v>3.3472463366430469</v>
      </c>
      <c r="J115" s="359">
        <f t="shared" si="64"/>
        <v>-5.018175921888246</v>
      </c>
      <c r="K115" s="304">
        <f t="shared" si="60"/>
        <v>0.83681158416076173</v>
      </c>
      <c r="L115" s="304">
        <f>IFERROR(J115/COUNTIF($G$107:$G$116,2),"ERROR!!!")</f>
        <v>-0.83636265364804097</v>
      </c>
      <c r="M115" s="304">
        <f t="shared" si="62"/>
        <v>4.1165457451239273</v>
      </c>
      <c r="N115" s="304">
        <f t="shared" si="63"/>
        <v>11.85609843814632</v>
      </c>
      <c r="O115" s="358"/>
    </row>
    <row r="116" spans="1:19" ht="18" customHeight="1" x14ac:dyDescent="0.3">
      <c r="A116" s="259"/>
      <c r="B116" s="359">
        <v>-0.67699741026567162</v>
      </c>
      <c r="C116" s="359" t="s">
        <v>5</v>
      </c>
      <c r="D116" s="359">
        <v>-0.24074050000000002</v>
      </c>
      <c r="E116" s="359" t="s">
        <v>6</v>
      </c>
      <c r="F116" s="359">
        <f t="shared" ref="F116" si="68">SUM(B116,D116)</f>
        <v>-0.91773791026567164</v>
      </c>
      <c r="G116" s="249">
        <v>2</v>
      </c>
      <c r="H116" s="359">
        <f t="shared" si="58"/>
        <v>-1.1321121998265433</v>
      </c>
      <c r="I116" s="359">
        <f t="shared" ref="I116" si="69">IF(G116=1,H116+N(I115),N(I115))</f>
        <v>3.3472463366430469</v>
      </c>
      <c r="J116" s="359">
        <f t="shared" ref="J116" si="70">IF(G116=2,H116+N(J115),N(J115))</f>
        <v>-6.1502881217147891</v>
      </c>
      <c r="K116" s="304">
        <f t="shared" si="60"/>
        <v>0.83681158416076173</v>
      </c>
      <c r="L116" s="304">
        <f>IFERROR(J116/COUNTIF($G$107:$G$116,2),"ERROR!!!")</f>
        <v>-1.0250480202857981</v>
      </c>
      <c r="M116" s="304">
        <f t="shared" si="62"/>
        <v>4.2236099246646726</v>
      </c>
      <c r="N116" s="304">
        <f t="shared" si="63"/>
        <v>13.825022222133626</v>
      </c>
      <c r="O116" s="373">
        <f>M116/N116</f>
        <v>0.30550474760921142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281" t="s">
        <v>10</v>
      </c>
      <c r="B120" s="282"/>
      <c r="C120" s="282"/>
      <c r="D120" s="282"/>
      <c r="E120" s="282"/>
      <c r="F120" s="283"/>
      <c r="G120" s="350"/>
      <c r="H120" s="281" t="s">
        <v>9</v>
      </c>
      <c r="I120" s="282"/>
      <c r="J120" s="282"/>
      <c r="K120" s="282"/>
      <c r="L120" s="282"/>
      <c r="M120" s="282"/>
      <c r="N120" s="283"/>
    </row>
    <row r="121" spans="1:19" ht="18" customHeight="1" x14ac:dyDescent="0.3">
      <c r="A121" s="351"/>
      <c r="B121" s="352"/>
      <c r="C121" s="353" t="s">
        <v>5</v>
      </c>
      <c r="D121" s="354"/>
      <c r="E121" s="353" t="s">
        <v>6</v>
      </c>
      <c r="F121" s="354"/>
      <c r="G121" s="240" t="s">
        <v>8</v>
      </c>
      <c r="H121" s="355"/>
      <c r="I121" s="356"/>
      <c r="J121" s="356"/>
      <c r="K121" s="357"/>
      <c r="L121" s="357"/>
      <c r="M121" s="358"/>
      <c r="N121" s="358"/>
      <c r="P121" s="269" t="s">
        <v>27</v>
      </c>
      <c r="Q121" s="269"/>
      <c r="R121" s="269"/>
      <c r="S121" s="269"/>
    </row>
    <row r="122" spans="1:19" ht="18" customHeight="1" x14ac:dyDescent="0.3">
      <c r="A122" s="259"/>
      <c r="B122" s="359">
        <v>-0.67699741026567173</v>
      </c>
      <c r="C122" s="359" t="s">
        <v>5</v>
      </c>
      <c r="D122" s="359">
        <v>-5.3571428571428555E-2</v>
      </c>
      <c r="E122" s="359" t="s">
        <v>6</v>
      </c>
      <c r="F122" s="359">
        <f>SUM(B122,D122)</f>
        <v>-0.73056883883710033</v>
      </c>
      <c r="G122" s="249">
        <v>2</v>
      </c>
      <c r="H122" s="359">
        <f>IF(OR($G122=1,$G122=2), $F122 + IF($G122=1,1,-1)*$N$23*(EXP(-$F122)/(1+EXP(-$F122))), NA())</f>
        <v>-0.93304786521763194</v>
      </c>
      <c r="I122" s="359">
        <f>IF(G122=1,H122+N(I121),N(I121))</f>
        <v>0</v>
      </c>
      <c r="J122" s="359">
        <f>IF(G122=2,H122+N(J121),N(J121))</f>
        <v>-0.93304786521763194</v>
      </c>
      <c r="K122" s="304">
        <f>IFERROR(I122/COUNTIF($G$122:$G$131,1),"ERROR!!!")</f>
        <v>0</v>
      </c>
      <c r="L122" s="304">
        <f>IFERROR(J122/COUNTIF($G$122:$G$131,2),"ERROR!!!")</f>
        <v>-0.15550797753627199</v>
      </c>
      <c r="M122" s="304">
        <f>IF(ROW()=122, 0, M121) + ABS(H122 - IF($G122=1, $K122, $L122))</f>
        <v>0.77753988768135995</v>
      </c>
      <c r="N122" s="304">
        <f>IF(ROW()=122, 0, N121) + ABS(H122 - IF($G122=1, $L122, $K122))</f>
        <v>0.93304786521763194</v>
      </c>
      <c r="P122" s="360"/>
      <c r="Q122" s="361"/>
      <c r="R122" s="316" t="s">
        <v>13</v>
      </c>
      <c r="S122" s="362">
        <f>IF(O131&lt;S107,O131,S107)</f>
        <v>0.27398222793044313</v>
      </c>
    </row>
    <row r="123" spans="1:19" ht="18" customHeight="1" x14ac:dyDescent="0.3">
      <c r="A123" s="259"/>
      <c r="B123" s="359">
        <v>0.69225411753175969</v>
      </c>
      <c r="C123" s="359" t="s">
        <v>5</v>
      </c>
      <c r="D123" s="359">
        <v>-5.3571428571428555E-2</v>
      </c>
      <c r="E123" s="359" t="s">
        <v>6</v>
      </c>
      <c r="F123" s="359">
        <f>SUM(B123,D123)</f>
        <v>0.63868268896033109</v>
      </c>
      <c r="G123" s="249">
        <v>1</v>
      </c>
      <c r="H123" s="359">
        <f t="shared" ref="H123:H131" si="71">IF(OR($G123=1,$G123=2), $F123 + IF($G123=1,1,-1)*$N$23*(EXP(-$F123)/(1+EXP(-$F123))), NA())</f>
        <v>0.74234600296887177</v>
      </c>
      <c r="I123" s="359">
        <f>IF(G123=1,H123+N(I122),N(I122))</f>
        <v>0.74234600296887177</v>
      </c>
      <c r="J123" s="359">
        <f t="shared" ref="J123:J131" si="72">IF(G123=2,H123+N(J122),N(J122))</f>
        <v>-0.93304786521763194</v>
      </c>
      <c r="K123" s="304">
        <f t="shared" ref="K123:K131" si="73">IFERROR(I123/COUNTIF($G$122:$G$131,1),"ERROR!!!")</f>
        <v>0.18558650074221794</v>
      </c>
      <c r="L123" s="304">
        <f t="shared" ref="L123:L131" si="74">IFERROR(J123/COUNTIF($G$122:$G$131,2),"ERROR!!!")</f>
        <v>-0.15550797753627199</v>
      </c>
      <c r="M123" s="304">
        <f>IF(ROW()=122, 0, M122) + ABS(H123 - IF($G123=1, $K123, $L123))</f>
        <v>1.3342993899080138</v>
      </c>
      <c r="N123" s="304">
        <f t="shared" ref="N123:N131" si="75">IF(ROW()=122, 0, N122) + ABS(H123 - IF($G123=1, $L123, $K123))</f>
        <v>1.8309018457227757</v>
      </c>
      <c r="P123" s="364"/>
      <c r="Q123" s="365"/>
      <c r="R123" s="259" t="s">
        <v>17</v>
      </c>
      <c r="S123" s="366">
        <v>9</v>
      </c>
    </row>
    <row r="124" spans="1:19" ht="18" customHeight="1" x14ac:dyDescent="0.3">
      <c r="A124" s="259"/>
      <c r="B124" s="359">
        <v>-0.41361540108076145</v>
      </c>
      <c r="C124" s="359" t="s">
        <v>5</v>
      </c>
      <c r="D124" s="359">
        <v>-5.3571428571428555E-2</v>
      </c>
      <c r="E124" s="359" t="s">
        <v>6</v>
      </c>
      <c r="F124" s="359">
        <f t="shared" ref="F124" si="76">SUM(B124,D124)</f>
        <v>-0.46718682965218999</v>
      </c>
      <c r="G124" s="249">
        <v>2</v>
      </c>
      <c r="H124" s="359">
        <f>IF(OR($G124=1,$G124=2), $F124 + IF($G124=1,1,-1)*$N$23*(EXP(-$F124)/(1+EXP(-$F124))), NA())</f>
        <v>-0.65160213993404104</v>
      </c>
      <c r="I124" s="359">
        <f>IF(G124=1,H124+N(I123),N(I123))</f>
        <v>0.74234600296887177</v>
      </c>
      <c r="J124" s="359">
        <f t="shared" si="72"/>
        <v>-1.584650005151673</v>
      </c>
      <c r="K124" s="304">
        <f t="shared" si="73"/>
        <v>0.18558650074221794</v>
      </c>
      <c r="L124" s="304">
        <f t="shared" si="74"/>
        <v>-0.26410833419194552</v>
      </c>
      <c r="M124" s="304">
        <f t="shared" ref="M124:M131" si="77">IF(ROW()=122, 0, M123) + ABS(H124 - IF($G124=1, $K124, $L124))</f>
        <v>1.7217931956501094</v>
      </c>
      <c r="N124" s="304">
        <f t="shared" si="75"/>
        <v>2.6680904863990347</v>
      </c>
      <c r="P124" s="368"/>
      <c r="Q124" s="369"/>
      <c r="R124" s="259" t="s">
        <v>15</v>
      </c>
      <c r="S124" s="366">
        <f>IF(O131&lt;S107,S123,S109)</f>
        <v>4</v>
      </c>
    </row>
    <row r="125" spans="1:19" ht="18" customHeight="1" x14ac:dyDescent="0.3">
      <c r="A125" s="259"/>
      <c r="B125" s="359">
        <v>0.54607491198125124</v>
      </c>
      <c r="C125" s="359" t="s">
        <v>5</v>
      </c>
      <c r="D125" s="359">
        <v>5.3571428571428575E-2</v>
      </c>
      <c r="E125" s="359" t="s">
        <v>6</v>
      </c>
      <c r="F125" s="359">
        <f>SUM(B125,D125)</f>
        <v>0.59964634055267985</v>
      </c>
      <c r="G125" s="249">
        <v>1</v>
      </c>
      <c r="H125" s="359">
        <f t="shared" si="71"/>
        <v>0.70597372344755815</v>
      </c>
      <c r="I125" s="359">
        <f t="shared" ref="I125" si="78">IF(G125=1,H125+N(I124),N(I124))</f>
        <v>1.4483197264164298</v>
      </c>
      <c r="J125" s="359">
        <f t="shared" si="72"/>
        <v>-1.584650005151673</v>
      </c>
      <c r="K125" s="304">
        <f t="shared" si="73"/>
        <v>0.36207993160410745</v>
      </c>
      <c r="L125" s="304">
        <f t="shared" si="74"/>
        <v>-0.26410833419194552</v>
      </c>
      <c r="M125" s="304">
        <f t="shared" si="77"/>
        <v>2.0656869874935602</v>
      </c>
      <c r="N125" s="304">
        <f t="shared" si="75"/>
        <v>3.6381725440385386</v>
      </c>
    </row>
    <row r="126" spans="1:19" ht="18" customHeight="1" x14ac:dyDescent="0.3">
      <c r="A126" s="259"/>
      <c r="B126" s="359">
        <v>0.69225411753175958</v>
      </c>
      <c r="C126" s="359" t="s">
        <v>5</v>
      </c>
      <c r="D126" s="359">
        <v>5.3571428571428575E-2</v>
      </c>
      <c r="E126" s="359" t="s">
        <v>6</v>
      </c>
      <c r="F126" s="359">
        <f>SUM(B126,D126)</f>
        <v>0.74582554610318819</v>
      </c>
      <c r="G126" s="249">
        <v>1</v>
      </c>
      <c r="H126" s="359">
        <f t="shared" si="71"/>
        <v>0.84234501799350581</v>
      </c>
      <c r="I126" s="359">
        <f>IF(G126=1,H126+N(I125),N(I125))</f>
        <v>2.2906647444099355</v>
      </c>
      <c r="J126" s="359">
        <f>IF(G126=2,H126+N(J125),N(J125))</f>
        <v>-1.584650005151673</v>
      </c>
      <c r="K126" s="304">
        <f t="shared" si="73"/>
        <v>0.57266618610248388</v>
      </c>
      <c r="L126" s="304">
        <f>IFERROR(J126/COUNTIF($G$122:$G$131,2),"ERROR!!!")</f>
        <v>-0.26410833419194552</v>
      </c>
      <c r="M126" s="304">
        <f t="shared" si="77"/>
        <v>2.3353658193845819</v>
      </c>
      <c r="N126" s="304">
        <f t="shared" si="75"/>
        <v>4.7446258962239902</v>
      </c>
    </row>
    <row r="127" spans="1:19" ht="18" customHeight="1" x14ac:dyDescent="0.3">
      <c r="A127" s="259"/>
      <c r="B127" s="359">
        <v>0.54607491198125124</v>
      </c>
      <c r="C127" s="359" t="s">
        <v>5</v>
      </c>
      <c r="D127" s="359">
        <v>-5.3571428571428555E-2</v>
      </c>
      <c r="E127" s="359" t="s">
        <v>6</v>
      </c>
      <c r="F127" s="359">
        <f>SUM(B127,D127)</f>
        <v>0.4925034834098227</v>
      </c>
      <c r="G127" s="249">
        <v>1</v>
      </c>
      <c r="H127" s="359">
        <f>IF(OR($G127=1,$G127=2), $F127 + IF($G127=1,1,-1)*$N$23*(EXP(-$F127)/(1+EXP(-$F127))), NA())</f>
        <v>0.60629467996807607</v>
      </c>
      <c r="I127" s="359">
        <f>IF(G127=1,H127+N(I126),N(I126))</f>
        <v>2.8969594243780117</v>
      </c>
      <c r="J127" s="359">
        <f t="shared" si="72"/>
        <v>-1.584650005151673</v>
      </c>
      <c r="K127" s="304">
        <f t="shared" si="73"/>
        <v>0.72423985609450292</v>
      </c>
      <c r="L127" s="304">
        <f>IFERROR(J127/COUNTIF($G$122:$G$131,2),"ERROR!!!")</f>
        <v>-0.26410833419194552</v>
      </c>
      <c r="M127" s="304">
        <f t="shared" si="77"/>
        <v>2.4533109955110088</v>
      </c>
      <c r="N127" s="304">
        <f t="shared" si="75"/>
        <v>5.6150289103840123</v>
      </c>
    </row>
    <row r="128" spans="1:19" ht="18" customHeight="1" x14ac:dyDescent="0.3">
      <c r="A128" s="259"/>
      <c r="B128" s="359">
        <v>-0.82013350598256329</v>
      </c>
      <c r="C128" s="359" t="s">
        <v>5</v>
      </c>
      <c r="D128" s="359">
        <v>5.3571428571428575E-2</v>
      </c>
      <c r="E128" s="359" t="s">
        <v>6</v>
      </c>
      <c r="F128" s="359">
        <f t="shared" ref="F128:F129" si="79">SUM(B128,D128)</f>
        <v>-0.76656207741113469</v>
      </c>
      <c r="G128" s="249">
        <v>2</v>
      </c>
      <c r="H128" s="359">
        <f t="shared" si="71"/>
        <v>-0.97139509738937713</v>
      </c>
      <c r="I128" s="359">
        <f>IF(G128=1,H128+N(I127),N(I127))</f>
        <v>2.8969594243780117</v>
      </c>
      <c r="J128" s="359">
        <f t="shared" si="72"/>
        <v>-2.55604510254105</v>
      </c>
      <c r="K128" s="304">
        <f t="shared" si="73"/>
        <v>0.72423985609450292</v>
      </c>
      <c r="L128" s="304">
        <f t="shared" si="74"/>
        <v>-0.42600751709017498</v>
      </c>
      <c r="M128" s="304">
        <f t="shared" si="77"/>
        <v>2.9986985758102112</v>
      </c>
      <c r="N128" s="304">
        <f>IF(ROW()=122, 0, N127) + ABS(H128 - IF($G128=1, $L128, $K128))</f>
        <v>7.3106638638678927</v>
      </c>
    </row>
    <row r="129" spans="1:19" ht="18" customHeight="1" x14ac:dyDescent="0.3">
      <c r="A129" s="259"/>
      <c r="B129" s="359">
        <v>-0.67699741026567162</v>
      </c>
      <c r="C129" s="359" t="s">
        <v>5</v>
      </c>
      <c r="D129" s="359">
        <v>5.3571428571428575E-2</v>
      </c>
      <c r="E129" s="359" t="s">
        <v>6</v>
      </c>
      <c r="F129" s="359">
        <f t="shared" si="79"/>
        <v>-0.62342598169424301</v>
      </c>
      <c r="G129" s="249">
        <v>2</v>
      </c>
      <c r="H129" s="359">
        <f t="shared" si="71"/>
        <v>-0.81872518161300734</v>
      </c>
      <c r="I129" s="359">
        <f>IF(G129=1,H129+N(I128),N(I128))</f>
        <v>2.8969594243780117</v>
      </c>
      <c r="J129" s="359">
        <f t="shared" si="72"/>
        <v>-3.3747702841540574</v>
      </c>
      <c r="K129" s="304">
        <f t="shared" si="73"/>
        <v>0.72423985609450292</v>
      </c>
      <c r="L129" s="304">
        <f t="shared" si="74"/>
        <v>-0.56246171402567624</v>
      </c>
      <c r="M129" s="304">
        <f t="shared" si="77"/>
        <v>3.2549620433975424</v>
      </c>
      <c r="N129" s="304">
        <f t="shared" si="75"/>
        <v>8.8536289015754033</v>
      </c>
      <c r="O129" s="354"/>
    </row>
    <row r="130" spans="1:19" ht="18" customHeight="1" x14ac:dyDescent="0.3">
      <c r="A130" s="259"/>
      <c r="B130" s="359">
        <v>-0.67699741026567162</v>
      </c>
      <c r="C130" s="359" t="s">
        <v>5</v>
      </c>
      <c r="D130" s="359">
        <v>-5.3571428571428555E-2</v>
      </c>
      <c r="E130" s="359" t="s">
        <v>6</v>
      </c>
      <c r="F130" s="359">
        <f>SUM(B130,D130)</f>
        <v>-0.73056883883710022</v>
      </c>
      <c r="G130" s="249">
        <v>2</v>
      </c>
      <c r="H130" s="359">
        <f t="shared" si="71"/>
        <v>-0.93304786521763183</v>
      </c>
      <c r="I130" s="359">
        <f>IF(G130=1,H130+N(I129),N(I129))</f>
        <v>2.8969594243780117</v>
      </c>
      <c r="J130" s="359">
        <f t="shared" si="72"/>
        <v>-4.3078181493716894</v>
      </c>
      <c r="K130" s="304">
        <f t="shared" si="73"/>
        <v>0.72423985609450292</v>
      </c>
      <c r="L130" s="304">
        <f t="shared" si="74"/>
        <v>-0.71796969156194823</v>
      </c>
      <c r="M130" s="304">
        <f>IF(ROW()=122, 0, M129) + ABS(H130 - IF($G130=1, $K130, $L130))</f>
        <v>3.4700402170532261</v>
      </c>
      <c r="N130" s="304">
        <f t="shared" si="75"/>
        <v>10.510916622887539</v>
      </c>
      <c r="O130" s="358"/>
    </row>
    <row r="131" spans="1:19" ht="18" customHeight="1" x14ac:dyDescent="0.3">
      <c r="A131" s="259"/>
      <c r="B131" s="359">
        <v>-0.67699741026567162</v>
      </c>
      <c r="C131" s="359" t="s">
        <v>5</v>
      </c>
      <c r="D131" s="359">
        <v>-5.3571428571428555E-2</v>
      </c>
      <c r="E131" s="359" t="s">
        <v>6</v>
      </c>
      <c r="F131" s="359">
        <f t="shared" ref="F131" si="80">SUM(B131,D131)</f>
        <v>-0.73056883883710022</v>
      </c>
      <c r="G131" s="249">
        <v>2</v>
      </c>
      <c r="H131" s="359">
        <f t="shared" si="71"/>
        <v>-0.93304786521763183</v>
      </c>
      <c r="I131" s="359">
        <f t="shared" ref="I131" si="81">IF(G131=1,H131+N(I130),N(I130))</f>
        <v>2.8969594243780117</v>
      </c>
      <c r="J131" s="359">
        <f t="shared" si="72"/>
        <v>-5.2408660145893213</v>
      </c>
      <c r="K131" s="304">
        <f t="shared" si="73"/>
        <v>0.72423985609450292</v>
      </c>
      <c r="L131" s="304">
        <f t="shared" si="74"/>
        <v>-0.87347766909822022</v>
      </c>
      <c r="M131" s="304">
        <f t="shared" si="77"/>
        <v>3.5296104131726378</v>
      </c>
      <c r="N131" s="304">
        <f t="shared" si="75"/>
        <v>12.168204344199673</v>
      </c>
      <c r="O131" s="373">
        <f>M131/N131</f>
        <v>0.29006830534162825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281" t="s">
        <v>10</v>
      </c>
      <c r="B135" s="282"/>
      <c r="C135" s="282"/>
      <c r="D135" s="282"/>
      <c r="E135" s="282"/>
      <c r="F135" s="283"/>
      <c r="G135" s="350"/>
      <c r="H135" s="281" t="s">
        <v>9</v>
      </c>
      <c r="I135" s="282"/>
      <c r="J135" s="282"/>
      <c r="K135" s="282"/>
      <c r="L135" s="282"/>
      <c r="M135" s="282"/>
      <c r="N135" s="283"/>
    </row>
    <row r="136" spans="1:19" ht="18" customHeight="1" x14ac:dyDescent="0.3">
      <c r="A136" s="351"/>
      <c r="B136" s="352"/>
      <c r="C136" s="353" t="s">
        <v>5</v>
      </c>
      <c r="D136" s="354"/>
      <c r="E136" s="353" t="s">
        <v>6</v>
      </c>
      <c r="F136" s="354"/>
      <c r="G136" s="240" t="s">
        <v>8</v>
      </c>
      <c r="H136" s="355"/>
      <c r="I136" s="356"/>
      <c r="J136" s="356"/>
      <c r="K136" s="357"/>
      <c r="L136" s="357"/>
      <c r="M136" s="358"/>
      <c r="N136" s="358"/>
      <c r="P136" s="269" t="s">
        <v>27</v>
      </c>
      <c r="Q136" s="269"/>
      <c r="R136" s="269"/>
      <c r="S136" s="269"/>
    </row>
    <row r="137" spans="1:19" ht="18" customHeight="1" x14ac:dyDescent="0.3">
      <c r="A137" s="259"/>
      <c r="B137" s="359">
        <v>-0.67699741026567173</v>
      </c>
      <c r="C137" s="359" t="s">
        <v>5</v>
      </c>
      <c r="D137" s="359">
        <v>-0.24074050000000002</v>
      </c>
      <c r="E137" s="359" t="s">
        <v>6</v>
      </c>
      <c r="F137" s="359">
        <f>SUM(B137,D137)</f>
        <v>-0.91773791026567175</v>
      </c>
      <c r="G137" s="249">
        <v>2</v>
      </c>
      <c r="H137" s="359">
        <f>IF(OR($G137=1,$G137=2), $F137 + IF($G137=1,1,-1)*$N$23*(EXP(-$F137)/(1+EXP(-$F137))), NA())</f>
        <v>-1.1321121998265435</v>
      </c>
      <c r="I137" s="359">
        <f>IF(G137=1,H137+N(I136),N(I136))</f>
        <v>0</v>
      </c>
      <c r="J137" s="359">
        <f>IF(G137=2,H137+N(J136),N(J136))</f>
        <v>-1.1321121998265435</v>
      </c>
      <c r="K137" s="304">
        <f>IFERROR(I137/COUNTIF($G$137:$G$146,1),"ERROR!!!")</f>
        <v>0</v>
      </c>
      <c r="L137" s="304">
        <f>IFERROR(J137/COUNTIF($G$137:$G$146,2),"ERROR!!!")</f>
        <v>-0.18868536663775726</v>
      </c>
      <c r="M137" s="304">
        <f>IF(ROW()=137, 0, M136) + ABS(H137 - IF($G137=1, $K137, $L137))</f>
        <v>0.94342683318878628</v>
      </c>
      <c r="N137" s="304">
        <f>IF(ROW()=137, 0, N136) + ABS(H137 - IF($G137=1, $L137, $K137))</f>
        <v>1.1321121998265435</v>
      </c>
      <c r="P137" s="360"/>
      <c r="Q137" s="361"/>
      <c r="R137" s="316" t="s">
        <v>13</v>
      </c>
      <c r="S137" s="362">
        <f>IF(O146&lt;S122,O146,S122)</f>
        <v>0.27398222793044313</v>
      </c>
    </row>
    <row r="138" spans="1:19" ht="18" customHeight="1" x14ac:dyDescent="0.3">
      <c r="A138" s="259"/>
      <c r="B138" s="359">
        <v>0.69225411753175969</v>
      </c>
      <c r="C138" s="359" t="s">
        <v>5</v>
      </c>
      <c r="D138" s="359">
        <v>-0.24074050000000002</v>
      </c>
      <c r="E138" s="359" t="s">
        <v>6</v>
      </c>
      <c r="F138" s="359">
        <f>SUM(B138,D138)</f>
        <v>0.45151361753175967</v>
      </c>
      <c r="G138" s="249">
        <v>1</v>
      </c>
      <c r="H138" s="359">
        <f>IF(OR($G138=1,$G138=2), $F138 + IF($G138=1,1,-1)*$N$23*(EXP(-$F138)/(1+EXP(-$F138))), NA())</f>
        <v>0.56821390260560389</v>
      </c>
      <c r="I138" s="359">
        <f>IF(G138=1,H138+N(I137),N(I137))</f>
        <v>0.56821390260560389</v>
      </c>
      <c r="J138" s="359">
        <f t="shared" ref="J138:J146" si="82">IF(G138=2,H138+N(J137),N(J137))</f>
        <v>-1.1321121998265435</v>
      </c>
      <c r="K138" s="304">
        <f t="shared" ref="K138:K146" si="83">IFERROR(I138/COUNTIF($G$137:$G$146,1),"ERROR!!!")</f>
        <v>0.14205347565140097</v>
      </c>
      <c r="L138" s="304">
        <f t="shared" ref="L138:L146" si="84">IFERROR(J138/COUNTIF($G$137:$G$146,2),"ERROR!!!")</f>
        <v>-0.18868536663775726</v>
      </c>
      <c r="M138" s="304">
        <f t="shared" ref="M138:M146" si="85">IF(ROW()=137, 0, M137) + ABS(H138 - IF($G138=1, $K138, $L138))</f>
        <v>1.3695872601429893</v>
      </c>
      <c r="N138" s="304">
        <f t="shared" ref="N138:N146" si="86">IF(ROW()=137, 0, N137) + ABS(H138 - IF($G138=1, $L138, $K138))</f>
        <v>1.8890114690699047</v>
      </c>
      <c r="P138" s="364"/>
      <c r="Q138" s="365"/>
      <c r="R138" s="259" t="s">
        <v>17</v>
      </c>
      <c r="S138" s="366">
        <v>10</v>
      </c>
    </row>
    <row r="139" spans="1:19" ht="18" customHeight="1" x14ac:dyDescent="0.3">
      <c r="A139" s="259"/>
      <c r="B139" s="359">
        <v>-0.41361540108076145</v>
      </c>
      <c r="C139" s="359" t="s">
        <v>5</v>
      </c>
      <c r="D139" s="359">
        <v>0.24074050000000002</v>
      </c>
      <c r="E139" s="359" t="s">
        <v>6</v>
      </c>
      <c r="F139" s="359">
        <f t="shared" ref="F139" si="87">SUM(B139,D139)</f>
        <v>-0.17287490108076142</v>
      </c>
      <c r="G139" s="249">
        <v>2</v>
      </c>
      <c r="H139" s="359">
        <f>IF(OR($G139=1,$G139=2), $F139 + IF($G139=1,1,-1)*$N$23*(EXP(-$F139)/(1+EXP(-$F139))), NA())</f>
        <v>-0.33580832429322433</v>
      </c>
      <c r="I139" s="359">
        <f>IF(G139=1,H139+N(I138),N(I138))</f>
        <v>0.56821390260560389</v>
      </c>
      <c r="J139" s="359">
        <f>IF(G139=2,H139+N(J138),N(J138))</f>
        <v>-1.4679205241197679</v>
      </c>
      <c r="K139" s="304">
        <f t="shared" si="83"/>
        <v>0.14205347565140097</v>
      </c>
      <c r="L139" s="304">
        <f t="shared" si="84"/>
        <v>-0.24465342068662799</v>
      </c>
      <c r="M139" s="304">
        <f>IF(ROW()=137, 0, M138) + ABS(H139 - IF($G139=1, $K139, $L139))</f>
        <v>1.4607421637495857</v>
      </c>
      <c r="N139" s="304">
        <f t="shared" si="86"/>
        <v>2.3668732690145298</v>
      </c>
      <c r="P139" s="368"/>
      <c r="Q139" s="369"/>
      <c r="R139" s="259" t="s">
        <v>15</v>
      </c>
      <c r="S139" s="366">
        <f>IF(O146&lt;S122,S138,S124)</f>
        <v>4</v>
      </c>
    </row>
    <row r="140" spans="1:19" ht="18" customHeight="1" x14ac:dyDescent="0.3">
      <c r="A140" s="259"/>
      <c r="B140" s="359">
        <v>0.54607491198125124</v>
      </c>
      <c r="C140" s="359" t="s">
        <v>5</v>
      </c>
      <c r="D140" s="359">
        <v>0.24074050000000002</v>
      </c>
      <c r="E140" s="359" t="s">
        <v>6</v>
      </c>
      <c r="F140" s="359">
        <f>SUM(B140,D140)</f>
        <v>0.78681541198125127</v>
      </c>
      <c r="G140" s="249">
        <v>1</v>
      </c>
      <c r="H140" s="359">
        <f t="shared" ref="H140:H146" si="88">IF(OR($G140=1,$G140=2), $F140 + IF($G140=1,1,-1)*$N$23*(EXP(-$F140)/(1+EXP(-$F140))), NA())</f>
        <v>0.88067127325285655</v>
      </c>
      <c r="I140" s="359">
        <f t="shared" ref="I140" si="89">IF(G140=1,H140+N(I139),N(I139))</f>
        <v>1.4488851758584604</v>
      </c>
      <c r="J140" s="359">
        <f>IF(G140=2,H140+N(J139),N(J139))</f>
        <v>-1.4679205241197679</v>
      </c>
      <c r="K140" s="304">
        <f t="shared" si="83"/>
        <v>0.36222129396461511</v>
      </c>
      <c r="L140" s="304">
        <f>IFERROR(J140/COUNTIF($G$137:$G$146,2),"ERROR!!!")</f>
        <v>-0.24465342068662799</v>
      </c>
      <c r="M140" s="304">
        <f t="shared" si="85"/>
        <v>1.9791921430378272</v>
      </c>
      <c r="N140" s="304">
        <f t="shared" si="86"/>
        <v>3.4921979629540143</v>
      </c>
    </row>
    <row r="141" spans="1:19" ht="18" customHeight="1" x14ac:dyDescent="0.3">
      <c r="A141" s="259"/>
      <c r="B141" s="359">
        <v>0.69225411753175958</v>
      </c>
      <c r="C141" s="359" t="s">
        <v>5</v>
      </c>
      <c r="D141" s="359">
        <v>0.24074050000000002</v>
      </c>
      <c r="E141" s="359" t="s">
        <v>6</v>
      </c>
      <c r="F141" s="359">
        <f>SUM(B141,D141)</f>
        <v>0.93299461753175961</v>
      </c>
      <c r="G141" s="249">
        <v>1</v>
      </c>
      <c r="H141" s="359">
        <f t="shared" si="88"/>
        <v>1.01768988753173</v>
      </c>
      <c r="I141" s="359">
        <f>IF(G141=1,H141+N(I140),N(I140))</f>
        <v>2.4665750633901906</v>
      </c>
      <c r="J141" s="359">
        <f t="shared" si="82"/>
        <v>-1.4679205241197679</v>
      </c>
      <c r="K141" s="304">
        <f t="shared" si="83"/>
        <v>0.61664376584754765</v>
      </c>
      <c r="L141" s="304">
        <f t="shared" si="84"/>
        <v>-0.24465342068662799</v>
      </c>
      <c r="M141" s="304">
        <f t="shared" si="85"/>
        <v>2.3802382647220095</v>
      </c>
      <c r="N141" s="304">
        <f t="shared" si="86"/>
        <v>4.7545412711723722</v>
      </c>
    </row>
    <row r="142" spans="1:19" ht="18" customHeight="1" x14ac:dyDescent="0.3">
      <c r="A142" s="259"/>
      <c r="B142" s="359">
        <v>0.54607491198125124</v>
      </c>
      <c r="C142" s="359" t="s">
        <v>5</v>
      </c>
      <c r="D142" s="359">
        <v>0.24074050000000002</v>
      </c>
      <c r="E142" s="359" t="s">
        <v>6</v>
      </c>
      <c r="F142" s="359">
        <f>SUM(B142,D142)</f>
        <v>0.78681541198125127</v>
      </c>
      <c r="G142" s="249">
        <v>1</v>
      </c>
      <c r="H142" s="359">
        <f>IF(OR($G142=1,$G142=2), $F142 + IF($G142=1,1,-1)*$N$23*(EXP(-$F142)/(1+EXP(-$F142))), NA())</f>
        <v>0.88067127325285655</v>
      </c>
      <c r="I142" s="359">
        <f>IF(G142=1,H142+N(I141),N(I141))</f>
        <v>3.3472463366430469</v>
      </c>
      <c r="J142" s="359">
        <f t="shared" si="82"/>
        <v>-1.4679205241197679</v>
      </c>
      <c r="K142" s="304">
        <f t="shared" si="83"/>
        <v>0.83681158416076173</v>
      </c>
      <c r="L142" s="304">
        <f t="shared" si="84"/>
        <v>-0.24465342068662799</v>
      </c>
      <c r="M142" s="304">
        <f t="shared" si="85"/>
        <v>2.4240979538141043</v>
      </c>
      <c r="N142" s="304">
        <f t="shared" si="86"/>
        <v>5.8798659651118568</v>
      </c>
    </row>
    <row r="143" spans="1:19" ht="18" customHeight="1" x14ac:dyDescent="0.3">
      <c r="A143" s="259"/>
      <c r="B143" s="359">
        <v>-0.82013350598256329</v>
      </c>
      <c r="C143" s="359" t="s">
        <v>5</v>
      </c>
      <c r="D143" s="359">
        <v>-0.24074050000000002</v>
      </c>
      <c r="E143" s="359" t="s">
        <v>6</v>
      </c>
      <c r="F143" s="359">
        <f t="shared" ref="F143:F144" si="90">SUM(B143,D143)</f>
        <v>-1.0608740059825634</v>
      </c>
      <c r="G143" s="249">
        <v>2</v>
      </c>
      <c r="H143" s="359">
        <f t="shared" si="88"/>
        <v>-1.2837312660477056</v>
      </c>
      <c r="I143" s="359">
        <f>IF(G143=1,H143+N(I142),N(I142))</f>
        <v>3.3472463366430469</v>
      </c>
      <c r="J143" s="359">
        <f t="shared" si="82"/>
        <v>-2.7516517901674735</v>
      </c>
      <c r="K143" s="304">
        <f t="shared" si="83"/>
        <v>0.83681158416076173</v>
      </c>
      <c r="L143" s="304">
        <f t="shared" si="84"/>
        <v>-0.45860863169457894</v>
      </c>
      <c r="M143" s="304">
        <f t="shared" si="85"/>
        <v>3.2492205881672307</v>
      </c>
      <c r="N143" s="304">
        <f t="shared" si="86"/>
        <v>8.0004088153203234</v>
      </c>
    </row>
    <row r="144" spans="1:19" ht="18" customHeight="1" x14ac:dyDescent="0.3">
      <c r="A144" s="259"/>
      <c r="B144" s="359">
        <v>-0.67699741026567162</v>
      </c>
      <c r="C144" s="359" t="s">
        <v>5</v>
      </c>
      <c r="D144" s="359">
        <v>-0.24074050000000002</v>
      </c>
      <c r="E144" s="359" t="s">
        <v>6</v>
      </c>
      <c r="F144" s="359">
        <f t="shared" si="90"/>
        <v>-0.91773791026567164</v>
      </c>
      <c r="G144" s="249">
        <v>2</v>
      </c>
      <c r="H144" s="359">
        <f t="shared" si="88"/>
        <v>-1.1321121998265433</v>
      </c>
      <c r="I144" s="359">
        <f>IF(G144=1,H144+N(I143),N(I143))</f>
        <v>3.3472463366430469</v>
      </c>
      <c r="J144" s="359">
        <f t="shared" si="82"/>
        <v>-3.8837639899940166</v>
      </c>
      <c r="K144" s="304">
        <f>IFERROR(I144/COUNTIF($G$137:$G$146,1),"ERROR!!!")</f>
        <v>0.83681158416076173</v>
      </c>
      <c r="L144" s="304">
        <f t="shared" si="84"/>
        <v>-0.64729399833233614</v>
      </c>
      <c r="M144" s="304">
        <f t="shared" si="85"/>
        <v>3.734038789661438</v>
      </c>
      <c r="N144" s="304">
        <f t="shared" si="86"/>
        <v>9.9693325993076289</v>
      </c>
      <c r="O144" s="354"/>
    </row>
    <row r="145" spans="1:19" ht="18" customHeight="1" x14ac:dyDescent="0.3">
      <c r="A145" s="259"/>
      <c r="B145" s="359">
        <v>-0.67699741026567162</v>
      </c>
      <c r="C145" s="359" t="s">
        <v>5</v>
      </c>
      <c r="D145" s="359">
        <v>-0.24074050000000002</v>
      </c>
      <c r="E145" s="359" t="s">
        <v>6</v>
      </c>
      <c r="F145" s="359">
        <f>SUM(B145,D145)</f>
        <v>-0.91773791026567164</v>
      </c>
      <c r="G145" s="249">
        <v>2</v>
      </c>
      <c r="H145" s="359">
        <f t="shared" si="88"/>
        <v>-1.1321121998265433</v>
      </c>
      <c r="I145" s="359">
        <f>IF(G145=1,H145+N(I144),N(I144))</f>
        <v>3.3472463366430469</v>
      </c>
      <c r="J145" s="359">
        <f t="shared" si="82"/>
        <v>-5.0158761898205597</v>
      </c>
      <c r="K145" s="304">
        <f t="shared" si="83"/>
        <v>0.83681158416076173</v>
      </c>
      <c r="L145" s="304">
        <f t="shared" si="84"/>
        <v>-0.83597936497009329</v>
      </c>
      <c r="M145" s="304">
        <f t="shared" si="85"/>
        <v>4.0301716245178882</v>
      </c>
      <c r="N145" s="304">
        <f>IF(ROW()=137, 0, N144) + ABS(H145 - IF($G145=1, $L145, $K145))</f>
        <v>11.938256383294934</v>
      </c>
      <c r="O145" s="358"/>
    </row>
    <row r="146" spans="1:19" ht="18" customHeight="1" x14ac:dyDescent="0.3">
      <c r="A146" s="259"/>
      <c r="B146" s="359">
        <v>-0.67699741026567162</v>
      </c>
      <c r="C146" s="359" t="s">
        <v>5</v>
      </c>
      <c r="D146" s="359">
        <v>-0.24074050000000002</v>
      </c>
      <c r="E146" s="359" t="s">
        <v>6</v>
      </c>
      <c r="F146" s="359">
        <f t="shared" ref="F146" si="91">SUM(B146,D146)</f>
        <v>-0.91773791026567164</v>
      </c>
      <c r="G146" s="249">
        <v>2</v>
      </c>
      <c r="H146" s="359">
        <f t="shared" si="88"/>
        <v>-1.1321121998265433</v>
      </c>
      <c r="I146" s="359">
        <f t="shared" ref="I146" si="92">IF(G146=1,H146+N(I145),N(I145))</f>
        <v>3.3472463366430469</v>
      </c>
      <c r="J146" s="359">
        <f t="shared" si="82"/>
        <v>-6.1479883896471028</v>
      </c>
      <c r="K146" s="304">
        <f t="shared" si="83"/>
        <v>0.83681158416076173</v>
      </c>
      <c r="L146" s="304">
        <f t="shared" si="84"/>
        <v>-1.0246647316078505</v>
      </c>
      <c r="M146" s="304">
        <f t="shared" si="85"/>
        <v>4.137619092736581</v>
      </c>
      <c r="N146" s="304">
        <f t="shared" si="86"/>
        <v>13.90718016728224</v>
      </c>
      <c r="O146" s="373">
        <f>M146/N146</f>
        <v>0.29751675343004924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281" t="s">
        <v>10</v>
      </c>
      <c r="B150" s="282"/>
      <c r="C150" s="282"/>
      <c r="D150" s="282"/>
      <c r="E150" s="282"/>
      <c r="F150" s="283"/>
      <c r="G150" s="350"/>
      <c r="H150" s="281" t="s">
        <v>9</v>
      </c>
      <c r="I150" s="282"/>
      <c r="J150" s="282"/>
      <c r="K150" s="282"/>
      <c r="L150" s="282"/>
      <c r="M150" s="282"/>
      <c r="N150" s="283"/>
    </row>
    <row r="151" spans="1:19" ht="18" customHeight="1" x14ac:dyDescent="0.3">
      <c r="A151" s="351"/>
      <c r="B151" s="352"/>
      <c r="C151" s="353" t="s">
        <v>5</v>
      </c>
      <c r="D151" s="354"/>
      <c r="E151" s="353" t="s">
        <v>6</v>
      </c>
      <c r="F151" s="354"/>
      <c r="G151" s="240" t="s">
        <v>8</v>
      </c>
      <c r="H151" s="355"/>
      <c r="I151" s="356"/>
      <c r="J151" s="356"/>
      <c r="K151" s="357"/>
      <c r="L151" s="357"/>
      <c r="M151" s="358"/>
      <c r="N151" s="358"/>
      <c r="P151" s="269" t="s">
        <v>27</v>
      </c>
      <c r="Q151" s="269"/>
      <c r="R151" s="269"/>
      <c r="S151" s="269"/>
    </row>
    <row r="152" spans="1:19" ht="18" customHeight="1" x14ac:dyDescent="0.3">
      <c r="A152" s="259"/>
      <c r="B152" s="359">
        <v>-0.67699741026567173</v>
      </c>
      <c r="C152" s="359" t="s">
        <v>5</v>
      </c>
      <c r="D152" s="359">
        <v>-0.14285714285714288</v>
      </c>
      <c r="E152" s="359" t="s">
        <v>6</v>
      </c>
      <c r="F152" s="359">
        <f>SUM(B152,D152)</f>
        <v>-0.81985455312281463</v>
      </c>
      <c r="G152" s="249">
        <v>2</v>
      </c>
      <c r="H152" s="359">
        <f>IF(OR($G152=1,$G152=2), $F152 + IF($G152=1,1,-1)*$N$23*(EXP(-$F152)/(1+EXP(-$F152))), NA())</f>
        <v>-1.028116192593054</v>
      </c>
      <c r="I152" s="359">
        <f t="shared" ref="I152:I161" si="93">IF(G152=1,H152+N(I151),N(I151))</f>
        <v>0</v>
      </c>
      <c r="J152" s="359">
        <f>IF(G152=2,H152+N(J151),N(J151))</f>
        <v>-1.028116192593054</v>
      </c>
      <c r="K152" s="304">
        <f>IFERROR(I152/COUNTIF($G$152:$G$161,1),"ERROR!!!")</f>
        <v>0</v>
      </c>
      <c r="L152" s="304">
        <f>IFERROR(J152/COUNTIF($G$152:$G$161,2),"ERROR!!!")</f>
        <v>-0.17135269876550899</v>
      </c>
      <c r="M152" s="304">
        <f>IF(ROW()=152, 0, M151) + ABS(H152 - IF($G152=1, $K152, $L152))</f>
        <v>0.85676349382754502</v>
      </c>
      <c r="N152" s="304">
        <f>IF(ROW()=152, 0, N151) + ABS(H152 - IF($G152=1, $L152, $K152))</f>
        <v>1.028116192593054</v>
      </c>
      <c r="P152" s="360"/>
      <c r="Q152" s="361"/>
      <c r="R152" s="316" t="s">
        <v>13</v>
      </c>
      <c r="S152" s="362">
        <f>IF(O161&lt;S137,O161,S137)</f>
        <v>0.27398222793044313</v>
      </c>
    </row>
    <row r="153" spans="1:19" ht="18" customHeight="1" x14ac:dyDescent="0.3">
      <c r="A153" s="259"/>
      <c r="B153" s="359">
        <v>0.69225411753175969</v>
      </c>
      <c r="C153" s="359" t="s">
        <v>5</v>
      </c>
      <c r="D153" s="359">
        <v>-0.14285714285714288</v>
      </c>
      <c r="E153" s="359" t="s">
        <v>6</v>
      </c>
      <c r="F153" s="359">
        <f>SUM(B153,D153)</f>
        <v>0.54939697467461679</v>
      </c>
      <c r="G153" s="249">
        <v>1</v>
      </c>
      <c r="H153" s="359">
        <f t="shared" ref="H153:H161" si="94">IF(OR($G153=1,$G153=2), $F153 + IF($G153=1,1,-1)*$N$23*(EXP(-$F153)/(1+EXP(-$F153))), NA())</f>
        <v>0.6591982727107345</v>
      </c>
      <c r="I153" s="359">
        <f t="shared" si="93"/>
        <v>0.6591982727107345</v>
      </c>
      <c r="J153" s="359">
        <f t="shared" ref="J153:J154" si="95">IF(G153=2,H153+N(J152),N(J152))</f>
        <v>-1.028116192593054</v>
      </c>
      <c r="K153" s="304">
        <f t="shared" ref="K153:K161" si="96">IFERROR(I153/COUNTIF($G$152:$G$161,1),"ERROR!!!")</f>
        <v>0.16479956817768363</v>
      </c>
      <c r="L153" s="304">
        <f t="shared" ref="L153:L161" si="97">IFERROR(J153/COUNTIF($G$152:$G$161,2),"ERROR!!!")</f>
        <v>-0.17135269876550899</v>
      </c>
      <c r="M153" s="304">
        <f t="shared" ref="M153:M161" si="98">IF(ROW()=152, 0, M152) + ABS(H153 - IF($G153=1, $K153, $L153))</f>
        <v>1.3511621983605959</v>
      </c>
      <c r="N153" s="304">
        <f t="shared" ref="N153:N160" si="99">IF(ROW()=152, 0, N152) + ABS(H153 - IF($G153=1, $L153, $K153))</f>
        <v>1.8586671640692973</v>
      </c>
      <c r="P153" s="364"/>
      <c r="Q153" s="365"/>
      <c r="R153" s="259" t="s">
        <v>17</v>
      </c>
      <c r="S153" s="366">
        <v>11</v>
      </c>
    </row>
    <row r="154" spans="1:19" ht="18" customHeight="1" x14ac:dyDescent="0.3">
      <c r="A154" s="259"/>
      <c r="B154" s="359">
        <v>-0.41361540108076145</v>
      </c>
      <c r="C154" s="359" t="s">
        <v>5</v>
      </c>
      <c r="D154" s="359">
        <v>0.14285714285714288</v>
      </c>
      <c r="E154" s="359" t="s">
        <v>6</v>
      </c>
      <c r="F154" s="359">
        <f t="shared" ref="F154" si="100">SUM(B154,D154)</f>
        <v>-0.27075825822361854</v>
      </c>
      <c r="G154" s="249">
        <v>2</v>
      </c>
      <c r="H154" s="359">
        <f>IF(OR($G154=1,$G154=2), $F154 + IF($G154=1,1,-1)*$N$23*(EXP(-$F154)/(1+EXP(-$F154))), NA())</f>
        <v>-0.4409419722561907</v>
      </c>
      <c r="I154" s="359">
        <f>IF(G154=1,H154+N(I153),N(I153))</f>
        <v>0.6591982727107345</v>
      </c>
      <c r="J154" s="359">
        <f t="shared" si="95"/>
        <v>-1.4690581648492447</v>
      </c>
      <c r="K154" s="304">
        <f t="shared" si="96"/>
        <v>0.16479956817768363</v>
      </c>
      <c r="L154" s="304">
        <f t="shared" si="97"/>
        <v>-0.2448430274748741</v>
      </c>
      <c r="M154" s="304">
        <f t="shared" si="98"/>
        <v>1.5472611431419125</v>
      </c>
      <c r="N154" s="304">
        <f t="shared" si="99"/>
        <v>2.4644087045031715</v>
      </c>
      <c r="P154" s="368"/>
      <c r="Q154" s="369"/>
      <c r="R154" s="259" t="s">
        <v>15</v>
      </c>
      <c r="S154" s="366">
        <f>IF(O161&lt;S137,S153,S139)</f>
        <v>4</v>
      </c>
    </row>
    <row r="155" spans="1:19" ht="18" customHeight="1" x14ac:dyDescent="0.3">
      <c r="A155" s="259"/>
      <c r="B155" s="359">
        <v>0.54607491198125124</v>
      </c>
      <c r="C155" s="359" t="s">
        <v>5</v>
      </c>
      <c r="D155" s="359">
        <v>-0.14285714285714288</v>
      </c>
      <c r="E155" s="359" t="s">
        <v>6</v>
      </c>
      <c r="F155" s="359">
        <f>SUM(B155,D155)</f>
        <v>0.40321776912410834</v>
      </c>
      <c r="G155" s="249">
        <v>1</v>
      </c>
      <c r="H155" s="359">
        <f>IF(OR($G155=1,$G155=2), $F155 + IF($G155=1,1,-1)*$N$23*(EXP(-$F155)/(1+EXP(-$F155))), NA())</f>
        <v>0.52337961383483633</v>
      </c>
      <c r="I155" s="359">
        <f t="shared" si="93"/>
        <v>1.1825778865455709</v>
      </c>
      <c r="J155" s="359">
        <f>IF(G155=2,H155+N(J154),N(J154))</f>
        <v>-1.4690581648492447</v>
      </c>
      <c r="K155" s="304">
        <f t="shared" si="96"/>
        <v>0.29564447163639274</v>
      </c>
      <c r="L155" s="304">
        <f t="shared" si="97"/>
        <v>-0.2448430274748741</v>
      </c>
      <c r="M155" s="304">
        <f t="shared" si="98"/>
        <v>1.774996285340356</v>
      </c>
      <c r="N155" s="304">
        <f t="shared" si="99"/>
        <v>3.2326313458128819</v>
      </c>
    </row>
    <row r="156" spans="1:19" ht="18" customHeight="1" x14ac:dyDescent="0.3">
      <c r="A156" s="259"/>
      <c r="B156" s="359">
        <v>0.69225411753175958</v>
      </c>
      <c r="C156" s="359" t="s">
        <v>5</v>
      </c>
      <c r="D156" s="359">
        <v>0.14285714285714288</v>
      </c>
      <c r="E156" s="359" t="s">
        <v>6</v>
      </c>
      <c r="F156" s="359">
        <f>SUM(B156,D156)</f>
        <v>0.83511126038890249</v>
      </c>
      <c r="G156" s="249">
        <v>1</v>
      </c>
      <c r="H156" s="359">
        <f>IF(OR($G156=1,$G156=2), $F156 + IF($G156=1,1,-1)*$N$23*(EXP(-$F156)/(1+EXP(-$F156))), NA())</f>
        <v>0.92588088247921074</v>
      </c>
      <c r="I156" s="359">
        <f t="shared" si="93"/>
        <v>2.1084587690247818</v>
      </c>
      <c r="J156" s="359">
        <f t="shared" ref="J156:J161" si="101">IF(G156=2,H156+N(J155),N(J155))</f>
        <v>-1.4690581648492447</v>
      </c>
      <c r="K156" s="304">
        <f t="shared" si="96"/>
        <v>0.52711469225619545</v>
      </c>
      <c r="L156" s="304">
        <f t="shared" si="97"/>
        <v>-0.2448430274748741</v>
      </c>
      <c r="M156" s="304">
        <f t="shared" si="98"/>
        <v>2.1737624755633713</v>
      </c>
      <c r="N156" s="304">
        <f t="shared" si="99"/>
        <v>4.4033552557669671</v>
      </c>
    </row>
    <row r="157" spans="1:19" ht="18" customHeight="1" x14ac:dyDescent="0.3">
      <c r="A157" s="259"/>
      <c r="B157" s="359">
        <v>0.54607491198125124</v>
      </c>
      <c r="C157" s="359" t="s">
        <v>5</v>
      </c>
      <c r="D157" s="359">
        <v>0.14285714285714288</v>
      </c>
      <c r="E157" s="359" t="s">
        <v>6</v>
      </c>
      <c r="F157" s="359">
        <f>SUM(B157,D157)</f>
        <v>0.68893205483839415</v>
      </c>
      <c r="G157" s="249">
        <v>1</v>
      </c>
      <c r="H157" s="359">
        <f>IF(OR($G157=1,$G157=2), $F157 + IF($G157=1,1,-1)*$N$23*(EXP(-$F157)/(1+EXP(-$F157))), NA())</f>
        <v>0.78921326035624473</v>
      </c>
      <c r="I157" s="359">
        <f t="shared" si="93"/>
        <v>2.8976720293810265</v>
      </c>
      <c r="J157" s="359">
        <f>IF(G157=2,H157+N(J156),N(J156))</f>
        <v>-1.4690581648492447</v>
      </c>
      <c r="K157" s="304">
        <f t="shared" si="96"/>
        <v>0.72441800734525663</v>
      </c>
      <c r="L157" s="304">
        <f t="shared" si="97"/>
        <v>-0.2448430274748741</v>
      </c>
      <c r="M157" s="304">
        <f t="shared" si="98"/>
        <v>2.2385577285743592</v>
      </c>
      <c r="N157" s="304">
        <f t="shared" si="99"/>
        <v>5.4374115435980857</v>
      </c>
    </row>
    <row r="158" spans="1:19" ht="18" customHeight="1" x14ac:dyDescent="0.3">
      <c r="A158" s="259"/>
      <c r="B158" s="359">
        <v>-0.82013350598256329</v>
      </c>
      <c r="C158" s="359" t="s">
        <v>5</v>
      </c>
      <c r="D158" s="359">
        <v>-0.14285714285714288</v>
      </c>
      <c r="E158" s="359" t="s">
        <v>6</v>
      </c>
      <c r="F158" s="359">
        <f t="shared" ref="F158:F159" si="102">SUM(B158,D158)</f>
        <v>-0.9629906488397062</v>
      </c>
      <c r="G158" s="249">
        <v>2</v>
      </c>
      <c r="H158" s="359">
        <f t="shared" si="94"/>
        <v>-1.1801067037743573</v>
      </c>
      <c r="I158" s="359">
        <f t="shared" si="93"/>
        <v>2.8976720293810265</v>
      </c>
      <c r="J158" s="359">
        <f t="shared" si="101"/>
        <v>-2.6491648686236022</v>
      </c>
      <c r="K158" s="304">
        <f t="shared" si="96"/>
        <v>0.72441800734525663</v>
      </c>
      <c r="L158" s="304">
        <f t="shared" si="97"/>
        <v>-0.44152747810393372</v>
      </c>
      <c r="M158" s="304">
        <f t="shared" si="98"/>
        <v>2.9771369542447825</v>
      </c>
      <c r="N158" s="304">
        <f t="shared" si="99"/>
        <v>7.3419362547176998</v>
      </c>
    </row>
    <row r="159" spans="1:19" ht="18" customHeight="1" x14ac:dyDescent="0.3">
      <c r="A159" s="259"/>
      <c r="B159" s="359">
        <v>-0.67699741026567162</v>
      </c>
      <c r="C159" s="359" t="s">
        <v>5</v>
      </c>
      <c r="D159" s="359">
        <v>-0.14285714285714288</v>
      </c>
      <c r="E159" s="359" t="s">
        <v>6</v>
      </c>
      <c r="F159" s="359">
        <f t="shared" si="102"/>
        <v>-0.81985455312281452</v>
      </c>
      <c r="G159" s="249">
        <v>2</v>
      </c>
      <c r="H159" s="359">
        <f t="shared" si="94"/>
        <v>-1.028116192593054</v>
      </c>
      <c r="I159" s="359">
        <f t="shared" si="93"/>
        <v>2.8976720293810265</v>
      </c>
      <c r="J159" s="359">
        <f>IF(G159=2,H159+N(J158),N(J158))</f>
        <v>-3.6772810612166564</v>
      </c>
      <c r="K159" s="304">
        <f t="shared" si="96"/>
        <v>0.72441800734525663</v>
      </c>
      <c r="L159" s="304">
        <f>IFERROR(J159/COUNTIF($G$152:$G$161,2),"ERROR!!!")</f>
        <v>-0.61288017686944274</v>
      </c>
      <c r="M159" s="304">
        <f t="shared" si="98"/>
        <v>3.3923729699683935</v>
      </c>
      <c r="N159" s="304">
        <f t="shared" si="99"/>
        <v>9.09447045465601</v>
      </c>
      <c r="O159" s="354"/>
    </row>
    <row r="160" spans="1:19" ht="18" customHeight="1" x14ac:dyDescent="0.3">
      <c r="A160" s="259"/>
      <c r="B160" s="359">
        <v>-0.67699741026567162</v>
      </c>
      <c r="C160" s="359" t="s">
        <v>5</v>
      </c>
      <c r="D160" s="359">
        <v>-0.14285714285714288</v>
      </c>
      <c r="E160" s="359" t="s">
        <v>6</v>
      </c>
      <c r="F160" s="359">
        <f>SUM(B160,D160)</f>
        <v>-0.81985455312281452</v>
      </c>
      <c r="G160" s="249">
        <v>2</v>
      </c>
      <c r="H160" s="359">
        <f t="shared" si="94"/>
        <v>-1.028116192593054</v>
      </c>
      <c r="I160" s="359">
        <f t="shared" si="93"/>
        <v>2.8976720293810265</v>
      </c>
      <c r="J160" s="359">
        <f t="shared" si="101"/>
        <v>-4.7053972538097106</v>
      </c>
      <c r="K160" s="304">
        <f t="shared" si="96"/>
        <v>0.72441800734525663</v>
      </c>
      <c r="L160" s="304">
        <f t="shared" si="97"/>
        <v>-0.78423287563495181</v>
      </c>
      <c r="M160" s="304">
        <f t="shared" si="98"/>
        <v>3.6362562869264958</v>
      </c>
      <c r="N160" s="304">
        <f t="shared" si="99"/>
        <v>10.84700465459432</v>
      </c>
      <c r="O160" s="358"/>
    </row>
    <row r="161" spans="1:19" ht="18" customHeight="1" x14ac:dyDescent="0.3">
      <c r="A161" s="259"/>
      <c r="B161" s="359">
        <v>-0.67699741026567162</v>
      </c>
      <c r="C161" s="359" t="s">
        <v>5</v>
      </c>
      <c r="D161" s="359">
        <v>-0.14285714285714288</v>
      </c>
      <c r="E161" s="359" t="s">
        <v>6</v>
      </c>
      <c r="F161" s="359">
        <f t="shared" ref="F161" si="103">SUM(B161,D161)</f>
        <v>-0.81985455312281452</v>
      </c>
      <c r="G161" s="249">
        <v>2</v>
      </c>
      <c r="H161" s="359">
        <f t="shared" si="94"/>
        <v>-1.028116192593054</v>
      </c>
      <c r="I161" s="359">
        <f t="shared" si="93"/>
        <v>2.8976720293810265</v>
      </c>
      <c r="J161" s="359">
        <f t="shared" si="101"/>
        <v>-5.7335134464027648</v>
      </c>
      <c r="K161" s="304">
        <f t="shared" si="96"/>
        <v>0.72441800734525663</v>
      </c>
      <c r="L161" s="304">
        <f t="shared" si="97"/>
        <v>-0.95558557440046077</v>
      </c>
      <c r="M161" s="304">
        <f t="shared" si="98"/>
        <v>3.7087869051190889</v>
      </c>
      <c r="N161" s="304">
        <f>IF(ROW()=152, 0, N160) + ABS(H161 - IF($G161=1, $L161, $K161))</f>
        <v>12.59953885453263</v>
      </c>
      <c r="O161" s="373">
        <f>M161/N161</f>
        <v>0.29435894027064879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A165" s="281" t="s">
        <v>10</v>
      </c>
      <c r="B165" s="282"/>
      <c r="C165" s="282"/>
      <c r="D165" s="282"/>
      <c r="E165" s="282"/>
      <c r="F165" s="283"/>
      <c r="G165" s="350"/>
      <c r="H165" s="281" t="s">
        <v>9</v>
      </c>
      <c r="I165" s="282"/>
      <c r="J165" s="282"/>
      <c r="K165" s="282"/>
      <c r="L165" s="282"/>
      <c r="M165" s="282"/>
      <c r="N165" s="283"/>
    </row>
    <row r="166" spans="1:19" ht="18" customHeight="1" x14ac:dyDescent="0.3">
      <c r="A166" s="351"/>
      <c r="B166" s="352"/>
      <c r="C166" s="353" t="s">
        <v>5</v>
      </c>
      <c r="D166" s="354"/>
      <c r="E166" s="353" t="s">
        <v>6</v>
      </c>
      <c r="F166" s="354"/>
      <c r="G166" s="240" t="s">
        <v>8</v>
      </c>
      <c r="H166" s="355"/>
      <c r="I166" s="356"/>
      <c r="J166" s="356"/>
      <c r="K166" s="357"/>
      <c r="L166" s="357"/>
      <c r="M166" s="358"/>
      <c r="N166" s="358"/>
      <c r="P166" s="269" t="s">
        <v>27</v>
      </c>
      <c r="Q166" s="269"/>
      <c r="R166" s="269"/>
      <c r="S166" s="269"/>
    </row>
    <row r="167" spans="1:19" ht="18" customHeight="1" x14ac:dyDescent="0.3">
      <c r="A167" s="259"/>
      <c r="B167" s="359">
        <v>-0.67699741026567173</v>
      </c>
      <c r="C167" s="359" t="s">
        <v>5</v>
      </c>
      <c r="D167" s="359">
        <v>-9.5238000000000017E-2</v>
      </c>
      <c r="E167" s="359" t="s">
        <v>6</v>
      </c>
      <c r="F167" s="359">
        <f t="shared" ref="F167:F174" si="104">SUM(B167,D167)</f>
        <v>-0.77223541026567177</v>
      </c>
      <c r="G167" s="249">
        <v>2</v>
      </c>
      <c r="H167" s="359">
        <f>IF(OR($G167=1,$G167=2), $F167 + IF($G167=1,1,-1)*$N$23*(EXP(-$F167)/(1+EXP(-$F167))), NA())</f>
        <v>-0.97743668807605377</v>
      </c>
      <c r="I167" s="359">
        <f t="shared" ref="I167:I176" si="105">IF(G167=1,H167+N(I166),N(I166))</f>
        <v>0</v>
      </c>
      <c r="J167" s="359">
        <f>IF(G167=2,H167+N(J166),N(J166))</f>
        <v>-0.97743668807605377</v>
      </c>
      <c r="K167" s="304">
        <f>IFERROR(I167/COUNTIF($G$167:$G$176,1),"ERROR!!!")</f>
        <v>0</v>
      </c>
      <c r="L167" s="304">
        <f>IFERROR(J167/COUNTIF($G$167:$G$176,2),"ERROR!!!")</f>
        <v>-0.1629061146793423</v>
      </c>
      <c r="M167" s="304">
        <f>IF(ROW()=167, 0, M166) + ABS(H167 - IF($G167=1, $K167, $L167))</f>
        <v>0.81453057339671142</v>
      </c>
      <c r="N167" s="304">
        <f>IF(ROW()=167, 0, N166) + ABS(H167 - IF($G167=1, $L167, $K167))</f>
        <v>0.97743668807605377</v>
      </c>
      <c r="P167" s="360"/>
      <c r="Q167" s="361"/>
      <c r="R167" s="316" t="s">
        <v>13</v>
      </c>
      <c r="S167" s="362">
        <f>IF(O176&lt;S152,O176,S152)</f>
        <v>0.27398222793044313</v>
      </c>
    </row>
    <row r="168" spans="1:19" ht="18" customHeight="1" x14ac:dyDescent="0.3">
      <c r="A168" s="259"/>
      <c r="B168" s="359">
        <v>0.69225411753175969</v>
      </c>
      <c r="C168" s="359" t="s">
        <v>5</v>
      </c>
      <c r="D168" s="359">
        <v>9.5238000000000017E-2</v>
      </c>
      <c r="E168" s="359" t="s">
        <v>6</v>
      </c>
      <c r="F168" s="359">
        <f t="shared" si="104"/>
        <v>0.78749211753175974</v>
      </c>
      <c r="G168" s="249">
        <v>1</v>
      </c>
      <c r="H168" s="359">
        <f t="shared" ref="H168:H176" si="106">IF(OR($G168=1,$G168=2), $F168 + IF($G168=1,1,-1)*$N$23*(EXP(-$F168)/(1+EXP(-$F168))), NA())</f>
        <v>0.8813043417053873</v>
      </c>
      <c r="I168" s="359">
        <f t="shared" si="105"/>
        <v>0.8813043417053873</v>
      </c>
      <c r="J168" s="359">
        <f>IF(G168=2,H168+N(J167),N(J167))</f>
        <v>-0.97743668807605377</v>
      </c>
      <c r="K168" s="304">
        <f t="shared" ref="K168:K176" si="107">IFERROR(I168/COUNTIF($G$167:$G$176,1),"ERROR!!!")</f>
        <v>0.22032608542634682</v>
      </c>
      <c r="L168" s="304">
        <f t="shared" ref="L168:L176" si="108">IFERROR(J168/COUNTIF($G$167:$G$176,2),"ERROR!!!")</f>
        <v>-0.1629061146793423</v>
      </c>
      <c r="M168" s="304">
        <f t="shared" ref="M168:M176" si="109">IF(ROW()=167, 0, M167) + ABS(H168 - IF($G168=1, $K168, $L168))</f>
        <v>1.4755088296757519</v>
      </c>
      <c r="N168" s="304">
        <f t="shared" ref="N168:N176" si="110">IF(ROW()=167, 0, N167) + ABS(H168 - IF($G168=1, $L168, $K168))</f>
        <v>2.0216471444607835</v>
      </c>
      <c r="P168" s="364"/>
      <c r="Q168" s="365"/>
      <c r="R168" s="259" t="s">
        <v>17</v>
      </c>
      <c r="S168" s="366">
        <v>12</v>
      </c>
    </row>
    <row r="169" spans="1:19" ht="18" customHeight="1" x14ac:dyDescent="0.3">
      <c r="A169" s="259"/>
      <c r="B169" s="359">
        <v>-0.41361540108076145</v>
      </c>
      <c r="C169" s="359" t="s">
        <v>5</v>
      </c>
      <c r="D169" s="359">
        <v>9.5238000000000017E-2</v>
      </c>
      <c r="E169" s="359" t="s">
        <v>6</v>
      </c>
      <c r="F169" s="359">
        <f t="shared" si="104"/>
        <v>-0.3183774010807614</v>
      </c>
      <c r="G169" s="249">
        <v>2</v>
      </c>
      <c r="H169" s="359">
        <f>IF(OR($G169=1,$G169=2), $F169 + IF($G169=1,1,-1)*$N$23*(EXP(-$F169)/(1+EXP(-$F169))), NA())</f>
        <v>-0.49205602954297889</v>
      </c>
      <c r="I169" s="359">
        <f t="shared" si="105"/>
        <v>0.8813043417053873</v>
      </c>
      <c r="J169" s="359">
        <f t="shared" ref="J169" si="111">IF(G169=2,H169+N(J168),N(J168))</f>
        <v>-1.4694927176190327</v>
      </c>
      <c r="K169" s="304">
        <f t="shared" si="107"/>
        <v>0.22032608542634682</v>
      </c>
      <c r="L169" s="304">
        <f>IFERROR(J169/COUNTIF($G$167:$G$176,2),"ERROR!!!")</f>
        <v>-0.24491545293650543</v>
      </c>
      <c r="M169" s="304">
        <f t="shared" si="109"/>
        <v>1.7226494062822253</v>
      </c>
      <c r="N169" s="304">
        <f t="shared" si="110"/>
        <v>2.734029259430109</v>
      </c>
      <c r="P169" s="368"/>
      <c r="Q169" s="369"/>
      <c r="R169" s="259" t="s">
        <v>15</v>
      </c>
      <c r="S169" s="366">
        <f>IF(O176&lt;S152,S168,S154)</f>
        <v>4</v>
      </c>
    </row>
    <row r="170" spans="1:19" ht="18" customHeight="1" x14ac:dyDescent="0.3">
      <c r="A170" s="259"/>
      <c r="B170" s="359">
        <v>0.54607491198125124</v>
      </c>
      <c r="C170" s="359" t="s">
        <v>5</v>
      </c>
      <c r="D170" s="359">
        <v>-9.5238000000000017E-2</v>
      </c>
      <c r="E170" s="359" t="s">
        <v>6</v>
      </c>
      <c r="F170" s="359">
        <f>SUM(B170,D170)</f>
        <v>0.4508369119812512</v>
      </c>
      <c r="G170" s="249">
        <v>1</v>
      </c>
      <c r="H170" s="359">
        <f t="shared" si="106"/>
        <v>0.5675854523302728</v>
      </c>
      <c r="I170" s="359">
        <f t="shared" si="105"/>
        <v>1.4488897940356602</v>
      </c>
      <c r="J170" s="359">
        <f>IF(G170=2,H170+N(J169),N(J169))</f>
        <v>-1.4694927176190327</v>
      </c>
      <c r="K170" s="304">
        <f t="shared" si="107"/>
        <v>0.36222244850891505</v>
      </c>
      <c r="L170" s="304">
        <f t="shared" si="108"/>
        <v>-0.24491545293650543</v>
      </c>
      <c r="M170" s="304">
        <f t="shared" si="109"/>
        <v>1.9280124101035829</v>
      </c>
      <c r="N170" s="304">
        <f t="shared" si="110"/>
        <v>3.546530164696887</v>
      </c>
    </row>
    <row r="171" spans="1:19" ht="18" customHeight="1" x14ac:dyDescent="0.3">
      <c r="A171" s="259"/>
      <c r="B171" s="359">
        <v>0.69225411753175958</v>
      </c>
      <c r="C171" s="359" t="s">
        <v>5</v>
      </c>
      <c r="D171" s="359">
        <v>-9.5238000000000017E-2</v>
      </c>
      <c r="E171" s="359" t="s">
        <v>6</v>
      </c>
      <c r="F171" s="359">
        <f t="shared" si="104"/>
        <v>0.59701611753175954</v>
      </c>
      <c r="G171" s="249">
        <v>1</v>
      </c>
      <c r="H171" s="359">
        <f>IF(OR($G171=1,$G171=2), $F171 + IF($G171=1,1,-1)*$N$23*(EXP(-$F171)/(1+EXP(-$F171))), NA())</f>
        <v>0.70352411414613192</v>
      </c>
      <c r="I171" s="359">
        <f t="shared" si="105"/>
        <v>2.1524139081817921</v>
      </c>
      <c r="J171" s="359">
        <f t="shared" ref="J171:J173" si="112">IF(G171=2,H171+N(J170),N(J170))</f>
        <v>-1.4694927176190327</v>
      </c>
      <c r="K171" s="304">
        <f t="shared" si="107"/>
        <v>0.53810347704544803</v>
      </c>
      <c r="L171" s="304">
        <f t="shared" si="108"/>
        <v>-0.24491545293650543</v>
      </c>
      <c r="M171" s="304">
        <f t="shared" si="109"/>
        <v>2.0934330472042668</v>
      </c>
      <c r="N171" s="304">
        <f t="shared" si="110"/>
        <v>4.4949697317795243</v>
      </c>
    </row>
    <row r="172" spans="1:19" ht="18" customHeight="1" x14ac:dyDescent="0.3">
      <c r="A172" s="259"/>
      <c r="B172" s="359">
        <v>0.54607491198125124</v>
      </c>
      <c r="C172" s="359" t="s">
        <v>5</v>
      </c>
      <c r="D172" s="359">
        <v>9.5238000000000017E-2</v>
      </c>
      <c r="E172" s="359" t="s">
        <v>6</v>
      </c>
      <c r="F172" s="359">
        <f t="shared" si="104"/>
        <v>0.64131291198125129</v>
      </c>
      <c r="G172" s="249">
        <v>1</v>
      </c>
      <c r="H172" s="359">
        <f>IF(OR($G172=1,$G172=2), $F172 + IF($G172=1,1,-1)*$N$23*(EXP(-$F172)/(1+EXP(-$F172))), NA())</f>
        <v>0.74479785623431471</v>
      </c>
      <c r="I172" s="359">
        <f t="shared" si="105"/>
        <v>2.8972117644161068</v>
      </c>
      <c r="J172" s="359">
        <f t="shared" si="112"/>
        <v>-1.4694927176190327</v>
      </c>
      <c r="K172" s="304">
        <f>IFERROR(I172/COUNTIF($G$167:$G$176,1),"ERROR!!!")</f>
        <v>0.72430294110402671</v>
      </c>
      <c r="L172" s="304">
        <f t="shared" si="108"/>
        <v>-0.24491545293650543</v>
      </c>
      <c r="M172" s="304">
        <f t="shared" si="109"/>
        <v>2.1139279623345546</v>
      </c>
      <c r="N172" s="304">
        <f t="shared" si="110"/>
        <v>5.484683040950344</v>
      </c>
    </row>
    <row r="173" spans="1:19" ht="18" customHeight="1" x14ac:dyDescent="0.3">
      <c r="A173" s="259"/>
      <c r="B173" s="359">
        <v>-0.82013350598256329</v>
      </c>
      <c r="C173" s="359" t="s">
        <v>5</v>
      </c>
      <c r="D173" s="359">
        <v>-9.5238000000000017E-2</v>
      </c>
      <c r="E173" s="359" t="s">
        <v>6</v>
      </c>
      <c r="F173" s="359">
        <f t="shared" si="104"/>
        <v>-0.91537150598256334</v>
      </c>
      <c r="G173" s="249">
        <v>2</v>
      </c>
      <c r="H173" s="359">
        <f t="shared" si="106"/>
        <v>-1.129600930048144</v>
      </c>
      <c r="I173" s="359">
        <f>IF(G173=1,H173+N(I172),N(I172))</f>
        <v>2.8972117644161068</v>
      </c>
      <c r="J173" s="359">
        <f t="shared" si="112"/>
        <v>-2.5990936476671767</v>
      </c>
      <c r="K173" s="304">
        <f t="shared" si="107"/>
        <v>0.72430294110402671</v>
      </c>
      <c r="L173" s="304">
        <f t="shared" si="108"/>
        <v>-0.43318227461119613</v>
      </c>
      <c r="M173" s="304">
        <f>IF(ROW()=167, 0, M172) + ABS(H173 - IF($G173=1, $K173, $L173))</f>
        <v>2.8103466177715024</v>
      </c>
      <c r="N173" s="304">
        <f>IF(ROW()=167, 0, N172) + ABS(H173 - IF($G173=1, $L173, $K173))</f>
        <v>7.3385869121025147</v>
      </c>
    </row>
    <row r="174" spans="1:19" ht="18" customHeight="1" x14ac:dyDescent="0.3">
      <c r="A174" s="259"/>
      <c r="B174" s="359">
        <v>-0.67699741026567162</v>
      </c>
      <c r="C174" s="359" t="s">
        <v>5</v>
      </c>
      <c r="D174" s="359">
        <v>-9.5238000000000017E-2</v>
      </c>
      <c r="E174" s="359" t="s">
        <v>6</v>
      </c>
      <c r="F174" s="359">
        <f t="shared" si="104"/>
        <v>-0.77223541026567166</v>
      </c>
      <c r="G174" s="249">
        <v>2</v>
      </c>
      <c r="H174" s="359">
        <f>IF(OR($G174=1,$G174=2), $F174 + IF($G174=1,1,-1)*$N$23*(EXP(-$F174)/(1+EXP(-$F174))), NA())</f>
        <v>-0.97743668807605366</v>
      </c>
      <c r="I174" s="359">
        <f t="shared" si="105"/>
        <v>2.8972117644161068</v>
      </c>
      <c r="J174" s="359">
        <f>IF(G174=2,H174+N(J173),N(J173))</f>
        <v>-3.5765303357432305</v>
      </c>
      <c r="K174" s="304">
        <f t="shared" si="107"/>
        <v>0.72430294110402671</v>
      </c>
      <c r="L174" s="304">
        <f t="shared" si="108"/>
        <v>-0.59608838929053842</v>
      </c>
      <c r="M174" s="304">
        <f t="shared" si="109"/>
        <v>3.1916949165570179</v>
      </c>
      <c r="N174" s="304">
        <f t="shared" si="110"/>
        <v>9.0403265412825959</v>
      </c>
      <c r="O174" s="354"/>
    </row>
    <row r="175" spans="1:19" ht="18" customHeight="1" x14ac:dyDescent="0.3">
      <c r="A175" s="259"/>
      <c r="B175" s="359">
        <v>-0.67699741026567162</v>
      </c>
      <c r="C175" s="359" t="s">
        <v>5</v>
      </c>
      <c r="D175" s="359">
        <v>-9.5238000000000017E-2</v>
      </c>
      <c r="E175" s="359" t="s">
        <v>6</v>
      </c>
      <c r="F175" s="359">
        <f>SUM(B175,D175)</f>
        <v>-0.77223541026567166</v>
      </c>
      <c r="G175" s="249">
        <v>2</v>
      </c>
      <c r="H175" s="359">
        <f t="shared" si="106"/>
        <v>-0.97743668807605366</v>
      </c>
      <c r="I175" s="359">
        <f t="shared" si="105"/>
        <v>2.8972117644161068</v>
      </c>
      <c r="J175" s="359">
        <f t="shared" ref="J175:J176" si="113">IF(G175=2,H175+N(J174),N(J174))</f>
        <v>-4.5539670238192844</v>
      </c>
      <c r="K175" s="304">
        <f t="shared" si="107"/>
        <v>0.72430294110402671</v>
      </c>
      <c r="L175" s="304">
        <f t="shared" si="108"/>
        <v>-0.75899450396988077</v>
      </c>
      <c r="M175" s="304">
        <f t="shared" si="109"/>
        <v>3.4101371006631909</v>
      </c>
      <c r="N175" s="304">
        <f>IF(ROW()=167, 0, N174) + ABS(H175 - IF($G175=1, $L175, $K175))</f>
        <v>10.742066170462676</v>
      </c>
      <c r="O175" s="358"/>
    </row>
    <row r="176" spans="1:19" ht="18" customHeight="1" x14ac:dyDescent="0.3">
      <c r="A176" s="259"/>
      <c r="B176" s="359">
        <v>-0.67699741026567162</v>
      </c>
      <c r="C176" s="359" t="s">
        <v>5</v>
      </c>
      <c r="D176" s="359">
        <v>-9.5238000000000017E-2</v>
      </c>
      <c r="E176" s="359" t="s">
        <v>6</v>
      </c>
      <c r="F176" s="359">
        <f t="shared" ref="F176" si="114">SUM(B176,D176)</f>
        <v>-0.77223541026567166</v>
      </c>
      <c r="G176" s="249">
        <v>2</v>
      </c>
      <c r="H176" s="359">
        <f t="shared" si="106"/>
        <v>-0.97743668807605366</v>
      </c>
      <c r="I176" s="359">
        <f t="shared" si="105"/>
        <v>2.8972117644161068</v>
      </c>
      <c r="J176" s="359">
        <f t="shared" si="113"/>
        <v>-5.5314037118953383</v>
      </c>
      <c r="K176" s="304">
        <f t="shared" si="107"/>
        <v>0.72430294110402671</v>
      </c>
      <c r="L176" s="304">
        <f t="shared" si="108"/>
        <v>-0.92190061864922301</v>
      </c>
      <c r="M176" s="304">
        <f t="shared" si="109"/>
        <v>3.4656731700900214</v>
      </c>
      <c r="N176" s="304">
        <f t="shared" si="110"/>
        <v>12.443805799642757</v>
      </c>
      <c r="O176" s="373">
        <f>M176/N176</f>
        <v>0.27850588685573313</v>
      </c>
    </row>
    <row r="177" spans="1:19" ht="14.4" customHeight="1" x14ac:dyDescent="0.3"/>
    <row r="178" spans="1:19" ht="14.4" customHeight="1" x14ac:dyDescent="0.3"/>
    <row r="179" spans="1:19" ht="14.4" customHeight="1" x14ac:dyDescent="0.3"/>
    <row r="180" spans="1:19" ht="18" customHeight="1" x14ac:dyDescent="0.3">
      <c r="L180" s="313"/>
      <c r="M180" s="259"/>
      <c r="N180" s="259"/>
      <c r="O180" s="390">
        <f>MIN(O41,O56,O71,O86,O101,O116,O131,O146,O161,O176)</f>
        <v>0.27398222793044313</v>
      </c>
    </row>
    <row r="181" spans="1:19" ht="18" customHeight="1" x14ac:dyDescent="0.3">
      <c r="L181" s="316"/>
      <c r="M181" s="259"/>
      <c r="N181" s="259"/>
      <c r="O181" s="391"/>
    </row>
    <row r="182" spans="1:19" ht="18" customHeight="1" x14ac:dyDescent="0.3"/>
    <row r="183" spans="1:19" ht="18" customHeight="1" x14ac:dyDescent="0.3">
      <c r="L183" s="313"/>
      <c r="M183" s="259"/>
      <c r="N183" s="259"/>
      <c r="O183" s="392">
        <f>IF(O176&lt;S152,S168,S154)</f>
        <v>4</v>
      </c>
    </row>
    <row r="184" spans="1:19" ht="18" customHeight="1" x14ac:dyDescent="0.3">
      <c r="L184" s="316"/>
      <c r="M184" s="259"/>
      <c r="N184" s="259"/>
      <c r="O184" s="392"/>
    </row>
    <row r="185" spans="1:19" ht="14.4" customHeight="1" x14ac:dyDescent="0.3"/>
    <row r="186" spans="1:19" ht="14.4" customHeight="1" thickBot="1" x14ac:dyDescent="0.35">
      <c r="A186" s="393"/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</row>
    <row r="187" spans="1:19" ht="14.4" customHeight="1" x14ac:dyDescent="0.3"/>
    <row r="188" spans="1:19" ht="14.4" customHeight="1" x14ac:dyDescent="0.3"/>
    <row r="189" spans="1:19" ht="18" customHeight="1" x14ac:dyDescent="0.3">
      <c r="K189" s="394" t="s">
        <v>85</v>
      </c>
    </row>
    <row r="190" spans="1:19" ht="18" customHeight="1" x14ac:dyDescent="0.3">
      <c r="A190" s="281" t="s">
        <v>10</v>
      </c>
      <c r="B190" s="282"/>
      <c r="C190" s="282"/>
      <c r="D190" s="282"/>
      <c r="E190" s="282"/>
      <c r="F190" s="283"/>
      <c r="H190" s="269" t="s">
        <v>81</v>
      </c>
      <c r="I190" s="269"/>
      <c r="K190" s="394"/>
      <c r="N190" s="269" t="s">
        <v>28</v>
      </c>
      <c r="O190" s="269"/>
    </row>
    <row r="191" spans="1:19" ht="18" customHeight="1" x14ac:dyDescent="0.3">
      <c r="A191" s="351"/>
      <c r="B191" s="352"/>
      <c r="C191" s="353" t="s">
        <v>5</v>
      </c>
      <c r="D191" s="354"/>
      <c r="E191" s="353" t="s">
        <v>6</v>
      </c>
      <c r="F191" s="354"/>
      <c r="G191" s="240" t="s">
        <v>8</v>
      </c>
      <c r="H191" s="354"/>
      <c r="I191" s="354"/>
      <c r="J191" s="301" t="s">
        <v>34</v>
      </c>
      <c r="K191" s="354"/>
      <c r="N191" s="395"/>
      <c r="O191" s="395"/>
    </row>
    <row r="192" spans="1:19" ht="18" customHeight="1" x14ac:dyDescent="0.3">
      <c r="A192" s="259"/>
      <c r="B192" s="359">
        <v>-0.67699741026567173</v>
      </c>
      <c r="C192" s="359" t="s">
        <v>5</v>
      </c>
      <c r="D192" s="359">
        <v>-0.24074050000000002</v>
      </c>
      <c r="E192" s="359" t="s">
        <v>6</v>
      </c>
      <c r="F192" s="359">
        <f>SUM(B192,D192)</f>
        <v>-0.91773791026567175</v>
      </c>
      <c r="G192" s="249">
        <v>2</v>
      </c>
      <c r="H192" s="287">
        <f t="shared" ref="H192:H201" si="115">IF(OR($G192=1,$G192=2), $F192 + IF($G192=1,1,-1)*$N$23*(EXP(-$F192)/(1+EXP(-$F192))), NA())</f>
        <v>-1.1321121998265435</v>
      </c>
      <c r="I192" s="305">
        <f t="shared" ref="I192:I201" si="116">IF(OR($G192=1,$G192=2), $H192 + IF($G192=1,1,-1)*$N$23*(EXP(-$H192)/(1+EXP(-$H192))), NA())</f>
        <v>-1.3589807460522612</v>
      </c>
      <c r="J192" s="320"/>
      <c r="K192" s="305">
        <v>-1.3589807460522612</v>
      </c>
      <c r="N192" s="396"/>
      <c r="O192" s="349">
        <f>O180</f>
        <v>0.27398222793044313</v>
      </c>
    </row>
    <row r="193" spans="1:19" ht="18" customHeight="1" x14ac:dyDescent="0.3">
      <c r="A193" s="259"/>
      <c r="B193" s="359">
        <v>0.69225411753175969</v>
      </c>
      <c r="C193" s="359" t="s">
        <v>5</v>
      </c>
      <c r="D193" s="359">
        <v>0.24074050000000002</v>
      </c>
      <c r="E193" s="359" t="s">
        <v>6</v>
      </c>
      <c r="F193" s="359">
        <f>SUM(B193,D193)</f>
        <v>0.93299461753175972</v>
      </c>
      <c r="G193" s="249">
        <v>1</v>
      </c>
      <c r="H193" s="287">
        <f t="shared" si="115"/>
        <v>1.0176898875317302</v>
      </c>
      <c r="I193" s="305">
        <f t="shared" si="116"/>
        <v>1.0973331755196423</v>
      </c>
      <c r="K193" s="305">
        <v>1.0973331755196423</v>
      </c>
      <c r="N193" s="396"/>
      <c r="O193" s="349">
        <v>10</v>
      </c>
    </row>
    <row r="194" spans="1:19" ht="18" customHeight="1" x14ac:dyDescent="0.3">
      <c r="A194" s="259"/>
      <c r="B194" s="359">
        <v>-0.41361540108076145</v>
      </c>
      <c r="C194" s="359" t="s">
        <v>5</v>
      </c>
      <c r="D194" s="359">
        <v>-0.24074050000000002</v>
      </c>
      <c r="E194" s="359" t="s">
        <v>6</v>
      </c>
      <c r="F194" s="359">
        <f t="shared" ref="F194:F195" si="117">SUM(B194,D194)</f>
        <v>-0.65435590108076147</v>
      </c>
      <c r="G194" s="249">
        <v>2</v>
      </c>
      <c r="H194" s="287">
        <f t="shared" si="115"/>
        <v>-0.85175331586177228</v>
      </c>
      <c r="I194" s="305">
        <f t="shared" si="116"/>
        <v>-1.0620337591921905</v>
      </c>
      <c r="K194" s="305">
        <v>-1.0620337591921905</v>
      </c>
      <c r="N194" s="345"/>
      <c r="O194" s="301"/>
    </row>
    <row r="195" spans="1:19" ht="18" customHeight="1" x14ac:dyDescent="0.3">
      <c r="A195" s="259"/>
      <c r="B195" s="359">
        <v>0.54607491198125124</v>
      </c>
      <c r="C195" s="359" t="s">
        <v>5</v>
      </c>
      <c r="D195" s="359">
        <v>-0.24074050000000002</v>
      </c>
      <c r="E195" s="359" t="s">
        <v>6</v>
      </c>
      <c r="F195" s="359">
        <f t="shared" si="117"/>
        <v>0.30533441198125122</v>
      </c>
      <c r="G195" s="249">
        <v>1</v>
      </c>
      <c r="H195" s="287">
        <f t="shared" si="115"/>
        <v>0.43261060075220581</v>
      </c>
      <c r="I195" s="305">
        <f t="shared" si="116"/>
        <v>0.55066153579842136</v>
      </c>
      <c r="K195" s="305">
        <v>0.55066153579842136</v>
      </c>
      <c r="N195" s="259"/>
      <c r="O195" s="301">
        <v>4</v>
      </c>
    </row>
    <row r="196" spans="1:19" ht="18" customHeight="1" x14ac:dyDescent="0.3">
      <c r="A196" s="259"/>
      <c r="B196" s="359">
        <v>0.69225411753175958</v>
      </c>
      <c r="C196" s="359" t="s">
        <v>5</v>
      </c>
      <c r="D196" s="359">
        <v>0.24074050000000002</v>
      </c>
      <c r="E196" s="359" t="s">
        <v>6</v>
      </c>
      <c r="F196" s="359">
        <f>SUM(B196,D196)</f>
        <v>0.93299461753175961</v>
      </c>
      <c r="G196" s="249">
        <v>1</v>
      </c>
      <c r="H196" s="287">
        <f t="shared" si="115"/>
        <v>1.01768988753173</v>
      </c>
      <c r="I196" s="305">
        <f t="shared" si="116"/>
        <v>1.097333175519642</v>
      </c>
      <c r="K196" s="305">
        <v>1.097333175519642</v>
      </c>
      <c r="N196" s="345"/>
      <c r="O196" s="301"/>
    </row>
    <row r="197" spans="1:19" ht="18" customHeight="1" x14ac:dyDescent="0.3">
      <c r="A197" s="259"/>
      <c r="B197" s="359">
        <v>0.54607491198125124</v>
      </c>
      <c r="C197" s="359" t="s">
        <v>5</v>
      </c>
      <c r="D197" s="359">
        <v>0.24074050000000002</v>
      </c>
      <c r="E197" s="359" t="s">
        <v>6</v>
      </c>
      <c r="F197" s="359">
        <f>SUM(B197,D197)</f>
        <v>0.78681541198125127</v>
      </c>
      <c r="G197" s="249">
        <v>1</v>
      </c>
      <c r="H197" s="287">
        <f t="shared" si="115"/>
        <v>0.88067127325285655</v>
      </c>
      <c r="I197" s="305">
        <f t="shared" si="116"/>
        <v>0.96858288142615678</v>
      </c>
      <c r="K197" s="305">
        <v>0.96858288142615678</v>
      </c>
      <c r="N197" s="259"/>
      <c r="O197" s="301">
        <v>9</v>
      </c>
    </row>
    <row r="198" spans="1:19" ht="18" customHeight="1" x14ac:dyDescent="0.3">
      <c r="A198" s="259"/>
      <c r="B198" s="359">
        <v>-0.82013350598256329</v>
      </c>
      <c r="C198" s="359" t="s">
        <v>5</v>
      </c>
      <c r="D198" s="359">
        <v>-0.24074050000000002</v>
      </c>
      <c r="E198" s="359" t="s">
        <v>6</v>
      </c>
      <c r="F198" s="359">
        <f t="shared" ref="F198:F201" si="118">SUM(B198,D198)</f>
        <v>-1.0608740059825634</v>
      </c>
      <c r="G198" s="249">
        <v>2</v>
      </c>
      <c r="H198" s="287">
        <f t="shared" si="115"/>
        <v>-1.2837312660477056</v>
      </c>
      <c r="I198" s="305">
        <f t="shared" si="116"/>
        <v>-1.5186565413621942</v>
      </c>
      <c r="K198" s="305">
        <v>-1.5186565413621942</v>
      </c>
      <c r="N198" s="259"/>
      <c r="O198" s="301">
        <v>0.1</v>
      </c>
    </row>
    <row r="199" spans="1:19" ht="18" customHeight="1" x14ac:dyDescent="0.3">
      <c r="A199" s="259"/>
      <c r="B199" s="359">
        <v>-0.67699741026567162</v>
      </c>
      <c r="C199" s="359" t="s">
        <v>5</v>
      </c>
      <c r="D199" s="359">
        <v>0.24074050000000002</v>
      </c>
      <c r="E199" s="359" t="s">
        <v>6</v>
      </c>
      <c r="F199" s="359">
        <f t="shared" si="118"/>
        <v>-0.43625691026567159</v>
      </c>
      <c r="G199" s="249">
        <v>2</v>
      </c>
      <c r="H199" s="287">
        <f t="shared" si="115"/>
        <v>-0.61846694032568206</v>
      </c>
      <c r="I199" s="305">
        <f t="shared" si="116"/>
        <v>-0.81342787967727681</v>
      </c>
      <c r="K199" s="305">
        <v>-0.81342787967727681</v>
      </c>
      <c r="N199" s="259"/>
      <c r="O199" s="301">
        <v>5</v>
      </c>
    </row>
    <row r="200" spans="1:19" ht="18" customHeight="1" x14ac:dyDescent="0.3">
      <c r="A200" s="259"/>
      <c r="B200" s="359">
        <v>-0.67699741026567162</v>
      </c>
      <c r="C200" s="359" t="s">
        <v>5</v>
      </c>
      <c r="D200" s="359">
        <v>-0.24074050000000002</v>
      </c>
      <c r="E200" s="359" t="s">
        <v>6</v>
      </c>
      <c r="F200" s="359">
        <f>SUM(B200,D200)</f>
        <v>-0.91773791026567164</v>
      </c>
      <c r="G200" s="249">
        <v>2</v>
      </c>
      <c r="H200" s="287">
        <f t="shared" si="115"/>
        <v>-1.1321121998265433</v>
      </c>
      <c r="I200" s="305">
        <f t="shared" si="116"/>
        <v>-1.3589807460522612</v>
      </c>
      <c r="K200" s="305">
        <v>-1.3589807460522612</v>
      </c>
    </row>
    <row r="201" spans="1:19" ht="18" customHeight="1" x14ac:dyDescent="0.3">
      <c r="A201" s="259"/>
      <c r="B201" s="359">
        <v>-0.67699741026567162</v>
      </c>
      <c r="C201" s="359" t="s">
        <v>5</v>
      </c>
      <c r="D201" s="359">
        <v>-0.24074050000000002</v>
      </c>
      <c r="E201" s="359" t="s">
        <v>6</v>
      </c>
      <c r="F201" s="359">
        <f t="shared" si="118"/>
        <v>-0.91773791026567164</v>
      </c>
      <c r="G201" s="249">
        <v>2</v>
      </c>
      <c r="H201" s="287">
        <f t="shared" si="115"/>
        <v>-1.1321121998265433</v>
      </c>
      <c r="I201" s="305">
        <f t="shared" si="116"/>
        <v>-1.3589807460522612</v>
      </c>
      <c r="K201" s="305">
        <v>-1.3589807460522612</v>
      </c>
      <c r="N201" s="281" t="s">
        <v>82</v>
      </c>
      <c r="O201" s="283"/>
    </row>
    <row r="202" spans="1:19" ht="18" customHeight="1" x14ac:dyDescent="0.3">
      <c r="N202" s="360"/>
      <c r="O202" s="361"/>
    </row>
    <row r="203" spans="1:19" ht="18" customHeight="1" x14ac:dyDescent="0.3">
      <c r="N203" s="368"/>
      <c r="O203" s="369"/>
    </row>
    <row r="204" spans="1:19" ht="18" customHeight="1" x14ac:dyDescent="0.3">
      <c r="M204" s="290" t="b">
        <v>1</v>
      </c>
      <c r="N204" s="397" t="str">
        <f>IF(AND($O$195&lt;$O$199, $O$192&gt;$O$198), "Go back to Step 3", "Output SET and stop")</f>
        <v>Go back to Step 3</v>
      </c>
      <c r="O204" s="398"/>
    </row>
    <row r="205" spans="1:19" ht="14.4" customHeight="1" x14ac:dyDescent="0.3"/>
    <row r="206" spans="1:19" ht="14.4" customHeight="1" x14ac:dyDescent="0.3"/>
    <row r="207" spans="1:19" ht="14.4" customHeight="1" x14ac:dyDescent="0.3"/>
    <row r="208" spans="1:19" ht="14.4" customHeight="1" x14ac:dyDescent="0.3">
      <c r="A208" s="399"/>
      <c r="B208" s="399"/>
      <c r="C208" s="399"/>
      <c r="D208" s="399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</row>
    <row r="209" spans="24:24" ht="14.4" customHeight="1" x14ac:dyDescent="0.3"/>
    <row r="210" spans="24:24" ht="14.4" customHeight="1" x14ac:dyDescent="0.3"/>
    <row r="211" spans="24:24" ht="14.4" customHeight="1" x14ac:dyDescent="0.3"/>
    <row r="212" spans="24:24" ht="14.4" customHeight="1" x14ac:dyDescent="0.3"/>
    <row r="213" spans="24:24" ht="14.4" customHeight="1" x14ac:dyDescent="0.3">
      <c r="X213" s="340"/>
    </row>
    <row r="214" spans="24:24" ht="14.4" customHeight="1" x14ac:dyDescent="0.3"/>
    <row r="215" spans="24:24" ht="14.4" customHeight="1" x14ac:dyDescent="0.3"/>
    <row r="216" spans="24:24" ht="14.4" customHeight="1" x14ac:dyDescent="0.3"/>
    <row r="217" spans="24:24" ht="14.4" customHeight="1" x14ac:dyDescent="0.3"/>
    <row r="218" spans="24:24" ht="14.4" customHeight="1" x14ac:dyDescent="0.3"/>
    <row r="219" spans="24:24" ht="14.4" customHeight="1" x14ac:dyDescent="0.3"/>
    <row r="220" spans="24:24" ht="14.4" customHeight="1" x14ac:dyDescent="0.3"/>
    <row r="221" spans="24:24" ht="14.4" customHeight="1" x14ac:dyDescent="0.3"/>
    <row r="222" spans="24:24" ht="14.4" customHeight="1" x14ac:dyDescent="0.3"/>
    <row r="223" spans="24:24" ht="14.4" customHeight="1" x14ac:dyDescent="0.3"/>
    <row r="224" spans="24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103">
    <mergeCell ref="B16:N16"/>
    <mergeCell ref="Q16:Q17"/>
    <mergeCell ref="R16:R17"/>
    <mergeCell ref="A1:O1"/>
    <mergeCell ref="V2:W4"/>
    <mergeCell ref="X2:Y4"/>
    <mergeCell ref="D3:D12"/>
    <mergeCell ref="Q5:Q6"/>
    <mergeCell ref="R5:S6"/>
    <mergeCell ref="V6:W8"/>
    <mergeCell ref="X6:Y8"/>
    <mergeCell ref="R7:S7"/>
    <mergeCell ref="Q9:Q10"/>
    <mergeCell ref="Q18:Q19"/>
    <mergeCell ref="R18:R19"/>
    <mergeCell ref="V20:W22"/>
    <mergeCell ref="R9:S10"/>
    <mergeCell ref="R11:S11"/>
    <mergeCell ref="V11:W13"/>
    <mergeCell ref="P32:Q34"/>
    <mergeCell ref="V32:X32"/>
    <mergeCell ref="U33:Y33"/>
    <mergeCell ref="U34:Y34"/>
    <mergeCell ref="X11:AA13"/>
    <mergeCell ref="Q13:R14"/>
    <mergeCell ref="V15:W17"/>
    <mergeCell ref="X15:AA17"/>
    <mergeCell ref="U35:Y36"/>
    <mergeCell ref="A45:F45"/>
    <mergeCell ref="H45:N45"/>
    <mergeCell ref="X20:AA22"/>
    <mergeCell ref="E23:F24"/>
    <mergeCell ref="G25:H25"/>
    <mergeCell ref="A30:F30"/>
    <mergeCell ref="H30:N30"/>
    <mergeCell ref="A31:B31"/>
    <mergeCell ref="P31:S31"/>
    <mergeCell ref="U31:Y31"/>
    <mergeCell ref="U50:Y51"/>
    <mergeCell ref="A60:F60"/>
    <mergeCell ref="H60:N60"/>
    <mergeCell ref="A61:B61"/>
    <mergeCell ref="P61:S61"/>
    <mergeCell ref="P62:Q64"/>
    <mergeCell ref="A46:B46"/>
    <mergeCell ref="P46:S46"/>
    <mergeCell ref="U46:Y46"/>
    <mergeCell ref="P47:Q49"/>
    <mergeCell ref="V47:X47"/>
    <mergeCell ref="U48:Y48"/>
    <mergeCell ref="U49:Y49"/>
    <mergeCell ref="A91:B91"/>
    <mergeCell ref="P91:S91"/>
    <mergeCell ref="P92:Q94"/>
    <mergeCell ref="A105:F105"/>
    <mergeCell ref="H105:N105"/>
    <mergeCell ref="A106:B106"/>
    <mergeCell ref="P106:S106"/>
    <mergeCell ref="A75:F75"/>
    <mergeCell ref="H75:N75"/>
    <mergeCell ref="A76:B76"/>
    <mergeCell ref="P76:S76"/>
    <mergeCell ref="P77:Q79"/>
    <mergeCell ref="A90:F90"/>
    <mergeCell ref="H90:N90"/>
    <mergeCell ref="A135:F135"/>
    <mergeCell ref="H135:N135"/>
    <mergeCell ref="A136:B136"/>
    <mergeCell ref="P136:S136"/>
    <mergeCell ref="P137:Q139"/>
    <mergeCell ref="A150:F150"/>
    <mergeCell ref="H150:N150"/>
    <mergeCell ref="P107:Q109"/>
    <mergeCell ref="A120:F120"/>
    <mergeCell ref="H120:N120"/>
    <mergeCell ref="A121:B121"/>
    <mergeCell ref="P121:S121"/>
    <mergeCell ref="P122:Q124"/>
    <mergeCell ref="L180:L181"/>
    <mergeCell ref="M180:N181"/>
    <mergeCell ref="O180:O181"/>
    <mergeCell ref="L183:L184"/>
    <mergeCell ref="M183:N184"/>
    <mergeCell ref="O183:O184"/>
    <mergeCell ref="P167:Q169"/>
    <mergeCell ref="A151:B151"/>
    <mergeCell ref="P151:S151"/>
    <mergeCell ref="P152:Q154"/>
    <mergeCell ref="A165:F165"/>
    <mergeCell ref="H165:N165"/>
    <mergeCell ref="A166:B166"/>
    <mergeCell ref="P166:S166"/>
    <mergeCell ref="N201:O201"/>
    <mergeCell ref="N202:O203"/>
    <mergeCell ref="N204:O204"/>
    <mergeCell ref="A208:S208"/>
    <mergeCell ref="K189:K190"/>
    <mergeCell ref="A190:F190"/>
    <mergeCell ref="H190:I190"/>
    <mergeCell ref="N190:O190"/>
    <mergeCell ref="A191:B191"/>
    <mergeCell ref="J191:J192"/>
    <mergeCell ref="N191:O191"/>
  </mergeCells>
  <conditionalFormatting sqref="A259">
    <cfRule type="duplicateValues" dxfId="717" priority="374"/>
  </conditionalFormatting>
  <conditionalFormatting sqref="A260">
    <cfRule type="duplicateValues" dxfId="716" priority="373"/>
  </conditionalFormatting>
  <conditionalFormatting sqref="A261">
    <cfRule type="duplicateValues" dxfId="715" priority="372"/>
  </conditionalFormatting>
  <conditionalFormatting sqref="A262">
    <cfRule type="duplicateValues" dxfId="714" priority="371"/>
  </conditionalFormatting>
  <conditionalFormatting sqref="A263">
    <cfRule type="duplicateValues" dxfId="713" priority="370"/>
  </conditionalFormatting>
  <conditionalFormatting sqref="A264">
    <cfRule type="duplicateValues" dxfId="712" priority="369"/>
  </conditionalFormatting>
  <conditionalFormatting sqref="A269">
    <cfRule type="duplicateValues" dxfId="711" priority="368"/>
  </conditionalFormatting>
  <conditionalFormatting sqref="A283">
    <cfRule type="duplicateValues" dxfId="710" priority="367"/>
  </conditionalFormatting>
  <conditionalFormatting sqref="A284">
    <cfRule type="duplicateValues" dxfId="709" priority="366"/>
  </conditionalFormatting>
  <conditionalFormatting sqref="A297">
    <cfRule type="duplicateValues" dxfId="708" priority="365"/>
  </conditionalFormatting>
  <conditionalFormatting sqref="A298">
    <cfRule type="duplicateValues" dxfId="707" priority="364"/>
  </conditionalFormatting>
  <conditionalFormatting sqref="A299">
    <cfRule type="duplicateValues" dxfId="706" priority="363"/>
  </conditionalFormatting>
  <conditionalFormatting sqref="A312">
    <cfRule type="duplicateValues" dxfId="705" priority="362"/>
  </conditionalFormatting>
  <conditionalFormatting sqref="A313">
    <cfRule type="duplicateValues" dxfId="704" priority="361"/>
  </conditionalFormatting>
  <conditionalFormatting sqref="A314">
    <cfRule type="duplicateValues" dxfId="703" priority="360"/>
  </conditionalFormatting>
  <conditionalFormatting sqref="A327">
    <cfRule type="duplicateValues" dxfId="702" priority="359"/>
  </conditionalFormatting>
  <conditionalFormatting sqref="A328">
    <cfRule type="duplicateValues" dxfId="701" priority="358"/>
  </conditionalFormatting>
  <conditionalFormatting sqref="A329">
    <cfRule type="duplicateValues" dxfId="700" priority="357"/>
  </conditionalFormatting>
  <conditionalFormatting sqref="A330">
    <cfRule type="duplicateValues" dxfId="699" priority="356"/>
  </conditionalFormatting>
  <conditionalFormatting sqref="A331">
    <cfRule type="duplicateValues" dxfId="698" priority="355"/>
  </conditionalFormatting>
  <conditionalFormatting sqref="A332">
    <cfRule type="duplicateValues" dxfId="697" priority="354"/>
  </conditionalFormatting>
  <conditionalFormatting sqref="A333">
    <cfRule type="duplicateValues" dxfId="696" priority="353"/>
  </conditionalFormatting>
  <conditionalFormatting sqref="A334">
    <cfRule type="duplicateValues" dxfId="695" priority="352"/>
  </conditionalFormatting>
  <conditionalFormatting sqref="A339">
    <cfRule type="duplicateValues" dxfId="694" priority="351"/>
  </conditionalFormatting>
  <conditionalFormatting sqref="A340">
    <cfRule type="duplicateValues" dxfId="693" priority="350"/>
  </conditionalFormatting>
  <conditionalFormatting sqref="A341">
    <cfRule type="duplicateValues" dxfId="692" priority="349"/>
  </conditionalFormatting>
  <conditionalFormatting sqref="A342">
    <cfRule type="duplicateValues" dxfId="691" priority="348"/>
  </conditionalFormatting>
  <conditionalFormatting sqref="A343">
    <cfRule type="duplicateValues" dxfId="690" priority="347"/>
  </conditionalFormatting>
  <conditionalFormatting sqref="A344">
    <cfRule type="duplicateValues" dxfId="689" priority="346"/>
  </conditionalFormatting>
  <conditionalFormatting sqref="A345">
    <cfRule type="duplicateValues" dxfId="688" priority="345"/>
  </conditionalFormatting>
  <conditionalFormatting sqref="A346">
    <cfRule type="duplicateValues" dxfId="687" priority="344"/>
  </conditionalFormatting>
  <conditionalFormatting sqref="A347">
    <cfRule type="duplicateValues" dxfId="686" priority="343"/>
  </conditionalFormatting>
  <conditionalFormatting sqref="A348">
    <cfRule type="duplicateValues" dxfId="685" priority="342"/>
  </conditionalFormatting>
  <conditionalFormatting sqref="A353">
    <cfRule type="duplicateValues" dxfId="684" priority="341"/>
  </conditionalFormatting>
  <conditionalFormatting sqref="A354">
    <cfRule type="duplicateValues" dxfId="683" priority="340"/>
  </conditionalFormatting>
  <conditionalFormatting sqref="A355">
    <cfRule type="duplicateValues" dxfId="682" priority="339"/>
  </conditionalFormatting>
  <conditionalFormatting sqref="A356">
    <cfRule type="duplicateValues" dxfId="681" priority="338"/>
  </conditionalFormatting>
  <conditionalFormatting sqref="A357">
    <cfRule type="duplicateValues" dxfId="680" priority="337"/>
  </conditionalFormatting>
  <conditionalFormatting sqref="A358">
    <cfRule type="duplicateValues" dxfId="679" priority="336"/>
  </conditionalFormatting>
  <conditionalFormatting sqref="A359">
    <cfRule type="duplicateValues" dxfId="678" priority="335"/>
  </conditionalFormatting>
  <conditionalFormatting sqref="A360">
    <cfRule type="duplicateValues" dxfId="677" priority="334"/>
  </conditionalFormatting>
  <conditionalFormatting sqref="A361">
    <cfRule type="duplicateValues" dxfId="676" priority="333"/>
  </conditionalFormatting>
  <conditionalFormatting sqref="A362">
    <cfRule type="duplicateValues" dxfId="675" priority="332"/>
  </conditionalFormatting>
  <conditionalFormatting sqref="A367">
    <cfRule type="duplicateValues" dxfId="674" priority="331"/>
  </conditionalFormatting>
  <conditionalFormatting sqref="A368">
    <cfRule type="duplicateValues" dxfId="673" priority="330"/>
  </conditionalFormatting>
  <conditionalFormatting sqref="A369">
    <cfRule type="duplicateValues" dxfId="672" priority="329"/>
  </conditionalFormatting>
  <conditionalFormatting sqref="A370">
    <cfRule type="duplicateValues" dxfId="671" priority="328"/>
  </conditionalFormatting>
  <conditionalFormatting sqref="A371">
    <cfRule type="duplicateValues" dxfId="670" priority="327"/>
  </conditionalFormatting>
  <conditionalFormatting sqref="A372">
    <cfRule type="duplicateValues" dxfId="669" priority="326"/>
  </conditionalFormatting>
  <conditionalFormatting sqref="A373">
    <cfRule type="duplicateValues" dxfId="668" priority="325"/>
  </conditionalFormatting>
  <conditionalFormatting sqref="A374">
    <cfRule type="duplicateValues" dxfId="667" priority="324"/>
  </conditionalFormatting>
  <conditionalFormatting sqref="A375">
    <cfRule type="duplicateValues" dxfId="666" priority="323"/>
  </conditionalFormatting>
  <conditionalFormatting sqref="A376">
    <cfRule type="duplicateValues" dxfId="665" priority="322"/>
  </conditionalFormatting>
  <conditionalFormatting sqref="A417">
    <cfRule type="duplicateValues" dxfId="664" priority="321"/>
  </conditionalFormatting>
  <conditionalFormatting sqref="A418">
    <cfRule type="duplicateValues" dxfId="663" priority="320"/>
  </conditionalFormatting>
  <conditionalFormatting sqref="A419">
    <cfRule type="duplicateValues" dxfId="662" priority="319"/>
  </conditionalFormatting>
  <conditionalFormatting sqref="A420">
    <cfRule type="duplicateValues" dxfId="661" priority="318"/>
  </conditionalFormatting>
  <conditionalFormatting sqref="A421">
    <cfRule type="duplicateValues" dxfId="660" priority="317"/>
  </conditionalFormatting>
  <conditionalFormatting sqref="A422">
    <cfRule type="duplicateValues" dxfId="659" priority="316"/>
  </conditionalFormatting>
  <conditionalFormatting sqref="A423">
    <cfRule type="duplicateValues" dxfId="658" priority="315"/>
  </conditionalFormatting>
  <conditionalFormatting sqref="A424">
    <cfRule type="duplicateValues" dxfId="657" priority="314"/>
  </conditionalFormatting>
  <conditionalFormatting sqref="A425">
    <cfRule type="duplicateValues" dxfId="656" priority="313"/>
  </conditionalFormatting>
  <conditionalFormatting sqref="A426">
    <cfRule type="duplicateValues" dxfId="655" priority="312"/>
  </conditionalFormatting>
  <conditionalFormatting sqref="A431">
    <cfRule type="duplicateValues" dxfId="654" priority="311"/>
  </conditionalFormatting>
  <conditionalFormatting sqref="A432">
    <cfRule type="duplicateValues" dxfId="653" priority="310"/>
  </conditionalFormatting>
  <conditionalFormatting sqref="A433">
    <cfRule type="duplicateValues" dxfId="652" priority="309"/>
  </conditionalFormatting>
  <conditionalFormatting sqref="A434">
    <cfRule type="duplicateValues" dxfId="651" priority="308"/>
  </conditionalFormatting>
  <conditionalFormatting sqref="A435">
    <cfRule type="duplicateValues" dxfId="650" priority="307"/>
  </conditionalFormatting>
  <conditionalFormatting sqref="A436">
    <cfRule type="duplicateValues" dxfId="649" priority="306"/>
  </conditionalFormatting>
  <conditionalFormatting sqref="A437">
    <cfRule type="duplicateValues" dxfId="648" priority="305"/>
  </conditionalFormatting>
  <conditionalFormatting sqref="A438">
    <cfRule type="duplicateValues" dxfId="647" priority="304"/>
  </conditionalFormatting>
  <conditionalFormatting sqref="A439">
    <cfRule type="duplicateValues" dxfId="646" priority="303"/>
  </conditionalFormatting>
  <conditionalFormatting sqref="A440">
    <cfRule type="duplicateValues" dxfId="645" priority="302"/>
  </conditionalFormatting>
  <conditionalFormatting sqref="A445">
    <cfRule type="duplicateValues" dxfId="644" priority="301"/>
  </conditionalFormatting>
  <conditionalFormatting sqref="A446">
    <cfRule type="duplicateValues" dxfId="643" priority="300"/>
  </conditionalFormatting>
  <conditionalFormatting sqref="A447">
    <cfRule type="duplicateValues" dxfId="642" priority="299"/>
  </conditionalFormatting>
  <conditionalFormatting sqref="A448">
    <cfRule type="duplicateValues" dxfId="641" priority="298"/>
  </conditionalFormatting>
  <conditionalFormatting sqref="A449">
    <cfRule type="duplicateValues" dxfId="640" priority="297"/>
  </conditionalFormatting>
  <conditionalFormatting sqref="A450">
    <cfRule type="duplicateValues" dxfId="639" priority="296"/>
  </conditionalFormatting>
  <conditionalFormatting sqref="A451">
    <cfRule type="duplicateValues" dxfId="638" priority="295"/>
  </conditionalFormatting>
  <conditionalFormatting sqref="A452">
    <cfRule type="duplicateValues" dxfId="637" priority="294"/>
  </conditionalFormatting>
  <conditionalFormatting sqref="A453">
    <cfRule type="duplicateValues" dxfId="636" priority="293"/>
  </conditionalFormatting>
  <conditionalFormatting sqref="A454">
    <cfRule type="duplicateValues" dxfId="635" priority="292"/>
  </conditionalFormatting>
  <conditionalFormatting sqref="A459">
    <cfRule type="duplicateValues" dxfId="634" priority="291"/>
  </conditionalFormatting>
  <conditionalFormatting sqref="A460">
    <cfRule type="duplicateValues" dxfId="633" priority="290"/>
  </conditionalFormatting>
  <conditionalFormatting sqref="A461">
    <cfRule type="duplicateValues" dxfId="632" priority="289"/>
  </conditionalFormatting>
  <conditionalFormatting sqref="A462">
    <cfRule type="duplicateValues" dxfId="631" priority="288"/>
  </conditionalFormatting>
  <conditionalFormatting sqref="A463">
    <cfRule type="duplicateValues" dxfId="630" priority="287"/>
  </conditionalFormatting>
  <conditionalFormatting sqref="A464">
    <cfRule type="duplicateValues" dxfId="629" priority="286"/>
  </conditionalFormatting>
  <conditionalFormatting sqref="A465">
    <cfRule type="duplicateValues" dxfId="628" priority="285"/>
  </conditionalFormatting>
  <conditionalFormatting sqref="A466">
    <cfRule type="duplicateValues" dxfId="627" priority="284"/>
  </conditionalFormatting>
  <conditionalFormatting sqref="A467">
    <cfRule type="duplicateValues" dxfId="626" priority="283"/>
  </conditionalFormatting>
  <conditionalFormatting sqref="A468">
    <cfRule type="duplicateValues" dxfId="625" priority="282"/>
  </conditionalFormatting>
  <conditionalFormatting sqref="A473">
    <cfRule type="duplicateValues" dxfId="624" priority="281"/>
  </conditionalFormatting>
  <conditionalFormatting sqref="A474">
    <cfRule type="duplicateValues" dxfId="623" priority="280"/>
  </conditionalFormatting>
  <conditionalFormatting sqref="A475">
    <cfRule type="duplicateValues" dxfId="622" priority="279"/>
  </conditionalFormatting>
  <conditionalFormatting sqref="A476">
    <cfRule type="duplicateValues" dxfId="621" priority="278"/>
  </conditionalFormatting>
  <conditionalFormatting sqref="A477">
    <cfRule type="duplicateValues" dxfId="620" priority="277"/>
  </conditionalFormatting>
  <conditionalFormatting sqref="A478">
    <cfRule type="duplicateValues" dxfId="619" priority="276"/>
  </conditionalFormatting>
  <conditionalFormatting sqref="A479">
    <cfRule type="duplicateValues" dxfId="618" priority="275"/>
  </conditionalFormatting>
  <conditionalFormatting sqref="A480">
    <cfRule type="duplicateValues" dxfId="617" priority="274"/>
  </conditionalFormatting>
  <conditionalFormatting sqref="A481">
    <cfRule type="duplicateValues" dxfId="616" priority="273"/>
  </conditionalFormatting>
  <conditionalFormatting sqref="A482">
    <cfRule type="duplicateValues" dxfId="615" priority="272"/>
  </conditionalFormatting>
  <conditionalFormatting sqref="A487">
    <cfRule type="duplicateValues" dxfId="614" priority="271"/>
  </conditionalFormatting>
  <conditionalFormatting sqref="A488">
    <cfRule type="duplicateValues" dxfId="613" priority="270"/>
  </conditionalFormatting>
  <conditionalFormatting sqref="A489">
    <cfRule type="duplicateValues" dxfId="612" priority="269"/>
  </conditionalFormatting>
  <conditionalFormatting sqref="A490">
    <cfRule type="duplicateValues" dxfId="611" priority="268"/>
  </conditionalFormatting>
  <conditionalFormatting sqref="A491">
    <cfRule type="duplicateValues" dxfId="610" priority="267"/>
  </conditionalFormatting>
  <conditionalFormatting sqref="A492">
    <cfRule type="duplicateValues" dxfId="609" priority="266"/>
  </conditionalFormatting>
  <conditionalFormatting sqref="A493">
    <cfRule type="duplicateValues" dxfId="608" priority="265"/>
  </conditionalFormatting>
  <conditionalFormatting sqref="A494">
    <cfRule type="duplicateValues" dxfId="607" priority="264"/>
  </conditionalFormatting>
  <conditionalFormatting sqref="A495">
    <cfRule type="duplicateValues" dxfId="606" priority="263"/>
  </conditionalFormatting>
  <conditionalFormatting sqref="A496">
    <cfRule type="duplicateValues" dxfId="605" priority="262"/>
  </conditionalFormatting>
  <conditionalFormatting sqref="A501">
    <cfRule type="duplicateValues" dxfId="604" priority="261"/>
  </conditionalFormatting>
  <conditionalFormatting sqref="A502">
    <cfRule type="duplicateValues" dxfId="603" priority="260"/>
  </conditionalFormatting>
  <conditionalFormatting sqref="A503">
    <cfRule type="duplicateValues" dxfId="602" priority="259"/>
  </conditionalFormatting>
  <conditionalFormatting sqref="A504">
    <cfRule type="duplicateValues" dxfId="601" priority="258"/>
  </conditionalFormatting>
  <conditionalFormatting sqref="A505">
    <cfRule type="duplicateValues" dxfId="600" priority="257"/>
  </conditionalFormatting>
  <conditionalFormatting sqref="A506">
    <cfRule type="duplicateValues" dxfId="599" priority="256"/>
  </conditionalFormatting>
  <conditionalFormatting sqref="A507">
    <cfRule type="duplicateValues" dxfId="598" priority="255"/>
  </conditionalFormatting>
  <conditionalFormatting sqref="A508">
    <cfRule type="duplicateValues" dxfId="597" priority="254"/>
  </conditionalFormatting>
  <conditionalFormatting sqref="A509">
    <cfRule type="duplicateValues" dxfId="596" priority="253"/>
  </conditionalFormatting>
  <conditionalFormatting sqref="A510">
    <cfRule type="duplicateValues" dxfId="595" priority="252"/>
  </conditionalFormatting>
  <conditionalFormatting sqref="A515">
    <cfRule type="duplicateValues" dxfId="594" priority="251"/>
  </conditionalFormatting>
  <conditionalFormatting sqref="A516">
    <cfRule type="duplicateValues" dxfId="593" priority="250"/>
  </conditionalFormatting>
  <conditionalFormatting sqref="A517">
    <cfRule type="duplicateValues" dxfId="592" priority="249"/>
  </conditionalFormatting>
  <conditionalFormatting sqref="A518">
    <cfRule type="duplicateValues" dxfId="591" priority="248"/>
  </conditionalFormatting>
  <conditionalFormatting sqref="A519">
    <cfRule type="duplicateValues" dxfId="590" priority="247"/>
  </conditionalFormatting>
  <conditionalFormatting sqref="A520">
    <cfRule type="duplicateValues" dxfId="589" priority="246"/>
  </conditionalFormatting>
  <conditionalFormatting sqref="A521">
    <cfRule type="duplicateValues" dxfId="588" priority="245"/>
  </conditionalFormatting>
  <conditionalFormatting sqref="A522">
    <cfRule type="duplicateValues" dxfId="587" priority="244"/>
  </conditionalFormatting>
  <conditionalFormatting sqref="A523">
    <cfRule type="duplicateValues" dxfId="586" priority="243"/>
  </conditionalFormatting>
  <conditionalFormatting sqref="A524">
    <cfRule type="duplicateValues" dxfId="585" priority="242"/>
  </conditionalFormatting>
  <conditionalFormatting sqref="A529">
    <cfRule type="duplicateValues" dxfId="584" priority="241"/>
  </conditionalFormatting>
  <conditionalFormatting sqref="A530">
    <cfRule type="duplicateValues" dxfId="583" priority="240"/>
  </conditionalFormatting>
  <conditionalFormatting sqref="A531">
    <cfRule type="duplicateValues" dxfId="582" priority="239"/>
  </conditionalFormatting>
  <conditionalFormatting sqref="A532">
    <cfRule type="duplicateValues" dxfId="581" priority="238"/>
  </conditionalFormatting>
  <conditionalFormatting sqref="A533">
    <cfRule type="duplicateValues" dxfId="580" priority="237"/>
  </conditionalFormatting>
  <conditionalFormatting sqref="A534">
    <cfRule type="duplicateValues" dxfId="579" priority="236"/>
  </conditionalFormatting>
  <conditionalFormatting sqref="A535">
    <cfRule type="duplicateValues" dxfId="578" priority="235"/>
  </conditionalFormatting>
  <conditionalFormatting sqref="A536">
    <cfRule type="duplicateValues" dxfId="577" priority="234"/>
  </conditionalFormatting>
  <conditionalFormatting sqref="A537">
    <cfRule type="duplicateValues" dxfId="576" priority="233"/>
  </conditionalFormatting>
  <conditionalFormatting sqref="A538">
    <cfRule type="duplicateValues" dxfId="575" priority="232"/>
  </conditionalFormatting>
  <conditionalFormatting sqref="A543">
    <cfRule type="duplicateValues" dxfId="574" priority="231"/>
  </conditionalFormatting>
  <conditionalFormatting sqref="A544">
    <cfRule type="duplicateValues" dxfId="573" priority="230"/>
  </conditionalFormatting>
  <conditionalFormatting sqref="A545">
    <cfRule type="duplicateValues" dxfId="572" priority="229"/>
  </conditionalFormatting>
  <conditionalFormatting sqref="A546">
    <cfRule type="duplicateValues" dxfId="571" priority="228"/>
  </conditionalFormatting>
  <conditionalFormatting sqref="A547">
    <cfRule type="duplicateValues" dxfId="570" priority="227"/>
  </conditionalFormatting>
  <conditionalFormatting sqref="A548">
    <cfRule type="duplicateValues" dxfId="569" priority="226"/>
  </conditionalFormatting>
  <conditionalFormatting sqref="A549">
    <cfRule type="duplicateValues" dxfId="568" priority="225"/>
  </conditionalFormatting>
  <conditionalFormatting sqref="A550">
    <cfRule type="duplicateValues" dxfId="567" priority="224"/>
  </conditionalFormatting>
  <conditionalFormatting sqref="A551">
    <cfRule type="duplicateValues" dxfId="566" priority="223"/>
  </conditionalFormatting>
  <conditionalFormatting sqref="A552">
    <cfRule type="duplicateValues" dxfId="565" priority="222"/>
  </conditionalFormatting>
  <conditionalFormatting sqref="A593">
    <cfRule type="duplicateValues" dxfId="564" priority="221"/>
  </conditionalFormatting>
  <conditionalFormatting sqref="A594">
    <cfRule type="duplicateValues" dxfId="563" priority="220"/>
  </conditionalFormatting>
  <conditionalFormatting sqref="A595">
    <cfRule type="duplicateValues" dxfId="562" priority="219"/>
  </conditionalFormatting>
  <conditionalFormatting sqref="A596">
    <cfRule type="duplicateValues" dxfId="561" priority="218"/>
  </conditionalFormatting>
  <conditionalFormatting sqref="A597">
    <cfRule type="duplicateValues" dxfId="560" priority="217"/>
  </conditionalFormatting>
  <conditionalFormatting sqref="A598">
    <cfRule type="duplicateValues" dxfId="559" priority="216"/>
  </conditionalFormatting>
  <conditionalFormatting sqref="A599">
    <cfRule type="duplicateValues" dxfId="558" priority="215"/>
  </conditionalFormatting>
  <conditionalFormatting sqref="A600">
    <cfRule type="duplicateValues" dxfId="557" priority="214"/>
  </conditionalFormatting>
  <conditionalFormatting sqref="A601">
    <cfRule type="duplicateValues" dxfId="556" priority="213"/>
  </conditionalFormatting>
  <conditionalFormatting sqref="A602">
    <cfRule type="duplicateValues" dxfId="555" priority="212"/>
  </conditionalFormatting>
  <conditionalFormatting sqref="A607">
    <cfRule type="duplicateValues" dxfId="554" priority="211"/>
  </conditionalFormatting>
  <conditionalFormatting sqref="A608">
    <cfRule type="duplicateValues" dxfId="553" priority="210"/>
  </conditionalFormatting>
  <conditionalFormatting sqref="A609">
    <cfRule type="duplicateValues" dxfId="552" priority="209"/>
  </conditionalFormatting>
  <conditionalFormatting sqref="A610">
    <cfRule type="duplicateValues" dxfId="551" priority="208"/>
  </conditionalFormatting>
  <conditionalFormatting sqref="A611">
    <cfRule type="duplicateValues" dxfId="550" priority="207"/>
  </conditionalFormatting>
  <conditionalFormatting sqref="A612">
    <cfRule type="duplicateValues" dxfId="549" priority="206"/>
  </conditionalFormatting>
  <conditionalFormatting sqref="A613">
    <cfRule type="duplicateValues" dxfId="548" priority="205"/>
  </conditionalFormatting>
  <conditionalFormatting sqref="A614">
    <cfRule type="duplicateValues" dxfId="547" priority="204"/>
  </conditionalFormatting>
  <conditionalFormatting sqref="A615">
    <cfRule type="duplicateValues" dxfId="546" priority="203"/>
  </conditionalFormatting>
  <conditionalFormatting sqref="A616">
    <cfRule type="duplicateValues" dxfId="545" priority="202"/>
  </conditionalFormatting>
  <conditionalFormatting sqref="A621">
    <cfRule type="duplicateValues" dxfId="544" priority="201"/>
  </conditionalFormatting>
  <conditionalFormatting sqref="A622">
    <cfRule type="duplicateValues" dxfId="543" priority="200"/>
  </conditionalFormatting>
  <conditionalFormatting sqref="A623">
    <cfRule type="duplicateValues" dxfId="542" priority="199"/>
  </conditionalFormatting>
  <conditionalFormatting sqref="A624">
    <cfRule type="duplicateValues" dxfId="541" priority="198"/>
  </conditionalFormatting>
  <conditionalFormatting sqref="A625">
    <cfRule type="duplicateValues" dxfId="540" priority="197"/>
  </conditionalFormatting>
  <conditionalFormatting sqref="A626">
    <cfRule type="duplicateValues" dxfId="539" priority="196"/>
  </conditionalFormatting>
  <conditionalFormatting sqref="A627">
    <cfRule type="duplicateValues" dxfId="538" priority="195"/>
  </conditionalFormatting>
  <conditionalFormatting sqref="A628">
    <cfRule type="duplicateValues" dxfId="537" priority="194"/>
  </conditionalFormatting>
  <conditionalFormatting sqref="A629">
    <cfRule type="duplicateValues" dxfId="536" priority="193"/>
  </conditionalFormatting>
  <conditionalFormatting sqref="A630">
    <cfRule type="duplicateValues" dxfId="535" priority="192"/>
  </conditionalFormatting>
  <conditionalFormatting sqref="A635">
    <cfRule type="duplicateValues" dxfId="534" priority="191"/>
  </conditionalFormatting>
  <conditionalFormatting sqref="A636">
    <cfRule type="duplicateValues" dxfId="533" priority="190"/>
  </conditionalFormatting>
  <conditionalFormatting sqref="A637">
    <cfRule type="duplicateValues" dxfId="532" priority="189"/>
  </conditionalFormatting>
  <conditionalFormatting sqref="A638">
    <cfRule type="duplicateValues" dxfId="531" priority="188"/>
  </conditionalFormatting>
  <conditionalFormatting sqref="A639">
    <cfRule type="duplicateValues" dxfId="530" priority="187"/>
  </conditionalFormatting>
  <conditionalFormatting sqref="A640">
    <cfRule type="duplicateValues" dxfId="529" priority="186"/>
  </conditionalFormatting>
  <conditionalFormatting sqref="A641">
    <cfRule type="duplicateValues" dxfId="528" priority="185"/>
  </conditionalFormatting>
  <conditionalFormatting sqref="A642">
    <cfRule type="duplicateValues" dxfId="527" priority="184"/>
  </conditionalFormatting>
  <conditionalFormatting sqref="A643">
    <cfRule type="duplicateValues" dxfId="526" priority="183"/>
  </conditionalFormatting>
  <conditionalFormatting sqref="A644">
    <cfRule type="duplicateValues" dxfId="525" priority="182"/>
  </conditionalFormatting>
  <conditionalFormatting sqref="A649">
    <cfRule type="duplicateValues" dxfId="524" priority="181"/>
  </conditionalFormatting>
  <conditionalFormatting sqref="A650">
    <cfRule type="duplicateValues" dxfId="523" priority="180"/>
  </conditionalFormatting>
  <conditionalFormatting sqref="A651">
    <cfRule type="duplicateValues" dxfId="522" priority="179"/>
  </conditionalFormatting>
  <conditionalFormatting sqref="A652">
    <cfRule type="duplicateValues" dxfId="521" priority="178"/>
  </conditionalFormatting>
  <conditionalFormatting sqref="A653">
    <cfRule type="duplicateValues" dxfId="520" priority="177"/>
  </conditionalFormatting>
  <conditionalFormatting sqref="A654">
    <cfRule type="duplicateValues" dxfId="519" priority="176"/>
  </conditionalFormatting>
  <conditionalFormatting sqref="A655">
    <cfRule type="duplicateValues" dxfId="518" priority="175"/>
  </conditionalFormatting>
  <conditionalFormatting sqref="A656">
    <cfRule type="duplicateValues" dxfId="517" priority="174"/>
  </conditionalFormatting>
  <conditionalFormatting sqref="A657">
    <cfRule type="duplicateValues" dxfId="516" priority="173"/>
  </conditionalFormatting>
  <conditionalFormatting sqref="A658">
    <cfRule type="duplicateValues" dxfId="515" priority="172"/>
  </conditionalFormatting>
  <conditionalFormatting sqref="A663">
    <cfRule type="duplicateValues" dxfId="514" priority="171"/>
  </conditionalFormatting>
  <conditionalFormatting sqref="A664">
    <cfRule type="duplicateValues" dxfId="513" priority="170"/>
  </conditionalFormatting>
  <conditionalFormatting sqref="A665">
    <cfRule type="duplicateValues" dxfId="512" priority="169"/>
  </conditionalFormatting>
  <conditionalFormatting sqref="A666">
    <cfRule type="duplicateValues" dxfId="511" priority="168"/>
  </conditionalFormatting>
  <conditionalFormatting sqref="A667">
    <cfRule type="duplicateValues" dxfId="510" priority="167"/>
  </conditionalFormatting>
  <conditionalFormatting sqref="A668">
    <cfRule type="duplicateValues" dxfId="509" priority="166"/>
  </conditionalFormatting>
  <conditionalFormatting sqref="A669">
    <cfRule type="duplicateValues" dxfId="508" priority="165"/>
  </conditionalFormatting>
  <conditionalFormatting sqref="A670">
    <cfRule type="duplicateValues" dxfId="507" priority="164"/>
  </conditionalFormatting>
  <conditionalFormatting sqref="A671">
    <cfRule type="duplicateValues" dxfId="506" priority="163"/>
  </conditionalFormatting>
  <conditionalFormatting sqref="A672">
    <cfRule type="duplicateValues" dxfId="505" priority="162"/>
  </conditionalFormatting>
  <conditionalFormatting sqref="A677">
    <cfRule type="duplicateValues" dxfId="504" priority="161"/>
  </conditionalFormatting>
  <conditionalFormatting sqref="A678">
    <cfRule type="duplicateValues" dxfId="503" priority="160"/>
  </conditionalFormatting>
  <conditionalFormatting sqref="A679">
    <cfRule type="duplicateValues" dxfId="502" priority="159"/>
  </conditionalFormatting>
  <conditionalFormatting sqref="A680">
    <cfRule type="duplicateValues" dxfId="501" priority="158"/>
  </conditionalFormatting>
  <conditionalFormatting sqref="A681">
    <cfRule type="duplicateValues" dxfId="500" priority="157"/>
  </conditionalFormatting>
  <conditionalFormatting sqref="A682">
    <cfRule type="duplicateValues" dxfId="499" priority="156"/>
  </conditionalFormatting>
  <conditionalFormatting sqref="A683">
    <cfRule type="duplicateValues" dxfId="498" priority="155"/>
  </conditionalFormatting>
  <conditionalFormatting sqref="A684">
    <cfRule type="duplicateValues" dxfId="497" priority="154"/>
  </conditionalFormatting>
  <conditionalFormatting sqref="A685">
    <cfRule type="duplicateValues" dxfId="496" priority="153"/>
  </conditionalFormatting>
  <conditionalFormatting sqref="A686">
    <cfRule type="duplicateValues" dxfId="495" priority="152"/>
  </conditionalFormatting>
  <conditionalFormatting sqref="A691">
    <cfRule type="duplicateValues" dxfId="494" priority="151"/>
  </conditionalFormatting>
  <conditionalFormatting sqref="A692">
    <cfRule type="duplicateValues" dxfId="493" priority="150"/>
  </conditionalFormatting>
  <conditionalFormatting sqref="A693">
    <cfRule type="duplicateValues" dxfId="492" priority="149"/>
  </conditionalFormatting>
  <conditionalFormatting sqref="A694">
    <cfRule type="duplicateValues" dxfId="491" priority="148"/>
  </conditionalFormatting>
  <conditionalFormatting sqref="A695">
    <cfRule type="duplicateValues" dxfId="490" priority="147"/>
  </conditionalFormatting>
  <conditionalFormatting sqref="A696">
    <cfRule type="duplicateValues" dxfId="489" priority="146"/>
  </conditionalFormatting>
  <conditionalFormatting sqref="A697">
    <cfRule type="duplicateValues" dxfId="488" priority="145"/>
  </conditionalFormatting>
  <conditionalFormatting sqref="A698">
    <cfRule type="duplicateValues" dxfId="487" priority="144"/>
  </conditionalFormatting>
  <conditionalFormatting sqref="A699">
    <cfRule type="duplicateValues" dxfId="486" priority="143"/>
  </conditionalFormatting>
  <conditionalFormatting sqref="A700">
    <cfRule type="duplicateValues" dxfId="485" priority="142"/>
  </conditionalFormatting>
  <conditionalFormatting sqref="A705">
    <cfRule type="duplicateValues" dxfId="484" priority="141"/>
  </conditionalFormatting>
  <conditionalFormatting sqref="A706">
    <cfRule type="duplicateValues" dxfId="483" priority="140"/>
  </conditionalFormatting>
  <conditionalFormatting sqref="A707">
    <cfRule type="duplicateValues" dxfId="482" priority="139"/>
  </conditionalFormatting>
  <conditionalFormatting sqref="A708">
    <cfRule type="duplicateValues" dxfId="481" priority="138"/>
  </conditionalFormatting>
  <conditionalFormatting sqref="A709">
    <cfRule type="duplicateValues" dxfId="480" priority="137"/>
  </conditionalFormatting>
  <conditionalFormatting sqref="A710">
    <cfRule type="duplicateValues" dxfId="479" priority="136"/>
  </conditionalFormatting>
  <conditionalFormatting sqref="A711">
    <cfRule type="duplicateValues" dxfId="478" priority="135"/>
  </conditionalFormatting>
  <conditionalFormatting sqref="A712">
    <cfRule type="duplicateValues" dxfId="477" priority="134"/>
  </conditionalFormatting>
  <conditionalFormatting sqref="A713">
    <cfRule type="duplicateValues" dxfId="476" priority="133"/>
  </conditionalFormatting>
  <conditionalFormatting sqref="A714">
    <cfRule type="duplicateValues" dxfId="475" priority="132"/>
  </conditionalFormatting>
  <conditionalFormatting sqref="A729">
    <cfRule type="duplicateValues" dxfId="474" priority="131"/>
  </conditionalFormatting>
  <conditionalFormatting sqref="A730">
    <cfRule type="duplicateValues" dxfId="473" priority="130"/>
  </conditionalFormatting>
  <conditionalFormatting sqref="A731">
    <cfRule type="duplicateValues" dxfId="472" priority="129"/>
  </conditionalFormatting>
  <conditionalFormatting sqref="A732">
    <cfRule type="duplicateValues" dxfId="471" priority="128"/>
  </conditionalFormatting>
  <conditionalFormatting sqref="A733">
    <cfRule type="duplicateValues" dxfId="470" priority="127"/>
  </conditionalFormatting>
  <conditionalFormatting sqref="A734">
    <cfRule type="duplicateValues" dxfId="469" priority="126"/>
  </conditionalFormatting>
  <conditionalFormatting sqref="A735">
    <cfRule type="duplicateValues" dxfId="468" priority="125"/>
  </conditionalFormatting>
  <conditionalFormatting sqref="A736">
    <cfRule type="duplicateValues" dxfId="467" priority="124"/>
  </conditionalFormatting>
  <conditionalFormatting sqref="A737">
    <cfRule type="duplicateValues" dxfId="466" priority="123"/>
  </conditionalFormatting>
  <conditionalFormatting sqref="A738">
    <cfRule type="duplicateValues" dxfId="465" priority="122"/>
  </conditionalFormatting>
  <conditionalFormatting sqref="A728">
    <cfRule type="duplicateValues" dxfId="464" priority="121"/>
  </conditionalFormatting>
  <conditionalFormatting sqref="A32">
    <cfRule type="duplicateValues" dxfId="463" priority="120"/>
  </conditionalFormatting>
  <conditionalFormatting sqref="A33">
    <cfRule type="duplicateValues" dxfId="462" priority="119"/>
  </conditionalFormatting>
  <conditionalFormatting sqref="A34">
    <cfRule type="duplicateValues" dxfId="461" priority="118"/>
  </conditionalFormatting>
  <conditionalFormatting sqref="A35">
    <cfRule type="duplicateValues" dxfId="460" priority="117"/>
  </conditionalFormatting>
  <conditionalFormatting sqref="A36">
    <cfRule type="duplicateValues" dxfId="459" priority="116"/>
  </conditionalFormatting>
  <conditionalFormatting sqref="A37">
    <cfRule type="duplicateValues" dxfId="458" priority="115"/>
  </conditionalFormatting>
  <conditionalFormatting sqref="A38">
    <cfRule type="duplicateValues" dxfId="457" priority="114"/>
  </conditionalFormatting>
  <conditionalFormatting sqref="A39">
    <cfRule type="duplicateValues" dxfId="456" priority="113"/>
  </conditionalFormatting>
  <conditionalFormatting sqref="A40">
    <cfRule type="duplicateValues" dxfId="455" priority="112"/>
  </conditionalFormatting>
  <conditionalFormatting sqref="A41">
    <cfRule type="duplicateValues" dxfId="454" priority="111"/>
  </conditionalFormatting>
  <conditionalFormatting sqref="A47">
    <cfRule type="duplicateValues" dxfId="453" priority="110"/>
  </conditionalFormatting>
  <conditionalFormatting sqref="A48">
    <cfRule type="duplicateValues" dxfId="452" priority="109"/>
  </conditionalFormatting>
  <conditionalFormatting sqref="A49">
    <cfRule type="duplicateValues" dxfId="451" priority="108"/>
  </conditionalFormatting>
  <conditionalFormatting sqref="A50">
    <cfRule type="duplicateValues" dxfId="450" priority="107"/>
  </conditionalFormatting>
  <conditionalFormatting sqref="A51">
    <cfRule type="duplicateValues" dxfId="449" priority="106"/>
  </conditionalFormatting>
  <conditionalFormatting sqref="A52">
    <cfRule type="duplicateValues" dxfId="448" priority="105"/>
  </conditionalFormatting>
  <conditionalFormatting sqref="A53">
    <cfRule type="duplicateValues" dxfId="447" priority="104"/>
  </conditionalFormatting>
  <conditionalFormatting sqref="A54">
    <cfRule type="duplicateValues" dxfId="446" priority="103"/>
  </conditionalFormatting>
  <conditionalFormatting sqref="A55">
    <cfRule type="duplicateValues" dxfId="445" priority="102"/>
  </conditionalFormatting>
  <conditionalFormatting sqref="A56">
    <cfRule type="duplicateValues" dxfId="444" priority="101"/>
  </conditionalFormatting>
  <conditionalFormatting sqref="A62">
    <cfRule type="duplicateValues" dxfId="443" priority="100"/>
  </conditionalFormatting>
  <conditionalFormatting sqref="A63">
    <cfRule type="duplicateValues" dxfId="442" priority="99"/>
  </conditionalFormatting>
  <conditionalFormatting sqref="A64">
    <cfRule type="duplicateValues" dxfId="441" priority="98"/>
  </conditionalFormatting>
  <conditionalFormatting sqref="A65">
    <cfRule type="duplicateValues" dxfId="440" priority="97"/>
  </conditionalFormatting>
  <conditionalFormatting sqref="A66">
    <cfRule type="duplicateValues" dxfId="439" priority="96"/>
  </conditionalFormatting>
  <conditionalFormatting sqref="A67">
    <cfRule type="duplicateValues" dxfId="438" priority="95"/>
  </conditionalFormatting>
  <conditionalFormatting sqref="A68">
    <cfRule type="duplicateValues" dxfId="437" priority="94"/>
  </conditionalFormatting>
  <conditionalFormatting sqref="A69">
    <cfRule type="duplicateValues" dxfId="436" priority="93"/>
  </conditionalFormatting>
  <conditionalFormatting sqref="A70">
    <cfRule type="duplicateValues" dxfId="435" priority="92"/>
  </conditionalFormatting>
  <conditionalFormatting sqref="A71">
    <cfRule type="duplicateValues" dxfId="434" priority="91"/>
  </conditionalFormatting>
  <conditionalFormatting sqref="A77">
    <cfRule type="duplicateValues" dxfId="433" priority="90"/>
  </conditionalFormatting>
  <conditionalFormatting sqref="A78">
    <cfRule type="duplicateValues" dxfId="432" priority="89"/>
  </conditionalFormatting>
  <conditionalFormatting sqref="A79">
    <cfRule type="duplicateValues" dxfId="431" priority="88"/>
  </conditionalFormatting>
  <conditionalFormatting sqref="A80">
    <cfRule type="duplicateValues" dxfId="430" priority="87"/>
  </conditionalFormatting>
  <conditionalFormatting sqref="A81">
    <cfRule type="duplicateValues" dxfId="429" priority="86"/>
  </conditionalFormatting>
  <conditionalFormatting sqref="A82">
    <cfRule type="duplicateValues" dxfId="428" priority="85"/>
  </conditionalFormatting>
  <conditionalFormatting sqref="A83">
    <cfRule type="duplicateValues" dxfId="427" priority="84"/>
  </conditionalFormatting>
  <conditionalFormatting sqref="A84">
    <cfRule type="duplicateValues" dxfId="426" priority="83"/>
  </conditionalFormatting>
  <conditionalFormatting sqref="A85">
    <cfRule type="duplicateValues" dxfId="425" priority="82"/>
  </conditionalFormatting>
  <conditionalFormatting sqref="A86">
    <cfRule type="duplicateValues" dxfId="424" priority="81"/>
  </conditionalFormatting>
  <conditionalFormatting sqref="A92">
    <cfRule type="duplicateValues" dxfId="423" priority="80"/>
  </conditionalFormatting>
  <conditionalFormatting sqref="A93">
    <cfRule type="duplicateValues" dxfId="422" priority="79"/>
  </conditionalFormatting>
  <conditionalFormatting sqref="A94">
    <cfRule type="duplicateValues" dxfId="421" priority="78"/>
  </conditionalFormatting>
  <conditionalFormatting sqref="A95">
    <cfRule type="duplicateValues" dxfId="420" priority="77"/>
  </conditionalFormatting>
  <conditionalFormatting sqref="A96">
    <cfRule type="duplicateValues" dxfId="419" priority="76"/>
  </conditionalFormatting>
  <conditionalFormatting sqref="A97">
    <cfRule type="duplicateValues" dxfId="418" priority="75"/>
  </conditionalFormatting>
  <conditionalFormatting sqref="A98">
    <cfRule type="duplicateValues" dxfId="417" priority="74"/>
  </conditionalFormatting>
  <conditionalFormatting sqref="A99">
    <cfRule type="duplicateValues" dxfId="416" priority="73"/>
  </conditionalFormatting>
  <conditionalFormatting sqref="A100">
    <cfRule type="duplicateValues" dxfId="415" priority="72"/>
  </conditionalFormatting>
  <conditionalFormatting sqref="A101">
    <cfRule type="duplicateValues" dxfId="414" priority="71"/>
  </conditionalFormatting>
  <conditionalFormatting sqref="A107">
    <cfRule type="duplicateValues" dxfId="413" priority="70"/>
  </conditionalFormatting>
  <conditionalFormatting sqref="A108">
    <cfRule type="duplicateValues" dxfId="412" priority="69"/>
  </conditionalFormatting>
  <conditionalFormatting sqref="A109">
    <cfRule type="duplicateValues" dxfId="411" priority="68"/>
  </conditionalFormatting>
  <conditionalFormatting sqref="A110">
    <cfRule type="duplicateValues" dxfId="410" priority="67"/>
  </conditionalFormatting>
  <conditionalFormatting sqref="A111">
    <cfRule type="duplicateValues" dxfId="409" priority="66"/>
  </conditionalFormatting>
  <conditionalFormatting sqref="A112">
    <cfRule type="duplicateValues" dxfId="408" priority="65"/>
  </conditionalFormatting>
  <conditionalFormatting sqref="A113">
    <cfRule type="duplicateValues" dxfId="407" priority="64"/>
  </conditionalFormatting>
  <conditionalFormatting sqref="A114">
    <cfRule type="duplicateValues" dxfId="406" priority="63"/>
  </conditionalFormatting>
  <conditionalFormatting sqref="A115">
    <cfRule type="duplicateValues" dxfId="405" priority="62"/>
  </conditionalFormatting>
  <conditionalFormatting sqref="A116">
    <cfRule type="duplicateValues" dxfId="404" priority="61"/>
  </conditionalFormatting>
  <conditionalFormatting sqref="A122">
    <cfRule type="duplicateValues" dxfId="403" priority="60"/>
  </conditionalFormatting>
  <conditionalFormatting sqref="A123">
    <cfRule type="duplicateValues" dxfId="402" priority="59"/>
  </conditionalFormatting>
  <conditionalFormatting sqref="A124">
    <cfRule type="duplicateValues" dxfId="401" priority="58"/>
  </conditionalFormatting>
  <conditionalFormatting sqref="A125">
    <cfRule type="duplicateValues" dxfId="400" priority="57"/>
  </conditionalFormatting>
  <conditionalFormatting sqref="A126">
    <cfRule type="duplicateValues" dxfId="399" priority="56"/>
  </conditionalFormatting>
  <conditionalFormatting sqref="A127">
    <cfRule type="duplicateValues" dxfId="398" priority="55"/>
  </conditionalFormatting>
  <conditionalFormatting sqref="A128">
    <cfRule type="duplicateValues" dxfId="397" priority="54"/>
  </conditionalFormatting>
  <conditionalFormatting sqref="A129">
    <cfRule type="duplicateValues" dxfId="396" priority="53"/>
  </conditionalFormatting>
  <conditionalFormatting sqref="A130">
    <cfRule type="duplicateValues" dxfId="395" priority="52"/>
  </conditionalFormatting>
  <conditionalFormatting sqref="A131">
    <cfRule type="duplicateValues" dxfId="394" priority="51"/>
  </conditionalFormatting>
  <conditionalFormatting sqref="A137">
    <cfRule type="duplicateValues" dxfId="393" priority="50"/>
  </conditionalFormatting>
  <conditionalFormatting sqref="A138">
    <cfRule type="duplicateValues" dxfId="392" priority="49"/>
  </conditionalFormatting>
  <conditionalFormatting sqref="A139">
    <cfRule type="duplicateValues" dxfId="391" priority="48"/>
  </conditionalFormatting>
  <conditionalFormatting sqref="A140">
    <cfRule type="duplicateValues" dxfId="390" priority="47"/>
  </conditionalFormatting>
  <conditionalFormatting sqref="A141">
    <cfRule type="duplicateValues" dxfId="389" priority="46"/>
  </conditionalFormatting>
  <conditionalFormatting sqref="A142">
    <cfRule type="duplicateValues" dxfId="388" priority="45"/>
  </conditionalFormatting>
  <conditionalFormatting sqref="A143">
    <cfRule type="duplicateValues" dxfId="387" priority="44"/>
  </conditionalFormatting>
  <conditionalFormatting sqref="A144">
    <cfRule type="duplicateValues" dxfId="386" priority="43"/>
  </conditionalFormatting>
  <conditionalFormatting sqref="A145">
    <cfRule type="duplicateValues" dxfId="385" priority="42"/>
  </conditionalFormatting>
  <conditionalFormatting sqref="A146">
    <cfRule type="duplicateValues" dxfId="384" priority="41"/>
  </conditionalFormatting>
  <conditionalFormatting sqref="A152">
    <cfRule type="duplicateValues" dxfId="383" priority="40"/>
  </conditionalFormatting>
  <conditionalFormatting sqref="A153">
    <cfRule type="duplicateValues" dxfId="382" priority="39"/>
  </conditionalFormatting>
  <conditionalFormatting sqref="A154">
    <cfRule type="duplicateValues" dxfId="381" priority="38"/>
  </conditionalFormatting>
  <conditionalFormatting sqref="A155">
    <cfRule type="duplicateValues" dxfId="380" priority="37"/>
  </conditionalFormatting>
  <conditionalFormatting sqref="A156">
    <cfRule type="duplicateValues" dxfId="379" priority="36"/>
  </conditionalFormatting>
  <conditionalFormatting sqref="A157">
    <cfRule type="duplicateValues" dxfId="378" priority="35"/>
  </conditionalFormatting>
  <conditionalFormatting sqref="A158">
    <cfRule type="duplicateValues" dxfId="377" priority="34"/>
  </conditionalFormatting>
  <conditionalFormatting sqref="A159">
    <cfRule type="duplicateValues" dxfId="376" priority="33"/>
  </conditionalFormatting>
  <conditionalFormatting sqref="A160">
    <cfRule type="duplicateValues" dxfId="375" priority="32"/>
  </conditionalFormatting>
  <conditionalFormatting sqref="A161">
    <cfRule type="duplicateValues" dxfId="374" priority="31"/>
  </conditionalFormatting>
  <conditionalFormatting sqref="A167">
    <cfRule type="duplicateValues" dxfId="373" priority="30"/>
  </conditionalFormatting>
  <conditionalFormatting sqref="A168">
    <cfRule type="duplicateValues" dxfId="372" priority="29"/>
  </conditionalFormatting>
  <conditionalFormatting sqref="A169">
    <cfRule type="duplicateValues" dxfId="371" priority="28"/>
  </conditionalFormatting>
  <conditionalFormatting sqref="A170">
    <cfRule type="duplicateValues" dxfId="370" priority="27"/>
  </conditionalFormatting>
  <conditionalFormatting sqref="A171">
    <cfRule type="duplicateValues" dxfId="369" priority="26"/>
  </conditionalFormatting>
  <conditionalFormatting sqref="A172">
    <cfRule type="duplicateValues" dxfId="368" priority="25"/>
  </conditionalFormatting>
  <conditionalFormatting sqref="A173">
    <cfRule type="duplicateValues" dxfId="367" priority="24"/>
  </conditionalFormatting>
  <conditionalFormatting sqref="A174">
    <cfRule type="duplicateValues" dxfId="366" priority="23"/>
  </conditionalFormatting>
  <conditionalFormatting sqref="A175">
    <cfRule type="duplicateValues" dxfId="365" priority="22"/>
  </conditionalFormatting>
  <conditionalFormatting sqref="A176">
    <cfRule type="duplicateValues" dxfId="364" priority="21"/>
  </conditionalFormatting>
  <conditionalFormatting sqref="A192">
    <cfRule type="duplicateValues" dxfId="363" priority="10"/>
  </conditionalFormatting>
  <conditionalFormatting sqref="A193">
    <cfRule type="duplicateValues" dxfId="362" priority="9"/>
  </conditionalFormatting>
  <conditionalFormatting sqref="A194">
    <cfRule type="duplicateValues" dxfId="361" priority="8"/>
  </conditionalFormatting>
  <conditionalFormatting sqref="A195">
    <cfRule type="duplicateValues" dxfId="360" priority="7"/>
  </conditionalFormatting>
  <conditionalFormatting sqref="A196">
    <cfRule type="duplicateValues" dxfId="359" priority="6"/>
  </conditionalFormatting>
  <conditionalFormatting sqref="A197">
    <cfRule type="duplicateValues" dxfId="358" priority="5"/>
  </conditionalFormatting>
  <conditionalFormatting sqref="A198">
    <cfRule type="duplicateValues" dxfId="357" priority="4"/>
  </conditionalFormatting>
  <conditionalFormatting sqref="A199">
    <cfRule type="duplicateValues" dxfId="356" priority="3"/>
  </conditionalFormatting>
  <conditionalFormatting sqref="A200">
    <cfRule type="duplicateValues" dxfId="355" priority="2"/>
  </conditionalFormatting>
  <conditionalFormatting sqref="A201">
    <cfRule type="duplicateValues" dxfId="354" priority="1"/>
  </conditionalFormatting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ED9F-CFC7-481F-8B15-393C815267C8}">
  <sheetPr>
    <tabColor rgb="FFC55A11"/>
    <pageSetUpPr fitToPage="1"/>
  </sheetPr>
  <dimension ref="A1:AA721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0.6640625" customWidth="1"/>
    <col min="2" max="2" width="15.77734375" customWidth="1"/>
    <col min="3" max="3" width="12.21875" customWidth="1"/>
    <col min="4" max="4" width="20.77734375" customWidth="1"/>
    <col min="5" max="5" width="13.21875" customWidth="1"/>
    <col min="6" max="6" width="14" customWidth="1"/>
    <col min="7" max="7" width="12.77734375" customWidth="1"/>
    <col min="8" max="8" width="19.88671875" customWidth="1"/>
    <col min="9" max="9" width="22.33203125" customWidth="1"/>
    <col min="10" max="10" width="12.77734375" customWidth="1"/>
    <col min="11" max="11" width="15.109375" customWidth="1"/>
    <col min="12" max="12" width="13.77734375" customWidth="1"/>
    <col min="13" max="14" width="12.77734375" customWidth="1"/>
    <col min="15" max="15" width="22.33203125" customWidth="1"/>
    <col min="16" max="16" width="9.88671875" customWidth="1"/>
    <col min="18" max="18" width="10.21875" customWidth="1"/>
    <col min="19" max="19" width="12.77734375" customWidth="1"/>
    <col min="20" max="20" width="10.77734375" customWidth="1"/>
    <col min="21" max="21" width="12.77734375" customWidth="1"/>
    <col min="22" max="22" width="10.77734375" customWidth="1"/>
    <col min="23" max="23" width="12.6640625" customWidth="1"/>
    <col min="24" max="24" width="12.21875" customWidth="1"/>
    <col min="26" max="26" width="10.6640625" customWidth="1"/>
    <col min="27" max="27" width="10.109375" customWidth="1"/>
    <col min="28" max="28" width="9.6640625" customWidth="1"/>
    <col min="29" max="29" width="9.44140625" customWidth="1"/>
  </cols>
  <sheetData>
    <row r="1" spans="1:27" ht="18" customHeight="1" x14ac:dyDescent="0.3">
      <c r="A1" s="239" t="s">
        <v>75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27" ht="18" customHeight="1" x14ac:dyDescent="0.3">
      <c r="A2" s="240" t="s">
        <v>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0" t="s">
        <v>41</v>
      </c>
      <c r="Q2" s="300" t="s">
        <v>11</v>
      </c>
      <c r="R2" s="301">
        <v>4</v>
      </c>
      <c r="V2" s="302" t="s">
        <v>30</v>
      </c>
      <c r="W2" s="303"/>
      <c r="X2" s="301"/>
      <c r="Y2" s="301"/>
    </row>
    <row r="3" spans="1:27" ht="18" customHeight="1" x14ac:dyDescent="0.3">
      <c r="A3" s="246"/>
      <c r="B3" s="304">
        <v>0.52910083333333335</v>
      </c>
      <c r="C3" s="304">
        <v>-0.14285714285714288</v>
      </c>
      <c r="D3" s="400" t="s">
        <v>86</v>
      </c>
      <c r="E3" s="305">
        <v>-0.24074050000000002</v>
      </c>
      <c r="F3" s="304">
        <v>-5.3571500000000001E-2</v>
      </c>
      <c r="G3" s="305">
        <v>7.4074074074074042E-2</v>
      </c>
      <c r="H3" s="304">
        <v>-0.14285714285714288</v>
      </c>
      <c r="I3" s="304">
        <v>0.24074050000000002</v>
      </c>
      <c r="J3" s="304">
        <v>-5.3571428571428555E-2</v>
      </c>
      <c r="K3" s="304">
        <v>-0.24074050000000002</v>
      </c>
      <c r="L3" s="304">
        <v>-0.14285714285714288</v>
      </c>
      <c r="M3" s="304">
        <v>-9.5238000000000017E-2</v>
      </c>
      <c r="N3" s="305">
        <v>6.0763888888888902E-2</v>
      </c>
      <c r="O3" s="249">
        <v>2</v>
      </c>
      <c r="Q3" s="300" t="s">
        <v>12</v>
      </c>
      <c r="R3" s="301">
        <v>6</v>
      </c>
      <c r="V3" s="309"/>
      <c r="W3" s="310"/>
      <c r="X3" s="301"/>
      <c r="Y3" s="301"/>
    </row>
    <row r="4" spans="1:27" ht="18" customHeight="1" x14ac:dyDescent="0.3">
      <c r="A4" s="246"/>
      <c r="B4" s="304">
        <v>0.52910083333333335</v>
      </c>
      <c r="C4" s="304">
        <v>0.14285714285714288</v>
      </c>
      <c r="D4" s="401"/>
      <c r="E4" s="305">
        <v>0.24074050000000002</v>
      </c>
      <c r="F4" s="304">
        <v>-5.3571500000000001E-2</v>
      </c>
      <c r="G4" s="305">
        <v>7.4074074074074042E-2</v>
      </c>
      <c r="H4" s="304">
        <v>-0.14285714285714288</v>
      </c>
      <c r="I4" s="304">
        <v>-0.24074050000000002</v>
      </c>
      <c r="J4" s="304">
        <v>-5.3571428571428555E-2</v>
      </c>
      <c r="K4" s="304">
        <v>-0.24074050000000002</v>
      </c>
      <c r="L4" s="304">
        <v>-0.14285714285714288</v>
      </c>
      <c r="M4" s="304">
        <v>9.5238000000000017E-2</v>
      </c>
      <c r="N4" s="305">
        <v>6.0763888888888923E-2</v>
      </c>
      <c r="O4" s="249">
        <v>1</v>
      </c>
      <c r="V4" s="311"/>
      <c r="W4" s="312"/>
      <c r="X4" s="301"/>
      <c r="Y4" s="301"/>
    </row>
    <row r="5" spans="1:27" ht="18" customHeight="1" x14ac:dyDescent="0.3">
      <c r="A5" s="246"/>
      <c r="B5" s="304">
        <v>-0.52910083333333335</v>
      </c>
      <c r="C5" s="304">
        <v>-0.14285714285714288</v>
      </c>
      <c r="D5" s="401"/>
      <c r="E5" s="305">
        <v>-0.24074050000000002</v>
      </c>
      <c r="F5" s="304">
        <v>-5.3571500000000001E-2</v>
      </c>
      <c r="G5" s="305">
        <v>7.4074074074074042E-2</v>
      </c>
      <c r="H5" s="304">
        <v>0.14285714285714288</v>
      </c>
      <c r="I5" s="304">
        <v>-0.24074050000000002</v>
      </c>
      <c r="J5" s="304">
        <v>-5.3571428571428555E-2</v>
      </c>
      <c r="K5" s="304">
        <v>0.24074050000000002</v>
      </c>
      <c r="L5" s="304">
        <v>0.14285714285714288</v>
      </c>
      <c r="M5" s="304">
        <v>9.5238000000000017E-2</v>
      </c>
      <c r="N5" s="305">
        <v>6.0763888888888923E-2</v>
      </c>
      <c r="O5" s="249">
        <v>2</v>
      </c>
      <c r="Q5" s="313" t="s">
        <v>18</v>
      </c>
      <c r="R5" s="314"/>
      <c r="S5" s="315"/>
    </row>
    <row r="6" spans="1:27" ht="18" customHeight="1" x14ac:dyDescent="0.3">
      <c r="A6" s="246"/>
      <c r="B6" s="304">
        <v>0.52910083333333335</v>
      </c>
      <c r="C6" s="304">
        <v>-0.14285714285714288</v>
      </c>
      <c r="D6" s="401"/>
      <c r="E6" s="305">
        <v>-0.24074050000000002</v>
      </c>
      <c r="F6" s="304">
        <v>-5.3571500000000001E-2</v>
      </c>
      <c r="G6" s="305">
        <v>7.4074074074074042E-2</v>
      </c>
      <c r="H6" s="304">
        <v>0.14285714285714288</v>
      </c>
      <c r="I6" s="304">
        <v>0.24074050000000002</v>
      </c>
      <c r="J6" s="304">
        <v>5.3571428571428575E-2</v>
      </c>
      <c r="K6" s="304">
        <v>0.24074050000000002</v>
      </c>
      <c r="L6" s="304">
        <v>-0.14285714285714288</v>
      </c>
      <c r="M6" s="304">
        <v>-9.5238000000000017E-2</v>
      </c>
      <c r="N6" s="305">
        <v>6.0763888888888923E-2</v>
      </c>
      <c r="O6" s="249">
        <v>1</v>
      </c>
      <c r="Q6" s="316"/>
      <c r="R6" s="317"/>
      <c r="S6" s="318"/>
      <c r="V6" s="302" t="s">
        <v>31</v>
      </c>
      <c r="W6" s="303"/>
      <c r="X6" s="301"/>
      <c r="Y6" s="301"/>
    </row>
    <row r="7" spans="1:27" ht="18" customHeight="1" x14ac:dyDescent="0.3">
      <c r="A7" s="246"/>
      <c r="B7" s="304">
        <v>0.52910083333333335</v>
      </c>
      <c r="C7" s="304">
        <v>0.14285714285714288</v>
      </c>
      <c r="D7" s="401"/>
      <c r="E7" s="305">
        <v>0.24074050000000002</v>
      </c>
      <c r="F7" s="304">
        <v>-5.3571500000000001E-2</v>
      </c>
      <c r="G7" s="305">
        <v>7.4074074074074042E-2</v>
      </c>
      <c r="H7" s="304">
        <v>-0.14285714285714288</v>
      </c>
      <c r="I7" s="304">
        <v>0.24074050000000002</v>
      </c>
      <c r="J7" s="304">
        <v>5.3571428571428575E-2</v>
      </c>
      <c r="K7" s="304">
        <v>0.24074050000000002</v>
      </c>
      <c r="L7" s="304">
        <v>0.14285714285714288</v>
      </c>
      <c r="M7" s="304">
        <v>-9.5238000000000017E-2</v>
      </c>
      <c r="N7" s="305">
        <v>6.0763888888888902E-2</v>
      </c>
      <c r="O7" s="249">
        <v>1</v>
      </c>
      <c r="Q7" s="319" t="s">
        <v>77</v>
      </c>
      <c r="R7" s="320">
        <v>10</v>
      </c>
      <c r="S7" s="321"/>
      <c r="V7" s="309"/>
      <c r="W7" s="310"/>
      <c r="X7" s="301"/>
      <c r="Y7" s="301"/>
    </row>
    <row r="8" spans="1:27" ht="18" customHeight="1" x14ac:dyDescent="0.3">
      <c r="A8" s="246"/>
      <c r="B8" s="304">
        <v>0.52910083333333335</v>
      </c>
      <c r="C8" s="304">
        <v>-0.14285714285714288</v>
      </c>
      <c r="D8" s="401"/>
      <c r="E8" s="305">
        <v>0.24074050000000002</v>
      </c>
      <c r="F8" s="304">
        <v>5.3571500000000001E-2</v>
      </c>
      <c r="G8" s="305">
        <v>7.4074074074074042E-2</v>
      </c>
      <c r="H8" s="304">
        <v>0.14285714285714288</v>
      </c>
      <c r="I8" s="304">
        <v>0.24074050000000002</v>
      </c>
      <c r="J8" s="304">
        <v>-5.3571428571428555E-2</v>
      </c>
      <c r="K8" s="304">
        <v>0.24074050000000002</v>
      </c>
      <c r="L8" s="304">
        <v>0.14285714285714288</v>
      </c>
      <c r="M8" s="304">
        <v>9.5238000000000017E-2</v>
      </c>
      <c r="N8" s="305">
        <v>6.0763888888888923E-2</v>
      </c>
      <c r="O8" s="249">
        <v>1</v>
      </c>
      <c r="V8" s="311"/>
      <c r="W8" s="312"/>
      <c r="X8" s="301"/>
      <c r="Y8" s="301"/>
    </row>
    <row r="9" spans="1:27" ht="18" customHeight="1" x14ac:dyDescent="0.3">
      <c r="A9" s="246"/>
      <c r="B9" s="304">
        <v>-0.52910083333333335</v>
      </c>
      <c r="C9" s="304">
        <v>-0.14285714285714288</v>
      </c>
      <c r="D9" s="401"/>
      <c r="E9" s="305">
        <v>-0.24074050000000002</v>
      </c>
      <c r="F9" s="304">
        <v>-5.3571500000000001E-2</v>
      </c>
      <c r="G9" s="305">
        <v>-7.4074074074074056E-2</v>
      </c>
      <c r="H9" s="304">
        <v>-0.14285714285714288</v>
      </c>
      <c r="I9" s="304">
        <v>-0.24074050000000002</v>
      </c>
      <c r="J9" s="304">
        <v>5.3571428571428575E-2</v>
      </c>
      <c r="K9" s="304">
        <v>-0.24074050000000002</v>
      </c>
      <c r="L9" s="304">
        <v>-0.14285714285714288</v>
      </c>
      <c r="M9" s="304">
        <v>-9.5238000000000017E-2</v>
      </c>
      <c r="N9" s="305">
        <v>-0.12152777777777779</v>
      </c>
      <c r="O9" s="249">
        <v>2</v>
      </c>
      <c r="Q9" s="259" t="s">
        <v>17</v>
      </c>
      <c r="R9" s="314"/>
      <c r="S9" s="315"/>
    </row>
    <row r="10" spans="1:27" ht="18" customHeight="1" x14ac:dyDescent="0.3">
      <c r="A10" s="246"/>
      <c r="B10" s="304">
        <v>-0.52910083333333335</v>
      </c>
      <c r="C10" s="304">
        <v>-0.14285714285714288</v>
      </c>
      <c r="D10" s="401"/>
      <c r="E10" s="305">
        <v>0.24074050000000002</v>
      </c>
      <c r="F10" s="304">
        <v>-5.3571500000000001E-2</v>
      </c>
      <c r="G10" s="305">
        <v>7.4074074074074042E-2</v>
      </c>
      <c r="H10" s="304">
        <v>-0.14285714285714288</v>
      </c>
      <c r="I10" s="304">
        <v>-0.24074050000000002</v>
      </c>
      <c r="J10" s="304">
        <v>5.3571428571428575E-2</v>
      </c>
      <c r="K10" s="304">
        <v>-0.24074050000000002</v>
      </c>
      <c r="L10" s="304">
        <v>-0.14285714285714288</v>
      </c>
      <c r="M10" s="304">
        <v>-9.5238000000000017E-2</v>
      </c>
      <c r="N10" s="305">
        <v>6.0763888888888923E-2</v>
      </c>
      <c r="O10" s="249">
        <v>2</v>
      </c>
      <c r="Q10" s="259"/>
      <c r="R10" s="322"/>
      <c r="S10" s="323"/>
    </row>
    <row r="11" spans="1:27" ht="18" customHeight="1" x14ac:dyDescent="0.3">
      <c r="A11" s="246"/>
      <c r="B11" s="304">
        <v>-0.52910083333333335</v>
      </c>
      <c r="C11" s="304">
        <v>-0.14285714285714288</v>
      </c>
      <c r="D11" s="401"/>
      <c r="E11" s="305">
        <v>-0.24074050000000002</v>
      </c>
      <c r="F11" s="304">
        <v>-5.3571500000000001E-2</v>
      </c>
      <c r="G11" s="305">
        <v>7.4074074074074042E-2</v>
      </c>
      <c r="H11" s="304">
        <v>-0.14285714285714288</v>
      </c>
      <c r="I11" s="304">
        <v>-0.24074050000000002</v>
      </c>
      <c r="J11" s="304">
        <v>-5.3571428571428555E-2</v>
      </c>
      <c r="K11" s="304">
        <v>-0.24074050000000002</v>
      </c>
      <c r="L11" s="304">
        <v>-0.14285714285714288</v>
      </c>
      <c r="M11" s="304">
        <v>-9.5238000000000017E-2</v>
      </c>
      <c r="N11" s="305">
        <v>6.0763888888888923E-2</v>
      </c>
      <c r="O11" s="249">
        <v>2</v>
      </c>
      <c r="Q11" s="259" t="s">
        <v>26</v>
      </c>
      <c r="R11" s="324" t="s">
        <v>29</v>
      </c>
      <c r="S11" s="324"/>
      <c r="V11" s="325" t="s">
        <v>33</v>
      </c>
      <c r="W11" s="326"/>
      <c r="X11" s="314"/>
      <c r="Y11" s="327"/>
      <c r="Z11" s="327"/>
      <c r="AA11" s="315"/>
    </row>
    <row r="12" spans="1:27" ht="18" customHeight="1" x14ac:dyDescent="0.3">
      <c r="A12" s="246"/>
      <c r="B12" s="304">
        <v>-0.52910083333333335</v>
      </c>
      <c r="C12" s="304">
        <v>0.14285714285714288</v>
      </c>
      <c r="D12" s="402"/>
      <c r="E12" s="305">
        <v>-0.24074050000000002</v>
      </c>
      <c r="F12" s="304">
        <v>-5.3571500000000001E-2</v>
      </c>
      <c r="G12" s="305">
        <v>7.4074074074074042E-2</v>
      </c>
      <c r="H12" s="304">
        <v>-0.14285714285714288</v>
      </c>
      <c r="I12" s="304">
        <v>-0.24074050000000002</v>
      </c>
      <c r="J12" s="304">
        <v>-5.3571428571428555E-2</v>
      </c>
      <c r="K12" s="304">
        <v>-0.24074050000000002</v>
      </c>
      <c r="L12" s="304">
        <v>-0.14285714285714288</v>
      </c>
      <c r="M12" s="304">
        <v>-9.5238000000000017E-2</v>
      </c>
      <c r="N12" s="305">
        <v>6.0763888888888923E-2</v>
      </c>
      <c r="O12" s="249">
        <v>2</v>
      </c>
      <c r="V12" s="328"/>
      <c r="W12" s="329"/>
      <c r="X12" s="317"/>
      <c r="Y12" s="330"/>
      <c r="Z12" s="330"/>
      <c r="AA12" s="318"/>
    </row>
    <row r="13" spans="1:27" ht="18" customHeight="1" x14ac:dyDescent="0.3">
      <c r="A13" s="244"/>
      <c r="B13" s="251">
        <v>1</v>
      </c>
      <c r="C13" s="252">
        <v>0</v>
      </c>
      <c r="D13" s="252">
        <v>0</v>
      </c>
      <c r="E13" s="251">
        <v>1</v>
      </c>
      <c r="F13" s="251">
        <v>1</v>
      </c>
      <c r="G13" s="252">
        <v>0</v>
      </c>
      <c r="H13" s="252">
        <v>0</v>
      </c>
      <c r="I13" s="251">
        <v>1</v>
      </c>
      <c r="J13" s="252">
        <v>0</v>
      </c>
      <c r="K13" s="251">
        <v>1</v>
      </c>
      <c r="L13" s="252">
        <v>0</v>
      </c>
      <c r="M13" s="251">
        <v>1</v>
      </c>
      <c r="N13" s="252">
        <v>0</v>
      </c>
      <c r="O13" s="244"/>
      <c r="Q13" s="314"/>
      <c r="R13" s="315"/>
      <c r="V13" s="331"/>
      <c r="W13" s="332"/>
      <c r="X13" s="322"/>
      <c r="Y13" s="333"/>
      <c r="Z13" s="333"/>
      <c r="AA13" s="323"/>
    </row>
    <row r="14" spans="1:27" x14ac:dyDescent="0.3">
      <c r="Q14" s="322"/>
      <c r="R14" s="323"/>
    </row>
    <row r="15" spans="1:27" x14ac:dyDescent="0.3">
      <c r="V15" s="325" t="s">
        <v>32</v>
      </c>
      <c r="W15" s="326"/>
      <c r="X15" s="314"/>
      <c r="Y15" s="327"/>
      <c r="Z15" s="327"/>
      <c r="AA15" s="315"/>
    </row>
    <row r="16" spans="1:27" ht="18" customHeight="1" x14ac:dyDescent="0.3">
      <c r="B16" s="269" t="s">
        <v>76</v>
      </c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Q16" s="259" t="s">
        <v>13</v>
      </c>
      <c r="R16" s="301"/>
      <c r="V16" s="328"/>
      <c r="W16" s="329"/>
      <c r="X16" s="317"/>
      <c r="Y16" s="330"/>
      <c r="Z16" s="330"/>
      <c r="AA16" s="318"/>
    </row>
    <row r="17" spans="1:27" ht="18" customHeight="1" x14ac:dyDescent="0.3"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Q17" s="259"/>
      <c r="R17" s="301"/>
      <c r="V17" s="331"/>
      <c r="W17" s="332"/>
      <c r="X17" s="322"/>
      <c r="Y17" s="333"/>
      <c r="Z17" s="333"/>
      <c r="AA17" s="323"/>
    </row>
    <row r="18" spans="1:27" ht="18" customHeight="1" x14ac:dyDescent="0.3">
      <c r="B18" s="304">
        <v>0.63492099999999996</v>
      </c>
      <c r="C18" s="304">
        <v>0.42857142857142855</v>
      </c>
      <c r="D18" s="304">
        <v>0.79166666666666696</v>
      </c>
      <c r="E18" s="304">
        <v>0.41269800000000001</v>
      </c>
      <c r="F18" s="304">
        <v>0.214286</v>
      </c>
      <c r="G18" s="304">
        <v>0.44444444444444436</v>
      </c>
      <c r="H18" s="304">
        <v>0.42857142857142855</v>
      </c>
      <c r="I18" s="304">
        <v>0.41269800000000001</v>
      </c>
      <c r="J18" s="304">
        <v>0.3214285714285714</v>
      </c>
      <c r="K18" s="304">
        <v>0.41269800000000001</v>
      </c>
      <c r="L18" s="304">
        <v>0.42857142857142855</v>
      </c>
      <c r="M18" s="304">
        <v>0.28571400000000002</v>
      </c>
      <c r="N18" s="304">
        <v>0.72916666666666674</v>
      </c>
      <c r="Q18" s="259" t="s">
        <v>14</v>
      </c>
      <c r="R18" s="301"/>
    </row>
    <row r="19" spans="1:27" ht="18" customHeight="1" x14ac:dyDescent="0.3">
      <c r="B19" s="298">
        <f>COUNTIF($B$18:$N$18, "&gt;" &amp; B18) + COUNTIF($B$18:B18, "=" &amp; B18)</f>
        <v>3</v>
      </c>
      <c r="C19" s="298">
        <f>COUNTIF($B$18:$N$18, "&gt;" &amp; C18) + COUNTIF($B$18:C18, "=" &amp; C18)</f>
        <v>5</v>
      </c>
      <c r="D19" s="335">
        <f>COUNTIF($B$18:$N$18, "&gt;" &amp; D18) + COUNTIF($B$18:D18, "=" &amp; D18)</f>
        <v>1</v>
      </c>
      <c r="E19" s="298">
        <f>COUNTIF($B$18:$N$18, "&gt;" &amp; E18) + COUNTIF($B$18:E18, "=" &amp; E18)</f>
        <v>8</v>
      </c>
      <c r="F19" s="298">
        <f>COUNTIF($B$18:$N$18, "&gt;" &amp; F18) + COUNTIF($B$18:F18, "=" &amp; F18)</f>
        <v>13</v>
      </c>
      <c r="G19" s="335">
        <f>COUNTIF($B$18:$N$18, "&gt;" &amp; G18) + COUNTIF($B$18:G18, "=" &amp; G18)</f>
        <v>4</v>
      </c>
      <c r="H19" s="298">
        <f>COUNTIF($B$18:$N$18, "&gt;" &amp; H18) + COUNTIF($B$18:H18, "=" &amp; H18)</f>
        <v>6</v>
      </c>
      <c r="I19" s="298">
        <f>COUNTIF($B$18:$N$18, "&gt;" &amp; I18) + COUNTIF($B$18:I18, "=" &amp; I18)</f>
        <v>9</v>
      </c>
      <c r="J19" s="298">
        <f>COUNTIF($B$18:$N$18, "&gt;" &amp; J18) + COUNTIF($B$18:J18, "=" &amp; J18)</f>
        <v>11</v>
      </c>
      <c r="K19" s="298">
        <f>COUNTIF($B$18:$N$18, "&gt;" &amp; K18) + COUNTIF($B$18:K18, "=" &amp; K18)</f>
        <v>10</v>
      </c>
      <c r="L19" s="298">
        <f>COUNTIF($B$18:$N$18, "&gt;" &amp; L18) + COUNTIF($B$18:L18, "=" &amp; L18)</f>
        <v>7</v>
      </c>
      <c r="M19" s="298">
        <f>COUNTIF($B$18:$N$18, "&gt;" &amp; M18) + COUNTIF($B$18:M18, "=" &amp; M18)</f>
        <v>12</v>
      </c>
      <c r="N19" s="335">
        <f>COUNTIF($B$18:$N$18, "&gt;" &amp; N18) + COUNTIF($B$18:N18, "=" &amp; N18)</f>
        <v>2</v>
      </c>
      <c r="Q19" s="259"/>
      <c r="R19" s="301"/>
    </row>
    <row r="20" spans="1:27" ht="15.6" customHeight="1" x14ac:dyDescent="0.3">
      <c r="V20" s="337" t="s">
        <v>79</v>
      </c>
      <c r="W20" s="338"/>
      <c r="X20" s="339"/>
      <c r="Y20" s="339"/>
      <c r="Z20" s="339"/>
      <c r="AA20" s="339"/>
    </row>
    <row r="21" spans="1:27" x14ac:dyDescent="0.3">
      <c r="V21" s="341"/>
      <c r="W21" s="342"/>
      <c r="X21" s="339"/>
      <c r="Y21" s="339"/>
      <c r="Z21" s="339"/>
      <c r="AA21" s="339"/>
    </row>
    <row r="22" spans="1:27" ht="15.6" customHeight="1" x14ac:dyDescent="0.3">
      <c r="V22" s="343"/>
      <c r="W22" s="344"/>
      <c r="X22" s="339"/>
      <c r="Y22" s="339"/>
      <c r="Z22" s="339"/>
      <c r="AA22" s="339"/>
    </row>
    <row r="23" spans="1:27" ht="18" customHeight="1" x14ac:dyDescent="0.3">
      <c r="B23" s="259"/>
      <c r="C23" s="301">
        <v>10</v>
      </c>
      <c r="E23" s="314"/>
      <c r="F23" s="315"/>
      <c r="J23" s="345"/>
      <c r="K23" s="301"/>
      <c r="M23" s="259"/>
      <c r="N23" s="301">
        <v>0.3</v>
      </c>
    </row>
    <row r="24" spans="1:27" ht="18" customHeight="1" x14ac:dyDescent="0.3">
      <c r="B24" s="259"/>
      <c r="C24" s="301">
        <v>0.27398222793044313</v>
      </c>
      <c r="E24" s="322"/>
      <c r="F24" s="323"/>
      <c r="J24" s="259"/>
      <c r="K24" s="301">
        <v>4</v>
      </c>
      <c r="M24" s="259"/>
      <c r="N24" s="301">
        <v>0.1</v>
      </c>
    </row>
    <row r="25" spans="1:27" ht="18" customHeight="1" x14ac:dyDescent="0.3">
      <c r="E25" s="259"/>
      <c r="F25" s="346" t="s">
        <v>34</v>
      </c>
      <c r="G25" s="347"/>
      <c r="H25" s="348"/>
      <c r="I25" s="346" t="s">
        <v>34</v>
      </c>
      <c r="J25" s="345"/>
      <c r="K25" s="301"/>
      <c r="M25" s="259"/>
      <c r="N25" s="301">
        <v>5</v>
      </c>
    </row>
    <row r="26" spans="1:27" ht="18" customHeight="1" x14ac:dyDescent="0.3">
      <c r="B26" s="244"/>
      <c r="C26" s="244"/>
      <c r="D26" s="244"/>
      <c r="E26" s="259"/>
      <c r="F26" s="349">
        <v>0</v>
      </c>
      <c r="I26" s="340"/>
      <c r="J26" s="259"/>
      <c r="K26" s="301">
        <v>9</v>
      </c>
    </row>
    <row r="30" spans="1:27" ht="18" customHeight="1" x14ac:dyDescent="0.3">
      <c r="A30" s="281" t="s">
        <v>10</v>
      </c>
      <c r="B30" s="282"/>
      <c r="C30" s="282"/>
      <c r="D30" s="282"/>
      <c r="E30" s="282"/>
      <c r="F30" s="283"/>
      <c r="G30" s="350"/>
      <c r="H30" s="281" t="s">
        <v>9</v>
      </c>
      <c r="I30" s="282"/>
      <c r="J30" s="282"/>
      <c r="K30" s="282"/>
      <c r="L30" s="282"/>
      <c r="M30" s="282"/>
      <c r="N30" s="283"/>
    </row>
    <row r="31" spans="1:27" ht="18" customHeight="1" x14ac:dyDescent="0.3">
      <c r="A31" s="351"/>
      <c r="B31" s="352"/>
      <c r="C31" s="353" t="s">
        <v>5</v>
      </c>
      <c r="D31" s="354"/>
      <c r="E31" s="353" t="s">
        <v>6</v>
      </c>
      <c r="F31" s="354"/>
      <c r="G31" s="240" t="s">
        <v>8</v>
      </c>
      <c r="H31" s="355"/>
      <c r="I31" s="356"/>
      <c r="J31" s="356"/>
      <c r="K31" s="357"/>
      <c r="L31" s="357"/>
      <c r="M31" s="358"/>
      <c r="N31" s="358"/>
      <c r="P31" s="269" t="s">
        <v>27</v>
      </c>
      <c r="Q31" s="269"/>
      <c r="R31" s="269"/>
      <c r="S31" s="269"/>
      <c r="U31" s="269" t="s">
        <v>22</v>
      </c>
      <c r="V31" s="269"/>
      <c r="W31" s="269"/>
      <c r="X31" s="269"/>
      <c r="Y31" s="269"/>
    </row>
    <row r="32" spans="1:27" ht="18" customHeight="1" x14ac:dyDescent="0.3">
      <c r="A32" s="259"/>
      <c r="B32" s="359">
        <v>-1.3589807460522612</v>
      </c>
      <c r="C32" s="359" t="s">
        <v>5</v>
      </c>
      <c r="D32" s="359">
        <v>0.52910083333333335</v>
      </c>
      <c r="E32" s="359" t="s">
        <v>6</v>
      </c>
      <c r="F32" s="359">
        <f>SUM(B32,D32)</f>
        <v>-0.8298799127189278</v>
      </c>
      <c r="G32" s="249">
        <v>2</v>
      </c>
      <c r="H32" s="304">
        <f>IF(OR($G32=1,$G32=2), $F32 + IF($G32=1,1,-1)*$N$23*(EXP(-$F32)/(1+EXP(-$F32))), NA())</f>
        <v>-1.0387787739392309</v>
      </c>
      <c r="I32" s="359">
        <f>IF(G32=1,H32+N(I31),N(I31))</f>
        <v>0</v>
      </c>
      <c r="J32" s="359">
        <f>IF(G32=2,H32+N(J31),N(J31))</f>
        <v>-1.0387787739392309</v>
      </c>
      <c r="K32" s="304">
        <f>IFERROR(I32/COUNTIF($G$32:$G$41,1),"ERROR!!!")</f>
        <v>0</v>
      </c>
      <c r="L32" s="304">
        <f t="shared" ref="L32:L41" si="0">IFERROR(J32/COUNTIF($G$32:$G$41,2),"ERROR!!!")</f>
        <v>-0.17312979565653849</v>
      </c>
      <c r="M32" s="304">
        <f>IF(ROW()=32, 0, M31) + ABS(H32 - IF($G32=1, $K32, $L32))</f>
        <v>0.86564897828269238</v>
      </c>
      <c r="N32" s="304">
        <f>IF(ROW()=32, 0, N31) + ABS(H32 - IF($G32=1, $L32, $K32))</f>
        <v>1.0387787739392309</v>
      </c>
      <c r="P32" s="360"/>
      <c r="Q32" s="361"/>
      <c r="R32" s="259"/>
      <c r="S32" s="362">
        <f>IF(O41&lt;C23,O41,C23)</f>
        <v>0.29269649575260792</v>
      </c>
      <c r="V32" s="363"/>
      <c r="W32" s="363"/>
      <c r="X32" s="363"/>
    </row>
    <row r="33" spans="1:25" ht="18" customHeight="1" x14ac:dyDescent="0.3">
      <c r="A33" s="259"/>
      <c r="B33" s="359">
        <v>1.0973331755196423</v>
      </c>
      <c r="C33" s="359" t="s">
        <v>5</v>
      </c>
      <c r="D33" s="359">
        <v>0.52910083333333335</v>
      </c>
      <c r="E33" s="359" t="s">
        <v>6</v>
      </c>
      <c r="F33" s="359">
        <f>SUM(B33,D33)</f>
        <v>1.6264340088529756</v>
      </c>
      <c r="G33" s="249">
        <v>1</v>
      </c>
      <c r="H33" s="304">
        <f t="shared" ref="H33:H41" si="1">IF(OR($G33=1,$G33=2), $F33 + IF($G33=1,1,-1)*$N$23*(EXP(-$F33)/(1+EXP(-$F33))), NA())</f>
        <v>1.6757298444682054</v>
      </c>
      <c r="I33" s="359">
        <f t="shared" ref="I33:I41" si="2">IF(G33=1,H33+N(I32),N(I32))</f>
        <v>1.6757298444682054</v>
      </c>
      <c r="J33" s="359">
        <f t="shared" ref="J33:J41" si="3">IF(G33=2,H33+N(J32),N(J32))</f>
        <v>-1.0387787739392309</v>
      </c>
      <c r="K33" s="304">
        <f t="shared" ref="K33:K41" si="4">IFERROR(I33/COUNTIF($G$32:$G$41,1),"ERROR!!!")</f>
        <v>0.41893246111705135</v>
      </c>
      <c r="L33" s="304">
        <f t="shared" si="0"/>
        <v>-0.17312979565653849</v>
      </c>
      <c r="M33" s="304">
        <f>IF(ROW()=32, 0, M32) + ABS(H33 - IF($G33=1, $K33, $L33))</f>
        <v>2.1224463616338465</v>
      </c>
      <c r="N33" s="304">
        <f t="shared" ref="N33:N41" si="5">IF(ROW()=32, 0, N32) + ABS(H33 - IF($G33=1, $L33, $K33))</f>
        <v>2.887638414063975</v>
      </c>
      <c r="P33" s="364"/>
      <c r="Q33" s="365"/>
      <c r="R33" s="259"/>
      <c r="S33" s="366">
        <v>1</v>
      </c>
      <c r="U33" s="367" t="s">
        <v>23</v>
      </c>
      <c r="V33" s="367"/>
      <c r="W33" s="367"/>
      <c r="X33" s="367"/>
      <c r="Y33" s="367"/>
    </row>
    <row r="34" spans="1:25" ht="18" customHeight="1" x14ac:dyDescent="0.3">
      <c r="A34" s="259"/>
      <c r="B34" s="359">
        <v>-1.0620337591921905</v>
      </c>
      <c r="C34" s="359" t="s">
        <v>5</v>
      </c>
      <c r="D34" s="359">
        <v>-0.52910083333333335</v>
      </c>
      <c r="E34" s="359" t="s">
        <v>6</v>
      </c>
      <c r="F34" s="359">
        <f>SUM(B34,D34)</f>
        <v>-1.5911345925255238</v>
      </c>
      <c r="G34" s="249">
        <v>2</v>
      </c>
      <c r="H34" s="304">
        <f t="shared" si="1"/>
        <v>-1.8403672942484166</v>
      </c>
      <c r="I34" s="304">
        <f>IF(G34=1,H34+N(I33),N(I33))</f>
        <v>1.6757298444682054</v>
      </c>
      <c r="J34" s="359">
        <f t="shared" si="3"/>
        <v>-2.8791460681876475</v>
      </c>
      <c r="K34" s="304">
        <f t="shared" si="4"/>
        <v>0.41893246111705135</v>
      </c>
      <c r="L34" s="304">
        <f t="shared" si="0"/>
        <v>-0.4798576780312746</v>
      </c>
      <c r="M34" s="304">
        <f t="shared" ref="M34:M41" si="6">IF(ROW()=32, 0, M33) + ABS(H34 - IF($G34=1, $K34, $L34))</f>
        <v>3.4829559778509882</v>
      </c>
      <c r="N34" s="304">
        <f>IF(ROW()=32, 0, N33) + ABS(H34 - IF($G34=1, $L34, $K34))</f>
        <v>5.1469381694294434</v>
      </c>
      <c r="P34" s="368"/>
      <c r="Q34" s="369"/>
      <c r="R34" s="259"/>
      <c r="S34" s="366">
        <f>IF(O41&lt;C23,S33,F26)</f>
        <v>1</v>
      </c>
      <c r="U34" s="370" t="s">
        <v>24</v>
      </c>
      <c r="V34" s="371"/>
      <c r="W34" s="371"/>
      <c r="X34" s="371"/>
      <c r="Y34" s="372"/>
    </row>
    <row r="35" spans="1:25" ht="18" customHeight="1" x14ac:dyDescent="0.3">
      <c r="A35" s="259"/>
      <c r="B35" s="359">
        <v>0.55066153579842136</v>
      </c>
      <c r="C35" s="359" t="s">
        <v>5</v>
      </c>
      <c r="D35" s="359">
        <v>0.52910083333333335</v>
      </c>
      <c r="E35" s="359" t="s">
        <v>6</v>
      </c>
      <c r="F35" s="359">
        <f>SUM(B35,D35)</f>
        <v>1.0797623691317546</v>
      </c>
      <c r="G35" s="249">
        <v>1</v>
      </c>
      <c r="H35" s="304">
        <f>IF(OR($G35=1,$G35=2), $F35 + IF($G35=1,1,-1)*$N$23*(EXP(-$F35)/(1+EXP(-$F35))), NA())</f>
        <v>1.1558276657513664</v>
      </c>
      <c r="I35" s="359">
        <f t="shared" si="2"/>
        <v>2.8315575102195716</v>
      </c>
      <c r="J35" s="359">
        <f t="shared" si="3"/>
        <v>-2.8791460681876475</v>
      </c>
      <c r="K35" s="304">
        <f t="shared" si="4"/>
        <v>0.7078893775548929</v>
      </c>
      <c r="L35" s="304">
        <f>IFERROR(J35/COUNTIF($G$32:$G$41,2),"ERROR!!!")</f>
        <v>-0.4798576780312746</v>
      </c>
      <c r="M35" s="304">
        <f t="shared" si="6"/>
        <v>3.9308942660474617</v>
      </c>
      <c r="N35" s="304">
        <f>IF(ROW()=32, 0, N34) + ABS(H35 - IF($G35=1, $L35, $K35))</f>
        <v>6.7826235132120845</v>
      </c>
      <c r="U35" s="306"/>
      <c r="V35" s="306"/>
      <c r="W35" s="306"/>
      <c r="X35" s="306"/>
      <c r="Y35" s="306"/>
    </row>
    <row r="36" spans="1:25" ht="18" customHeight="1" x14ac:dyDescent="0.3">
      <c r="A36" s="259"/>
      <c r="B36" s="359">
        <v>1.097333175519642</v>
      </c>
      <c r="C36" s="359" t="s">
        <v>5</v>
      </c>
      <c r="D36" s="359">
        <v>0.52910083333333335</v>
      </c>
      <c r="E36" s="359" t="s">
        <v>6</v>
      </c>
      <c r="F36" s="359">
        <f t="shared" ref="F36" si="7">SUM(B36,D36)</f>
        <v>1.6264340088529754</v>
      </c>
      <c r="G36" s="249">
        <v>1</v>
      </c>
      <c r="H36" s="304">
        <f t="shared" si="1"/>
        <v>1.6757298444682052</v>
      </c>
      <c r="I36" s="359">
        <f t="shared" si="2"/>
        <v>4.5072873546877767</v>
      </c>
      <c r="J36" s="359">
        <f t="shared" si="3"/>
        <v>-2.8791460681876475</v>
      </c>
      <c r="K36" s="304">
        <f t="shared" si="4"/>
        <v>1.1268218386719442</v>
      </c>
      <c r="L36" s="304">
        <f t="shared" si="0"/>
        <v>-0.4798576780312746</v>
      </c>
      <c r="M36" s="304">
        <f t="shared" si="6"/>
        <v>4.4798022718437229</v>
      </c>
      <c r="N36" s="304">
        <f t="shared" si="5"/>
        <v>8.9382110357115643</v>
      </c>
      <c r="U36" s="306"/>
      <c r="V36" s="306"/>
      <c r="W36" s="306"/>
      <c r="X36" s="306"/>
      <c r="Y36" s="306"/>
    </row>
    <row r="37" spans="1:25" ht="18" customHeight="1" x14ac:dyDescent="0.3">
      <c r="A37" s="259"/>
      <c r="B37" s="359">
        <v>0.96858288142615678</v>
      </c>
      <c r="C37" s="359" t="s">
        <v>5</v>
      </c>
      <c r="D37" s="359">
        <v>0.52910083333333335</v>
      </c>
      <c r="E37" s="359" t="s">
        <v>6</v>
      </c>
      <c r="F37" s="359">
        <f>SUM(B37,D37)</f>
        <v>1.4976837147594901</v>
      </c>
      <c r="G37" s="249">
        <v>1</v>
      </c>
      <c r="H37" s="304">
        <f t="shared" si="1"/>
        <v>1.5525150878654519</v>
      </c>
      <c r="I37" s="359">
        <f>IF(G37=1,H37+N(I36),N(I36))</f>
        <v>6.0598024425532291</v>
      </c>
      <c r="J37" s="359">
        <f>IF(G37=2,H37+N(J36),N(J36))</f>
        <v>-2.8791460681876475</v>
      </c>
      <c r="K37" s="304">
        <f t="shared" si="4"/>
        <v>1.5149506106383073</v>
      </c>
      <c r="L37" s="304">
        <f>IFERROR(J37/COUNTIF($G$32:$G$41,2),"ERROR!!!")</f>
        <v>-0.4798576780312746</v>
      </c>
      <c r="M37" s="304">
        <f>IF(ROW()=32, 0, M36) + ABS(H37 - IF($G37=1, $K37, $L37))</f>
        <v>4.5173667490708675</v>
      </c>
      <c r="N37" s="304">
        <f>IF(ROW()=32, 0, N36) + ABS(H37 - IF($G37=1, $L37, $K37))</f>
        <v>10.97058380160829</v>
      </c>
    </row>
    <row r="38" spans="1:25" ht="18" customHeight="1" x14ac:dyDescent="0.3">
      <c r="A38" s="259"/>
      <c r="B38" s="359">
        <v>-1.5186565413621942</v>
      </c>
      <c r="C38" s="359" t="s">
        <v>5</v>
      </c>
      <c r="D38" s="359">
        <v>-0.52910083333333335</v>
      </c>
      <c r="E38" s="359" t="s">
        <v>6</v>
      </c>
      <c r="F38" s="359">
        <f t="shared" ref="F38:F41" si="8">SUM(B38,D38)</f>
        <v>-2.0477573746955278</v>
      </c>
      <c r="G38" s="249">
        <v>2</v>
      </c>
      <c r="H38" s="304">
        <f>IF(OR($G38=1,$G38=2), $F38 + IF($G38=1,1,-1)*$N$23*(EXP(-$F38)/(1+EXP(-$F38))), NA())</f>
        <v>-2.3134736200063317</v>
      </c>
      <c r="I38" s="359">
        <f>IF(G38=1,H38+N(I37),N(I37))</f>
        <v>6.0598024425532291</v>
      </c>
      <c r="J38" s="359">
        <f t="shared" si="3"/>
        <v>-5.1926196881939788</v>
      </c>
      <c r="K38" s="304">
        <f t="shared" si="4"/>
        <v>1.5149506106383073</v>
      </c>
      <c r="L38" s="304">
        <f t="shared" si="0"/>
        <v>-0.86543661469899646</v>
      </c>
      <c r="M38" s="304">
        <f>IF(ROW()=32, 0, M37) + ABS(H38 - IF($G38=1, $K38, $L38))</f>
        <v>5.9654037543782028</v>
      </c>
      <c r="N38" s="304">
        <f>IF(ROW()=32, 0, N37) + ABS(H38 - IF($G38=1, $L38, $K38))</f>
        <v>14.79900803225293</v>
      </c>
    </row>
    <row r="39" spans="1:25" ht="18" customHeight="1" x14ac:dyDescent="0.3">
      <c r="A39" s="259"/>
      <c r="B39" s="359">
        <v>-0.81342787967727681</v>
      </c>
      <c r="C39" s="359" t="s">
        <v>5</v>
      </c>
      <c r="D39" s="359">
        <v>-0.52910083333333335</v>
      </c>
      <c r="E39" s="359" t="s">
        <v>6</v>
      </c>
      <c r="F39" s="359">
        <f t="shared" si="8"/>
        <v>-1.3425287130106103</v>
      </c>
      <c r="G39" s="249">
        <v>2</v>
      </c>
      <c r="H39" s="304">
        <f t="shared" si="1"/>
        <v>-1.5804003569526011</v>
      </c>
      <c r="I39" s="359">
        <f t="shared" si="2"/>
        <v>6.0598024425532291</v>
      </c>
      <c r="J39" s="359">
        <f t="shared" si="3"/>
        <v>-6.7730200451465796</v>
      </c>
      <c r="K39" s="304">
        <f t="shared" si="4"/>
        <v>1.5149506106383073</v>
      </c>
      <c r="L39" s="304">
        <f t="shared" si="0"/>
        <v>-1.1288366741910967</v>
      </c>
      <c r="M39" s="304">
        <f t="shared" si="6"/>
        <v>6.4169674371397072</v>
      </c>
      <c r="N39" s="304">
        <f t="shared" si="5"/>
        <v>17.894358999843838</v>
      </c>
      <c r="O39" s="354"/>
    </row>
    <row r="40" spans="1:25" ht="18" customHeight="1" x14ac:dyDescent="0.3">
      <c r="A40" s="259"/>
      <c r="B40" s="359">
        <v>-1.3589807460522612</v>
      </c>
      <c r="C40" s="359" t="s">
        <v>5</v>
      </c>
      <c r="D40" s="359">
        <v>-0.52910083333333335</v>
      </c>
      <c r="E40" s="359" t="s">
        <v>6</v>
      </c>
      <c r="F40" s="359">
        <f t="shared" si="8"/>
        <v>-1.8880815793855945</v>
      </c>
      <c r="G40" s="249">
        <v>2</v>
      </c>
      <c r="H40" s="304">
        <f t="shared" si="1"/>
        <v>-2.148642570992652</v>
      </c>
      <c r="I40" s="359">
        <f t="shared" si="2"/>
        <v>6.0598024425532291</v>
      </c>
      <c r="J40" s="359">
        <f>IF(G40=2,H40+N(J39),N(J39))</f>
        <v>-8.9216626161392316</v>
      </c>
      <c r="K40" s="304">
        <f>IFERROR(I40/COUNTIF($G$32:$G$41,1),"ERROR!!!")</f>
        <v>1.5149506106383073</v>
      </c>
      <c r="L40" s="304">
        <f t="shared" si="0"/>
        <v>-1.4869437693565386</v>
      </c>
      <c r="M40" s="304">
        <f t="shared" si="6"/>
        <v>7.0786662387758206</v>
      </c>
      <c r="N40" s="304">
        <f t="shared" si="5"/>
        <v>21.557952181474796</v>
      </c>
      <c r="O40" s="358"/>
    </row>
    <row r="41" spans="1:25" ht="18" customHeight="1" x14ac:dyDescent="0.3">
      <c r="A41" s="259"/>
      <c r="B41" s="359">
        <v>-1.3589807460522612</v>
      </c>
      <c r="C41" s="359" t="s">
        <v>5</v>
      </c>
      <c r="D41" s="359">
        <v>-0.52910083333333335</v>
      </c>
      <c r="E41" s="359" t="s">
        <v>6</v>
      </c>
      <c r="F41" s="359">
        <f t="shared" si="8"/>
        <v>-1.8880815793855945</v>
      </c>
      <c r="G41" s="249">
        <v>2</v>
      </c>
      <c r="H41" s="304">
        <f t="shared" si="1"/>
        <v>-2.148642570992652</v>
      </c>
      <c r="I41" s="359">
        <f t="shared" si="2"/>
        <v>6.0598024425532291</v>
      </c>
      <c r="J41" s="359">
        <f t="shared" si="3"/>
        <v>-11.070305187131883</v>
      </c>
      <c r="K41" s="304">
        <f t="shared" si="4"/>
        <v>1.5149506106383073</v>
      </c>
      <c r="L41" s="304">
        <f t="shared" si="0"/>
        <v>-1.8450508645219805</v>
      </c>
      <c r="M41" s="304">
        <f t="shared" si="6"/>
        <v>7.3822579452464918</v>
      </c>
      <c r="N41" s="304">
        <f t="shared" si="5"/>
        <v>25.221545363105754</v>
      </c>
      <c r="O41" s="373">
        <f>M41/N41</f>
        <v>0.29269649575260792</v>
      </c>
    </row>
    <row r="45" spans="1:25" ht="18" customHeight="1" x14ac:dyDescent="0.3">
      <c r="A45" s="281" t="s">
        <v>10</v>
      </c>
      <c r="B45" s="282"/>
      <c r="C45" s="282"/>
      <c r="D45" s="282"/>
      <c r="E45" s="282"/>
      <c r="F45" s="283"/>
      <c r="G45" s="350"/>
      <c r="H45" s="281" t="s">
        <v>9</v>
      </c>
      <c r="I45" s="282"/>
      <c r="J45" s="282"/>
      <c r="K45" s="282"/>
      <c r="L45" s="282"/>
      <c r="M45" s="282"/>
      <c r="N45" s="283"/>
    </row>
    <row r="46" spans="1:25" ht="18" customHeight="1" x14ac:dyDescent="0.3">
      <c r="A46" s="351"/>
      <c r="B46" s="352"/>
      <c r="C46" s="353" t="s">
        <v>5</v>
      </c>
      <c r="D46" s="354"/>
      <c r="E46" s="353" t="s">
        <v>6</v>
      </c>
      <c r="F46" s="354"/>
      <c r="G46" s="240" t="s">
        <v>8</v>
      </c>
      <c r="H46" s="355"/>
      <c r="I46" s="356"/>
      <c r="J46" s="356"/>
      <c r="K46" s="357"/>
      <c r="L46" s="357"/>
      <c r="M46" s="358"/>
      <c r="N46" s="358"/>
      <c r="P46" s="269" t="s">
        <v>27</v>
      </c>
      <c r="Q46" s="269"/>
      <c r="R46" s="269"/>
      <c r="S46" s="269"/>
      <c r="U46" s="269" t="s">
        <v>22</v>
      </c>
      <c r="V46" s="269"/>
      <c r="W46" s="269"/>
      <c r="X46" s="269"/>
      <c r="Y46" s="269"/>
    </row>
    <row r="47" spans="1:25" ht="18" customHeight="1" x14ac:dyDescent="0.3">
      <c r="A47" s="259"/>
      <c r="B47" s="359">
        <v>-1.3589807460522612</v>
      </c>
      <c r="C47" s="359" t="s">
        <v>5</v>
      </c>
      <c r="D47" s="359">
        <v>-0.14285714285714288</v>
      </c>
      <c r="E47" s="359" t="s">
        <v>6</v>
      </c>
      <c r="F47" s="359">
        <f t="shared" ref="F47:F56" si="9">SUM(B47,D47)</f>
        <v>-1.501837888909404</v>
      </c>
      <c r="G47" s="249">
        <v>2</v>
      </c>
      <c r="H47" s="359">
        <f>IF(OR($G47=1,$G47=2), $F47 + IF($G47=1,1,-1)*$N$23*(EXP(-$F47)/(1+EXP(-$F47))), NA())</f>
        <v>-1.7471924181579521</v>
      </c>
      <c r="I47" s="359">
        <f t="shared" ref="I47:I56" si="10">IF(G47=1,H47+N(I46),N(I46))</f>
        <v>0</v>
      </c>
      <c r="J47" s="359">
        <f t="shared" ref="J47:J56" si="11">IF(G47=2,H47+N(J46),N(J46))</f>
        <v>-1.7471924181579521</v>
      </c>
      <c r="K47" s="304">
        <f>IFERROR(I47/COUNTIF($G$47:$G$56,1),"ERROR!!!")</f>
        <v>0</v>
      </c>
      <c r="L47" s="304">
        <f t="shared" ref="L47:L56" si="12">IFERROR(J47/COUNTIF($G$47:$G$56,2),"ERROR!!!")</f>
        <v>-0.29119873635965871</v>
      </c>
      <c r="M47" s="304">
        <f>IF(ROW()=47, 0, M46) + ABS(H47 - IF($G47=1, $K47, $L47))</f>
        <v>1.4559936817982935</v>
      </c>
      <c r="N47" s="304">
        <f>IF(ROW()=47, 0, N46) + ABS(H47 - IF($G47=1, $L47, $K47))</f>
        <v>1.7471924181579521</v>
      </c>
      <c r="P47" s="360"/>
      <c r="Q47" s="361"/>
      <c r="R47" s="316" t="s">
        <v>13</v>
      </c>
      <c r="S47" s="362">
        <f>IF(O56&lt;S32,O56,S32)</f>
        <v>0.29118948951563095</v>
      </c>
      <c r="V47" s="363"/>
      <c r="W47" s="363"/>
      <c r="X47" s="363"/>
    </row>
    <row r="48" spans="1:25" ht="18" customHeight="1" x14ac:dyDescent="0.3">
      <c r="A48" s="259"/>
      <c r="B48" s="359">
        <v>1.0973331755196423</v>
      </c>
      <c r="C48" s="359" t="s">
        <v>5</v>
      </c>
      <c r="D48" s="359">
        <v>0.14285714285714288</v>
      </c>
      <c r="E48" s="359" t="s">
        <v>6</v>
      </c>
      <c r="F48" s="359">
        <f t="shared" si="9"/>
        <v>1.2401903183767851</v>
      </c>
      <c r="G48" s="249">
        <v>1</v>
      </c>
      <c r="H48" s="359">
        <f t="shared" ref="H48:H56" si="13">IF(OR($G48=1,$G48=2), $F48 + IF($G48=1,1,-1)*$N$23*(EXP(-$F48)/(1+EXP(-$F48))), NA())</f>
        <v>1.3075111763168323</v>
      </c>
      <c r="I48" s="359">
        <f t="shared" si="10"/>
        <v>1.3075111763168323</v>
      </c>
      <c r="J48" s="359">
        <f t="shared" si="11"/>
        <v>-1.7471924181579521</v>
      </c>
      <c r="K48" s="304">
        <f t="shared" ref="K48:K56" si="14">IFERROR(I48/COUNTIF($G$47:$G$56,1),"ERROR!!!")</f>
        <v>0.32687779407920808</v>
      </c>
      <c r="L48" s="304">
        <f t="shared" si="12"/>
        <v>-0.29119873635965871</v>
      </c>
      <c r="M48" s="304">
        <f t="shared" ref="M48:M56" si="15">IF(ROW()=47, 0, M47) + ABS(H48 - IF($G48=1, $K48, $L48))</f>
        <v>2.4366270640359176</v>
      </c>
      <c r="N48" s="304">
        <f t="shared" ref="N48:N56" si="16">IF(ROW()=47, 0, N47) + ABS(H48 - IF($G48=1, $L48, $K48))</f>
        <v>3.3459023308344431</v>
      </c>
      <c r="P48" s="364"/>
      <c r="Q48" s="365"/>
      <c r="R48" s="259" t="s">
        <v>17</v>
      </c>
      <c r="S48" s="366">
        <v>2</v>
      </c>
      <c r="U48" s="367" t="s">
        <v>25</v>
      </c>
      <c r="V48" s="367"/>
      <c r="W48" s="367"/>
      <c r="X48" s="367"/>
      <c r="Y48" s="367"/>
    </row>
    <row r="49" spans="1:25" ht="18" customHeight="1" x14ac:dyDescent="0.3">
      <c r="A49" s="259"/>
      <c r="B49" s="359">
        <v>-1.0620337591921905</v>
      </c>
      <c r="C49" s="359" t="s">
        <v>5</v>
      </c>
      <c r="D49" s="359">
        <v>-0.14285714285714288</v>
      </c>
      <c r="E49" s="359" t="s">
        <v>6</v>
      </c>
      <c r="F49" s="359">
        <f t="shared" si="9"/>
        <v>-1.2048909020493332</v>
      </c>
      <c r="G49" s="249">
        <v>2</v>
      </c>
      <c r="H49" s="359">
        <f t="shared" si="13"/>
        <v>-1.4357090135109625</v>
      </c>
      <c r="I49" s="359">
        <f>IF(G49=1,H49+N(I48),N(I48))</f>
        <v>1.3075111763168323</v>
      </c>
      <c r="J49" s="359">
        <f t="shared" si="11"/>
        <v>-3.1829014316689146</v>
      </c>
      <c r="K49" s="304">
        <f t="shared" si="14"/>
        <v>0.32687779407920808</v>
      </c>
      <c r="L49" s="304">
        <f t="shared" si="12"/>
        <v>-0.5304835719448191</v>
      </c>
      <c r="M49" s="304">
        <f t="shared" si="15"/>
        <v>3.3418525056020609</v>
      </c>
      <c r="N49" s="304">
        <f>IF(ROW()=47, 0, N48) + ABS(H49 - IF($G49=1, $L49, $K49))</f>
        <v>5.1084891384246136</v>
      </c>
      <c r="P49" s="368"/>
      <c r="Q49" s="369"/>
      <c r="R49" s="259" t="s">
        <v>15</v>
      </c>
      <c r="S49" s="366">
        <f>IF(O56&lt;S32,S48,S34)</f>
        <v>2</v>
      </c>
      <c r="U49" s="370" t="s">
        <v>24</v>
      </c>
      <c r="V49" s="371"/>
      <c r="W49" s="371"/>
      <c r="X49" s="371"/>
      <c r="Y49" s="372"/>
    </row>
    <row r="50" spans="1:25" ht="18" customHeight="1" x14ac:dyDescent="0.3">
      <c r="A50" s="259"/>
      <c r="B50" s="359">
        <v>0.55066153579842136</v>
      </c>
      <c r="C50" s="359" t="s">
        <v>5</v>
      </c>
      <c r="D50" s="359">
        <v>-0.14285714285714288</v>
      </c>
      <c r="E50" s="359" t="s">
        <v>6</v>
      </c>
      <c r="F50" s="359">
        <f t="shared" si="9"/>
        <v>0.40780439294127846</v>
      </c>
      <c r="G50" s="249">
        <v>1</v>
      </c>
      <c r="H50" s="359">
        <f t="shared" si="13"/>
        <v>0.52763600390107601</v>
      </c>
      <c r="I50" s="359">
        <f>IF(G50=1,H50+N(I49),N(I49))</f>
        <v>1.8351471802179082</v>
      </c>
      <c r="J50" s="359">
        <f t="shared" si="11"/>
        <v>-3.1829014316689146</v>
      </c>
      <c r="K50" s="304">
        <f t="shared" si="14"/>
        <v>0.45878679505447706</v>
      </c>
      <c r="L50" s="304">
        <f t="shared" si="12"/>
        <v>-0.5304835719448191</v>
      </c>
      <c r="M50" s="304">
        <f>IF(ROW()=47, 0, M49) + ABS(H50 - IF($G50=1, $K50, $L50))</f>
        <v>3.4107017144486598</v>
      </c>
      <c r="N50" s="304">
        <f>IF(ROW()=47, 0, N49) + ABS(H50 - IF($G50=1, $L50, $K50))</f>
        <v>6.1666087142705086</v>
      </c>
      <c r="U50" s="306"/>
      <c r="V50" s="306"/>
      <c r="W50" s="306"/>
      <c r="X50" s="306"/>
      <c r="Y50" s="306"/>
    </row>
    <row r="51" spans="1:25" ht="18" customHeight="1" x14ac:dyDescent="0.3">
      <c r="A51" s="259"/>
      <c r="B51" s="359">
        <v>1.097333175519642</v>
      </c>
      <c r="C51" s="359" t="s">
        <v>5</v>
      </c>
      <c r="D51" s="359">
        <v>0.14285714285714288</v>
      </c>
      <c r="E51" s="359" t="s">
        <v>6</v>
      </c>
      <c r="F51" s="359">
        <f>SUM(B51,D51)</f>
        <v>1.2401903183767848</v>
      </c>
      <c r="G51" s="249">
        <v>1</v>
      </c>
      <c r="H51" s="359">
        <f t="shared" si="13"/>
        <v>1.3075111763168321</v>
      </c>
      <c r="I51" s="359">
        <f t="shared" si="10"/>
        <v>3.1426583565347403</v>
      </c>
      <c r="J51" s="359">
        <f t="shared" si="11"/>
        <v>-3.1829014316689146</v>
      </c>
      <c r="K51" s="304">
        <f t="shared" si="14"/>
        <v>0.78566458913368509</v>
      </c>
      <c r="L51" s="304">
        <f>IFERROR(J51/COUNTIF($G$47:$G$56,2),"ERROR!!!")</f>
        <v>-0.5304835719448191</v>
      </c>
      <c r="M51" s="304">
        <f t="shared" si="15"/>
        <v>3.9325483016318068</v>
      </c>
      <c r="N51" s="304">
        <f t="shared" si="16"/>
        <v>8.0046034625321596</v>
      </c>
      <c r="U51" s="306"/>
      <c r="V51" s="306"/>
      <c r="W51" s="306"/>
      <c r="X51" s="306"/>
      <c r="Y51" s="306"/>
    </row>
    <row r="52" spans="1:25" ht="18" customHeight="1" x14ac:dyDescent="0.3">
      <c r="A52" s="259"/>
      <c r="B52" s="359">
        <v>0.96858288142615678</v>
      </c>
      <c r="C52" s="359" t="s">
        <v>5</v>
      </c>
      <c r="D52" s="359">
        <v>-0.14285714285714288</v>
      </c>
      <c r="E52" s="359" t="s">
        <v>6</v>
      </c>
      <c r="F52" s="359">
        <f t="shared" si="9"/>
        <v>0.82572573856901388</v>
      </c>
      <c r="G52" s="249">
        <v>1</v>
      </c>
      <c r="H52" s="359">
        <f t="shared" si="13"/>
        <v>0.91709061798335023</v>
      </c>
      <c r="I52" s="359">
        <f t="shared" si="10"/>
        <v>4.0597489745180901</v>
      </c>
      <c r="J52" s="359">
        <f>IF(G52=2,H52+N(J51),N(J51))</f>
        <v>-3.1829014316689146</v>
      </c>
      <c r="K52" s="304">
        <f t="shared" si="14"/>
        <v>1.0149372436295225</v>
      </c>
      <c r="L52" s="304">
        <f>IFERROR(J52/COUNTIF($G$47:$G$56,2),"ERROR!!!")</f>
        <v>-0.5304835719448191</v>
      </c>
      <c r="M52" s="304">
        <f t="shared" si="15"/>
        <v>4.0303949272779791</v>
      </c>
      <c r="N52" s="304">
        <f t="shared" si="16"/>
        <v>9.4521776524603283</v>
      </c>
    </row>
    <row r="53" spans="1:25" ht="18" customHeight="1" x14ac:dyDescent="0.3">
      <c r="A53" s="259"/>
      <c r="B53" s="359">
        <v>-1.5186565413621942</v>
      </c>
      <c r="C53" s="359" t="s">
        <v>5</v>
      </c>
      <c r="D53" s="359">
        <v>-0.14285714285714288</v>
      </c>
      <c r="E53" s="359" t="s">
        <v>6</v>
      </c>
      <c r="F53" s="359">
        <f t="shared" si="9"/>
        <v>-1.661513684219337</v>
      </c>
      <c r="G53" s="249">
        <v>2</v>
      </c>
      <c r="H53" s="359">
        <f t="shared" si="13"/>
        <v>-1.9136460119751559</v>
      </c>
      <c r="I53" s="359">
        <f t="shared" si="10"/>
        <v>4.0597489745180901</v>
      </c>
      <c r="J53" s="359">
        <f t="shared" si="11"/>
        <v>-5.0965474436440701</v>
      </c>
      <c r="K53" s="304">
        <f t="shared" si="14"/>
        <v>1.0149372436295225</v>
      </c>
      <c r="L53" s="304">
        <f t="shared" si="12"/>
        <v>-0.84942457394067838</v>
      </c>
      <c r="M53" s="304">
        <f>IF(ROW()=47, 0, M52) + ABS(H53 - IF($G53=1, $K53, $L53))</f>
        <v>5.0946163653124561</v>
      </c>
      <c r="N53" s="304">
        <f t="shared" si="16"/>
        <v>12.380760908065007</v>
      </c>
    </row>
    <row r="54" spans="1:25" ht="18" customHeight="1" x14ac:dyDescent="0.3">
      <c r="A54" s="259"/>
      <c r="B54" s="359">
        <v>-0.81342787967727681</v>
      </c>
      <c r="C54" s="359" t="s">
        <v>5</v>
      </c>
      <c r="D54" s="359">
        <v>-0.14285714285714288</v>
      </c>
      <c r="E54" s="359" t="s">
        <v>6</v>
      </c>
      <c r="F54" s="359">
        <f t="shared" si="9"/>
        <v>-0.95628502253441972</v>
      </c>
      <c r="G54" s="249">
        <v>2</v>
      </c>
      <c r="H54" s="359">
        <f t="shared" si="13"/>
        <v>-1.1729982391020655</v>
      </c>
      <c r="I54" s="359">
        <f t="shared" si="10"/>
        <v>4.0597489745180901</v>
      </c>
      <c r="J54" s="359">
        <f>IF(G54=2,H54+N(J53),N(J53))</f>
        <v>-6.269545682746136</v>
      </c>
      <c r="K54" s="304">
        <f t="shared" si="14"/>
        <v>1.0149372436295225</v>
      </c>
      <c r="L54" s="304">
        <f t="shared" si="12"/>
        <v>-1.0449242804576893</v>
      </c>
      <c r="M54" s="304">
        <f t="shared" si="15"/>
        <v>5.2226903239568321</v>
      </c>
      <c r="N54" s="304">
        <f t="shared" si="16"/>
        <v>14.568696390796594</v>
      </c>
      <c r="O54" s="354"/>
    </row>
    <row r="55" spans="1:25" ht="18" customHeight="1" x14ac:dyDescent="0.3">
      <c r="A55" s="259"/>
      <c r="B55" s="359">
        <v>-1.3589807460522612</v>
      </c>
      <c r="C55" s="359" t="s">
        <v>5</v>
      </c>
      <c r="D55" s="359">
        <v>-0.14285714285714288</v>
      </c>
      <c r="E55" s="359" t="s">
        <v>6</v>
      </c>
      <c r="F55" s="359">
        <f t="shared" si="9"/>
        <v>-1.501837888909404</v>
      </c>
      <c r="G55" s="249">
        <v>2</v>
      </c>
      <c r="H55" s="359">
        <f t="shared" si="13"/>
        <v>-1.7471924181579521</v>
      </c>
      <c r="I55" s="359">
        <f t="shared" si="10"/>
        <v>4.0597489745180901</v>
      </c>
      <c r="J55" s="359">
        <f t="shared" si="11"/>
        <v>-8.0167381009040888</v>
      </c>
      <c r="K55" s="304">
        <f t="shared" si="14"/>
        <v>1.0149372436295225</v>
      </c>
      <c r="L55" s="304">
        <f t="shared" si="12"/>
        <v>-1.3361230168173481</v>
      </c>
      <c r="M55" s="304">
        <f t="shared" si="15"/>
        <v>5.6337597252974358</v>
      </c>
      <c r="N55" s="304">
        <f t="shared" si="16"/>
        <v>17.330826052584069</v>
      </c>
      <c r="O55" s="358"/>
    </row>
    <row r="56" spans="1:25" ht="18" customHeight="1" x14ac:dyDescent="0.3">
      <c r="A56" s="259"/>
      <c r="B56" s="359">
        <v>-1.3589807460522612</v>
      </c>
      <c r="C56" s="359" t="s">
        <v>5</v>
      </c>
      <c r="D56" s="359">
        <v>0.14285714285714288</v>
      </c>
      <c r="E56" s="359" t="s">
        <v>6</v>
      </c>
      <c r="F56" s="359">
        <f t="shared" si="9"/>
        <v>-1.2161236031951184</v>
      </c>
      <c r="G56" s="249">
        <v>2</v>
      </c>
      <c r="H56" s="359">
        <f t="shared" si="13"/>
        <v>-1.4475378000704024</v>
      </c>
      <c r="I56" s="359">
        <f t="shared" si="10"/>
        <v>4.0597489745180901</v>
      </c>
      <c r="J56" s="359">
        <f t="shared" si="11"/>
        <v>-9.4642759009744921</v>
      </c>
      <c r="K56" s="304">
        <f t="shared" si="14"/>
        <v>1.0149372436295225</v>
      </c>
      <c r="L56" s="304">
        <f t="shared" si="12"/>
        <v>-1.5773793168290819</v>
      </c>
      <c r="M56" s="304">
        <f t="shared" si="15"/>
        <v>5.7636012420561151</v>
      </c>
      <c r="N56" s="304">
        <f t="shared" si="16"/>
        <v>19.793301096283994</v>
      </c>
      <c r="O56" s="373">
        <f>M56/N56</f>
        <v>0.29118948951563095</v>
      </c>
    </row>
    <row r="60" spans="1:25" ht="18" customHeight="1" x14ac:dyDescent="0.3">
      <c r="A60" s="281" t="s">
        <v>10</v>
      </c>
      <c r="B60" s="282"/>
      <c r="C60" s="282"/>
      <c r="D60" s="282"/>
      <c r="E60" s="282"/>
      <c r="F60" s="283"/>
      <c r="G60" s="350"/>
      <c r="H60" s="281" t="s">
        <v>9</v>
      </c>
      <c r="I60" s="282"/>
      <c r="J60" s="282"/>
      <c r="K60" s="282"/>
      <c r="L60" s="282"/>
      <c r="M60" s="282"/>
      <c r="N60" s="283"/>
    </row>
    <row r="61" spans="1:25" ht="18" customHeight="1" x14ac:dyDescent="0.3">
      <c r="A61" s="351"/>
      <c r="B61" s="352"/>
      <c r="C61" s="353" t="s">
        <v>5</v>
      </c>
      <c r="D61" s="354"/>
      <c r="E61" s="353" t="s">
        <v>6</v>
      </c>
      <c r="F61" s="354"/>
      <c r="G61" s="240" t="s">
        <v>8</v>
      </c>
      <c r="H61" s="355"/>
      <c r="I61" s="356"/>
      <c r="J61" s="356"/>
      <c r="K61" s="357"/>
      <c r="L61" s="357"/>
      <c r="M61" s="358"/>
      <c r="N61" s="358"/>
      <c r="P61" s="269" t="s">
        <v>27</v>
      </c>
      <c r="Q61" s="269"/>
      <c r="R61" s="269"/>
      <c r="S61" s="269"/>
    </row>
    <row r="62" spans="1:25" ht="18" customHeight="1" x14ac:dyDescent="0.3">
      <c r="A62" s="259"/>
      <c r="B62" s="359">
        <v>-1.3589807460522612</v>
      </c>
      <c r="C62" s="359" t="s">
        <v>5</v>
      </c>
      <c r="D62" s="359">
        <v>-5.3571500000000001E-2</v>
      </c>
      <c r="E62" s="359" t="s">
        <v>6</v>
      </c>
      <c r="F62" s="359">
        <f>SUM(B62,D62)</f>
        <v>-1.4125522460522613</v>
      </c>
      <c r="G62" s="249">
        <v>2</v>
      </c>
      <c r="H62" s="287">
        <f t="shared" ref="H62:H71" si="17">IF(OR($G62=1,$G62=2), $F62 + IF($G62=1,1,-1)*$N$23*(EXP(-$F62)/(1+EXP(-$F62))), NA())</f>
        <v>-1.6538027023816277</v>
      </c>
      <c r="I62" s="359">
        <f>IF(G62=1,H62+N(I61),N(I61))</f>
        <v>0</v>
      </c>
      <c r="J62" s="359">
        <f>IF(G62=2,H62+N(J61),N(J61))</f>
        <v>-1.6538027023816277</v>
      </c>
      <c r="K62" s="304">
        <f t="shared" ref="K62:K71" si="18">IFERROR(I62/COUNTIF($G$62:$G$71,1),"ERROR!!!")</f>
        <v>0</v>
      </c>
      <c r="L62" s="304">
        <f t="shared" ref="L62:L71" si="19">IFERROR(J62/COUNTIF($G$62:$G$71,2),"ERROR!!!")</f>
        <v>-0.27563378373027131</v>
      </c>
      <c r="M62" s="304">
        <f>IF(ROW()=62, 0, M61) + ABS(H62 - IF($G62=1, $K62, $L62))</f>
        <v>1.3781689186513564</v>
      </c>
      <c r="N62" s="304">
        <f>IF(ROW()=62, 0, N61) + ABS(H62 - IF($G62=1, $L62, $K62))</f>
        <v>1.6538027023816277</v>
      </c>
      <c r="P62" s="360"/>
      <c r="Q62" s="361"/>
      <c r="R62" s="316" t="s">
        <v>13</v>
      </c>
      <c r="S62" s="362">
        <f>IF(O71&lt;S47,O71,S47)</f>
        <v>0.28120872628230109</v>
      </c>
    </row>
    <row r="63" spans="1:25" ht="18" customHeight="1" x14ac:dyDescent="0.3">
      <c r="A63" s="259"/>
      <c r="B63" s="359">
        <v>1.0973331755196423</v>
      </c>
      <c r="C63" s="359" t="s">
        <v>5</v>
      </c>
      <c r="D63" s="359">
        <v>-5.3571500000000001E-2</v>
      </c>
      <c r="E63" s="359" t="s">
        <v>6</v>
      </c>
      <c r="F63" s="359">
        <f>SUM(B63,D63)</f>
        <v>1.0437616755196422</v>
      </c>
      <c r="G63" s="249">
        <v>1</v>
      </c>
      <c r="H63" s="287">
        <f t="shared" si="17"/>
        <v>1.1218891240653317</v>
      </c>
      <c r="I63" s="359">
        <f>IF(G63=1,H63+N(I62),N(I62))</f>
        <v>1.1218891240653317</v>
      </c>
      <c r="J63" s="359">
        <f t="shared" ref="J63" si="20">IF(G63=2,H63+N(J62),N(J62))</f>
        <v>-1.6538027023816277</v>
      </c>
      <c r="K63" s="304">
        <f t="shared" si="18"/>
        <v>0.28047228101633292</v>
      </c>
      <c r="L63" s="304">
        <f t="shared" si="19"/>
        <v>-0.27563378373027131</v>
      </c>
      <c r="M63" s="304">
        <f t="shared" ref="M63:M71" si="21">IF(ROW()=62, 0, M62) + ABS(H63 - IF($G63=1, $K63, $L63))</f>
        <v>2.2195857617003552</v>
      </c>
      <c r="N63" s="304">
        <f t="shared" ref="N63:N71" si="22">IF(ROW()=62, 0, N62) + ABS(H63 - IF($G63=1, $L63, $K63))</f>
        <v>3.0513256101772308</v>
      </c>
      <c r="P63" s="364"/>
      <c r="Q63" s="365"/>
      <c r="R63" s="259" t="s">
        <v>17</v>
      </c>
      <c r="S63" s="366">
        <v>5</v>
      </c>
    </row>
    <row r="64" spans="1:25" ht="18" customHeight="1" x14ac:dyDescent="0.3">
      <c r="A64" s="259"/>
      <c r="B64" s="359">
        <v>-1.0620337591921905</v>
      </c>
      <c r="C64" s="359" t="s">
        <v>5</v>
      </c>
      <c r="D64" s="359">
        <v>-5.3571500000000001E-2</v>
      </c>
      <c r="E64" s="359" t="s">
        <v>6</v>
      </c>
      <c r="F64" s="359">
        <f t="shared" ref="F64" si="23">SUM(B64,D64)</f>
        <v>-1.1156052591921906</v>
      </c>
      <c r="G64" s="249">
        <v>2</v>
      </c>
      <c r="H64" s="287">
        <f t="shared" si="17"/>
        <v>-1.3415570474535314</v>
      </c>
      <c r="I64" s="359">
        <f>IF(G64=1,H64+N(I63),N(I63))</f>
        <v>1.1218891240653317</v>
      </c>
      <c r="J64" s="359">
        <f>IF(G64=2,H64+N(J63),N(J63))</f>
        <v>-2.995359749835159</v>
      </c>
      <c r="K64" s="304">
        <f t="shared" si="18"/>
        <v>0.28047228101633292</v>
      </c>
      <c r="L64" s="304">
        <f>IFERROR(J64/COUNTIF($G$62:$G$71,2),"ERROR!!!")</f>
        <v>-0.49922662497252651</v>
      </c>
      <c r="M64" s="304">
        <f t="shared" si="21"/>
        <v>3.06191618418136</v>
      </c>
      <c r="N64" s="304">
        <f t="shared" si="22"/>
        <v>4.6733549386470949</v>
      </c>
      <c r="P64" s="368"/>
      <c r="Q64" s="369"/>
      <c r="R64" s="259" t="s">
        <v>15</v>
      </c>
      <c r="S64" s="366">
        <f>IF(O71&lt;S47,S63,S49)</f>
        <v>5</v>
      </c>
    </row>
    <row r="65" spans="1:19" ht="18" customHeight="1" x14ac:dyDescent="0.3">
      <c r="A65" s="259"/>
      <c r="B65" s="359">
        <v>0.55066153579842136</v>
      </c>
      <c r="C65" s="359" t="s">
        <v>5</v>
      </c>
      <c r="D65" s="359">
        <v>-5.3571500000000001E-2</v>
      </c>
      <c r="E65" s="359" t="s">
        <v>6</v>
      </c>
      <c r="F65" s="359">
        <f>SUM(B65,D65)</f>
        <v>0.49709003579842137</v>
      </c>
      <c r="G65" s="249">
        <v>1</v>
      </c>
      <c r="H65" s="287">
        <f>IF(OR($G65=1,$G65=2), $F65 + IF($G65=1,1,-1)*$N$23*(EXP(-$F65)/(1+EXP(-$F65))), NA())</f>
        <v>0.61055746514368237</v>
      </c>
      <c r="I65" s="359">
        <f t="shared" ref="I65:I66" si="24">IF(G65=1,H65+N(I64),N(I64))</f>
        <v>1.732446589209014</v>
      </c>
      <c r="J65" s="359">
        <f t="shared" ref="J65:J71" si="25">IF(G65=2,H65+N(J64),N(J64))</f>
        <v>-2.995359749835159</v>
      </c>
      <c r="K65" s="304">
        <f t="shared" si="18"/>
        <v>0.43311164730225349</v>
      </c>
      <c r="L65" s="304">
        <f>IFERROR(J65/COUNTIF($G$62:$G$71,2),"ERROR!!!")</f>
        <v>-0.49922662497252651</v>
      </c>
      <c r="M65" s="304">
        <f t="shared" si="21"/>
        <v>3.2393620020227889</v>
      </c>
      <c r="N65" s="304">
        <f t="shared" si="22"/>
        <v>5.783139028763304</v>
      </c>
    </row>
    <row r="66" spans="1:19" ht="18" customHeight="1" x14ac:dyDescent="0.3">
      <c r="A66" s="259"/>
      <c r="B66" s="359">
        <v>1.097333175519642</v>
      </c>
      <c r="C66" s="359" t="s">
        <v>5</v>
      </c>
      <c r="D66" s="359">
        <v>-5.3571500000000001E-2</v>
      </c>
      <c r="E66" s="359" t="s">
        <v>6</v>
      </c>
      <c r="F66" s="359">
        <f t="shared" ref="F66" si="26">SUM(B66,D66)</f>
        <v>1.0437616755196419</v>
      </c>
      <c r="G66" s="249">
        <v>1</v>
      </c>
      <c r="H66" s="287">
        <f t="shared" si="17"/>
        <v>1.1218891240653315</v>
      </c>
      <c r="I66" s="359">
        <f t="shared" si="24"/>
        <v>2.8543357132743452</v>
      </c>
      <c r="J66" s="359">
        <f>IF(G66=2,H66+N(J65),N(J65))</f>
        <v>-2.995359749835159</v>
      </c>
      <c r="K66" s="304">
        <f t="shared" si="18"/>
        <v>0.7135839283185863</v>
      </c>
      <c r="L66" s="304">
        <f t="shared" si="19"/>
        <v>-0.49922662497252651</v>
      </c>
      <c r="M66" s="304">
        <f t="shared" si="21"/>
        <v>3.6476671977695343</v>
      </c>
      <c r="N66" s="304">
        <f>IF(ROW()=62, 0, N65) + ABS(H66 - IF($G66=1, $L66, $K66))</f>
        <v>7.404254777801162</v>
      </c>
    </row>
    <row r="67" spans="1:19" ht="18" customHeight="1" x14ac:dyDescent="0.3">
      <c r="A67" s="259"/>
      <c r="B67" s="359">
        <v>0.96858288142615678</v>
      </c>
      <c r="C67" s="359" t="s">
        <v>5</v>
      </c>
      <c r="D67" s="359">
        <v>5.3571500000000001E-2</v>
      </c>
      <c r="E67" s="359" t="s">
        <v>6</v>
      </c>
      <c r="F67" s="359">
        <f>SUM(B67,D67)</f>
        <v>1.0221543814261569</v>
      </c>
      <c r="G67" s="249">
        <v>1</v>
      </c>
      <c r="H67" s="287">
        <f t="shared" si="17"/>
        <v>1.1015367711172481</v>
      </c>
      <c r="I67" s="359">
        <f>IF(G67=1,H67+N(I66),N(I66))</f>
        <v>3.9558724843915933</v>
      </c>
      <c r="J67" s="359">
        <f t="shared" si="25"/>
        <v>-2.995359749835159</v>
      </c>
      <c r="K67" s="304">
        <f t="shared" si="18"/>
        <v>0.98896812109789833</v>
      </c>
      <c r="L67" s="304">
        <f t="shared" si="19"/>
        <v>-0.49922662497252651</v>
      </c>
      <c r="M67" s="304">
        <f t="shared" si="21"/>
        <v>3.7602358477888842</v>
      </c>
      <c r="N67" s="304">
        <f t="shared" si="22"/>
        <v>9.0050181738909369</v>
      </c>
    </row>
    <row r="68" spans="1:19" ht="18" customHeight="1" x14ac:dyDescent="0.3">
      <c r="A68" s="259"/>
      <c r="B68" s="359">
        <v>-1.5186565413621942</v>
      </c>
      <c r="C68" s="359" t="s">
        <v>5</v>
      </c>
      <c r="D68" s="359">
        <v>-5.3571500000000001E-2</v>
      </c>
      <c r="E68" s="359" t="s">
        <v>6</v>
      </c>
      <c r="F68" s="359">
        <f t="shared" ref="F68:F71" si="27">SUM(B68,D68)</f>
        <v>-1.5722280413621943</v>
      </c>
      <c r="G68" s="249">
        <v>2</v>
      </c>
      <c r="H68" s="287">
        <f t="shared" si="17"/>
        <v>-1.8206583417369671</v>
      </c>
      <c r="I68" s="359">
        <f>IF(G68=1,H68+N(I67),N(I67))</f>
        <v>3.9558724843915933</v>
      </c>
      <c r="J68" s="359">
        <f t="shared" si="25"/>
        <v>-4.8160180915721256</v>
      </c>
      <c r="K68" s="304">
        <f>IFERROR(I68/COUNTIF($G$62:$G$71,1),"ERROR!!!")</f>
        <v>0.98896812109789833</v>
      </c>
      <c r="L68" s="304">
        <f t="shared" si="19"/>
        <v>-0.8026696819286876</v>
      </c>
      <c r="M68" s="304">
        <f>IF(ROW()=62, 0, M67) + ABS(H68 - IF($G68=1, $K68, $L68))</f>
        <v>4.7782245075971641</v>
      </c>
      <c r="N68" s="304">
        <f t="shared" si="22"/>
        <v>11.814644636725802</v>
      </c>
    </row>
    <row r="69" spans="1:19" ht="18" customHeight="1" x14ac:dyDescent="0.3">
      <c r="A69" s="259"/>
      <c r="B69" s="359">
        <v>-0.81342787967727681</v>
      </c>
      <c r="C69" s="359" t="s">
        <v>5</v>
      </c>
      <c r="D69" s="359">
        <v>-5.3571500000000001E-2</v>
      </c>
      <c r="E69" s="359" t="s">
        <v>6</v>
      </c>
      <c r="F69" s="359">
        <f t="shared" si="27"/>
        <v>-0.8669993796772768</v>
      </c>
      <c r="G69" s="249">
        <v>2</v>
      </c>
      <c r="H69" s="287">
        <f t="shared" si="17"/>
        <v>-1.0782356640680211</v>
      </c>
      <c r="I69" s="359">
        <f>IF(G69=1,H69+N(I68),N(I68))</f>
        <v>3.9558724843915933</v>
      </c>
      <c r="J69" s="359">
        <f t="shared" si="25"/>
        <v>-5.8942537556401469</v>
      </c>
      <c r="K69" s="304">
        <f t="shared" si="18"/>
        <v>0.98896812109789833</v>
      </c>
      <c r="L69" s="304">
        <f t="shared" si="19"/>
        <v>-0.98237562594002448</v>
      </c>
      <c r="M69" s="304">
        <f t="shared" si="21"/>
        <v>4.8740845457251609</v>
      </c>
      <c r="N69" s="304">
        <f t="shared" si="22"/>
        <v>13.881848421891721</v>
      </c>
      <c r="O69" s="354"/>
    </row>
    <row r="70" spans="1:19" ht="18" customHeight="1" x14ac:dyDescent="0.3">
      <c r="A70" s="259"/>
      <c r="B70" s="359">
        <v>-1.3589807460522612</v>
      </c>
      <c r="C70" s="359" t="s">
        <v>5</v>
      </c>
      <c r="D70" s="359">
        <v>-5.3571500000000001E-2</v>
      </c>
      <c r="E70" s="359" t="s">
        <v>6</v>
      </c>
      <c r="F70" s="359">
        <f>SUM(B70,D70)</f>
        <v>-1.4125522460522613</v>
      </c>
      <c r="G70" s="249">
        <v>2</v>
      </c>
      <c r="H70" s="287">
        <f t="shared" si="17"/>
        <v>-1.6538027023816277</v>
      </c>
      <c r="I70" s="359">
        <f>IF(G70=1,H70+N(I69),N(I69))</f>
        <v>3.9558724843915933</v>
      </c>
      <c r="J70" s="359">
        <f>IF(G70=2,H70+N(J69),N(J69))</f>
        <v>-7.5480564580217742</v>
      </c>
      <c r="K70" s="304">
        <f t="shared" si="18"/>
        <v>0.98896812109789833</v>
      </c>
      <c r="L70" s="304">
        <f t="shared" si="19"/>
        <v>-1.2580094096702956</v>
      </c>
      <c r="M70" s="304">
        <f t="shared" si="21"/>
        <v>5.2698778384364928</v>
      </c>
      <c r="N70" s="304">
        <f>IF(ROW()=62, 0, N69) + ABS(H70 - IF($G70=1, $L70, $K70))</f>
        <v>16.524619245371248</v>
      </c>
      <c r="O70" s="358"/>
    </row>
    <row r="71" spans="1:19" ht="18" customHeight="1" x14ac:dyDescent="0.3">
      <c r="A71" s="259"/>
      <c r="B71" s="359">
        <v>-1.3589807460522612</v>
      </c>
      <c r="C71" s="359" t="s">
        <v>5</v>
      </c>
      <c r="D71" s="359">
        <v>-5.3571500000000001E-2</v>
      </c>
      <c r="E71" s="359" t="s">
        <v>6</v>
      </c>
      <c r="F71" s="359">
        <f t="shared" si="27"/>
        <v>-1.4125522460522613</v>
      </c>
      <c r="G71" s="249">
        <v>2</v>
      </c>
      <c r="H71" s="287">
        <f t="shared" si="17"/>
        <v>-1.6538027023816277</v>
      </c>
      <c r="I71" s="359">
        <f t="shared" ref="I71" si="28">IF(G71=1,H71+N(I70),N(I70))</f>
        <v>3.9558724843915933</v>
      </c>
      <c r="J71" s="359">
        <f t="shared" si="25"/>
        <v>-9.2018591604034015</v>
      </c>
      <c r="K71" s="304">
        <f t="shared" si="18"/>
        <v>0.98896812109789833</v>
      </c>
      <c r="L71" s="304">
        <f t="shared" si="19"/>
        <v>-1.533643193400567</v>
      </c>
      <c r="M71" s="304">
        <f t="shared" si="21"/>
        <v>5.3900373474175538</v>
      </c>
      <c r="N71" s="304">
        <f t="shared" si="22"/>
        <v>19.167390068850775</v>
      </c>
      <c r="O71" s="373">
        <f>M71/N71</f>
        <v>0.28120872628230109</v>
      </c>
    </row>
    <row r="75" spans="1:19" ht="18" customHeight="1" x14ac:dyDescent="0.3">
      <c r="A75" s="281" t="s">
        <v>10</v>
      </c>
      <c r="B75" s="282"/>
      <c r="C75" s="282"/>
      <c r="D75" s="282"/>
      <c r="E75" s="282"/>
      <c r="F75" s="283"/>
      <c r="G75" s="350"/>
      <c r="H75" s="281" t="s">
        <v>9</v>
      </c>
      <c r="I75" s="282"/>
      <c r="J75" s="282"/>
      <c r="K75" s="282"/>
      <c r="L75" s="282"/>
      <c r="M75" s="282"/>
      <c r="N75" s="283"/>
    </row>
    <row r="76" spans="1:19" ht="18" customHeight="1" x14ac:dyDescent="0.3">
      <c r="A76" s="351"/>
      <c r="B76" s="352"/>
      <c r="C76" s="353" t="s">
        <v>5</v>
      </c>
      <c r="D76" s="354"/>
      <c r="E76" s="353" t="s">
        <v>6</v>
      </c>
      <c r="F76" s="354"/>
      <c r="G76" s="240" t="s">
        <v>8</v>
      </c>
      <c r="H76" s="355"/>
      <c r="I76" s="356"/>
      <c r="J76" s="356"/>
      <c r="K76" s="357"/>
      <c r="L76" s="357"/>
      <c r="M76" s="358"/>
      <c r="N76" s="358"/>
      <c r="P76" s="269" t="s">
        <v>27</v>
      </c>
      <c r="Q76" s="269"/>
      <c r="R76" s="269"/>
      <c r="S76" s="269"/>
    </row>
    <row r="77" spans="1:19" ht="18" customHeight="1" x14ac:dyDescent="0.3">
      <c r="A77" s="259"/>
      <c r="B77" s="359">
        <v>-1.3589807460522612</v>
      </c>
      <c r="C77" s="359" t="s">
        <v>5</v>
      </c>
      <c r="D77" s="359">
        <v>-0.14285714285714288</v>
      </c>
      <c r="E77" s="359" t="s">
        <v>6</v>
      </c>
      <c r="F77" s="359">
        <f>SUM(B77,D77)</f>
        <v>-1.501837888909404</v>
      </c>
      <c r="G77" s="249">
        <v>2</v>
      </c>
      <c r="H77" s="359">
        <f t="shared" ref="H77:H86" si="29">IF(OR($G77=1,$G77=2), $F77 + IF($G77=1,1,-1)*$N$23*(EXP(-$F77)/(1+EXP(-$F77))), NA())</f>
        <v>-1.7471924181579521</v>
      </c>
      <c r="I77" s="359">
        <f>IF(G77=1,H77+N(I76),N(I76))</f>
        <v>0</v>
      </c>
      <c r="J77" s="359">
        <f>IF(G77=2,H77+N(J76),N(J76))</f>
        <v>-1.7471924181579521</v>
      </c>
      <c r="K77" s="304">
        <f>IFERROR(I77/COUNTIF($G$77:$G$86,1),"ERROR!!!")</f>
        <v>0</v>
      </c>
      <c r="L77" s="304">
        <f t="shared" ref="L77:L86" si="30">IFERROR(J77/COUNTIF($G$77:$G$86,2),"ERROR!!!")</f>
        <v>-0.29119873635965871</v>
      </c>
      <c r="M77" s="304">
        <f>IF(ROW()=77, 0, M76) + ABS(H77 - IF($G77=1, $K77, $L77))</f>
        <v>1.4559936817982935</v>
      </c>
      <c r="N77" s="304">
        <f>IF(ROW()=77, 0, N76) + ABS(H77 - IF($G77=1, $L77, $K77))</f>
        <v>1.7471924181579521</v>
      </c>
      <c r="P77" s="360"/>
      <c r="Q77" s="361"/>
      <c r="R77" s="316" t="s">
        <v>13</v>
      </c>
      <c r="S77" s="362">
        <f>IF(O86&lt;S62,O86,S62)</f>
        <v>0.28120872628230109</v>
      </c>
    </row>
    <row r="78" spans="1:19" ht="18" customHeight="1" x14ac:dyDescent="0.3">
      <c r="A78" s="259"/>
      <c r="B78" s="359">
        <v>1.0973331755196423</v>
      </c>
      <c r="C78" s="359" t="s">
        <v>5</v>
      </c>
      <c r="D78" s="359">
        <v>-0.14285714285714288</v>
      </c>
      <c r="E78" s="359" t="s">
        <v>6</v>
      </c>
      <c r="F78" s="359">
        <f t="shared" ref="F78:F79" si="31">SUM(B78,D78)</f>
        <v>0.95447603266249936</v>
      </c>
      <c r="G78" s="249">
        <v>1</v>
      </c>
      <c r="H78" s="359">
        <f>IF(OR($G78=1,$G78=2), $F78 + IF($G78=1,1,-1)*$N$23*(EXP(-$F78)/(1+EXP(-$F78))), NA())</f>
        <v>1.0378716968169914</v>
      </c>
      <c r="I78" s="359">
        <f>IF(G78=1,H78+N(I77),N(I77))</f>
        <v>1.0378716968169914</v>
      </c>
      <c r="J78" s="359">
        <f t="shared" ref="J78" si="32">IF(G78=2,H78+N(J77),N(J77))</f>
        <v>-1.7471924181579521</v>
      </c>
      <c r="K78" s="304">
        <f t="shared" ref="K78:K86" si="33">IFERROR(I78/COUNTIF($G$77:$G$86,1),"ERROR!!!")</f>
        <v>0.25946792420424786</v>
      </c>
      <c r="L78" s="304">
        <f t="shared" si="30"/>
        <v>-0.29119873635965871</v>
      </c>
      <c r="M78" s="304">
        <f t="shared" ref="M78:M86" si="34">IF(ROW()=77, 0, M77) + ABS(H78 - IF($G78=1, $K78, $L78))</f>
        <v>2.2343974544110372</v>
      </c>
      <c r="N78" s="304">
        <f t="shared" ref="N78:N85" si="35">IF(ROW()=77, 0, N77) + ABS(H78 - IF($G78=1, $L78, $K78))</f>
        <v>3.0762628513346022</v>
      </c>
      <c r="P78" s="364"/>
      <c r="Q78" s="365"/>
      <c r="R78" s="259" t="s">
        <v>17</v>
      </c>
      <c r="S78" s="366">
        <v>7</v>
      </c>
    </row>
    <row r="79" spans="1:19" ht="18" customHeight="1" x14ac:dyDescent="0.3">
      <c r="A79" s="259"/>
      <c r="B79" s="359">
        <v>-1.0620337591921905</v>
      </c>
      <c r="C79" s="359" t="s">
        <v>5</v>
      </c>
      <c r="D79" s="359">
        <v>0.14285714285714288</v>
      </c>
      <c r="E79" s="359" t="s">
        <v>6</v>
      </c>
      <c r="F79" s="359">
        <f t="shared" si="31"/>
        <v>-0.91917661633504755</v>
      </c>
      <c r="G79" s="249">
        <v>2</v>
      </c>
      <c r="H79" s="359">
        <f t="shared" si="29"/>
        <v>-1.1336389081057503</v>
      </c>
      <c r="I79" s="359">
        <f>IF(G79=1,H79+N(I78),N(I78))</f>
        <v>1.0378716968169914</v>
      </c>
      <c r="J79" s="359">
        <f>IF(G79=2,H79+N(J78),N(J78))</f>
        <v>-2.8808313262637024</v>
      </c>
      <c r="K79" s="304">
        <f>IFERROR(I79/COUNTIF($G$77:$G$86,1),"ERROR!!!")</f>
        <v>0.25946792420424786</v>
      </c>
      <c r="L79" s="304">
        <f t="shared" si="30"/>
        <v>-0.48013855437728375</v>
      </c>
      <c r="M79" s="304">
        <f>IF(ROW()=77, 0, M78) + ABS(H79 - IF($G79=1, $K79, $L79))</f>
        <v>2.8878978081395035</v>
      </c>
      <c r="N79" s="304">
        <f t="shared" si="35"/>
        <v>4.4693696836446009</v>
      </c>
      <c r="P79" s="368"/>
      <c r="Q79" s="369"/>
      <c r="R79" s="259" t="s">
        <v>15</v>
      </c>
      <c r="S79" s="366">
        <f>IF(O86&lt;S62,S78,S64)</f>
        <v>5</v>
      </c>
    </row>
    <row r="80" spans="1:19" ht="18" customHeight="1" x14ac:dyDescent="0.3">
      <c r="A80" s="259"/>
      <c r="B80" s="359">
        <v>0.55066153579842136</v>
      </c>
      <c r="C80" s="359" t="s">
        <v>5</v>
      </c>
      <c r="D80" s="359">
        <v>0.14285714285714288</v>
      </c>
      <c r="E80" s="359" t="s">
        <v>6</v>
      </c>
      <c r="F80" s="359">
        <f>SUM(B80,D80)</f>
        <v>0.69351867865556427</v>
      </c>
      <c r="G80" s="249">
        <v>1</v>
      </c>
      <c r="H80" s="359">
        <f t="shared" si="29"/>
        <v>0.79349391364949995</v>
      </c>
      <c r="I80" s="359">
        <f>IF(G80=1,H80+N(I79),N(I79))</f>
        <v>1.8313656104664915</v>
      </c>
      <c r="J80" s="359">
        <f>IF(G80=2,H80+N(J79),N(J79))</f>
        <v>-2.8808313262637024</v>
      </c>
      <c r="K80" s="304">
        <f t="shared" si="33"/>
        <v>0.45784140261662287</v>
      </c>
      <c r="L80" s="304">
        <f t="shared" si="30"/>
        <v>-0.48013855437728375</v>
      </c>
      <c r="M80" s="304">
        <f t="shared" si="34"/>
        <v>3.2235503191723804</v>
      </c>
      <c r="N80" s="304">
        <f t="shared" si="35"/>
        <v>5.7430021516713845</v>
      </c>
    </row>
    <row r="81" spans="1:19" ht="18" customHeight="1" x14ac:dyDescent="0.3">
      <c r="A81" s="259"/>
      <c r="B81" s="359">
        <v>1.097333175519642</v>
      </c>
      <c r="C81" s="359" t="s">
        <v>5</v>
      </c>
      <c r="D81" s="359">
        <v>-0.14285714285714288</v>
      </c>
      <c r="E81" s="359" t="s">
        <v>6</v>
      </c>
      <c r="F81" s="359">
        <f>SUM(B81,D81)</f>
        <v>0.95447603266249914</v>
      </c>
      <c r="G81" s="249">
        <v>1</v>
      </c>
      <c r="H81" s="359">
        <f t="shared" si="29"/>
        <v>1.0378716968169912</v>
      </c>
      <c r="I81" s="359">
        <f t="shared" ref="I81" si="36">IF(G81=1,H81+N(I80),N(I80))</f>
        <v>2.8692373072834827</v>
      </c>
      <c r="J81" s="359">
        <f t="shared" ref="J81:J84" si="37">IF(G81=2,H81+N(J80),N(J80))</f>
        <v>-2.8808313262637024</v>
      </c>
      <c r="K81" s="304">
        <f t="shared" si="33"/>
        <v>0.71730932682087067</v>
      </c>
      <c r="L81" s="304">
        <f t="shared" si="30"/>
        <v>-0.48013855437728375</v>
      </c>
      <c r="M81" s="304">
        <f t="shared" si="34"/>
        <v>3.5441126891685011</v>
      </c>
      <c r="N81" s="304">
        <f>IF(ROW()=77, 0, N80) + ABS(H81 - IF($G81=1, $L81, $K81))</f>
        <v>7.26101240286566</v>
      </c>
    </row>
    <row r="82" spans="1:19" ht="18" customHeight="1" x14ac:dyDescent="0.3">
      <c r="A82" s="259"/>
      <c r="B82" s="359">
        <v>0.96858288142615678</v>
      </c>
      <c r="C82" s="359" t="s">
        <v>5</v>
      </c>
      <c r="D82" s="359">
        <v>0.14285714285714288</v>
      </c>
      <c r="E82" s="359" t="s">
        <v>6</v>
      </c>
      <c r="F82" s="359">
        <f>SUM(B82,D82)</f>
        <v>1.1114400242832996</v>
      </c>
      <c r="G82" s="249">
        <v>1</v>
      </c>
      <c r="H82" s="359">
        <f t="shared" si="29"/>
        <v>1.1857207805845977</v>
      </c>
      <c r="I82" s="359">
        <f>IF(G82=1,H82+N(I81),N(I81))</f>
        <v>4.05495808786808</v>
      </c>
      <c r="J82" s="359">
        <f>IF(G82=2,H82+N(J81),N(J81))</f>
        <v>-2.8808313262637024</v>
      </c>
      <c r="K82" s="304">
        <f t="shared" si="33"/>
        <v>1.01373952196702</v>
      </c>
      <c r="L82" s="304">
        <f t="shared" si="30"/>
        <v>-0.48013855437728375</v>
      </c>
      <c r="M82" s="304">
        <f>IF(ROW()=77, 0, M81) + ABS(H82 - IF($G82=1, $K82, $L82))</f>
        <v>3.7160939477860788</v>
      </c>
      <c r="N82" s="304">
        <f>IF(ROW()=77, 0, N81) + ABS(H82 - IF($G82=1, $L82, $K82))</f>
        <v>8.9268717378275415</v>
      </c>
    </row>
    <row r="83" spans="1:19" ht="18" customHeight="1" x14ac:dyDescent="0.3">
      <c r="A83" s="259"/>
      <c r="B83" s="359">
        <v>-1.5186565413621942</v>
      </c>
      <c r="C83" s="359" t="s">
        <v>5</v>
      </c>
      <c r="D83" s="359">
        <v>-0.14285714285714288</v>
      </c>
      <c r="E83" s="359" t="s">
        <v>6</v>
      </c>
      <c r="F83" s="359">
        <f t="shared" ref="F83:F84" si="38">SUM(B83,D83)</f>
        <v>-1.661513684219337</v>
      </c>
      <c r="G83" s="249">
        <v>2</v>
      </c>
      <c r="H83" s="359">
        <f t="shared" si="29"/>
        <v>-1.9136460119751559</v>
      </c>
      <c r="I83" s="359">
        <f t="shared" ref="I83" si="39">IF(G83=1,H83+N(I82),N(I82))</f>
        <v>4.05495808786808</v>
      </c>
      <c r="J83" s="359">
        <f>IF(G83=2,H83+N(J82),N(J82))</f>
        <v>-4.7944773382388579</v>
      </c>
      <c r="K83" s="304">
        <f t="shared" si="33"/>
        <v>1.01373952196702</v>
      </c>
      <c r="L83" s="304">
        <f>IFERROR(J83/COUNTIF($G$77:$G$86,2),"ERROR!!!")</f>
        <v>-0.79907955637314299</v>
      </c>
      <c r="M83" s="304">
        <f t="shared" si="34"/>
        <v>4.8306604033880918</v>
      </c>
      <c r="N83" s="304">
        <f>IF(ROW()=77, 0, N82) + ABS(H83 - IF($G83=1, $L83, $K83))</f>
        <v>11.854257271769718</v>
      </c>
    </row>
    <row r="84" spans="1:19" ht="18" customHeight="1" x14ac:dyDescent="0.3">
      <c r="A84" s="259"/>
      <c r="B84" s="359">
        <v>-0.81342787967727681</v>
      </c>
      <c r="C84" s="359" t="s">
        <v>5</v>
      </c>
      <c r="D84" s="359">
        <v>-0.14285714285714288</v>
      </c>
      <c r="E84" s="359" t="s">
        <v>6</v>
      </c>
      <c r="F84" s="359">
        <f t="shared" si="38"/>
        <v>-0.95628502253441972</v>
      </c>
      <c r="G84" s="249">
        <v>2</v>
      </c>
      <c r="H84" s="359">
        <f>IF(OR($G84=1,$G84=2), $F84 + IF($G84=1,1,-1)*$N$23*(EXP(-$F84)/(1+EXP(-$F84))), NA())</f>
        <v>-1.1729982391020655</v>
      </c>
      <c r="I84" s="359">
        <f>IF(G84=1,H84+N(I83),N(I83))</f>
        <v>4.05495808786808</v>
      </c>
      <c r="J84" s="359">
        <f t="shared" si="37"/>
        <v>-5.9674755773409238</v>
      </c>
      <c r="K84" s="304">
        <f t="shared" si="33"/>
        <v>1.01373952196702</v>
      </c>
      <c r="L84" s="304">
        <f t="shared" si="30"/>
        <v>-0.99457926289015397</v>
      </c>
      <c r="M84" s="304">
        <f t="shared" si="34"/>
        <v>5.0090793796000028</v>
      </c>
      <c r="N84" s="304">
        <f>IF(ROW()=77, 0, N83) + ABS(H84 - IF($G84=1, $L84, $K84))</f>
        <v>14.040995032838804</v>
      </c>
      <c r="O84" s="354"/>
    </row>
    <row r="85" spans="1:19" ht="18" customHeight="1" x14ac:dyDescent="0.3">
      <c r="A85" s="259"/>
      <c r="B85" s="359">
        <v>-1.3589807460522612</v>
      </c>
      <c r="C85" s="359" t="s">
        <v>5</v>
      </c>
      <c r="D85" s="359">
        <v>-0.14285714285714288</v>
      </c>
      <c r="E85" s="359" t="s">
        <v>6</v>
      </c>
      <c r="F85" s="359">
        <f>SUM(B85,D85)</f>
        <v>-1.501837888909404</v>
      </c>
      <c r="G85" s="249">
        <v>2</v>
      </c>
      <c r="H85" s="359">
        <f t="shared" si="29"/>
        <v>-1.7471924181579521</v>
      </c>
      <c r="I85" s="359">
        <f>IF(G85=1,H85+N(I84),N(I84))</f>
        <v>4.05495808786808</v>
      </c>
      <c r="J85" s="359">
        <f>IF(G85=2,H85+N(J84),N(J84))</f>
        <v>-7.7146679954988757</v>
      </c>
      <c r="K85" s="304">
        <f t="shared" si="33"/>
        <v>1.01373952196702</v>
      </c>
      <c r="L85" s="304">
        <f t="shared" si="30"/>
        <v>-1.2857779992498126</v>
      </c>
      <c r="M85" s="304">
        <f t="shared" si="34"/>
        <v>5.4704937985081425</v>
      </c>
      <c r="N85" s="304">
        <f t="shared" si="35"/>
        <v>16.801926972963777</v>
      </c>
      <c r="O85" s="358"/>
    </row>
    <row r="86" spans="1:19" ht="18" customHeight="1" x14ac:dyDescent="0.3">
      <c r="A86" s="259"/>
      <c r="B86" s="359">
        <v>-1.3589807460522612</v>
      </c>
      <c r="C86" s="359" t="s">
        <v>5</v>
      </c>
      <c r="D86" s="359">
        <v>-0.14285714285714288</v>
      </c>
      <c r="E86" s="359" t="s">
        <v>6</v>
      </c>
      <c r="F86" s="359">
        <f t="shared" ref="F86" si="40">SUM(B86,D86)</f>
        <v>-1.501837888909404</v>
      </c>
      <c r="G86" s="249">
        <v>2</v>
      </c>
      <c r="H86" s="359">
        <f t="shared" si="29"/>
        <v>-1.7471924181579521</v>
      </c>
      <c r="I86" s="359">
        <f t="shared" ref="I86" si="41">IF(G86=1,H86+N(I85),N(I85))</f>
        <v>4.05495808786808</v>
      </c>
      <c r="J86" s="359">
        <f t="shared" ref="J86" si="42">IF(G86=2,H86+N(J85),N(J85))</f>
        <v>-9.4618604136568276</v>
      </c>
      <c r="K86" s="304">
        <f t="shared" si="33"/>
        <v>1.01373952196702</v>
      </c>
      <c r="L86" s="304">
        <f t="shared" si="30"/>
        <v>-1.5769767356094713</v>
      </c>
      <c r="M86" s="304">
        <f t="shared" si="34"/>
        <v>5.6407094810566232</v>
      </c>
      <c r="N86" s="304">
        <f>IF(ROW()=77, 0, N85) + ABS(H86 - IF($G86=1, $L86, $K86))</f>
        <v>19.56285891308875</v>
      </c>
      <c r="O86" s="373">
        <f>M86/N86</f>
        <v>0.28833768653735181</v>
      </c>
    </row>
    <row r="89" spans="1:19" ht="14.4" customHeight="1" x14ac:dyDescent="0.3"/>
    <row r="90" spans="1:19" ht="18" customHeight="1" x14ac:dyDescent="0.3">
      <c r="A90" s="281" t="s">
        <v>10</v>
      </c>
      <c r="B90" s="282"/>
      <c r="C90" s="282"/>
      <c r="D90" s="282"/>
      <c r="E90" s="282"/>
      <c r="F90" s="283"/>
      <c r="G90" s="350"/>
      <c r="H90" s="281" t="s">
        <v>9</v>
      </c>
      <c r="I90" s="282"/>
      <c r="J90" s="282"/>
      <c r="K90" s="282"/>
      <c r="L90" s="282"/>
      <c r="M90" s="282"/>
      <c r="N90" s="283"/>
    </row>
    <row r="91" spans="1:19" ht="18" customHeight="1" x14ac:dyDescent="0.3">
      <c r="A91" s="351"/>
      <c r="B91" s="352"/>
      <c r="C91" s="353" t="s">
        <v>5</v>
      </c>
      <c r="D91" s="354"/>
      <c r="E91" s="353" t="s">
        <v>6</v>
      </c>
      <c r="F91" s="354"/>
      <c r="G91" s="240" t="s">
        <v>8</v>
      </c>
      <c r="H91" s="355"/>
      <c r="I91" s="356"/>
      <c r="J91" s="356"/>
      <c r="K91" s="357"/>
      <c r="L91" s="357"/>
      <c r="M91" s="358"/>
      <c r="N91" s="358"/>
      <c r="P91" s="269" t="s">
        <v>27</v>
      </c>
      <c r="Q91" s="269"/>
      <c r="R91" s="269"/>
      <c r="S91" s="269"/>
    </row>
    <row r="92" spans="1:19" ht="18" customHeight="1" x14ac:dyDescent="0.3">
      <c r="A92" s="259"/>
      <c r="B92" s="359">
        <v>-1.3589807460522612</v>
      </c>
      <c r="C92" s="359" t="s">
        <v>5</v>
      </c>
      <c r="D92" s="359">
        <v>0.24074050000000002</v>
      </c>
      <c r="E92" s="359" t="s">
        <v>6</v>
      </c>
      <c r="F92" s="359">
        <f>SUM(B92,D92)</f>
        <v>-1.1182402460522611</v>
      </c>
      <c r="G92" s="249">
        <v>2</v>
      </c>
      <c r="H92" s="359">
        <f>IF(OR($G92=1,$G92=2), $F92 + IF($G92=1,1,-1)*$N$23*(EXP(-$F92)/(1+EXP(-$F92))), NA())</f>
        <v>-1.3443388923379891</v>
      </c>
      <c r="I92" s="359">
        <f>IF(G92=1,H92+N(I91),N(I91))</f>
        <v>0</v>
      </c>
      <c r="J92" s="359">
        <f>IF(G92=2,H92+N(J91),N(J91))</f>
        <v>-1.3443388923379891</v>
      </c>
      <c r="K92" s="304">
        <f>IFERROR(I92/COUNTIF($G$92:$G$101,1),"ERROR!!!")</f>
        <v>0</v>
      </c>
      <c r="L92" s="304">
        <f>IFERROR(J92/COUNTIF($G$92:$G$101,2),"ERROR!!!")</f>
        <v>-0.22405648205633152</v>
      </c>
      <c r="M92" s="304">
        <f>IF(ROW()=92, 0, M91) + ABS(H92 - IF($G92=1, $K92, $L92))</f>
        <v>1.1202824102816575</v>
      </c>
      <c r="N92" s="304">
        <f>IF(ROW()=92, 0, N91) + ABS(H92 - IF($G92=1, $L92, $K92))</f>
        <v>1.3443388923379891</v>
      </c>
      <c r="P92" s="360"/>
      <c r="Q92" s="361"/>
      <c r="R92" s="316" t="s">
        <v>13</v>
      </c>
      <c r="S92" s="362">
        <f>IF(O101&lt;S77,O101,S77)</f>
        <v>0.28120872628230109</v>
      </c>
    </row>
    <row r="93" spans="1:19" ht="18" customHeight="1" x14ac:dyDescent="0.3">
      <c r="A93" s="259"/>
      <c r="B93" s="359">
        <v>1.0973331755196423</v>
      </c>
      <c r="C93" s="359" t="s">
        <v>5</v>
      </c>
      <c r="D93" s="359">
        <v>-0.24074050000000002</v>
      </c>
      <c r="E93" s="359" t="s">
        <v>6</v>
      </c>
      <c r="F93" s="359">
        <f>SUM(B93,D93)</f>
        <v>0.85659267551964224</v>
      </c>
      <c r="G93" s="249">
        <v>1</v>
      </c>
      <c r="H93" s="359">
        <f t="shared" ref="H93:H101" si="43">IF(OR($G93=1,$G93=2), $F93 + IF($G93=1,1,-1)*$N$23*(EXP(-$F93)/(1+EXP(-$F93))), NA())</f>
        <v>0.94600819290582383</v>
      </c>
      <c r="I93" s="359">
        <f>IF(G93=1,H93+N(I92),N(I92))</f>
        <v>0.94600819290582383</v>
      </c>
      <c r="J93" s="359">
        <f t="shared" ref="J93" si="44">IF(G93=2,H93+N(J92),N(J92))</f>
        <v>-1.3443388923379891</v>
      </c>
      <c r="K93" s="304">
        <f t="shared" ref="K93:K101" si="45">IFERROR(I93/COUNTIF($G$92:$G$101,1),"ERROR!!!")</f>
        <v>0.23650204822645596</v>
      </c>
      <c r="L93" s="304">
        <f t="shared" ref="L93:L101" si="46">IFERROR(J93/COUNTIF($G$92:$G$101,2),"ERROR!!!")</f>
        <v>-0.22405648205633152</v>
      </c>
      <c r="M93" s="304">
        <f t="shared" ref="M93:M101" si="47">IF(ROW()=92, 0, M92) + ABS(H93 - IF($G93=1, $K93, $L93))</f>
        <v>1.8297885549610253</v>
      </c>
      <c r="N93" s="304">
        <f t="shared" ref="N93:N101" si="48">IF(ROW()=92, 0, N92) + ABS(H93 - IF($G93=1, $L93, $K93))</f>
        <v>2.5144035673001444</v>
      </c>
      <c r="P93" s="364"/>
      <c r="Q93" s="365"/>
      <c r="R93" s="259" t="s">
        <v>17</v>
      </c>
      <c r="S93" s="366">
        <v>8</v>
      </c>
    </row>
    <row r="94" spans="1:19" ht="18" customHeight="1" x14ac:dyDescent="0.3">
      <c r="A94" s="259"/>
      <c r="B94" s="359">
        <v>-1.0620337591921905</v>
      </c>
      <c r="C94" s="359" t="s">
        <v>5</v>
      </c>
      <c r="D94" s="359">
        <v>-0.24074050000000002</v>
      </c>
      <c r="E94" s="359" t="s">
        <v>6</v>
      </c>
      <c r="F94" s="359">
        <f t="shared" ref="F94" si="49">SUM(B94,D94)</f>
        <v>-1.3027742591921905</v>
      </c>
      <c r="G94" s="249">
        <v>2</v>
      </c>
      <c r="H94" s="359">
        <f>IF(OR($G94=1,$G94=2), $F94 + IF($G94=1,1,-1)*$N$23*(EXP(-$F94)/(1+EXP(-$F94))), NA())</f>
        <v>-1.5386647140134699</v>
      </c>
      <c r="I94" s="359">
        <f>IF(G94=1,H94+N(I93),N(I93))</f>
        <v>0.94600819290582383</v>
      </c>
      <c r="J94" s="359">
        <f>IF(G94=2,H94+N(J93),N(J93))</f>
        <v>-2.8830036063514592</v>
      </c>
      <c r="K94" s="304">
        <f t="shared" si="45"/>
        <v>0.23650204822645596</v>
      </c>
      <c r="L94" s="304">
        <f t="shared" si="46"/>
        <v>-0.48050060105857656</v>
      </c>
      <c r="M94" s="304">
        <f t="shared" si="47"/>
        <v>2.8879526679159184</v>
      </c>
      <c r="N94" s="304">
        <f t="shared" si="48"/>
        <v>4.2895703295400702</v>
      </c>
      <c r="P94" s="368"/>
      <c r="Q94" s="369"/>
      <c r="R94" s="259" t="s">
        <v>15</v>
      </c>
      <c r="S94" s="366">
        <f>IF(O101&lt;S77,S93,S79)</f>
        <v>5</v>
      </c>
    </row>
    <row r="95" spans="1:19" ht="18" customHeight="1" x14ac:dyDescent="0.3">
      <c r="A95" s="259"/>
      <c r="B95" s="359">
        <v>0.55066153579842136</v>
      </c>
      <c r="C95" s="359" t="s">
        <v>5</v>
      </c>
      <c r="D95" s="359">
        <v>0.24074050000000002</v>
      </c>
      <c r="E95" s="359" t="s">
        <v>6</v>
      </c>
      <c r="F95" s="359">
        <f>SUM(B95,D95)</f>
        <v>0.79140203579842139</v>
      </c>
      <c r="G95" s="249">
        <v>1</v>
      </c>
      <c r="H95" s="359">
        <f t="shared" si="43"/>
        <v>0.88496234713381305</v>
      </c>
      <c r="I95" s="359">
        <f t="shared" ref="I95:I96" si="50">IF(G95=1,H95+N(I94),N(I94))</f>
        <v>1.8309705400396368</v>
      </c>
      <c r="J95" s="359">
        <f>IF(G95=2,H95+N(J94),N(J94))</f>
        <v>-2.8830036063514592</v>
      </c>
      <c r="K95" s="304">
        <f t="shared" si="45"/>
        <v>0.45774263500990919</v>
      </c>
      <c r="L95" s="304">
        <f>IFERROR(J95/COUNTIF($G$92:$G$101,2),"ERROR!!!")</f>
        <v>-0.48050060105857656</v>
      </c>
      <c r="M95" s="304">
        <f t="shared" si="47"/>
        <v>3.3151723800398223</v>
      </c>
      <c r="N95" s="304">
        <f t="shared" si="48"/>
        <v>5.6550332777324597</v>
      </c>
    </row>
    <row r="96" spans="1:19" ht="18" customHeight="1" x14ac:dyDescent="0.3">
      <c r="A96" s="259"/>
      <c r="B96" s="359">
        <v>1.097333175519642</v>
      </c>
      <c r="C96" s="359" t="s">
        <v>5</v>
      </c>
      <c r="D96" s="359">
        <v>0.24074050000000002</v>
      </c>
      <c r="E96" s="359" t="s">
        <v>6</v>
      </c>
      <c r="F96" s="359">
        <f>SUM(B96,D96)</f>
        <v>1.3380736755196421</v>
      </c>
      <c r="G96" s="249">
        <v>1</v>
      </c>
      <c r="H96" s="359">
        <f t="shared" si="43"/>
        <v>1.4004217816407414</v>
      </c>
      <c r="I96" s="359">
        <f t="shared" si="50"/>
        <v>3.2313923216803779</v>
      </c>
      <c r="J96" s="359">
        <f>IF(G96=2,H96+N(J95),N(J95))</f>
        <v>-2.8830036063514592</v>
      </c>
      <c r="K96" s="304">
        <f t="shared" si="45"/>
        <v>0.80784808042009448</v>
      </c>
      <c r="L96" s="304">
        <f t="shared" si="46"/>
        <v>-0.48050060105857656</v>
      </c>
      <c r="M96" s="304">
        <f>IF(ROW()=92, 0, M95) + ABS(H96 - IF($G96=1, $K96, $L96))</f>
        <v>3.907746081260469</v>
      </c>
      <c r="N96" s="304">
        <f t="shared" si="48"/>
        <v>7.5359556604317781</v>
      </c>
    </row>
    <row r="97" spans="1:19" ht="18" customHeight="1" x14ac:dyDescent="0.3">
      <c r="A97" s="259"/>
      <c r="B97" s="359">
        <v>0.96858288142615678</v>
      </c>
      <c r="C97" s="359" t="s">
        <v>5</v>
      </c>
      <c r="D97" s="359">
        <v>0.24074050000000002</v>
      </c>
      <c r="E97" s="359" t="s">
        <v>6</v>
      </c>
      <c r="F97" s="359">
        <f>SUM(B97,D97)</f>
        <v>1.2093233814261568</v>
      </c>
      <c r="G97" s="249">
        <v>1</v>
      </c>
      <c r="H97" s="359">
        <f t="shared" si="43"/>
        <v>1.2782696192388732</v>
      </c>
      <c r="I97" s="359">
        <f>IF(G97=1,H97+N(I96),N(I96))</f>
        <v>4.5096619409192513</v>
      </c>
      <c r="J97" s="359">
        <f>IF(G97=2,H97+N(J96),N(J96))</f>
        <v>-2.8830036063514592</v>
      </c>
      <c r="K97" s="304">
        <f t="shared" si="45"/>
        <v>1.1274154852298128</v>
      </c>
      <c r="L97" s="304">
        <f t="shared" si="46"/>
        <v>-0.48050060105857656</v>
      </c>
      <c r="M97" s="304">
        <f>IF(ROW()=92, 0, M96) + ABS(H97 - IF($G97=1, $K97, $L97))</f>
        <v>4.0586002152695295</v>
      </c>
      <c r="N97" s="304">
        <f>IF(ROW()=92, 0, N96) + ABS(H97 - IF($G97=1, $L97, $K97))</f>
        <v>9.2947258807292279</v>
      </c>
    </row>
    <row r="98" spans="1:19" ht="18" customHeight="1" x14ac:dyDescent="0.3">
      <c r="A98" s="259"/>
      <c r="B98" s="359">
        <v>-1.5186565413621942</v>
      </c>
      <c r="C98" s="359" t="s">
        <v>5</v>
      </c>
      <c r="D98" s="359">
        <v>-0.24074050000000002</v>
      </c>
      <c r="E98" s="359" t="s">
        <v>6</v>
      </c>
      <c r="F98" s="359">
        <f t="shared" ref="F98:F99" si="51">SUM(B98,D98)</f>
        <v>-1.7593970413621942</v>
      </c>
      <c r="G98" s="249">
        <v>2</v>
      </c>
      <c r="H98" s="359">
        <f t="shared" si="43"/>
        <v>-2.015337279703592</v>
      </c>
      <c r="I98" s="359">
        <f t="shared" ref="I98" si="52">IF(G98=1,H98+N(I97),N(I97))</f>
        <v>4.5096619409192513</v>
      </c>
      <c r="J98" s="359">
        <f t="shared" ref="J98:J99" si="53">IF(G98=2,H98+N(J97),N(J97))</f>
        <v>-4.8983408860550508</v>
      </c>
      <c r="K98" s="304">
        <f>IFERROR(I98/COUNTIF($G$92:$G$101,1),"ERROR!!!")</f>
        <v>1.1274154852298128</v>
      </c>
      <c r="L98" s="304">
        <f t="shared" si="46"/>
        <v>-0.81639014767584184</v>
      </c>
      <c r="M98" s="304">
        <f>IF(ROW()=92, 0, M97) + ABS(H98 - IF($G98=1, $K98, $L98))</f>
        <v>5.2575473472972796</v>
      </c>
      <c r="N98" s="304">
        <f t="shared" si="48"/>
        <v>12.437478645662633</v>
      </c>
    </row>
    <row r="99" spans="1:19" ht="18" customHeight="1" x14ac:dyDescent="0.3">
      <c r="A99" s="259"/>
      <c r="B99" s="359">
        <v>-0.81342787967727681</v>
      </c>
      <c r="C99" s="359" t="s">
        <v>5</v>
      </c>
      <c r="D99" s="359">
        <v>-0.24074050000000002</v>
      </c>
      <c r="E99" s="359" t="s">
        <v>6</v>
      </c>
      <c r="F99" s="359">
        <f t="shared" si="51"/>
        <v>-1.0541683796772769</v>
      </c>
      <c r="G99" s="249">
        <v>2</v>
      </c>
      <c r="H99" s="359">
        <f>IF(OR($G99=1,$G99=2), $F99 + IF($G99=1,1,-1)*$N$23*(EXP(-$F99)/(1+EXP(-$F99))), NA())</f>
        <v>-1.2766407413126193</v>
      </c>
      <c r="I99" s="359">
        <f>IF(G99=1,H99+N(I98),N(I98))</f>
        <v>4.5096619409192513</v>
      </c>
      <c r="J99" s="359">
        <f t="shared" si="53"/>
        <v>-6.1749816273676696</v>
      </c>
      <c r="K99" s="304">
        <f t="shared" si="45"/>
        <v>1.1274154852298128</v>
      </c>
      <c r="L99" s="304">
        <f t="shared" si="46"/>
        <v>-1.0291636045612782</v>
      </c>
      <c r="M99" s="304">
        <f>IF(ROW()=92, 0, M98) + ABS(H99 - IF($G99=1, $K99, $L99))</f>
        <v>5.5050244840486204</v>
      </c>
      <c r="N99" s="304">
        <f t="shared" si="48"/>
        <v>14.841534872205065</v>
      </c>
      <c r="O99" s="354"/>
    </row>
    <row r="100" spans="1:19" ht="18" customHeight="1" x14ac:dyDescent="0.3">
      <c r="A100" s="259"/>
      <c r="B100" s="359">
        <v>-1.3589807460522612</v>
      </c>
      <c r="C100" s="359" t="s">
        <v>5</v>
      </c>
      <c r="D100" s="359">
        <v>-0.24074050000000002</v>
      </c>
      <c r="E100" s="359" t="s">
        <v>6</v>
      </c>
      <c r="F100" s="359">
        <f>SUM(B100,D100)</f>
        <v>-1.5997212460522612</v>
      </c>
      <c r="G100" s="249">
        <v>2</v>
      </c>
      <c r="H100" s="359">
        <f t="shared" si="43"/>
        <v>-1.8493150725980554</v>
      </c>
      <c r="I100" s="359">
        <f>IF(G100=1,H100+N(I99),N(I99))</f>
        <v>4.5096619409192513</v>
      </c>
      <c r="J100" s="359">
        <f>IF(G100=2,H100+N(J99),N(J99))</f>
        <v>-8.0242966999657241</v>
      </c>
      <c r="K100" s="304">
        <f t="shared" si="45"/>
        <v>1.1274154852298128</v>
      </c>
      <c r="L100" s="304">
        <f t="shared" si="46"/>
        <v>-1.3373827833276206</v>
      </c>
      <c r="M100" s="304">
        <f t="shared" si="47"/>
        <v>6.0169567733190554</v>
      </c>
      <c r="N100" s="304">
        <f>IF(ROW()=92, 0, N99) + ABS(H100 - IF($G100=1, $L100, $K100))</f>
        <v>17.818265430032934</v>
      </c>
      <c r="O100" s="358"/>
    </row>
    <row r="101" spans="1:19" ht="18" customHeight="1" x14ac:dyDescent="0.3">
      <c r="A101" s="259"/>
      <c r="B101" s="359">
        <v>-1.3589807460522612</v>
      </c>
      <c r="C101" s="359" t="s">
        <v>5</v>
      </c>
      <c r="D101" s="359">
        <v>-0.24074050000000002</v>
      </c>
      <c r="E101" s="359" t="s">
        <v>6</v>
      </c>
      <c r="F101" s="359">
        <f t="shared" ref="F101" si="54">SUM(B101,D101)</f>
        <v>-1.5997212460522612</v>
      </c>
      <c r="G101" s="249">
        <v>2</v>
      </c>
      <c r="H101" s="359">
        <f t="shared" si="43"/>
        <v>-1.8493150725980554</v>
      </c>
      <c r="I101" s="359">
        <f t="shared" ref="I101" si="55">IF(G101=1,H101+N(I100),N(I100))</f>
        <v>4.5096619409192513</v>
      </c>
      <c r="J101" s="359">
        <f t="shared" ref="J101" si="56">IF(G101=2,H101+N(J100),N(J100))</f>
        <v>-9.8736117725637804</v>
      </c>
      <c r="K101" s="304">
        <f t="shared" si="45"/>
        <v>1.1274154852298128</v>
      </c>
      <c r="L101" s="304">
        <f t="shared" si="46"/>
        <v>-1.6456019620939635</v>
      </c>
      <c r="M101" s="304">
        <f t="shared" si="47"/>
        <v>6.2206698838231471</v>
      </c>
      <c r="N101" s="304">
        <f t="shared" si="48"/>
        <v>20.794995987860801</v>
      </c>
      <c r="O101" s="373">
        <f>M101/N101</f>
        <v>0.29914263448064615</v>
      </c>
    </row>
    <row r="102" spans="1:19" ht="14.4" customHeight="1" x14ac:dyDescent="0.3"/>
    <row r="103" spans="1:19" ht="14.4" customHeight="1" x14ac:dyDescent="0.3"/>
    <row r="104" spans="1:19" ht="14.4" customHeight="1" x14ac:dyDescent="0.3"/>
    <row r="105" spans="1:19" ht="18" customHeight="1" x14ac:dyDescent="0.3">
      <c r="A105" s="281" t="s">
        <v>10</v>
      </c>
      <c r="B105" s="282"/>
      <c r="C105" s="282"/>
      <c r="D105" s="282"/>
      <c r="E105" s="282"/>
      <c r="F105" s="283"/>
      <c r="G105" s="350"/>
      <c r="H105" s="281" t="s">
        <v>9</v>
      </c>
      <c r="I105" s="282"/>
      <c r="J105" s="282"/>
      <c r="K105" s="282"/>
      <c r="L105" s="282"/>
      <c r="M105" s="282"/>
      <c r="N105" s="283"/>
    </row>
    <row r="106" spans="1:19" ht="18" customHeight="1" x14ac:dyDescent="0.3">
      <c r="A106" s="351"/>
      <c r="B106" s="352"/>
      <c r="C106" s="353" t="s">
        <v>5</v>
      </c>
      <c r="D106" s="354"/>
      <c r="E106" s="353" t="s">
        <v>6</v>
      </c>
      <c r="F106" s="354"/>
      <c r="G106" s="240" t="s">
        <v>8</v>
      </c>
      <c r="H106" s="355"/>
      <c r="I106" s="356"/>
      <c r="J106" s="356"/>
      <c r="K106" s="357"/>
      <c r="L106" s="357"/>
      <c r="M106" s="358"/>
      <c r="N106" s="358"/>
      <c r="P106" s="269" t="s">
        <v>27</v>
      </c>
      <c r="Q106" s="269"/>
      <c r="R106" s="269"/>
      <c r="S106" s="269"/>
    </row>
    <row r="107" spans="1:19" ht="18" customHeight="1" x14ac:dyDescent="0.3">
      <c r="A107" s="259"/>
      <c r="B107" s="359">
        <v>-1.3589807460522612</v>
      </c>
      <c r="C107" s="359" t="s">
        <v>5</v>
      </c>
      <c r="D107" s="359">
        <v>-5.3571428571428555E-2</v>
      </c>
      <c r="E107" s="359" t="s">
        <v>6</v>
      </c>
      <c r="F107" s="359">
        <f t="shared" ref="F107:F114" si="57">SUM(B107,D107)</f>
        <v>-1.4125521746236898</v>
      </c>
      <c r="G107" s="249">
        <v>2</v>
      </c>
      <c r="H107" s="287">
        <f t="shared" ref="H107:H116" si="58">IF(OR($G107=1,$G107=2), $F107 + IF($G107=1,1,-1)*$N$23*(EXP(-$F107)/(1+EXP(-$F107))), NA())</f>
        <v>-1.6538026275784481</v>
      </c>
      <c r="I107" s="359">
        <f>IF(G107=1,H107+N(I106),N(I106))</f>
        <v>0</v>
      </c>
      <c r="J107" s="359">
        <f>IF(G107=2,H107+N(J106),N(J106))</f>
        <v>-1.6538026275784481</v>
      </c>
      <c r="K107" s="304">
        <f>IFERROR(I107/COUNTIF($G$107:$G$116,1),"ERROR!!!")</f>
        <v>0</v>
      </c>
      <c r="L107" s="304">
        <f>IFERROR(J107/COUNTIF($G$107:$G$116,2),"ERROR!!!")</f>
        <v>-0.2756337712630747</v>
      </c>
      <c r="M107" s="304">
        <f>IF(ROW()=107, 0, M106) + ABS(H107 - IF($G107=1, $K107, $L107))</f>
        <v>1.3781688563153733</v>
      </c>
      <c r="N107" s="304">
        <f>IF(ROW()=107, 0, N106) + ABS(H107 - IF($G107=1, $L107, $K107))</f>
        <v>1.6538026275784481</v>
      </c>
      <c r="P107" s="360"/>
      <c r="Q107" s="361"/>
      <c r="R107" s="316" t="s">
        <v>13</v>
      </c>
      <c r="S107" s="362">
        <f>IF(O116&lt;S92,O116,S92)</f>
        <v>0.27803454186287996</v>
      </c>
    </row>
    <row r="108" spans="1:19" ht="18" customHeight="1" x14ac:dyDescent="0.3">
      <c r="A108" s="259"/>
      <c r="B108" s="359">
        <v>1.0973331755196423</v>
      </c>
      <c r="C108" s="359" t="s">
        <v>5</v>
      </c>
      <c r="D108" s="359">
        <v>-5.3571428571428555E-2</v>
      </c>
      <c r="E108" s="359" t="s">
        <v>6</v>
      </c>
      <c r="F108" s="359">
        <f t="shared" si="57"/>
        <v>1.0437617469482137</v>
      </c>
      <c r="G108" s="249">
        <v>1</v>
      </c>
      <c r="H108" s="287">
        <f t="shared" si="58"/>
        <v>1.1218891913666804</v>
      </c>
      <c r="I108" s="359">
        <f>IF(G108=1,H108+N(I107),N(I107))</f>
        <v>1.1218891913666804</v>
      </c>
      <c r="J108" s="359">
        <f t="shared" ref="J108:J116" si="59">IF(G108=2,H108+N(J107),N(J107))</f>
        <v>-1.6538026275784481</v>
      </c>
      <c r="K108" s="304">
        <f t="shared" ref="K108:K116" si="60">IFERROR(I108/COUNTIF($G$107:$G$116,1),"ERROR!!!")</f>
        <v>0.2804722978416701</v>
      </c>
      <c r="L108" s="304">
        <f t="shared" ref="L108:L112" si="61">IFERROR(J108/COUNTIF($G$107:$G$116,2),"ERROR!!!")</f>
        <v>-0.2756337712630747</v>
      </c>
      <c r="M108" s="304">
        <f t="shared" ref="M108:M116" si="62">IF(ROW()=107, 0, M107) + ABS(H108 - IF($G108=1, $K108, $L108))</f>
        <v>2.2195857498403839</v>
      </c>
      <c r="N108" s="304">
        <f t="shared" ref="N108:N116" si="63">IF(ROW()=107, 0, N107) + ABS(H108 - IF($G108=1, $L108, $K108))</f>
        <v>3.0513255902082035</v>
      </c>
      <c r="P108" s="364"/>
      <c r="Q108" s="365"/>
      <c r="R108" s="259" t="s">
        <v>17</v>
      </c>
      <c r="S108" s="366">
        <v>9</v>
      </c>
    </row>
    <row r="109" spans="1:19" ht="18" customHeight="1" x14ac:dyDescent="0.3">
      <c r="A109" s="259"/>
      <c r="B109" s="359">
        <v>-1.0620337591921905</v>
      </c>
      <c r="C109" s="359" t="s">
        <v>5</v>
      </c>
      <c r="D109" s="359">
        <v>-5.3571428571428555E-2</v>
      </c>
      <c r="E109" s="359" t="s">
        <v>6</v>
      </c>
      <c r="F109" s="359">
        <f t="shared" si="57"/>
        <v>-1.1156051877636191</v>
      </c>
      <c r="G109" s="249">
        <v>2</v>
      </c>
      <c r="H109" s="287">
        <f>IF(OR($G109=1,$G109=2), $F109 + IF($G109=1,1,-1)*$N$23*(EXP(-$F109)/(1+EXP(-$F109))), NA())</f>
        <v>-1.341556972041311</v>
      </c>
      <c r="I109" s="359">
        <f>IF(G109=1,H109+N(I108),N(I108))</f>
        <v>1.1218891913666804</v>
      </c>
      <c r="J109" s="359">
        <f t="shared" si="59"/>
        <v>-2.9953595996197588</v>
      </c>
      <c r="K109" s="304">
        <f>IFERROR(I109/COUNTIF($G$107:$G$116,1),"ERROR!!!")</f>
        <v>0.2804722978416701</v>
      </c>
      <c r="L109" s="304">
        <f t="shared" si="61"/>
        <v>-0.49922659993662649</v>
      </c>
      <c r="M109" s="304">
        <f>IF(ROW()=107, 0, M108) + ABS(H109 - IF($G109=1, $K109, $L109))</f>
        <v>3.0619161219450683</v>
      </c>
      <c r="N109" s="304">
        <f t="shared" si="63"/>
        <v>4.6733548600911847</v>
      </c>
      <c r="P109" s="368"/>
      <c r="Q109" s="369"/>
      <c r="R109" s="259" t="s">
        <v>15</v>
      </c>
      <c r="S109" s="366">
        <f>IF(O116&lt;S92,S108,S94)</f>
        <v>9</v>
      </c>
    </row>
    <row r="110" spans="1:19" ht="18" customHeight="1" x14ac:dyDescent="0.3">
      <c r="A110" s="259"/>
      <c r="B110" s="359">
        <v>0.55066153579842136</v>
      </c>
      <c r="C110" s="359" t="s">
        <v>5</v>
      </c>
      <c r="D110" s="359">
        <v>5.3571428571428575E-2</v>
      </c>
      <c r="E110" s="359" t="s">
        <v>6</v>
      </c>
      <c r="F110" s="359">
        <f t="shared" si="57"/>
        <v>0.60423296436984997</v>
      </c>
      <c r="G110" s="249">
        <v>1</v>
      </c>
      <c r="H110" s="287">
        <f t="shared" si="58"/>
        <v>0.71024572129253061</v>
      </c>
      <c r="I110" s="359">
        <f t="shared" ref="I110:I111" si="64">IF(G110=1,H110+N(I109),N(I109))</f>
        <v>1.832134912659211</v>
      </c>
      <c r="J110" s="359">
        <f t="shared" si="59"/>
        <v>-2.9953595996197588</v>
      </c>
      <c r="K110" s="304">
        <f t="shared" si="60"/>
        <v>0.45803372816480276</v>
      </c>
      <c r="L110" s="304">
        <f t="shared" si="61"/>
        <v>-0.49922659993662649</v>
      </c>
      <c r="M110" s="304">
        <f t="shared" si="62"/>
        <v>3.3141281150727964</v>
      </c>
      <c r="N110" s="304">
        <f t="shared" si="63"/>
        <v>5.8828271813203417</v>
      </c>
    </row>
    <row r="111" spans="1:19" ht="18" customHeight="1" x14ac:dyDescent="0.3">
      <c r="A111" s="259"/>
      <c r="B111" s="359">
        <v>1.097333175519642</v>
      </c>
      <c r="C111" s="359" t="s">
        <v>5</v>
      </c>
      <c r="D111" s="359">
        <v>5.3571428571428575E-2</v>
      </c>
      <c r="E111" s="359" t="s">
        <v>6</v>
      </c>
      <c r="F111" s="359">
        <f>SUM(B111,D111)</f>
        <v>1.1509046040910706</v>
      </c>
      <c r="G111" s="249">
        <v>1</v>
      </c>
      <c r="H111" s="287">
        <f t="shared" si="58"/>
        <v>1.2230017717540247</v>
      </c>
      <c r="I111" s="359">
        <f t="shared" si="64"/>
        <v>3.0551366844132355</v>
      </c>
      <c r="J111" s="359">
        <f t="shared" si="59"/>
        <v>-2.9953595996197588</v>
      </c>
      <c r="K111" s="304">
        <f t="shared" si="60"/>
        <v>0.76378417110330887</v>
      </c>
      <c r="L111" s="304">
        <f t="shared" si="61"/>
        <v>-0.49922659993662649</v>
      </c>
      <c r="M111" s="304">
        <f t="shared" si="62"/>
        <v>3.7733457157235124</v>
      </c>
      <c r="N111" s="304">
        <f t="shared" si="63"/>
        <v>7.6050555530109927</v>
      </c>
    </row>
    <row r="112" spans="1:19" ht="18" customHeight="1" x14ac:dyDescent="0.3">
      <c r="A112" s="259"/>
      <c r="B112" s="359">
        <v>0.96858288142615678</v>
      </c>
      <c r="C112" s="359" t="s">
        <v>5</v>
      </c>
      <c r="D112" s="359">
        <v>-5.3571428571428555E-2</v>
      </c>
      <c r="E112" s="359" t="s">
        <v>6</v>
      </c>
      <c r="F112" s="359">
        <f>SUM(B112,D112)</f>
        <v>0.91501145285472818</v>
      </c>
      <c r="G112" s="249">
        <v>1</v>
      </c>
      <c r="H112" s="287">
        <f>IF(OR($G112=1,$G112=2), $F112 + IF($G112=1,1,-1)*$N$23*(EXP(-$F112)/(1+EXP(-$F112))), NA())</f>
        <v>1.0008040832403204</v>
      </c>
      <c r="I112" s="359">
        <f>IF(G112=1,H112+N(I111),N(I111))</f>
        <v>4.0559407676535564</v>
      </c>
      <c r="J112" s="359">
        <f t="shared" si="59"/>
        <v>-2.9953595996197588</v>
      </c>
      <c r="K112" s="304">
        <f t="shared" si="60"/>
        <v>1.0139851919133891</v>
      </c>
      <c r="L112" s="304">
        <f t="shared" si="61"/>
        <v>-0.49922659993662649</v>
      </c>
      <c r="M112" s="304">
        <f t="shared" si="62"/>
        <v>3.7865268243965811</v>
      </c>
      <c r="N112" s="304">
        <f t="shared" si="63"/>
        <v>9.1050862361879403</v>
      </c>
    </row>
    <row r="113" spans="1:19" ht="18" customHeight="1" x14ac:dyDescent="0.3">
      <c r="A113" s="259"/>
      <c r="B113" s="359">
        <v>-1.5186565413621942</v>
      </c>
      <c r="C113" s="359" t="s">
        <v>5</v>
      </c>
      <c r="D113" s="359">
        <v>5.3571428571428575E-2</v>
      </c>
      <c r="E113" s="359" t="s">
        <v>6</v>
      </c>
      <c r="F113" s="359">
        <f t="shared" si="57"/>
        <v>-1.4650851127907656</v>
      </c>
      <c r="G113" s="249">
        <v>2</v>
      </c>
      <c r="H113" s="287">
        <f t="shared" si="58"/>
        <v>-1.7087778721019256</v>
      </c>
      <c r="I113" s="359">
        <f t="shared" ref="I113" si="65">IF(G113=1,H113+N(I112),N(I112))</f>
        <v>4.0559407676535564</v>
      </c>
      <c r="J113" s="359">
        <f>IF(G113=2,H113+N(J112),N(J112))</f>
        <v>-4.7041374717216842</v>
      </c>
      <c r="K113" s="304">
        <f t="shared" si="60"/>
        <v>1.0139851919133891</v>
      </c>
      <c r="L113" s="304">
        <f>IFERROR(J113/COUNTIF($G$107:$G$116,2),"ERROR!!!")</f>
        <v>-0.78402291195361407</v>
      </c>
      <c r="M113" s="304">
        <f t="shared" si="62"/>
        <v>4.7112817845448927</v>
      </c>
      <c r="N113" s="304">
        <f>IF(ROW()=107, 0, N112) + ABS(H113 - IF($G113=1, $L113, $K113))</f>
        <v>11.827849300203255</v>
      </c>
    </row>
    <row r="114" spans="1:19" ht="18" customHeight="1" x14ac:dyDescent="0.3">
      <c r="A114" s="259"/>
      <c r="B114" s="359">
        <v>-0.81342787967727681</v>
      </c>
      <c r="C114" s="359" t="s">
        <v>5</v>
      </c>
      <c r="D114" s="359">
        <v>5.3571428571428575E-2</v>
      </c>
      <c r="E114" s="359" t="s">
        <v>6</v>
      </c>
      <c r="F114" s="359">
        <f t="shared" si="57"/>
        <v>-0.75985645110584821</v>
      </c>
      <c r="G114" s="249">
        <v>2</v>
      </c>
      <c r="H114" s="287">
        <f t="shared" si="58"/>
        <v>-0.96425322119358547</v>
      </c>
      <c r="I114" s="359">
        <f>IF(G114=1,H114+N(I113),N(I113))</f>
        <v>4.0559407676535564</v>
      </c>
      <c r="J114" s="359">
        <f t="shared" si="59"/>
        <v>-5.6683906929152696</v>
      </c>
      <c r="K114" s="304">
        <f t="shared" si="60"/>
        <v>1.0139851919133891</v>
      </c>
      <c r="L114" s="304">
        <f>IFERROR(J114/COUNTIF($G$107:$G$116,2),"ERROR!!!")</f>
        <v>-0.94473178215254494</v>
      </c>
      <c r="M114" s="304">
        <f t="shared" si="62"/>
        <v>4.7308032235859336</v>
      </c>
      <c r="N114" s="304">
        <f t="shared" si="63"/>
        <v>13.80608771331023</v>
      </c>
      <c r="O114" s="354"/>
    </row>
    <row r="115" spans="1:19" ht="18" customHeight="1" x14ac:dyDescent="0.3">
      <c r="A115" s="259"/>
      <c r="B115" s="359">
        <v>-1.3589807460522612</v>
      </c>
      <c r="C115" s="359" t="s">
        <v>5</v>
      </c>
      <c r="D115" s="359">
        <v>-5.3571428571428555E-2</v>
      </c>
      <c r="E115" s="359" t="s">
        <v>6</v>
      </c>
      <c r="F115" s="359">
        <f>SUM(B115,D115)</f>
        <v>-1.4125521746236898</v>
      </c>
      <c r="G115" s="249">
        <v>2</v>
      </c>
      <c r="H115" s="287">
        <f t="shared" si="58"/>
        <v>-1.6538026275784481</v>
      </c>
      <c r="I115" s="359">
        <f>IF(G115=1,H115+N(I114),N(I114))</f>
        <v>4.0559407676535564</v>
      </c>
      <c r="J115" s="359">
        <f t="shared" si="59"/>
        <v>-7.3221933204937173</v>
      </c>
      <c r="K115" s="304">
        <f t="shared" si="60"/>
        <v>1.0139851919133891</v>
      </c>
      <c r="L115" s="304">
        <f>IFERROR(J115/COUNTIF($G$107:$G$116,2),"ERROR!!!")</f>
        <v>-1.2203655534156195</v>
      </c>
      <c r="M115" s="304">
        <f t="shared" si="62"/>
        <v>5.164240297748762</v>
      </c>
      <c r="N115" s="304">
        <f t="shared" si="63"/>
        <v>16.473875532802069</v>
      </c>
      <c r="O115" s="358"/>
    </row>
    <row r="116" spans="1:19" ht="18" customHeight="1" x14ac:dyDescent="0.3">
      <c r="A116" s="259"/>
      <c r="B116" s="359">
        <v>-1.3589807460522612</v>
      </c>
      <c r="C116" s="359" t="s">
        <v>5</v>
      </c>
      <c r="D116" s="359">
        <v>-5.3571428571428555E-2</v>
      </c>
      <c r="E116" s="359" t="s">
        <v>6</v>
      </c>
      <c r="F116" s="359">
        <f t="shared" ref="F116" si="66">SUM(B116,D116)</f>
        <v>-1.4125521746236898</v>
      </c>
      <c r="G116" s="249">
        <v>2</v>
      </c>
      <c r="H116" s="287">
        <f t="shared" si="58"/>
        <v>-1.6538026275784481</v>
      </c>
      <c r="I116" s="359">
        <f t="shared" ref="I116" si="67">IF(G116=1,H116+N(I115),N(I115))</f>
        <v>4.0559407676535564</v>
      </c>
      <c r="J116" s="359">
        <f t="shared" si="59"/>
        <v>-8.9759959480721658</v>
      </c>
      <c r="K116" s="304">
        <f t="shared" si="60"/>
        <v>1.0139851919133891</v>
      </c>
      <c r="L116" s="304">
        <f>IFERROR(J116/COUNTIF($G$107:$G$116,2),"ERROR!!!")</f>
        <v>-1.4959993246786942</v>
      </c>
      <c r="M116" s="304">
        <f t="shared" si="62"/>
        <v>5.3220436006485157</v>
      </c>
      <c r="N116" s="304">
        <f t="shared" si="63"/>
        <v>19.141663352293907</v>
      </c>
      <c r="O116" s="373">
        <f>M116/N116</f>
        <v>0.27803454186287996</v>
      </c>
    </row>
    <row r="117" spans="1:19" ht="14.4" customHeight="1" x14ac:dyDescent="0.3"/>
    <row r="118" spans="1:19" ht="14.4" customHeight="1" x14ac:dyDescent="0.3"/>
    <row r="119" spans="1:19" ht="14.4" customHeight="1" x14ac:dyDescent="0.3"/>
    <row r="120" spans="1:19" ht="18" customHeight="1" x14ac:dyDescent="0.3">
      <c r="A120" s="281" t="s">
        <v>10</v>
      </c>
      <c r="B120" s="282"/>
      <c r="C120" s="282"/>
      <c r="D120" s="282"/>
      <c r="E120" s="282"/>
      <c r="F120" s="283"/>
      <c r="G120" s="350"/>
      <c r="H120" s="281" t="s">
        <v>9</v>
      </c>
      <c r="I120" s="282"/>
      <c r="J120" s="282"/>
      <c r="K120" s="282"/>
      <c r="L120" s="282"/>
      <c r="M120" s="282"/>
      <c r="N120" s="283"/>
    </row>
    <row r="121" spans="1:19" ht="18" customHeight="1" x14ac:dyDescent="0.3">
      <c r="A121" s="351"/>
      <c r="B121" s="352"/>
      <c r="C121" s="353" t="s">
        <v>5</v>
      </c>
      <c r="D121" s="354"/>
      <c r="E121" s="353" t="s">
        <v>6</v>
      </c>
      <c r="F121" s="354"/>
      <c r="G121" s="240" t="s">
        <v>8</v>
      </c>
      <c r="H121" s="355"/>
      <c r="I121" s="356"/>
      <c r="J121" s="356"/>
      <c r="K121" s="357"/>
      <c r="L121" s="357"/>
      <c r="M121" s="358"/>
      <c r="N121" s="358"/>
      <c r="P121" s="269" t="s">
        <v>27</v>
      </c>
      <c r="Q121" s="269"/>
      <c r="R121" s="269"/>
      <c r="S121" s="269"/>
    </row>
    <row r="122" spans="1:19" ht="18" customHeight="1" x14ac:dyDescent="0.3">
      <c r="A122" s="259"/>
      <c r="B122" s="359">
        <v>-1.3589807460522612</v>
      </c>
      <c r="C122" s="359" t="s">
        <v>5</v>
      </c>
      <c r="D122" s="359">
        <v>-0.24074050000000002</v>
      </c>
      <c r="E122" s="359" t="s">
        <v>6</v>
      </c>
      <c r="F122" s="359">
        <f>SUM(B122,D122)</f>
        <v>-1.5997212460522612</v>
      </c>
      <c r="G122" s="249">
        <v>2</v>
      </c>
      <c r="H122" s="359">
        <f>IF(OR($G122=1,$G122=2), $F122 + IF($G122=1,1,-1)*$N$23*(EXP(-$F122)/(1+EXP(-$F122))), NA())</f>
        <v>-1.8493150725980554</v>
      </c>
      <c r="I122" s="359">
        <f>IF(G122=1,H122+N(I121),N(I121))</f>
        <v>0</v>
      </c>
      <c r="J122" s="359">
        <f>IF(G122=2,H122+N(J121),N(J121))</f>
        <v>-1.8493150725980554</v>
      </c>
      <c r="K122" s="304">
        <f>IFERROR(I122/COUNTIF($G$122:$G$131,1),"ERROR!!!")</f>
        <v>0</v>
      </c>
      <c r="L122" s="304">
        <f>IFERROR(J122/COUNTIF($G$122:$G$131,2),"ERROR!!!")</f>
        <v>-0.30821917876634258</v>
      </c>
      <c r="M122" s="304">
        <f>IF(ROW()=122, 0, M121) + ABS(H122 - IF($G122=1, $K122, $L122))</f>
        <v>1.5410958938317127</v>
      </c>
      <c r="N122" s="304">
        <f>IF(ROW()=122, 0, N121) + ABS(H122 - IF($G122=1, $L122, $K122))</f>
        <v>1.8493150725980554</v>
      </c>
      <c r="P122" s="360"/>
      <c r="Q122" s="361"/>
      <c r="R122" s="316" t="s">
        <v>13</v>
      </c>
      <c r="S122" s="362">
        <f>IF(O131&lt;S107,O131,S107)</f>
        <v>0.27803454186287996</v>
      </c>
    </row>
    <row r="123" spans="1:19" ht="18" customHeight="1" x14ac:dyDescent="0.3">
      <c r="A123" s="259"/>
      <c r="B123" s="359">
        <v>1.0973331755196423</v>
      </c>
      <c r="C123" s="359" t="s">
        <v>5</v>
      </c>
      <c r="D123" s="359">
        <v>-0.24074050000000002</v>
      </c>
      <c r="E123" s="359" t="s">
        <v>6</v>
      </c>
      <c r="F123" s="359">
        <f>SUM(B123,D123)</f>
        <v>0.85659267551964224</v>
      </c>
      <c r="G123" s="249">
        <v>1</v>
      </c>
      <c r="H123" s="359">
        <f t="shared" ref="H123:H131" si="68">IF(OR($G123=1,$G123=2), $F123 + IF($G123=1,1,-1)*$N$23*(EXP(-$F123)/(1+EXP(-$F123))), NA())</f>
        <v>0.94600819290582383</v>
      </c>
      <c r="I123" s="359">
        <f>IF(G123=1,H123+N(I122),N(I122))</f>
        <v>0.94600819290582383</v>
      </c>
      <c r="J123" s="359">
        <f t="shared" ref="J123:J131" si="69">IF(G123=2,H123+N(J122),N(J122))</f>
        <v>-1.8493150725980554</v>
      </c>
      <c r="K123" s="304">
        <f t="shared" ref="K123:K131" si="70">IFERROR(I123/COUNTIF($G$122:$G$131,1),"ERROR!!!")</f>
        <v>0.23650204822645596</v>
      </c>
      <c r="L123" s="304">
        <f t="shared" ref="L123:L131" si="71">IFERROR(J123/COUNTIF($G$122:$G$131,2),"ERROR!!!")</f>
        <v>-0.30821917876634258</v>
      </c>
      <c r="M123" s="304">
        <f>IF(ROW()=122, 0, M122) + ABS(H123 - IF($G123=1, $K123, $L123))</f>
        <v>2.2506020385110808</v>
      </c>
      <c r="N123" s="304">
        <f t="shared" ref="N123:N131" si="72">IF(ROW()=122, 0, N122) + ABS(H123 - IF($G123=1, $L123, $K123))</f>
        <v>3.1035424442702215</v>
      </c>
      <c r="P123" s="364"/>
      <c r="Q123" s="365"/>
      <c r="R123" s="259" t="s">
        <v>17</v>
      </c>
      <c r="S123" s="366">
        <v>10</v>
      </c>
    </row>
    <row r="124" spans="1:19" ht="18" customHeight="1" x14ac:dyDescent="0.3">
      <c r="A124" s="259"/>
      <c r="B124" s="359">
        <v>-1.0620337591921905</v>
      </c>
      <c r="C124" s="359" t="s">
        <v>5</v>
      </c>
      <c r="D124" s="359">
        <v>0.24074050000000002</v>
      </c>
      <c r="E124" s="359" t="s">
        <v>6</v>
      </c>
      <c r="F124" s="359">
        <f t="shared" ref="F124" si="73">SUM(B124,D124)</f>
        <v>-0.82129325919219043</v>
      </c>
      <c r="G124" s="249">
        <v>2</v>
      </c>
      <c r="H124" s="359">
        <f>IF(OR($G124=1,$G124=2), $F124 + IF($G124=1,1,-1)*$N$23*(EXP(-$F124)/(1+EXP(-$F124))), NA())</f>
        <v>-1.0296464974397472</v>
      </c>
      <c r="I124" s="359">
        <f>IF(G124=1,H124+N(I123),N(I123))</f>
        <v>0.94600819290582383</v>
      </c>
      <c r="J124" s="359">
        <f t="shared" si="69"/>
        <v>-2.8789615700378026</v>
      </c>
      <c r="K124" s="304">
        <f t="shared" si="70"/>
        <v>0.23650204822645596</v>
      </c>
      <c r="L124" s="304">
        <f t="shared" si="71"/>
        <v>-0.47982692833963375</v>
      </c>
      <c r="M124" s="304">
        <f t="shared" ref="M124:M131" si="74">IF(ROW()=122, 0, M123) + ABS(H124 - IF($G124=1, $K124, $L124))</f>
        <v>2.8004216076111943</v>
      </c>
      <c r="N124" s="304">
        <f t="shared" si="72"/>
        <v>4.3696909899364247</v>
      </c>
      <c r="P124" s="368"/>
      <c r="Q124" s="369"/>
      <c r="R124" s="259" t="s">
        <v>15</v>
      </c>
      <c r="S124" s="366">
        <f>IF(O131&lt;S107,S123,S109)</f>
        <v>9</v>
      </c>
    </row>
    <row r="125" spans="1:19" ht="18" customHeight="1" x14ac:dyDescent="0.3">
      <c r="A125" s="259"/>
      <c r="B125" s="359">
        <v>0.55066153579842136</v>
      </c>
      <c r="C125" s="359" t="s">
        <v>5</v>
      </c>
      <c r="D125" s="359">
        <v>0.24074050000000002</v>
      </c>
      <c r="E125" s="359" t="s">
        <v>6</v>
      </c>
      <c r="F125" s="359">
        <f>SUM(B125,D125)</f>
        <v>0.79140203579842139</v>
      </c>
      <c r="G125" s="249">
        <v>1</v>
      </c>
      <c r="H125" s="359">
        <f t="shared" si="68"/>
        <v>0.88496234713381305</v>
      </c>
      <c r="I125" s="359">
        <f t="shared" ref="I125" si="75">IF(G125=1,H125+N(I124),N(I124))</f>
        <v>1.8309705400396368</v>
      </c>
      <c r="J125" s="359">
        <f t="shared" si="69"/>
        <v>-2.8789615700378026</v>
      </c>
      <c r="K125" s="304">
        <f t="shared" si="70"/>
        <v>0.45774263500990919</v>
      </c>
      <c r="L125" s="304">
        <f t="shared" si="71"/>
        <v>-0.47982692833963375</v>
      </c>
      <c r="M125" s="304">
        <f t="shared" si="74"/>
        <v>3.2276413197350982</v>
      </c>
      <c r="N125" s="304">
        <f t="shared" si="72"/>
        <v>5.7344802654098714</v>
      </c>
    </row>
    <row r="126" spans="1:19" ht="18" customHeight="1" x14ac:dyDescent="0.3">
      <c r="A126" s="259"/>
      <c r="B126" s="359">
        <v>1.097333175519642</v>
      </c>
      <c r="C126" s="359" t="s">
        <v>5</v>
      </c>
      <c r="D126" s="359">
        <v>0.24074050000000002</v>
      </c>
      <c r="E126" s="359" t="s">
        <v>6</v>
      </c>
      <c r="F126" s="359">
        <f>SUM(B126,D126)</f>
        <v>1.3380736755196421</v>
      </c>
      <c r="G126" s="249">
        <v>1</v>
      </c>
      <c r="H126" s="359">
        <f t="shared" si="68"/>
        <v>1.4004217816407414</v>
      </c>
      <c r="I126" s="359">
        <f>IF(G126=1,H126+N(I125),N(I125))</f>
        <v>3.2313923216803779</v>
      </c>
      <c r="J126" s="359">
        <f>IF(G126=2,H126+N(J125),N(J125))</f>
        <v>-2.8789615700378026</v>
      </c>
      <c r="K126" s="304">
        <f t="shared" si="70"/>
        <v>0.80784808042009448</v>
      </c>
      <c r="L126" s="304">
        <f>IFERROR(J126/COUNTIF($G$122:$G$131,2),"ERROR!!!")</f>
        <v>-0.47982692833963375</v>
      </c>
      <c r="M126" s="304">
        <f t="shared" si="74"/>
        <v>3.8202150209557448</v>
      </c>
      <c r="N126" s="304">
        <f t="shared" si="72"/>
        <v>7.6147289753902463</v>
      </c>
    </row>
    <row r="127" spans="1:19" ht="18" customHeight="1" x14ac:dyDescent="0.3">
      <c r="A127" s="259"/>
      <c r="B127" s="359">
        <v>0.96858288142615678</v>
      </c>
      <c r="C127" s="359" t="s">
        <v>5</v>
      </c>
      <c r="D127" s="359">
        <v>0.24074050000000002</v>
      </c>
      <c r="E127" s="359" t="s">
        <v>6</v>
      </c>
      <c r="F127" s="359">
        <f>SUM(B127,D127)</f>
        <v>1.2093233814261568</v>
      </c>
      <c r="G127" s="249">
        <v>1</v>
      </c>
      <c r="H127" s="359">
        <f>IF(OR($G127=1,$G127=2), $F127 + IF($G127=1,1,-1)*$N$23*(EXP(-$F127)/(1+EXP(-$F127))), NA())</f>
        <v>1.2782696192388732</v>
      </c>
      <c r="I127" s="359">
        <f>IF(G127=1,H127+N(I126),N(I126))</f>
        <v>4.5096619409192513</v>
      </c>
      <c r="J127" s="359">
        <f t="shared" si="69"/>
        <v>-2.8789615700378026</v>
      </c>
      <c r="K127" s="304">
        <f>IFERROR(I127/COUNTIF($G$122:$G$131,1),"ERROR!!!")</f>
        <v>1.1274154852298128</v>
      </c>
      <c r="L127" s="304">
        <f>IFERROR(J127/COUNTIF($G$122:$G$131,2),"ERROR!!!")</f>
        <v>-0.47982692833963375</v>
      </c>
      <c r="M127" s="304">
        <f t="shared" si="74"/>
        <v>3.9710691549648054</v>
      </c>
      <c r="N127" s="304">
        <f>IF(ROW()=122, 0, N126) + ABS(H127 - IF($G127=1, $L127, $K127))</f>
        <v>9.3728255229687534</v>
      </c>
    </row>
    <row r="128" spans="1:19" ht="18" customHeight="1" x14ac:dyDescent="0.3">
      <c r="A128" s="259"/>
      <c r="B128" s="359">
        <v>-1.5186565413621942</v>
      </c>
      <c r="C128" s="359" t="s">
        <v>5</v>
      </c>
      <c r="D128" s="359">
        <v>-0.24074050000000002</v>
      </c>
      <c r="E128" s="359" t="s">
        <v>6</v>
      </c>
      <c r="F128" s="359">
        <f t="shared" ref="F128:F129" si="76">SUM(B128,D128)</f>
        <v>-1.7593970413621942</v>
      </c>
      <c r="G128" s="249">
        <v>2</v>
      </c>
      <c r="H128" s="359">
        <f t="shared" si="68"/>
        <v>-2.015337279703592</v>
      </c>
      <c r="I128" s="359">
        <f>IF(G128=1,H128+N(I127),N(I127))</f>
        <v>4.5096619409192513</v>
      </c>
      <c r="J128" s="359">
        <f t="shared" si="69"/>
        <v>-4.8942988497413946</v>
      </c>
      <c r="K128" s="304">
        <f t="shared" si="70"/>
        <v>1.1274154852298128</v>
      </c>
      <c r="L128" s="304">
        <f t="shared" si="71"/>
        <v>-0.81571647495689914</v>
      </c>
      <c r="M128" s="304">
        <f>IF(ROW()=122, 0, M127) + ABS(H128 - IF($G128=1, $K128, $L128))</f>
        <v>5.1706899597114981</v>
      </c>
      <c r="N128" s="304">
        <f>IF(ROW()=122, 0, N127) + ABS(H128 - IF($G128=1, $L128, $K128))</f>
        <v>12.515578287902159</v>
      </c>
    </row>
    <row r="129" spans="1:19" ht="18" customHeight="1" x14ac:dyDescent="0.3">
      <c r="A129" s="259"/>
      <c r="B129" s="359">
        <v>-0.81342787967727681</v>
      </c>
      <c r="C129" s="359" t="s">
        <v>5</v>
      </c>
      <c r="D129" s="359">
        <v>-0.24074050000000002</v>
      </c>
      <c r="E129" s="359" t="s">
        <v>6</v>
      </c>
      <c r="F129" s="359">
        <f t="shared" si="76"/>
        <v>-1.0541683796772769</v>
      </c>
      <c r="G129" s="249">
        <v>2</v>
      </c>
      <c r="H129" s="359">
        <f t="shared" si="68"/>
        <v>-1.2766407413126193</v>
      </c>
      <c r="I129" s="359">
        <f>IF(G129=1,H129+N(I128),N(I128))</f>
        <v>4.5096619409192513</v>
      </c>
      <c r="J129" s="359">
        <f t="shared" si="69"/>
        <v>-6.1709395910540135</v>
      </c>
      <c r="K129" s="304">
        <f t="shared" si="70"/>
        <v>1.1274154852298128</v>
      </c>
      <c r="L129" s="304">
        <f t="shared" si="71"/>
        <v>-1.0284899318423355</v>
      </c>
      <c r="M129" s="304">
        <f t="shared" si="74"/>
        <v>5.4188407691817817</v>
      </c>
      <c r="N129" s="304">
        <f t="shared" si="72"/>
        <v>14.91963451444459</v>
      </c>
      <c r="O129" s="354"/>
    </row>
    <row r="130" spans="1:19" ht="18" customHeight="1" x14ac:dyDescent="0.3">
      <c r="A130" s="259"/>
      <c r="B130" s="359">
        <v>-1.3589807460522612</v>
      </c>
      <c r="C130" s="359" t="s">
        <v>5</v>
      </c>
      <c r="D130" s="359">
        <v>-0.24074050000000002</v>
      </c>
      <c r="E130" s="359" t="s">
        <v>6</v>
      </c>
      <c r="F130" s="359">
        <f>SUM(B130,D130)</f>
        <v>-1.5997212460522612</v>
      </c>
      <c r="G130" s="249">
        <v>2</v>
      </c>
      <c r="H130" s="359">
        <f t="shared" si="68"/>
        <v>-1.8493150725980554</v>
      </c>
      <c r="I130" s="359">
        <f>IF(G130=1,H130+N(I129),N(I129))</f>
        <v>4.5096619409192513</v>
      </c>
      <c r="J130" s="359">
        <f t="shared" si="69"/>
        <v>-8.020254663652068</v>
      </c>
      <c r="K130" s="304">
        <f t="shared" si="70"/>
        <v>1.1274154852298128</v>
      </c>
      <c r="L130" s="304">
        <f>IFERROR(J130/COUNTIF($G$122:$G$131,2),"ERROR!!!")</f>
        <v>-1.3367091106086779</v>
      </c>
      <c r="M130" s="304">
        <f>IF(ROW()=122, 0, M129) + ABS(H130 - IF($G130=1, $K130, $L130))</f>
        <v>5.9314467311711594</v>
      </c>
      <c r="N130" s="304">
        <f t="shared" si="72"/>
        <v>17.896365072272459</v>
      </c>
      <c r="O130" s="358"/>
    </row>
    <row r="131" spans="1:19" ht="18" customHeight="1" x14ac:dyDescent="0.3">
      <c r="A131" s="259"/>
      <c r="B131" s="359">
        <v>-1.3589807460522612</v>
      </c>
      <c r="C131" s="359" t="s">
        <v>5</v>
      </c>
      <c r="D131" s="359">
        <v>-0.24074050000000002</v>
      </c>
      <c r="E131" s="359" t="s">
        <v>6</v>
      </c>
      <c r="F131" s="359">
        <f t="shared" ref="F131" si="77">SUM(B131,D131)</f>
        <v>-1.5997212460522612</v>
      </c>
      <c r="G131" s="249">
        <v>2</v>
      </c>
      <c r="H131" s="359">
        <f t="shared" si="68"/>
        <v>-1.8493150725980554</v>
      </c>
      <c r="I131" s="359">
        <f t="shared" ref="I131" si="78">IF(G131=1,H131+N(I130),N(I130))</f>
        <v>4.5096619409192513</v>
      </c>
      <c r="J131" s="359">
        <f t="shared" si="69"/>
        <v>-9.8695697362501242</v>
      </c>
      <c r="K131" s="304">
        <f t="shared" si="70"/>
        <v>1.1274154852298128</v>
      </c>
      <c r="L131" s="304">
        <f t="shared" si="71"/>
        <v>-1.6449282893750208</v>
      </c>
      <c r="M131" s="304">
        <f t="shared" si="74"/>
        <v>6.1358335143941938</v>
      </c>
      <c r="N131" s="304">
        <f t="shared" si="72"/>
        <v>20.873095630100327</v>
      </c>
      <c r="O131" s="373">
        <f>M131/N131</f>
        <v>0.29395896148465556</v>
      </c>
    </row>
    <row r="132" spans="1:19" ht="14.4" customHeight="1" x14ac:dyDescent="0.3"/>
    <row r="133" spans="1:19" ht="14.4" customHeight="1" x14ac:dyDescent="0.3"/>
    <row r="134" spans="1:19" ht="14.4" customHeight="1" x14ac:dyDescent="0.3"/>
    <row r="135" spans="1:19" ht="18" customHeight="1" x14ac:dyDescent="0.3">
      <c r="A135" s="281" t="s">
        <v>10</v>
      </c>
      <c r="B135" s="282"/>
      <c r="C135" s="282"/>
      <c r="D135" s="282"/>
      <c r="E135" s="282"/>
      <c r="F135" s="283"/>
      <c r="G135" s="350"/>
      <c r="H135" s="281" t="s">
        <v>9</v>
      </c>
      <c r="I135" s="282"/>
      <c r="J135" s="282"/>
      <c r="K135" s="282"/>
      <c r="L135" s="282"/>
      <c r="M135" s="282"/>
      <c r="N135" s="283"/>
    </row>
    <row r="136" spans="1:19" ht="18" customHeight="1" x14ac:dyDescent="0.3">
      <c r="A136" s="351"/>
      <c r="B136" s="352"/>
      <c r="C136" s="353" t="s">
        <v>5</v>
      </c>
      <c r="D136" s="354"/>
      <c r="E136" s="353" t="s">
        <v>6</v>
      </c>
      <c r="F136" s="354"/>
      <c r="G136" s="240" t="s">
        <v>8</v>
      </c>
      <c r="H136" s="355"/>
      <c r="I136" s="356"/>
      <c r="J136" s="356"/>
      <c r="K136" s="357"/>
      <c r="L136" s="357"/>
      <c r="M136" s="358"/>
      <c r="N136" s="358"/>
      <c r="P136" s="269" t="s">
        <v>27</v>
      </c>
      <c r="Q136" s="269"/>
      <c r="R136" s="269"/>
      <c r="S136" s="269"/>
    </row>
    <row r="137" spans="1:19" ht="18" customHeight="1" x14ac:dyDescent="0.3">
      <c r="A137" s="259"/>
      <c r="B137" s="359">
        <v>-1.3589807460522612</v>
      </c>
      <c r="C137" s="359" t="s">
        <v>5</v>
      </c>
      <c r="D137" s="359">
        <v>-0.14285714285714288</v>
      </c>
      <c r="E137" s="359" t="s">
        <v>6</v>
      </c>
      <c r="F137" s="359">
        <f>SUM(B137,D137)</f>
        <v>-1.501837888909404</v>
      </c>
      <c r="G137" s="249">
        <v>2</v>
      </c>
      <c r="H137" s="359">
        <f>IF(OR($G137=1,$G137=2), $F137 + IF($G137=1,1,-1)*$N$23*(EXP(-$F137)/(1+EXP(-$F137))), NA())</f>
        <v>-1.7471924181579521</v>
      </c>
      <c r="I137" s="359">
        <f>IF(G137=1,H137+N(I136),N(I136))</f>
        <v>0</v>
      </c>
      <c r="J137" s="359">
        <f>IF(G137=2,H137+N(J136),N(J136))</f>
        <v>-1.7471924181579521</v>
      </c>
      <c r="K137" s="304">
        <f>IFERROR(I137/COUNTIF($G$137:$G$146,1),"ERROR!!!")</f>
        <v>0</v>
      </c>
      <c r="L137" s="304">
        <f>IFERROR(J137/COUNTIF($G$137:$G$146,2),"ERROR!!!")</f>
        <v>-0.29119873635965871</v>
      </c>
      <c r="M137" s="304">
        <f>IF(ROW()=137, 0, M136) + ABS(H137 - IF($G137=1, $K137, $L137))</f>
        <v>1.4559936817982935</v>
      </c>
      <c r="N137" s="304">
        <f>IF(ROW()=137, 0, N136) + ABS(H137 - IF($G137=1, $L137, $K137))</f>
        <v>1.7471924181579521</v>
      </c>
      <c r="P137" s="360"/>
      <c r="Q137" s="361"/>
      <c r="R137" s="316" t="s">
        <v>13</v>
      </c>
      <c r="S137" s="362">
        <f>IF(O146&lt;S122,O146,S122)</f>
        <v>0.27803454186287996</v>
      </c>
    </row>
    <row r="138" spans="1:19" ht="18" customHeight="1" x14ac:dyDescent="0.3">
      <c r="A138" s="259"/>
      <c r="B138" s="359">
        <v>1.0973331755196423</v>
      </c>
      <c r="C138" s="359" t="s">
        <v>5</v>
      </c>
      <c r="D138" s="359">
        <v>-0.14285714285714288</v>
      </c>
      <c r="E138" s="359" t="s">
        <v>6</v>
      </c>
      <c r="F138" s="359">
        <f>SUM(B138,D138)</f>
        <v>0.95447603266249936</v>
      </c>
      <c r="G138" s="249">
        <v>1</v>
      </c>
      <c r="H138" s="359">
        <f>IF(OR($G138=1,$G138=2), $F138 + IF($G138=1,1,-1)*$N$23*(EXP(-$F138)/(1+EXP(-$F138))), NA())</f>
        <v>1.0378716968169914</v>
      </c>
      <c r="I138" s="359">
        <f>IF(G138=1,H138+N(I137),N(I137))</f>
        <v>1.0378716968169914</v>
      </c>
      <c r="J138" s="359">
        <f t="shared" ref="J138:J146" si="79">IF(G138=2,H138+N(J137),N(J137))</f>
        <v>-1.7471924181579521</v>
      </c>
      <c r="K138" s="304">
        <f t="shared" ref="K138:K146" si="80">IFERROR(I138/COUNTIF($G$137:$G$146,1),"ERROR!!!")</f>
        <v>0.25946792420424786</v>
      </c>
      <c r="L138" s="304">
        <f t="shared" ref="L138:L146" si="81">IFERROR(J138/COUNTIF($G$137:$G$146,2),"ERROR!!!")</f>
        <v>-0.29119873635965871</v>
      </c>
      <c r="M138" s="304">
        <f t="shared" ref="M138:M146" si="82">IF(ROW()=137, 0, M137) + ABS(H138 - IF($G138=1, $K138, $L138))</f>
        <v>2.2343974544110372</v>
      </c>
      <c r="N138" s="304">
        <f t="shared" ref="N138:N146" si="83">IF(ROW()=137, 0, N137) + ABS(H138 - IF($G138=1, $L138, $K138))</f>
        <v>3.0762628513346022</v>
      </c>
      <c r="P138" s="364"/>
      <c r="Q138" s="365"/>
      <c r="R138" s="259" t="s">
        <v>17</v>
      </c>
      <c r="S138" s="366">
        <v>11</v>
      </c>
    </row>
    <row r="139" spans="1:19" ht="18" customHeight="1" x14ac:dyDescent="0.3">
      <c r="A139" s="259"/>
      <c r="B139" s="359">
        <v>-1.0620337591921905</v>
      </c>
      <c r="C139" s="359" t="s">
        <v>5</v>
      </c>
      <c r="D139" s="359">
        <v>0.14285714285714288</v>
      </c>
      <c r="E139" s="359" t="s">
        <v>6</v>
      </c>
      <c r="F139" s="359">
        <f t="shared" ref="F139" si="84">SUM(B139,D139)</f>
        <v>-0.91917661633504755</v>
      </c>
      <c r="G139" s="249">
        <v>2</v>
      </c>
      <c r="H139" s="359">
        <f>IF(OR($G139=1,$G139=2), $F139 + IF($G139=1,1,-1)*$N$23*(EXP(-$F139)/(1+EXP(-$F139))), NA())</f>
        <v>-1.1336389081057503</v>
      </c>
      <c r="I139" s="359">
        <f>IF(G139=1,H139+N(I138),N(I138))</f>
        <v>1.0378716968169914</v>
      </c>
      <c r="J139" s="359">
        <f>IF(G139=2,H139+N(J138),N(J138))</f>
        <v>-2.8808313262637024</v>
      </c>
      <c r="K139" s="304">
        <f t="shared" si="80"/>
        <v>0.25946792420424786</v>
      </c>
      <c r="L139" s="304">
        <f t="shared" si="81"/>
        <v>-0.48013855437728375</v>
      </c>
      <c r="M139" s="304">
        <f>IF(ROW()=137, 0, M138) + ABS(H139 - IF($G139=1, $K139, $L139))</f>
        <v>2.8878978081395035</v>
      </c>
      <c r="N139" s="304">
        <f t="shared" si="83"/>
        <v>4.4693696836446009</v>
      </c>
      <c r="P139" s="368"/>
      <c r="Q139" s="369"/>
      <c r="R139" s="259" t="s">
        <v>15</v>
      </c>
      <c r="S139" s="366">
        <f>IF(O146&lt;S122,S138,S124)</f>
        <v>9</v>
      </c>
    </row>
    <row r="140" spans="1:19" ht="18" customHeight="1" x14ac:dyDescent="0.3">
      <c r="A140" s="259"/>
      <c r="B140" s="359">
        <v>0.55066153579842136</v>
      </c>
      <c r="C140" s="359" t="s">
        <v>5</v>
      </c>
      <c r="D140" s="359">
        <v>-0.14285714285714288</v>
      </c>
      <c r="E140" s="359" t="s">
        <v>6</v>
      </c>
      <c r="F140" s="359">
        <f>SUM(B140,D140)</f>
        <v>0.40780439294127846</v>
      </c>
      <c r="G140" s="249">
        <v>1</v>
      </c>
      <c r="H140" s="359">
        <f t="shared" ref="H140:H146" si="85">IF(OR($G140=1,$G140=2), $F140 + IF($G140=1,1,-1)*$N$23*(EXP(-$F140)/(1+EXP(-$F140))), NA())</f>
        <v>0.52763600390107601</v>
      </c>
      <c r="I140" s="359">
        <f t="shared" ref="I140" si="86">IF(G140=1,H140+N(I139),N(I139))</f>
        <v>1.5655077007180673</v>
      </c>
      <c r="J140" s="359">
        <f>IF(G140=2,H140+N(J139),N(J139))</f>
        <v>-2.8808313262637024</v>
      </c>
      <c r="K140" s="304">
        <f t="shared" si="80"/>
        <v>0.39137692517951683</v>
      </c>
      <c r="L140" s="304">
        <f>IFERROR(J140/COUNTIF($G$137:$G$146,2),"ERROR!!!")</f>
        <v>-0.48013855437728375</v>
      </c>
      <c r="M140" s="304">
        <f>IF(ROW()=137, 0, M139) + ABS(H140 - IF($G140=1, $K140, $L140))</f>
        <v>3.0241568868610624</v>
      </c>
      <c r="N140" s="304">
        <f t="shared" si="83"/>
        <v>5.4771442419229608</v>
      </c>
    </row>
    <row r="141" spans="1:19" ht="18" customHeight="1" x14ac:dyDescent="0.3">
      <c r="A141" s="259"/>
      <c r="B141" s="359">
        <v>1.097333175519642</v>
      </c>
      <c r="C141" s="359" t="s">
        <v>5</v>
      </c>
      <c r="D141" s="359">
        <v>0.14285714285714288</v>
      </c>
      <c r="E141" s="359" t="s">
        <v>6</v>
      </c>
      <c r="F141" s="359">
        <f>SUM(B141,D141)</f>
        <v>1.2401903183767848</v>
      </c>
      <c r="G141" s="249">
        <v>1</v>
      </c>
      <c r="H141" s="359">
        <f t="shared" si="85"/>
        <v>1.3075111763168321</v>
      </c>
      <c r="I141" s="359">
        <f>IF(G141=1,H141+N(I140),N(I140))</f>
        <v>2.8730188770348994</v>
      </c>
      <c r="J141" s="359">
        <f t="shared" si="79"/>
        <v>-2.8808313262637024</v>
      </c>
      <c r="K141" s="304">
        <f t="shared" si="80"/>
        <v>0.71825471925872486</v>
      </c>
      <c r="L141" s="304">
        <f t="shared" si="81"/>
        <v>-0.48013855437728375</v>
      </c>
      <c r="M141" s="304">
        <f t="shared" si="82"/>
        <v>3.6134133439191696</v>
      </c>
      <c r="N141" s="304">
        <f t="shared" si="83"/>
        <v>7.2647939726170767</v>
      </c>
    </row>
    <row r="142" spans="1:19" ht="18" customHeight="1" x14ac:dyDescent="0.3">
      <c r="A142" s="259"/>
      <c r="B142" s="359">
        <v>0.96858288142615678</v>
      </c>
      <c r="C142" s="359" t="s">
        <v>5</v>
      </c>
      <c r="D142" s="359">
        <v>0.14285714285714288</v>
      </c>
      <c r="E142" s="359" t="s">
        <v>6</v>
      </c>
      <c r="F142" s="359">
        <f>SUM(B142,D142)</f>
        <v>1.1114400242832996</v>
      </c>
      <c r="G142" s="249">
        <v>1</v>
      </c>
      <c r="H142" s="359">
        <f>IF(OR($G142=1,$G142=2), $F142 + IF($G142=1,1,-1)*$N$23*(EXP(-$F142)/(1+EXP(-$F142))), NA())</f>
        <v>1.1857207805845977</v>
      </c>
      <c r="I142" s="359">
        <f>IF(G142=1,H142+N(I141),N(I141))</f>
        <v>4.0587396576194976</v>
      </c>
      <c r="J142" s="359">
        <f t="shared" si="79"/>
        <v>-2.8808313262637024</v>
      </c>
      <c r="K142" s="304">
        <f t="shared" si="80"/>
        <v>1.0146849144048744</v>
      </c>
      <c r="L142" s="304">
        <f t="shared" si="81"/>
        <v>-0.48013855437728375</v>
      </c>
      <c r="M142" s="304">
        <f t="shared" si="82"/>
        <v>3.7844492100988929</v>
      </c>
      <c r="N142" s="304">
        <f t="shared" si="83"/>
        <v>8.9306533075789574</v>
      </c>
    </row>
    <row r="143" spans="1:19" ht="18" customHeight="1" x14ac:dyDescent="0.3">
      <c r="A143" s="259"/>
      <c r="B143" s="359">
        <v>-1.5186565413621942</v>
      </c>
      <c r="C143" s="359" t="s">
        <v>5</v>
      </c>
      <c r="D143" s="359">
        <v>-0.14285714285714288</v>
      </c>
      <c r="E143" s="359" t="s">
        <v>6</v>
      </c>
      <c r="F143" s="359">
        <f>SUM(B143,D143)</f>
        <v>-1.661513684219337</v>
      </c>
      <c r="G143" s="249">
        <v>2</v>
      </c>
      <c r="H143" s="359">
        <f t="shared" si="85"/>
        <v>-1.9136460119751559</v>
      </c>
      <c r="I143" s="359">
        <f>IF(G143=1,H143+N(I142),N(I142))</f>
        <v>4.0587396576194976</v>
      </c>
      <c r="J143" s="359">
        <f t="shared" si="79"/>
        <v>-4.7944773382388579</v>
      </c>
      <c r="K143" s="304">
        <f t="shared" si="80"/>
        <v>1.0146849144048744</v>
      </c>
      <c r="L143" s="304">
        <f t="shared" si="81"/>
        <v>-0.79907955637314299</v>
      </c>
      <c r="M143" s="304">
        <f t="shared" si="82"/>
        <v>4.8990156657009063</v>
      </c>
      <c r="N143" s="304">
        <f t="shared" si="83"/>
        <v>11.858984233958989</v>
      </c>
    </row>
    <row r="144" spans="1:19" ht="18" customHeight="1" x14ac:dyDescent="0.3">
      <c r="A144" s="259"/>
      <c r="B144" s="359">
        <v>-0.81342787967727681</v>
      </c>
      <c r="C144" s="359" t="s">
        <v>5</v>
      </c>
      <c r="D144" s="359">
        <v>-0.14285714285714288</v>
      </c>
      <c r="E144" s="359" t="s">
        <v>6</v>
      </c>
      <c r="F144" s="359">
        <f t="shared" ref="F144" si="87">SUM(B144,D144)</f>
        <v>-0.95628502253441972</v>
      </c>
      <c r="G144" s="249">
        <v>2</v>
      </c>
      <c r="H144" s="359">
        <f t="shared" si="85"/>
        <v>-1.1729982391020655</v>
      </c>
      <c r="I144" s="359">
        <f>IF(G144=1,H144+N(I143),N(I143))</f>
        <v>4.0587396576194976</v>
      </c>
      <c r="J144" s="359">
        <f>IF(G144=2,H144+N(J143),N(J143))</f>
        <v>-5.9674755773409238</v>
      </c>
      <c r="K144" s="304">
        <f>IFERROR(I144/COUNTIF($G$137:$G$146,1),"ERROR!!!")</f>
        <v>1.0146849144048744</v>
      </c>
      <c r="L144" s="304">
        <f>IFERROR(J144/COUNTIF($G$137:$G$146,2),"ERROR!!!")</f>
        <v>-0.99457926289015397</v>
      </c>
      <c r="M144" s="304">
        <f t="shared" si="82"/>
        <v>5.0774346419128182</v>
      </c>
      <c r="N144" s="304">
        <f t="shared" si="83"/>
        <v>14.046667387465929</v>
      </c>
      <c r="O144" s="354"/>
    </row>
    <row r="145" spans="1:19" ht="18" customHeight="1" x14ac:dyDescent="0.3">
      <c r="A145" s="259"/>
      <c r="B145" s="359">
        <v>-1.3589807460522612</v>
      </c>
      <c r="C145" s="359" t="s">
        <v>5</v>
      </c>
      <c r="D145" s="359">
        <v>-0.14285714285714288</v>
      </c>
      <c r="E145" s="359" t="s">
        <v>6</v>
      </c>
      <c r="F145" s="359">
        <f>SUM(B145,D145)</f>
        <v>-1.501837888909404</v>
      </c>
      <c r="G145" s="249">
        <v>2</v>
      </c>
      <c r="H145" s="359">
        <f t="shared" si="85"/>
        <v>-1.7471924181579521</v>
      </c>
      <c r="I145" s="359">
        <f>IF(G145=1,H145+N(I144),N(I144))</f>
        <v>4.0587396576194976</v>
      </c>
      <c r="J145" s="359">
        <f t="shared" si="79"/>
        <v>-7.7146679954988757</v>
      </c>
      <c r="K145" s="304">
        <f t="shared" si="80"/>
        <v>1.0146849144048744</v>
      </c>
      <c r="L145" s="304">
        <f t="shared" si="81"/>
        <v>-1.2857779992498126</v>
      </c>
      <c r="M145" s="304">
        <f t="shared" si="82"/>
        <v>5.538849060820958</v>
      </c>
      <c r="N145" s="304">
        <f>IF(ROW()=137, 0, N144) + ABS(H145 - IF($G145=1, $L145, $K145))</f>
        <v>16.808544720028756</v>
      </c>
      <c r="O145" s="358"/>
    </row>
    <row r="146" spans="1:19" ht="18" customHeight="1" x14ac:dyDescent="0.3">
      <c r="A146" s="259"/>
      <c r="B146" s="359">
        <v>-1.3589807460522612</v>
      </c>
      <c r="C146" s="359" t="s">
        <v>5</v>
      </c>
      <c r="D146" s="359">
        <v>-0.14285714285714288</v>
      </c>
      <c r="E146" s="359" t="s">
        <v>6</v>
      </c>
      <c r="F146" s="359">
        <f t="shared" ref="F146" si="88">SUM(B146,D146)</f>
        <v>-1.501837888909404</v>
      </c>
      <c r="G146" s="249">
        <v>2</v>
      </c>
      <c r="H146" s="359">
        <f t="shared" si="85"/>
        <v>-1.7471924181579521</v>
      </c>
      <c r="I146" s="359">
        <f t="shared" ref="I146" si="89">IF(G146=1,H146+N(I145),N(I145))</f>
        <v>4.0587396576194976</v>
      </c>
      <c r="J146" s="359">
        <f t="shared" si="79"/>
        <v>-9.4618604136568276</v>
      </c>
      <c r="K146" s="304">
        <f t="shared" si="80"/>
        <v>1.0146849144048744</v>
      </c>
      <c r="L146" s="304">
        <f t="shared" si="81"/>
        <v>-1.5769767356094713</v>
      </c>
      <c r="M146" s="304">
        <f t="shared" si="82"/>
        <v>5.7090647433694386</v>
      </c>
      <c r="N146" s="304">
        <f t="shared" si="83"/>
        <v>19.570422052591582</v>
      </c>
      <c r="O146" s="373">
        <f>M146/N146</f>
        <v>0.29171904050037717</v>
      </c>
    </row>
    <row r="147" spans="1:19" ht="14.4" customHeight="1" x14ac:dyDescent="0.3"/>
    <row r="148" spans="1:19" ht="14.4" customHeight="1" x14ac:dyDescent="0.3"/>
    <row r="149" spans="1:19" ht="14.4" customHeight="1" x14ac:dyDescent="0.3"/>
    <row r="150" spans="1:19" ht="18" customHeight="1" x14ac:dyDescent="0.3">
      <c r="A150" s="281" t="s">
        <v>10</v>
      </c>
      <c r="B150" s="282"/>
      <c r="C150" s="282"/>
      <c r="D150" s="282"/>
      <c r="E150" s="282"/>
      <c r="F150" s="283"/>
      <c r="G150" s="350"/>
      <c r="H150" s="281" t="s">
        <v>9</v>
      </c>
      <c r="I150" s="282"/>
      <c r="J150" s="282"/>
      <c r="K150" s="282"/>
      <c r="L150" s="282"/>
      <c r="M150" s="282"/>
      <c r="N150" s="283"/>
    </row>
    <row r="151" spans="1:19" ht="18" customHeight="1" x14ac:dyDescent="0.3">
      <c r="A151" s="351"/>
      <c r="B151" s="352"/>
      <c r="C151" s="353" t="s">
        <v>5</v>
      </c>
      <c r="D151" s="354"/>
      <c r="E151" s="353" t="s">
        <v>6</v>
      </c>
      <c r="F151" s="354"/>
      <c r="G151" s="240" t="s">
        <v>8</v>
      </c>
      <c r="H151" s="355"/>
      <c r="I151" s="356"/>
      <c r="J151" s="356"/>
      <c r="K151" s="357"/>
      <c r="L151" s="357"/>
      <c r="M151" s="358"/>
      <c r="N151" s="358"/>
      <c r="P151" s="269" t="s">
        <v>27</v>
      </c>
      <c r="Q151" s="269"/>
      <c r="R151" s="269"/>
      <c r="S151" s="269"/>
    </row>
    <row r="152" spans="1:19" ht="18" customHeight="1" x14ac:dyDescent="0.3">
      <c r="A152" s="259"/>
      <c r="B152" s="359">
        <v>-1.3589807460522612</v>
      </c>
      <c r="C152" s="359" t="s">
        <v>5</v>
      </c>
      <c r="D152" s="359">
        <v>-9.5238000000000017E-2</v>
      </c>
      <c r="E152" s="359" t="s">
        <v>6</v>
      </c>
      <c r="F152" s="359">
        <f>SUM(B152,D152)</f>
        <v>-1.4542187460522611</v>
      </c>
      <c r="G152" s="249">
        <v>2</v>
      </c>
      <c r="H152" s="359">
        <f>IF(OR($G152=1,$G152=2), $F152 + IF($G152=1,1,-1)*$N$23*(EXP(-$F152)/(1+EXP(-$F152))), NA())</f>
        <v>-1.697412802291149</v>
      </c>
      <c r="I152" s="359">
        <f t="shared" ref="I152:I161" si="90">IF(G152=1,H152+N(I151),N(I151))</f>
        <v>0</v>
      </c>
      <c r="J152" s="359">
        <f>IF(G152=2,H152+N(J151),N(J151))</f>
        <v>-1.697412802291149</v>
      </c>
      <c r="K152" s="304">
        <f>IFERROR(I152/COUNTIF($G$152:$G$161,1),"ERROR!!!")</f>
        <v>0</v>
      </c>
      <c r="L152" s="304">
        <f>IFERROR(J152/COUNTIF($G$152:$G$161,2),"ERROR!!!")</f>
        <v>-0.28290213371519152</v>
      </c>
      <c r="M152" s="304">
        <f>IF(ROW()=152, 0, M151) + ABS(H152 - IF($G152=1, $K152, $L152))</f>
        <v>1.4145106685759574</v>
      </c>
      <c r="N152" s="304">
        <f>IF(ROW()=152, 0, N151) + ABS(H152 - IF($G152=1, $L152, $K152))</f>
        <v>1.697412802291149</v>
      </c>
      <c r="P152" s="360"/>
      <c r="Q152" s="361"/>
      <c r="R152" s="316" t="s">
        <v>13</v>
      </c>
      <c r="S152" s="362">
        <f>IF(O161&lt;S137,O161,S137)</f>
        <v>0.27803454186287996</v>
      </c>
    </row>
    <row r="153" spans="1:19" ht="18" customHeight="1" x14ac:dyDescent="0.3">
      <c r="A153" s="259"/>
      <c r="B153" s="359">
        <v>1.0973331755196423</v>
      </c>
      <c r="C153" s="359" t="s">
        <v>5</v>
      </c>
      <c r="D153" s="359">
        <v>9.5238000000000017E-2</v>
      </c>
      <c r="E153" s="359" t="s">
        <v>6</v>
      </c>
      <c r="F153" s="359">
        <f>SUM(B153,D153)</f>
        <v>1.1925711755196422</v>
      </c>
      <c r="G153" s="249">
        <v>1</v>
      </c>
      <c r="H153" s="359">
        <f t="shared" ref="H153:H161" si="91">IF(OR($G153=1,$G153=2), $F153 + IF($G153=1,1,-1)*$N$23*(EXP(-$F153)/(1+EXP(-$F153))), NA())</f>
        <v>1.2624109950684652</v>
      </c>
      <c r="I153" s="359">
        <f t="shared" si="90"/>
        <v>1.2624109950684652</v>
      </c>
      <c r="J153" s="359">
        <f t="shared" ref="J153:J154" si="92">IF(G153=2,H153+N(J152),N(J152))</f>
        <v>-1.697412802291149</v>
      </c>
      <c r="K153" s="304">
        <f t="shared" ref="K153:K161" si="93">IFERROR(I153/COUNTIF($G$152:$G$161,1),"ERROR!!!")</f>
        <v>0.3156027487671163</v>
      </c>
      <c r="L153" s="304">
        <f t="shared" ref="L153:L161" si="94">IFERROR(J153/COUNTIF($G$152:$G$161,2),"ERROR!!!")</f>
        <v>-0.28290213371519152</v>
      </c>
      <c r="M153" s="304">
        <f>IF(ROW()=152, 0, M152) + ABS(H153 - IF($G153=1, $K153, $L153))</f>
        <v>2.3613189148773062</v>
      </c>
      <c r="N153" s="304">
        <f t="shared" ref="N153:N160" si="95">IF(ROW()=152, 0, N152) + ABS(H153 - IF($G153=1, $L153, $K153))</f>
        <v>3.2427259310748058</v>
      </c>
      <c r="P153" s="364"/>
      <c r="Q153" s="365"/>
      <c r="R153" s="259" t="s">
        <v>17</v>
      </c>
      <c r="S153" s="366">
        <v>12</v>
      </c>
    </row>
    <row r="154" spans="1:19" ht="18" customHeight="1" x14ac:dyDescent="0.3">
      <c r="A154" s="259"/>
      <c r="B154" s="359">
        <v>-1.0620337591921905</v>
      </c>
      <c r="C154" s="359" t="s">
        <v>5</v>
      </c>
      <c r="D154" s="359">
        <v>9.5238000000000017E-2</v>
      </c>
      <c r="E154" s="359" t="s">
        <v>6</v>
      </c>
      <c r="F154" s="359">
        <f t="shared" ref="F154" si="96">SUM(B154,D154)</f>
        <v>-0.96679575919219041</v>
      </c>
      <c r="G154" s="249">
        <v>2</v>
      </c>
      <c r="H154" s="359">
        <f>IF(OR($G154=1,$G154=2), $F154 + IF($G154=1,1,-1)*$N$23*(EXP(-$F154)/(1+EXP(-$F154))), NA())</f>
        <v>-1.1841398684358184</v>
      </c>
      <c r="I154" s="359">
        <f>IF(G154=1,H154+N(I153),N(I153))</f>
        <v>1.2624109950684652</v>
      </c>
      <c r="J154" s="359">
        <f t="shared" si="92"/>
        <v>-2.8815526707269674</v>
      </c>
      <c r="K154" s="304">
        <f t="shared" si="93"/>
        <v>0.3156027487671163</v>
      </c>
      <c r="L154" s="304">
        <f t="shared" si="94"/>
        <v>-0.48025877845449455</v>
      </c>
      <c r="M154" s="304">
        <f t="shared" ref="M154:M161" si="97">IF(ROW()=152, 0, M153) + ABS(H154 - IF($G154=1, $K154, $L154))</f>
        <v>3.0652000048586299</v>
      </c>
      <c r="N154" s="304">
        <f t="shared" si="95"/>
        <v>4.7424685482777402</v>
      </c>
      <c r="P154" s="368"/>
      <c r="Q154" s="369"/>
      <c r="R154" s="259" t="s">
        <v>15</v>
      </c>
      <c r="S154" s="366">
        <f>IF(O161&lt;S137,S153,S139)</f>
        <v>9</v>
      </c>
    </row>
    <row r="155" spans="1:19" ht="18" customHeight="1" x14ac:dyDescent="0.3">
      <c r="A155" s="259"/>
      <c r="B155" s="359">
        <v>0.55066153579842136</v>
      </c>
      <c r="C155" s="359" t="s">
        <v>5</v>
      </c>
      <c r="D155" s="359">
        <v>-9.5238000000000017E-2</v>
      </c>
      <c r="E155" s="359" t="s">
        <v>6</v>
      </c>
      <c r="F155" s="359">
        <f>SUM(B155,D155)</f>
        <v>0.45542353579842132</v>
      </c>
      <c r="G155" s="249">
        <v>1</v>
      </c>
      <c r="H155" s="359">
        <f>IF(OR($G155=1,$G155=2), $F155 + IF($G155=1,1,-1)*$N$23*(EXP(-$F155)/(1+EXP(-$F155))), NA())</f>
        <v>0.57184515028298399</v>
      </c>
      <c r="I155" s="359">
        <f t="shared" si="90"/>
        <v>1.8342561453514492</v>
      </c>
      <c r="J155" s="359">
        <f>IF(G155=2,H155+N(J154),N(J154))</f>
        <v>-2.8815526707269674</v>
      </c>
      <c r="K155" s="304">
        <f t="shared" si="93"/>
        <v>0.4585640363378623</v>
      </c>
      <c r="L155" s="304">
        <f t="shared" si="94"/>
        <v>-0.48025877845449455</v>
      </c>
      <c r="M155" s="304">
        <f t="shared" si="97"/>
        <v>3.1784811188037514</v>
      </c>
      <c r="N155" s="304">
        <f t="shared" si="95"/>
        <v>5.7945724770152189</v>
      </c>
    </row>
    <row r="156" spans="1:19" ht="18" customHeight="1" x14ac:dyDescent="0.3">
      <c r="A156" s="259"/>
      <c r="B156" s="359">
        <v>1.097333175519642</v>
      </c>
      <c r="C156" s="359" t="s">
        <v>5</v>
      </c>
      <c r="D156" s="359">
        <v>-9.5238000000000017E-2</v>
      </c>
      <c r="E156" s="359" t="s">
        <v>6</v>
      </c>
      <c r="F156" s="359">
        <f>SUM(B156,D156)</f>
        <v>1.0020951755196421</v>
      </c>
      <c r="G156" s="249">
        <v>1</v>
      </c>
      <c r="H156" s="359">
        <f>IF(OR($G156=1,$G156=2), $F156 + IF($G156=1,1,-1)*$N$23*(EXP(-$F156)/(1+EXP(-$F156))), NA())</f>
        <v>1.0826540808205991</v>
      </c>
      <c r="I156" s="359">
        <f>IF(G156=1,H156+N(I155),N(I155))</f>
        <v>2.9169102261720483</v>
      </c>
      <c r="J156" s="359">
        <f t="shared" ref="J156:J161" si="98">IF(G156=2,H156+N(J155),N(J155))</f>
        <v>-2.8815526707269674</v>
      </c>
      <c r="K156" s="304">
        <f>IFERROR(I156/COUNTIF($G$152:$G$161,1),"ERROR!!!")</f>
        <v>0.72922755654301208</v>
      </c>
      <c r="L156" s="304">
        <f t="shared" si="94"/>
        <v>-0.48025877845449455</v>
      </c>
      <c r="M156" s="304">
        <f t="shared" si="97"/>
        <v>3.5319076430813383</v>
      </c>
      <c r="N156" s="304">
        <f t="shared" si="95"/>
        <v>7.3574853362903125</v>
      </c>
    </row>
    <row r="157" spans="1:19" ht="18" customHeight="1" x14ac:dyDescent="0.3">
      <c r="A157" s="259"/>
      <c r="B157" s="359">
        <v>0.96858288142615678</v>
      </c>
      <c r="C157" s="359" t="s">
        <v>5</v>
      </c>
      <c r="D157" s="359">
        <v>9.5238000000000017E-2</v>
      </c>
      <c r="E157" s="359" t="s">
        <v>6</v>
      </c>
      <c r="F157" s="359">
        <f>SUM(B157,D157)</f>
        <v>1.0638208814261567</v>
      </c>
      <c r="G157" s="249">
        <v>1</v>
      </c>
      <c r="H157" s="359">
        <f>IF(OR($G157=1,$G157=2), $F157 + IF($G157=1,1,-1)*$N$23*(EXP(-$F157)/(1+EXP(-$F157))), NA())</f>
        <v>1.1407948684174598</v>
      </c>
      <c r="I157" s="359">
        <f t="shared" si="90"/>
        <v>4.0577050945895081</v>
      </c>
      <c r="J157" s="359">
        <f>IF(G157=2,H157+N(J156),N(J156))</f>
        <v>-2.8815526707269674</v>
      </c>
      <c r="K157" s="304">
        <f t="shared" si="93"/>
        <v>1.014426273647377</v>
      </c>
      <c r="L157" s="304">
        <f t="shared" si="94"/>
        <v>-0.48025877845449455</v>
      </c>
      <c r="M157" s="304">
        <f t="shared" si="97"/>
        <v>3.6582762378514211</v>
      </c>
      <c r="N157" s="304">
        <f t="shared" si="95"/>
        <v>8.9785389831622666</v>
      </c>
    </row>
    <row r="158" spans="1:19" ht="18" customHeight="1" x14ac:dyDescent="0.3">
      <c r="A158" s="259"/>
      <c r="B158" s="359">
        <v>-1.5186565413621942</v>
      </c>
      <c r="C158" s="359" t="s">
        <v>5</v>
      </c>
      <c r="D158" s="359">
        <v>-9.5238000000000017E-2</v>
      </c>
      <c r="E158" s="359" t="s">
        <v>6</v>
      </c>
      <c r="F158" s="359">
        <f t="shared" ref="F158:F159" si="99">SUM(B158,D158)</f>
        <v>-1.6138945413621941</v>
      </c>
      <c r="G158" s="249">
        <v>2</v>
      </c>
      <c r="H158" s="359">
        <f t="shared" si="91"/>
        <v>-1.8640799584822088</v>
      </c>
      <c r="I158" s="359">
        <f t="shared" si="90"/>
        <v>4.0577050945895081</v>
      </c>
      <c r="J158" s="359">
        <f t="shared" si="98"/>
        <v>-4.7456326292091759</v>
      </c>
      <c r="K158" s="304">
        <f t="shared" si="93"/>
        <v>1.014426273647377</v>
      </c>
      <c r="L158" s="304">
        <f t="shared" si="94"/>
        <v>-0.79093877153486269</v>
      </c>
      <c r="M158" s="304">
        <f t="shared" si="97"/>
        <v>4.7314174247987673</v>
      </c>
      <c r="N158" s="304">
        <f t="shared" si="95"/>
        <v>11.857045215291851</v>
      </c>
    </row>
    <row r="159" spans="1:19" ht="18" customHeight="1" x14ac:dyDescent="0.3">
      <c r="A159" s="259"/>
      <c r="B159" s="359">
        <v>-0.81342787967727681</v>
      </c>
      <c r="C159" s="359" t="s">
        <v>5</v>
      </c>
      <c r="D159" s="359">
        <v>-9.5238000000000017E-2</v>
      </c>
      <c r="E159" s="359" t="s">
        <v>6</v>
      </c>
      <c r="F159" s="359">
        <f t="shared" si="99"/>
        <v>-0.90866587967727686</v>
      </c>
      <c r="G159" s="249">
        <v>2</v>
      </c>
      <c r="H159" s="359">
        <f t="shared" si="91"/>
        <v>-1.1224840045499809</v>
      </c>
      <c r="I159" s="359">
        <f t="shared" si="90"/>
        <v>4.0577050945895081</v>
      </c>
      <c r="J159" s="359">
        <f>IF(G159=2,H159+N(J158),N(J158))</f>
        <v>-5.8681166337591568</v>
      </c>
      <c r="K159" s="304">
        <f t="shared" si="93"/>
        <v>1.014426273647377</v>
      </c>
      <c r="L159" s="304">
        <f>IFERROR(J159/COUNTIF($G$152:$G$161,2),"ERROR!!!")</f>
        <v>-0.97801943895985943</v>
      </c>
      <c r="M159" s="304">
        <f t="shared" si="97"/>
        <v>4.8758819903888888</v>
      </c>
      <c r="N159" s="304">
        <f>IF(ROW()=152, 0, N158) + ABS(H159 - IF($G159=1, $L159, $K159))</f>
        <v>13.99395549348921</v>
      </c>
      <c r="O159" s="354"/>
    </row>
    <row r="160" spans="1:19" ht="18" customHeight="1" x14ac:dyDescent="0.3">
      <c r="A160" s="259"/>
      <c r="B160" s="359">
        <v>-1.3589807460522612</v>
      </c>
      <c r="C160" s="359" t="s">
        <v>5</v>
      </c>
      <c r="D160" s="359">
        <v>-9.5238000000000017E-2</v>
      </c>
      <c r="E160" s="359" t="s">
        <v>6</v>
      </c>
      <c r="F160" s="359">
        <f>SUM(B160,D160)</f>
        <v>-1.4542187460522611</v>
      </c>
      <c r="G160" s="249">
        <v>2</v>
      </c>
      <c r="H160" s="359">
        <f t="shared" si="91"/>
        <v>-1.697412802291149</v>
      </c>
      <c r="I160" s="359">
        <f t="shared" si="90"/>
        <v>4.0577050945895081</v>
      </c>
      <c r="J160" s="359">
        <f t="shared" si="98"/>
        <v>-7.5655294360503058</v>
      </c>
      <c r="K160" s="304">
        <f t="shared" si="93"/>
        <v>1.014426273647377</v>
      </c>
      <c r="L160" s="304">
        <f>IFERROR(J160/COUNTIF($G$152:$G$161,2),"ERROR!!!")</f>
        <v>-1.2609215726750509</v>
      </c>
      <c r="M160" s="304">
        <f t="shared" si="97"/>
        <v>5.3123732200049867</v>
      </c>
      <c r="N160" s="304">
        <f t="shared" si="95"/>
        <v>16.705794569427738</v>
      </c>
      <c r="O160" s="358"/>
    </row>
    <row r="161" spans="1:19" ht="18" customHeight="1" x14ac:dyDescent="0.3">
      <c r="A161" s="259"/>
      <c r="B161" s="359">
        <v>-1.3589807460522612</v>
      </c>
      <c r="C161" s="359" t="s">
        <v>5</v>
      </c>
      <c r="D161" s="359">
        <v>-9.5238000000000017E-2</v>
      </c>
      <c r="E161" s="359" t="s">
        <v>6</v>
      </c>
      <c r="F161" s="359">
        <f t="shared" ref="F161" si="100">SUM(B161,D161)</f>
        <v>-1.4542187460522611</v>
      </c>
      <c r="G161" s="249">
        <v>2</v>
      </c>
      <c r="H161" s="359">
        <f t="shared" si="91"/>
        <v>-1.697412802291149</v>
      </c>
      <c r="I161" s="359">
        <f t="shared" si="90"/>
        <v>4.0577050945895081</v>
      </c>
      <c r="J161" s="359">
        <f t="shared" si="98"/>
        <v>-9.2629422383414557</v>
      </c>
      <c r="K161" s="304">
        <f t="shared" si="93"/>
        <v>1.014426273647377</v>
      </c>
      <c r="L161" s="304">
        <f t="shared" si="94"/>
        <v>-1.5438237063902427</v>
      </c>
      <c r="M161" s="304">
        <f t="shared" si="97"/>
        <v>5.4659623159058928</v>
      </c>
      <c r="N161" s="304">
        <f>IF(ROW()=152, 0, N160) + ABS(H161 - IF($G161=1, $L161, $K161))</f>
        <v>19.417633645366266</v>
      </c>
      <c r="O161" s="373">
        <f>M161/N161</f>
        <v>0.28149476994640205</v>
      </c>
    </row>
    <row r="162" spans="1:19" ht="14.4" customHeight="1" x14ac:dyDescent="0.3"/>
    <row r="163" spans="1:19" ht="14.4" customHeight="1" x14ac:dyDescent="0.3"/>
    <row r="164" spans="1:19" ht="14.4" customHeight="1" x14ac:dyDescent="0.3"/>
    <row r="165" spans="1:19" ht="18" customHeight="1" x14ac:dyDescent="0.3">
      <c r="L165" s="313"/>
      <c r="M165" s="259"/>
      <c r="N165" s="259"/>
      <c r="O165" s="390">
        <f>MIN(O41,O56,O71,O86,O101,O116,O131,O146,O161)</f>
        <v>0.27803454186287996</v>
      </c>
    </row>
    <row r="166" spans="1:19" ht="18" customHeight="1" x14ac:dyDescent="0.3">
      <c r="L166" s="316"/>
      <c r="M166" s="259"/>
      <c r="N166" s="259"/>
      <c r="O166" s="391"/>
    </row>
    <row r="167" spans="1:19" ht="14.4" customHeight="1" x14ac:dyDescent="0.3"/>
    <row r="168" spans="1:19" ht="18" customHeight="1" x14ac:dyDescent="0.3">
      <c r="L168" s="313"/>
      <c r="M168" s="259"/>
      <c r="N168" s="259"/>
      <c r="O168" s="392">
        <f>IF(O161&lt;S137,S153,S139)</f>
        <v>9</v>
      </c>
    </row>
    <row r="169" spans="1:19" ht="18" customHeight="1" x14ac:dyDescent="0.3">
      <c r="L169" s="316"/>
      <c r="M169" s="259"/>
      <c r="N169" s="259"/>
      <c r="O169" s="392"/>
    </row>
    <row r="170" spans="1:19" ht="14.4" customHeight="1" x14ac:dyDescent="0.3"/>
    <row r="171" spans="1:19" ht="14.4" customHeight="1" thickBot="1" x14ac:dyDescent="0.35">
      <c r="A171" s="393"/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</row>
    <row r="172" spans="1:19" ht="14.4" customHeight="1" x14ac:dyDescent="0.3"/>
    <row r="173" spans="1:19" ht="14.4" customHeight="1" x14ac:dyDescent="0.3"/>
    <row r="174" spans="1:19" ht="18" customHeight="1" x14ac:dyDescent="0.3">
      <c r="K174" s="403" t="s">
        <v>87</v>
      </c>
    </row>
    <row r="175" spans="1:19" ht="18" customHeight="1" x14ac:dyDescent="0.3">
      <c r="A175" s="281" t="s">
        <v>10</v>
      </c>
      <c r="B175" s="282"/>
      <c r="C175" s="282"/>
      <c r="D175" s="282"/>
      <c r="E175" s="282"/>
      <c r="F175" s="283"/>
      <c r="H175" s="281" t="s">
        <v>81</v>
      </c>
      <c r="I175" s="283"/>
      <c r="K175" s="404"/>
      <c r="N175" s="281" t="s">
        <v>28</v>
      </c>
      <c r="O175" s="283"/>
    </row>
    <row r="176" spans="1:19" ht="18" customHeight="1" x14ac:dyDescent="0.3">
      <c r="A176" s="351"/>
      <c r="B176" s="352"/>
      <c r="C176" s="353" t="s">
        <v>5</v>
      </c>
      <c r="D176" s="354"/>
      <c r="E176" s="353" t="s">
        <v>6</v>
      </c>
      <c r="F176" s="354"/>
      <c r="G176" s="240" t="s">
        <v>8</v>
      </c>
      <c r="H176" s="354"/>
      <c r="I176" s="354"/>
      <c r="J176" s="301" t="s">
        <v>34</v>
      </c>
      <c r="K176" s="354"/>
      <c r="N176" s="395"/>
      <c r="O176" s="395"/>
    </row>
    <row r="177" spans="1:15" ht="18" customHeight="1" x14ac:dyDescent="0.3">
      <c r="A177" s="259"/>
      <c r="B177" s="359">
        <v>-1.3589807460522612</v>
      </c>
      <c r="C177" s="359" t="s">
        <v>5</v>
      </c>
      <c r="D177" s="359">
        <v>-5.3571428571428555E-2</v>
      </c>
      <c r="E177" s="359" t="s">
        <v>6</v>
      </c>
      <c r="F177" s="359">
        <f>SUM(B177,D177)</f>
        <v>-1.4125521746236898</v>
      </c>
      <c r="G177" s="249">
        <v>2</v>
      </c>
      <c r="H177" s="287">
        <f t="shared" ref="H177:H186" si="101">IF(OR($G177=1,$G177=2), $F177 + IF($G177=1,1,-1)*$N$23*(EXP(-$F177)/(1+EXP(-$F177))), NA())</f>
        <v>-1.6538026275784481</v>
      </c>
      <c r="I177" s="305">
        <f>IF(OR($G177=1,$G177=2), $H177 + IF($G177=1,1,-1)*$N$23*(EXP(-$H177)/(1+EXP(-$H177))), NA())</f>
        <v>-1.9056239248799161</v>
      </c>
      <c r="J177" s="320"/>
      <c r="K177" s="305">
        <v>-1.9056239248799161</v>
      </c>
      <c r="N177" s="396"/>
      <c r="O177" s="349">
        <f>O165</f>
        <v>0.27803454186287996</v>
      </c>
    </row>
    <row r="178" spans="1:15" ht="18" customHeight="1" x14ac:dyDescent="0.3">
      <c r="A178" s="259"/>
      <c r="B178" s="359">
        <v>1.0973331755196423</v>
      </c>
      <c r="C178" s="359" t="s">
        <v>5</v>
      </c>
      <c r="D178" s="359">
        <v>-5.3571428571428555E-2</v>
      </c>
      <c r="E178" s="359" t="s">
        <v>6</v>
      </c>
      <c r="F178" s="359">
        <f>SUM(B178,D178)</f>
        <v>1.0437617469482137</v>
      </c>
      <c r="G178" s="249">
        <v>1</v>
      </c>
      <c r="H178" s="287">
        <f t="shared" si="101"/>
        <v>1.1218891913666804</v>
      </c>
      <c r="I178" s="305">
        <f t="shared" ref="I178:I186" si="102">IF(OR($G178=1,$G178=2), $H178 + IF($G178=1,1,-1)*$N$23*(EXP(-$H178)/(1+EXP(-$H178))), NA())</f>
        <v>1.1955874992027573</v>
      </c>
      <c r="K178" s="305">
        <v>1.1955874992027573</v>
      </c>
      <c r="N178" s="396"/>
      <c r="O178" s="349">
        <v>10</v>
      </c>
    </row>
    <row r="179" spans="1:15" ht="18" customHeight="1" x14ac:dyDescent="0.3">
      <c r="A179" s="259"/>
      <c r="B179" s="359">
        <v>-1.0620337591921905</v>
      </c>
      <c r="C179" s="359" t="s">
        <v>5</v>
      </c>
      <c r="D179" s="359">
        <v>-5.3571428571428555E-2</v>
      </c>
      <c r="E179" s="359" t="s">
        <v>6</v>
      </c>
      <c r="F179" s="359">
        <f t="shared" ref="F179:F180" si="103">SUM(B179,D179)</f>
        <v>-1.1156051877636191</v>
      </c>
      <c r="G179" s="249">
        <v>2</v>
      </c>
      <c r="H179" s="287">
        <f t="shared" si="101"/>
        <v>-1.341556972041311</v>
      </c>
      <c r="I179" s="305">
        <f t="shared" si="102"/>
        <v>-1.5793807325380578</v>
      </c>
      <c r="K179" s="305">
        <v>-1.5793807325380578</v>
      </c>
      <c r="N179" s="345"/>
      <c r="O179" s="301"/>
    </row>
    <row r="180" spans="1:15" ht="18" customHeight="1" x14ac:dyDescent="0.3">
      <c r="A180" s="259"/>
      <c r="B180" s="359">
        <v>0.55066153579842136</v>
      </c>
      <c r="C180" s="359" t="s">
        <v>5</v>
      </c>
      <c r="D180" s="359">
        <v>5.3571428571428575E-2</v>
      </c>
      <c r="E180" s="359" t="s">
        <v>6</v>
      </c>
      <c r="F180" s="359">
        <f t="shared" si="103"/>
        <v>0.60423296436984997</v>
      </c>
      <c r="G180" s="249">
        <v>1</v>
      </c>
      <c r="H180" s="287">
        <f>IF(OR($G180=1,$G180=2), $F180 + IF($G180=1,1,-1)*$N$23*(EXP(-$F180)/(1+EXP(-$F180))), NA())</f>
        <v>0.71024572129253061</v>
      </c>
      <c r="I180" s="305">
        <f t="shared" si="102"/>
        <v>0.80910908540497495</v>
      </c>
      <c r="K180" s="305">
        <v>0.80910908540497495</v>
      </c>
      <c r="N180" s="259"/>
      <c r="O180" s="301">
        <v>5</v>
      </c>
    </row>
    <row r="181" spans="1:15" ht="18" customHeight="1" x14ac:dyDescent="0.3">
      <c r="A181" s="259"/>
      <c r="B181" s="359">
        <v>1.097333175519642</v>
      </c>
      <c r="C181" s="359" t="s">
        <v>5</v>
      </c>
      <c r="D181" s="359">
        <v>5.3571428571428575E-2</v>
      </c>
      <c r="E181" s="359" t="s">
        <v>6</v>
      </c>
      <c r="F181" s="359">
        <f>SUM(B181,D181)</f>
        <v>1.1509046040910706</v>
      </c>
      <c r="G181" s="249">
        <v>1</v>
      </c>
      <c r="H181" s="287">
        <f t="shared" si="101"/>
        <v>1.2230017717540247</v>
      </c>
      <c r="I181" s="305">
        <f t="shared" si="102"/>
        <v>1.2912243595415676</v>
      </c>
      <c r="K181" s="305">
        <v>1.2912243595415676</v>
      </c>
      <c r="N181" s="345"/>
      <c r="O181" s="301"/>
    </row>
    <row r="182" spans="1:15" ht="18" customHeight="1" x14ac:dyDescent="0.3">
      <c r="A182" s="259"/>
      <c r="B182" s="359">
        <v>0.96858288142615678</v>
      </c>
      <c r="C182" s="359" t="s">
        <v>5</v>
      </c>
      <c r="D182" s="359">
        <v>-5.3571428571428555E-2</v>
      </c>
      <c r="E182" s="359" t="s">
        <v>6</v>
      </c>
      <c r="F182" s="359">
        <f>SUM(B182,D182)</f>
        <v>0.91501145285472818</v>
      </c>
      <c r="G182" s="249">
        <v>1</v>
      </c>
      <c r="H182" s="287">
        <f t="shared" si="101"/>
        <v>1.0008040832403204</v>
      </c>
      <c r="I182" s="305">
        <f t="shared" si="102"/>
        <v>1.0814390907557363</v>
      </c>
      <c r="K182" s="305">
        <v>1.0814390907557363</v>
      </c>
      <c r="N182" s="259"/>
      <c r="O182" s="301">
        <v>8</v>
      </c>
    </row>
    <row r="183" spans="1:15" ht="18" customHeight="1" x14ac:dyDescent="0.3">
      <c r="A183" s="259"/>
      <c r="B183" s="359">
        <v>-1.5186565413621942</v>
      </c>
      <c r="C183" s="359" t="s">
        <v>5</v>
      </c>
      <c r="D183" s="359">
        <v>5.3571428571428575E-2</v>
      </c>
      <c r="E183" s="359" t="s">
        <v>6</v>
      </c>
      <c r="F183" s="359">
        <f t="shared" ref="F183:F186" si="104">SUM(B183,D183)</f>
        <v>-1.4650851127907656</v>
      </c>
      <c r="G183" s="249">
        <v>2</v>
      </c>
      <c r="H183" s="287">
        <f t="shared" si="101"/>
        <v>-1.7087778721019256</v>
      </c>
      <c r="I183" s="305">
        <f t="shared" si="102"/>
        <v>-1.9627811825322841</v>
      </c>
      <c r="K183" s="305">
        <v>-1.9627811825322841</v>
      </c>
      <c r="N183" s="259"/>
      <c r="O183" s="301">
        <v>0.1</v>
      </c>
    </row>
    <row r="184" spans="1:15" ht="18" customHeight="1" x14ac:dyDescent="0.3">
      <c r="A184" s="259"/>
      <c r="B184" s="359">
        <v>-0.81342787967727681</v>
      </c>
      <c r="C184" s="359" t="s">
        <v>5</v>
      </c>
      <c r="D184" s="359">
        <v>5.3571428571428575E-2</v>
      </c>
      <c r="E184" s="359" t="s">
        <v>6</v>
      </c>
      <c r="F184" s="359">
        <f t="shared" si="104"/>
        <v>-0.75985645110584821</v>
      </c>
      <c r="G184" s="249">
        <v>2</v>
      </c>
      <c r="H184" s="287">
        <f t="shared" si="101"/>
        <v>-0.96425322119358547</v>
      </c>
      <c r="I184" s="305">
        <f>IF(OR($G184=1,$G184=2), $H184 + IF($G184=1,1,-1)*$N$23*(EXP(-$H184)/(1+EXP(-$H184))), NA())</f>
        <v>-1.1814449898616624</v>
      </c>
      <c r="K184" s="305">
        <v>-1.1814449898616624</v>
      </c>
      <c r="N184" s="259"/>
      <c r="O184" s="301">
        <v>5</v>
      </c>
    </row>
    <row r="185" spans="1:15" ht="18" customHeight="1" x14ac:dyDescent="0.3">
      <c r="A185" s="259"/>
      <c r="B185" s="359">
        <v>-1.3589807460522612</v>
      </c>
      <c r="C185" s="359" t="s">
        <v>5</v>
      </c>
      <c r="D185" s="359">
        <v>-5.3571428571428555E-2</v>
      </c>
      <c r="E185" s="359" t="s">
        <v>6</v>
      </c>
      <c r="F185" s="359">
        <f>SUM(B185,D185)</f>
        <v>-1.4125521746236898</v>
      </c>
      <c r="G185" s="249">
        <v>2</v>
      </c>
      <c r="H185" s="287">
        <f t="shared" si="101"/>
        <v>-1.6538026275784481</v>
      </c>
      <c r="I185" s="305">
        <f>IF(OR($G185=1,$G185=2), $H185 + IF($G185=1,1,-1)*$N$23*(EXP(-$H185)/(1+EXP(-$H185))), NA())</f>
        <v>-1.9056239248799161</v>
      </c>
      <c r="K185" s="305">
        <v>-1.9056239248799161</v>
      </c>
    </row>
    <row r="186" spans="1:15" ht="18" customHeight="1" x14ac:dyDescent="0.3">
      <c r="A186" s="259"/>
      <c r="B186" s="359">
        <v>-1.3589807460522612</v>
      </c>
      <c r="C186" s="359" t="s">
        <v>5</v>
      </c>
      <c r="D186" s="359">
        <v>-5.3571428571428555E-2</v>
      </c>
      <c r="E186" s="359" t="s">
        <v>6</v>
      </c>
      <c r="F186" s="359">
        <f t="shared" si="104"/>
        <v>-1.4125521746236898</v>
      </c>
      <c r="G186" s="249">
        <v>2</v>
      </c>
      <c r="H186" s="287">
        <f t="shared" si="101"/>
        <v>-1.6538026275784481</v>
      </c>
      <c r="I186" s="305">
        <f t="shared" si="102"/>
        <v>-1.9056239248799161</v>
      </c>
      <c r="K186" s="305">
        <v>-1.9056239248799161</v>
      </c>
      <c r="N186" s="281" t="s">
        <v>82</v>
      </c>
      <c r="O186" s="283"/>
    </row>
    <row r="187" spans="1:15" ht="18" customHeight="1" x14ac:dyDescent="0.3">
      <c r="N187" s="360"/>
      <c r="O187" s="361"/>
    </row>
    <row r="188" spans="1:15" ht="18" customHeight="1" x14ac:dyDescent="0.3">
      <c r="N188" s="368"/>
      <c r="O188" s="369"/>
    </row>
    <row r="189" spans="1:15" ht="18" customHeight="1" x14ac:dyDescent="0.3">
      <c r="M189" s="290" t="b">
        <v>1</v>
      </c>
      <c r="N189" s="397" t="str">
        <f>IF(AND($O$180&lt;$O$184, $O$177&gt;$O$183), "Go back to Step 3", "Output SET and stop")</f>
        <v>Output SET and stop</v>
      </c>
      <c r="O189" s="398"/>
    </row>
    <row r="190" spans="1:15" ht="14.4" customHeight="1" x14ac:dyDescent="0.3"/>
    <row r="191" spans="1:15" ht="14.4" customHeight="1" x14ac:dyDescent="0.3"/>
    <row r="192" spans="1:15" ht="14.4" customHeight="1" x14ac:dyDescent="0.3"/>
    <row r="193" spans="1:19" ht="14.4" customHeight="1" x14ac:dyDescent="0.3">
      <c r="A193" s="399"/>
      <c r="B193" s="399"/>
      <c r="C193" s="399"/>
      <c r="D193" s="399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</row>
    <row r="194" spans="1:19" ht="14.4" customHeight="1" x14ac:dyDescent="0.3"/>
    <row r="195" spans="1:19" ht="14.4" customHeight="1" x14ac:dyDescent="0.3"/>
    <row r="196" spans="1:19" ht="14.4" customHeight="1" x14ac:dyDescent="0.3"/>
    <row r="197" spans="1:19" ht="14.4" customHeight="1" x14ac:dyDescent="0.3"/>
    <row r="198" spans="1:19" ht="14.4" customHeight="1" x14ac:dyDescent="0.3"/>
    <row r="199" spans="1:19" ht="14.4" customHeight="1" x14ac:dyDescent="0.3"/>
    <row r="200" spans="1:19" ht="14.4" customHeight="1" x14ac:dyDescent="0.3"/>
    <row r="201" spans="1:19" ht="14.4" customHeight="1" x14ac:dyDescent="0.3"/>
    <row r="202" spans="1:19" ht="14.4" customHeight="1" x14ac:dyDescent="0.3"/>
    <row r="203" spans="1:19" ht="14.4" customHeight="1" x14ac:dyDescent="0.3"/>
    <row r="204" spans="1:19" ht="14.4" customHeight="1" x14ac:dyDescent="0.3"/>
    <row r="205" spans="1:19" ht="14.4" customHeight="1" x14ac:dyDescent="0.3"/>
    <row r="206" spans="1:19" ht="14.4" customHeight="1" x14ac:dyDescent="0.3"/>
    <row r="207" spans="1:19" ht="14.4" customHeight="1" x14ac:dyDescent="0.3"/>
    <row r="208" spans="1:19" ht="14.4" customHeight="1" x14ac:dyDescent="0.3"/>
    <row r="209" spans="24:24" ht="14.4" customHeight="1" x14ac:dyDescent="0.3"/>
    <row r="210" spans="24:24" ht="14.4" customHeight="1" x14ac:dyDescent="0.3"/>
    <row r="211" spans="24:24" ht="14.4" customHeight="1" x14ac:dyDescent="0.3"/>
    <row r="212" spans="24:24" ht="14.4" customHeight="1" x14ac:dyDescent="0.3"/>
    <row r="213" spans="24:24" ht="14.4" customHeight="1" x14ac:dyDescent="0.3">
      <c r="X213" s="340"/>
    </row>
    <row r="214" spans="24:24" ht="14.4" customHeight="1" x14ac:dyDescent="0.3"/>
    <row r="215" spans="24:24" ht="14.4" customHeight="1" x14ac:dyDescent="0.3"/>
    <row r="216" spans="24:24" ht="14.4" customHeight="1" x14ac:dyDescent="0.3"/>
    <row r="217" spans="24:24" ht="14.4" customHeight="1" x14ac:dyDescent="0.3"/>
    <row r="218" spans="24:24" ht="14.4" customHeight="1" x14ac:dyDescent="0.3"/>
    <row r="219" spans="24:24" ht="14.4" customHeight="1" x14ac:dyDescent="0.3"/>
    <row r="220" spans="24:24" ht="14.4" customHeight="1" x14ac:dyDescent="0.3"/>
    <row r="221" spans="24:24" ht="14.4" customHeight="1" x14ac:dyDescent="0.3"/>
    <row r="222" spans="24:24" ht="14.4" customHeight="1" x14ac:dyDescent="0.3"/>
    <row r="223" spans="24:24" ht="14.4" customHeight="1" x14ac:dyDescent="0.3"/>
    <row r="224" spans="24: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555" ht="14.4" customHeight="1" x14ac:dyDescent="0.3"/>
    <row r="556" ht="14.4" customHeight="1" x14ac:dyDescent="0.3"/>
    <row r="558" ht="14.4" customHeight="1" x14ac:dyDescent="0.3"/>
    <row r="559" ht="14.4" customHeight="1" x14ac:dyDescent="0.3"/>
    <row r="717" ht="14.4" customHeight="1" x14ac:dyDescent="0.3"/>
    <row r="718" ht="14.4" customHeight="1" x14ac:dyDescent="0.3"/>
    <row r="720" ht="14.4" customHeight="1" x14ac:dyDescent="0.3"/>
    <row r="721" ht="14.4" customHeight="1" x14ac:dyDescent="0.3"/>
  </sheetData>
  <mergeCells count="98">
    <mergeCell ref="N175:O175"/>
    <mergeCell ref="H175:I175"/>
    <mergeCell ref="A175:F175"/>
    <mergeCell ref="K174:K175"/>
    <mergeCell ref="N186:O186"/>
    <mergeCell ref="N187:O188"/>
    <mergeCell ref="N189:O189"/>
    <mergeCell ref="A193:S193"/>
    <mergeCell ref="A176:B176"/>
    <mergeCell ref="J176:J177"/>
    <mergeCell ref="N176:O176"/>
    <mergeCell ref="L165:L166"/>
    <mergeCell ref="M165:N166"/>
    <mergeCell ref="O165:O166"/>
    <mergeCell ref="L168:L169"/>
    <mergeCell ref="M168:N169"/>
    <mergeCell ref="O168:O169"/>
    <mergeCell ref="A151:B151"/>
    <mergeCell ref="P151:S151"/>
    <mergeCell ref="P152:Q154"/>
    <mergeCell ref="A135:F135"/>
    <mergeCell ref="H135:N135"/>
    <mergeCell ref="A136:B136"/>
    <mergeCell ref="P136:S136"/>
    <mergeCell ref="P137:Q139"/>
    <mergeCell ref="A150:F150"/>
    <mergeCell ref="H150:N150"/>
    <mergeCell ref="P122:Q124"/>
    <mergeCell ref="A91:B91"/>
    <mergeCell ref="P91:S91"/>
    <mergeCell ref="P92:Q94"/>
    <mergeCell ref="A105:F105"/>
    <mergeCell ref="H105:N105"/>
    <mergeCell ref="A106:B106"/>
    <mergeCell ref="P106:S106"/>
    <mergeCell ref="P107:Q109"/>
    <mergeCell ref="A120:F120"/>
    <mergeCell ref="H120:N120"/>
    <mergeCell ref="A121:B121"/>
    <mergeCell ref="P121:S121"/>
    <mergeCell ref="A90:F90"/>
    <mergeCell ref="H90:N90"/>
    <mergeCell ref="U50:Y51"/>
    <mergeCell ref="A60:F60"/>
    <mergeCell ref="H60:N60"/>
    <mergeCell ref="A61:B61"/>
    <mergeCell ref="P61:S61"/>
    <mergeCell ref="P62:Q64"/>
    <mergeCell ref="A75:F75"/>
    <mergeCell ref="H75:N75"/>
    <mergeCell ref="A76:B76"/>
    <mergeCell ref="P76:S76"/>
    <mergeCell ref="P77:Q79"/>
    <mergeCell ref="A46:B46"/>
    <mergeCell ref="P46:S46"/>
    <mergeCell ref="U46:Y46"/>
    <mergeCell ref="P47:Q49"/>
    <mergeCell ref="V47:X47"/>
    <mergeCell ref="U48:Y48"/>
    <mergeCell ref="U49:Y49"/>
    <mergeCell ref="U35:Y36"/>
    <mergeCell ref="A45:F45"/>
    <mergeCell ref="H45:N45"/>
    <mergeCell ref="X20:AA22"/>
    <mergeCell ref="E23:F24"/>
    <mergeCell ref="G25:H25"/>
    <mergeCell ref="A30:F30"/>
    <mergeCell ref="H30:N30"/>
    <mergeCell ref="A31:B31"/>
    <mergeCell ref="P31:S31"/>
    <mergeCell ref="U31:Y31"/>
    <mergeCell ref="P32:Q34"/>
    <mergeCell ref="V32:X32"/>
    <mergeCell ref="U33:Y33"/>
    <mergeCell ref="U34:Y34"/>
    <mergeCell ref="Q18:Q19"/>
    <mergeCell ref="R18:R19"/>
    <mergeCell ref="V20:W22"/>
    <mergeCell ref="R9:S10"/>
    <mergeCell ref="R11:S11"/>
    <mergeCell ref="V11:W13"/>
    <mergeCell ref="R16:R17"/>
    <mergeCell ref="X11:AA13"/>
    <mergeCell ref="Q13:R14"/>
    <mergeCell ref="V15:W17"/>
    <mergeCell ref="X15:AA17"/>
    <mergeCell ref="A1:O1"/>
    <mergeCell ref="V2:W4"/>
    <mergeCell ref="X2:Y4"/>
    <mergeCell ref="D3:D12"/>
    <mergeCell ref="Q5:Q6"/>
    <mergeCell ref="R5:S6"/>
    <mergeCell ref="V6:W8"/>
    <mergeCell ref="X6:Y8"/>
    <mergeCell ref="R7:S7"/>
    <mergeCell ref="Q9:Q10"/>
    <mergeCell ref="B16:N16"/>
    <mergeCell ref="Q16:Q17"/>
  </mergeCells>
  <conditionalFormatting sqref="A259">
    <cfRule type="duplicateValues" dxfId="353" priority="364"/>
  </conditionalFormatting>
  <conditionalFormatting sqref="A260">
    <cfRule type="duplicateValues" dxfId="352" priority="363"/>
  </conditionalFormatting>
  <conditionalFormatting sqref="A261">
    <cfRule type="duplicateValues" dxfId="351" priority="362"/>
  </conditionalFormatting>
  <conditionalFormatting sqref="A262">
    <cfRule type="duplicateValues" dxfId="350" priority="361"/>
  </conditionalFormatting>
  <conditionalFormatting sqref="A263">
    <cfRule type="duplicateValues" dxfId="349" priority="360"/>
  </conditionalFormatting>
  <conditionalFormatting sqref="A264">
    <cfRule type="duplicateValues" dxfId="348" priority="359"/>
  </conditionalFormatting>
  <conditionalFormatting sqref="A269">
    <cfRule type="duplicateValues" dxfId="347" priority="358"/>
  </conditionalFormatting>
  <conditionalFormatting sqref="A283">
    <cfRule type="duplicateValues" dxfId="346" priority="357"/>
  </conditionalFormatting>
  <conditionalFormatting sqref="A284">
    <cfRule type="duplicateValues" dxfId="345" priority="356"/>
  </conditionalFormatting>
  <conditionalFormatting sqref="A297">
    <cfRule type="duplicateValues" dxfId="344" priority="355"/>
  </conditionalFormatting>
  <conditionalFormatting sqref="A298">
    <cfRule type="duplicateValues" dxfId="343" priority="354"/>
  </conditionalFormatting>
  <conditionalFormatting sqref="A299">
    <cfRule type="duplicateValues" dxfId="342" priority="353"/>
  </conditionalFormatting>
  <conditionalFormatting sqref="A312">
    <cfRule type="duplicateValues" dxfId="341" priority="352"/>
  </conditionalFormatting>
  <conditionalFormatting sqref="A313">
    <cfRule type="duplicateValues" dxfId="340" priority="351"/>
  </conditionalFormatting>
  <conditionalFormatting sqref="A314">
    <cfRule type="duplicateValues" dxfId="339" priority="350"/>
  </conditionalFormatting>
  <conditionalFormatting sqref="A327">
    <cfRule type="duplicateValues" dxfId="338" priority="349"/>
  </conditionalFormatting>
  <conditionalFormatting sqref="A328">
    <cfRule type="duplicateValues" dxfId="337" priority="348"/>
  </conditionalFormatting>
  <conditionalFormatting sqref="A329">
    <cfRule type="duplicateValues" dxfId="336" priority="347"/>
  </conditionalFormatting>
  <conditionalFormatting sqref="A330">
    <cfRule type="duplicateValues" dxfId="335" priority="346"/>
  </conditionalFormatting>
  <conditionalFormatting sqref="A331">
    <cfRule type="duplicateValues" dxfId="334" priority="345"/>
  </conditionalFormatting>
  <conditionalFormatting sqref="A332">
    <cfRule type="duplicateValues" dxfId="333" priority="344"/>
  </conditionalFormatting>
  <conditionalFormatting sqref="A333">
    <cfRule type="duplicateValues" dxfId="332" priority="343"/>
  </conditionalFormatting>
  <conditionalFormatting sqref="A334">
    <cfRule type="duplicateValues" dxfId="331" priority="342"/>
  </conditionalFormatting>
  <conditionalFormatting sqref="A339">
    <cfRule type="duplicateValues" dxfId="330" priority="341"/>
  </conditionalFormatting>
  <conditionalFormatting sqref="A340">
    <cfRule type="duplicateValues" dxfId="329" priority="340"/>
  </conditionalFormatting>
  <conditionalFormatting sqref="A341">
    <cfRule type="duplicateValues" dxfId="328" priority="339"/>
  </conditionalFormatting>
  <conditionalFormatting sqref="A342">
    <cfRule type="duplicateValues" dxfId="327" priority="338"/>
  </conditionalFormatting>
  <conditionalFormatting sqref="A343">
    <cfRule type="duplicateValues" dxfId="326" priority="337"/>
  </conditionalFormatting>
  <conditionalFormatting sqref="A344">
    <cfRule type="duplicateValues" dxfId="325" priority="336"/>
  </conditionalFormatting>
  <conditionalFormatting sqref="A345">
    <cfRule type="duplicateValues" dxfId="324" priority="335"/>
  </conditionalFormatting>
  <conditionalFormatting sqref="A346">
    <cfRule type="duplicateValues" dxfId="323" priority="334"/>
  </conditionalFormatting>
  <conditionalFormatting sqref="A347">
    <cfRule type="duplicateValues" dxfId="322" priority="333"/>
  </conditionalFormatting>
  <conditionalFormatting sqref="A348">
    <cfRule type="duplicateValues" dxfId="321" priority="332"/>
  </conditionalFormatting>
  <conditionalFormatting sqref="A353">
    <cfRule type="duplicateValues" dxfId="320" priority="331"/>
  </conditionalFormatting>
  <conditionalFormatting sqref="A354">
    <cfRule type="duplicateValues" dxfId="319" priority="330"/>
  </conditionalFormatting>
  <conditionalFormatting sqref="A355">
    <cfRule type="duplicateValues" dxfId="318" priority="329"/>
  </conditionalFormatting>
  <conditionalFormatting sqref="A356">
    <cfRule type="duplicateValues" dxfId="317" priority="328"/>
  </conditionalFormatting>
  <conditionalFormatting sqref="A357">
    <cfRule type="duplicateValues" dxfId="316" priority="327"/>
  </conditionalFormatting>
  <conditionalFormatting sqref="A358">
    <cfRule type="duplicateValues" dxfId="315" priority="326"/>
  </conditionalFormatting>
  <conditionalFormatting sqref="A359">
    <cfRule type="duplicateValues" dxfId="314" priority="325"/>
  </conditionalFormatting>
  <conditionalFormatting sqref="A360">
    <cfRule type="duplicateValues" dxfId="313" priority="324"/>
  </conditionalFormatting>
  <conditionalFormatting sqref="A361">
    <cfRule type="duplicateValues" dxfId="312" priority="323"/>
  </conditionalFormatting>
  <conditionalFormatting sqref="A362">
    <cfRule type="duplicateValues" dxfId="311" priority="322"/>
  </conditionalFormatting>
  <conditionalFormatting sqref="A367">
    <cfRule type="duplicateValues" dxfId="310" priority="321"/>
  </conditionalFormatting>
  <conditionalFormatting sqref="A368">
    <cfRule type="duplicateValues" dxfId="309" priority="320"/>
  </conditionalFormatting>
  <conditionalFormatting sqref="A369">
    <cfRule type="duplicateValues" dxfId="308" priority="319"/>
  </conditionalFormatting>
  <conditionalFormatting sqref="A370">
    <cfRule type="duplicateValues" dxfId="307" priority="318"/>
  </conditionalFormatting>
  <conditionalFormatting sqref="A371">
    <cfRule type="duplicateValues" dxfId="306" priority="317"/>
  </conditionalFormatting>
  <conditionalFormatting sqref="A372">
    <cfRule type="duplicateValues" dxfId="305" priority="316"/>
  </conditionalFormatting>
  <conditionalFormatting sqref="A373">
    <cfRule type="duplicateValues" dxfId="304" priority="315"/>
  </conditionalFormatting>
  <conditionalFormatting sqref="A374">
    <cfRule type="duplicateValues" dxfId="303" priority="314"/>
  </conditionalFormatting>
  <conditionalFormatting sqref="A375">
    <cfRule type="duplicateValues" dxfId="302" priority="313"/>
  </conditionalFormatting>
  <conditionalFormatting sqref="A376">
    <cfRule type="duplicateValues" dxfId="301" priority="312"/>
  </conditionalFormatting>
  <conditionalFormatting sqref="A417">
    <cfRule type="duplicateValues" dxfId="300" priority="311"/>
  </conditionalFormatting>
  <conditionalFormatting sqref="A418">
    <cfRule type="duplicateValues" dxfId="299" priority="310"/>
  </conditionalFormatting>
  <conditionalFormatting sqref="A419">
    <cfRule type="duplicateValues" dxfId="298" priority="309"/>
  </conditionalFormatting>
  <conditionalFormatting sqref="A420">
    <cfRule type="duplicateValues" dxfId="297" priority="308"/>
  </conditionalFormatting>
  <conditionalFormatting sqref="A421">
    <cfRule type="duplicateValues" dxfId="296" priority="307"/>
  </conditionalFormatting>
  <conditionalFormatting sqref="A422">
    <cfRule type="duplicateValues" dxfId="295" priority="306"/>
  </conditionalFormatting>
  <conditionalFormatting sqref="A423">
    <cfRule type="duplicateValues" dxfId="294" priority="305"/>
  </conditionalFormatting>
  <conditionalFormatting sqref="A424">
    <cfRule type="duplicateValues" dxfId="293" priority="304"/>
  </conditionalFormatting>
  <conditionalFormatting sqref="A425">
    <cfRule type="duplicateValues" dxfId="292" priority="303"/>
  </conditionalFormatting>
  <conditionalFormatting sqref="A426">
    <cfRule type="duplicateValues" dxfId="291" priority="302"/>
  </conditionalFormatting>
  <conditionalFormatting sqref="A431">
    <cfRule type="duplicateValues" dxfId="290" priority="301"/>
  </conditionalFormatting>
  <conditionalFormatting sqref="A432">
    <cfRule type="duplicateValues" dxfId="289" priority="300"/>
  </conditionalFormatting>
  <conditionalFormatting sqref="A433">
    <cfRule type="duplicateValues" dxfId="288" priority="299"/>
  </conditionalFormatting>
  <conditionalFormatting sqref="A434">
    <cfRule type="duplicateValues" dxfId="287" priority="298"/>
  </conditionalFormatting>
  <conditionalFormatting sqref="A435">
    <cfRule type="duplicateValues" dxfId="286" priority="297"/>
  </conditionalFormatting>
  <conditionalFormatting sqref="A436">
    <cfRule type="duplicateValues" dxfId="285" priority="296"/>
  </conditionalFormatting>
  <conditionalFormatting sqref="A437">
    <cfRule type="duplicateValues" dxfId="284" priority="295"/>
  </conditionalFormatting>
  <conditionalFormatting sqref="A438">
    <cfRule type="duplicateValues" dxfId="283" priority="294"/>
  </conditionalFormatting>
  <conditionalFormatting sqref="A439">
    <cfRule type="duplicateValues" dxfId="282" priority="293"/>
  </conditionalFormatting>
  <conditionalFormatting sqref="A440">
    <cfRule type="duplicateValues" dxfId="281" priority="292"/>
  </conditionalFormatting>
  <conditionalFormatting sqref="A445">
    <cfRule type="duplicateValues" dxfId="280" priority="291"/>
  </conditionalFormatting>
  <conditionalFormatting sqref="A446">
    <cfRule type="duplicateValues" dxfId="279" priority="290"/>
  </conditionalFormatting>
  <conditionalFormatting sqref="A447">
    <cfRule type="duplicateValues" dxfId="278" priority="289"/>
  </conditionalFormatting>
  <conditionalFormatting sqref="A448">
    <cfRule type="duplicateValues" dxfId="277" priority="288"/>
  </conditionalFormatting>
  <conditionalFormatting sqref="A449">
    <cfRule type="duplicateValues" dxfId="276" priority="287"/>
  </conditionalFormatting>
  <conditionalFormatting sqref="A450">
    <cfRule type="duplicateValues" dxfId="275" priority="286"/>
  </conditionalFormatting>
  <conditionalFormatting sqref="A451">
    <cfRule type="duplicateValues" dxfId="274" priority="285"/>
  </conditionalFormatting>
  <conditionalFormatting sqref="A452">
    <cfRule type="duplicateValues" dxfId="273" priority="284"/>
  </conditionalFormatting>
  <conditionalFormatting sqref="A453">
    <cfRule type="duplicateValues" dxfId="272" priority="283"/>
  </conditionalFormatting>
  <conditionalFormatting sqref="A454">
    <cfRule type="duplicateValues" dxfId="271" priority="282"/>
  </conditionalFormatting>
  <conditionalFormatting sqref="A459">
    <cfRule type="duplicateValues" dxfId="270" priority="281"/>
  </conditionalFormatting>
  <conditionalFormatting sqref="A460">
    <cfRule type="duplicateValues" dxfId="269" priority="280"/>
  </conditionalFormatting>
  <conditionalFormatting sqref="A461">
    <cfRule type="duplicateValues" dxfId="268" priority="279"/>
  </conditionalFormatting>
  <conditionalFormatting sqref="A462">
    <cfRule type="duplicateValues" dxfId="267" priority="278"/>
  </conditionalFormatting>
  <conditionalFormatting sqref="A463">
    <cfRule type="duplicateValues" dxfId="266" priority="277"/>
  </conditionalFormatting>
  <conditionalFormatting sqref="A464">
    <cfRule type="duplicateValues" dxfId="265" priority="276"/>
  </conditionalFormatting>
  <conditionalFormatting sqref="A465">
    <cfRule type="duplicateValues" dxfId="264" priority="275"/>
  </conditionalFormatting>
  <conditionalFormatting sqref="A466">
    <cfRule type="duplicateValues" dxfId="263" priority="274"/>
  </conditionalFormatting>
  <conditionalFormatting sqref="A467">
    <cfRule type="duplicateValues" dxfId="262" priority="273"/>
  </conditionalFormatting>
  <conditionalFormatting sqref="A468">
    <cfRule type="duplicateValues" dxfId="261" priority="272"/>
  </conditionalFormatting>
  <conditionalFormatting sqref="A473">
    <cfRule type="duplicateValues" dxfId="260" priority="271"/>
  </conditionalFormatting>
  <conditionalFormatting sqref="A474">
    <cfRule type="duplicateValues" dxfId="259" priority="270"/>
  </conditionalFormatting>
  <conditionalFormatting sqref="A475">
    <cfRule type="duplicateValues" dxfId="258" priority="269"/>
  </conditionalFormatting>
  <conditionalFormatting sqref="A476">
    <cfRule type="duplicateValues" dxfId="257" priority="268"/>
  </conditionalFormatting>
  <conditionalFormatting sqref="A477">
    <cfRule type="duplicateValues" dxfId="256" priority="267"/>
  </conditionalFormatting>
  <conditionalFormatting sqref="A478">
    <cfRule type="duplicateValues" dxfId="255" priority="266"/>
  </conditionalFormatting>
  <conditionalFormatting sqref="A479">
    <cfRule type="duplicateValues" dxfId="254" priority="265"/>
  </conditionalFormatting>
  <conditionalFormatting sqref="A480">
    <cfRule type="duplicateValues" dxfId="253" priority="264"/>
  </conditionalFormatting>
  <conditionalFormatting sqref="A481">
    <cfRule type="duplicateValues" dxfId="252" priority="263"/>
  </conditionalFormatting>
  <conditionalFormatting sqref="A482">
    <cfRule type="duplicateValues" dxfId="251" priority="262"/>
  </conditionalFormatting>
  <conditionalFormatting sqref="A487">
    <cfRule type="duplicateValues" dxfId="250" priority="261"/>
  </conditionalFormatting>
  <conditionalFormatting sqref="A488">
    <cfRule type="duplicateValues" dxfId="249" priority="260"/>
  </conditionalFormatting>
  <conditionalFormatting sqref="A489">
    <cfRule type="duplicateValues" dxfId="248" priority="259"/>
  </conditionalFormatting>
  <conditionalFormatting sqref="A490">
    <cfRule type="duplicateValues" dxfId="247" priority="258"/>
  </conditionalFormatting>
  <conditionalFormatting sqref="A491">
    <cfRule type="duplicateValues" dxfId="246" priority="257"/>
  </conditionalFormatting>
  <conditionalFormatting sqref="A492">
    <cfRule type="duplicateValues" dxfId="245" priority="256"/>
  </conditionalFormatting>
  <conditionalFormatting sqref="A493">
    <cfRule type="duplicateValues" dxfId="244" priority="255"/>
  </conditionalFormatting>
  <conditionalFormatting sqref="A494">
    <cfRule type="duplicateValues" dxfId="243" priority="254"/>
  </conditionalFormatting>
  <conditionalFormatting sqref="A495">
    <cfRule type="duplicateValues" dxfId="242" priority="253"/>
  </conditionalFormatting>
  <conditionalFormatting sqref="A496">
    <cfRule type="duplicateValues" dxfId="241" priority="252"/>
  </conditionalFormatting>
  <conditionalFormatting sqref="A501">
    <cfRule type="duplicateValues" dxfId="240" priority="251"/>
  </conditionalFormatting>
  <conditionalFormatting sqref="A502">
    <cfRule type="duplicateValues" dxfId="239" priority="250"/>
  </conditionalFormatting>
  <conditionalFormatting sqref="A503">
    <cfRule type="duplicateValues" dxfId="238" priority="249"/>
  </conditionalFormatting>
  <conditionalFormatting sqref="A504">
    <cfRule type="duplicateValues" dxfId="237" priority="248"/>
  </conditionalFormatting>
  <conditionalFormatting sqref="A505">
    <cfRule type="duplicateValues" dxfId="236" priority="247"/>
  </conditionalFormatting>
  <conditionalFormatting sqref="A506">
    <cfRule type="duplicateValues" dxfId="235" priority="246"/>
  </conditionalFormatting>
  <conditionalFormatting sqref="A507">
    <cfRule type="duplicateValues" dxfId="234" priority="245"/>
  </conditionalFormatting>
  <conditionalFormatting sqref="A508">
    <cfRule type="duplicateValues" dxfId="233" priority="244"/>
  </conditionalFormatting>
  <conditionalFormatting sqref="A509">
    <cfRule type="duplicateValues" dxfId="232" priority="243"/>
  </conditionalFormatting>
  <conditionalFormatting sqref="A510">
    <cfRule type="duplicateValues" dxfId="231" priority="242"/>
  </conditionalFormatting>
  <conditionalFormatting sqref="A515">
    <cfRule type="duplicateValues" dxfId="230" priority="241"/>
  </conditionalFormatting>
  <conditionalFormatting sqref="A516">
    <cfRule type="duplicateValues" dxfId="229" priority="240"/>
  </conditionalFormatting>
  <conditionalFormatting sqref="A517">
    <cfRule type="duplicateValues" dxfId="228" priority="239"/>
  </conditionalFormatting>
  <conditionalFormatting sqref="A518">
    <cfRule type="duplicateValues" dxfId="227" priority="238"/>
  </conditionalFormatting>
  <conditionalFormatting sqref="A519">
    <cfRule type="duplicateValues" dxfId="226" priority="237"/>
  </conditionalFormatting>
  <conditionalFormatting sqref="A520">
    <cfRule type="duplicateValues" dxfId="225" priority="236"/>
  </conditionalFormatting>
  <conditionalFormatting sqref="A521">
    <cfRule type="duplicateValues" dxfId="224" priority="235"/>
  </conditionalFormatting>
  <conditionalFormatting sqref="A522">
    <cfRule type="duplicateValues" dxfId="223" priority="234"/>
  </conditionalFormatting>
  <conditionalFormatting sqref="A523">
    <cfRule type="duplicateValues" dxfId="222" priority="233"/>
  </conditionalFormatting>
  <conditionalFormatting sqref="A524">
    <cfRule type="duplicateValues" dxfId="221" priority="232"/>
  </conditionalFormatting>
  <conditionalFormatting sqref="A529">
    <cfRule type="duplicateValues" dxfId="220" priority="231"/>
  </conditionalFormatting>
  <conditionalFormatting sqref="A530">
    <cfRule type="duplicateValues" dxfId="219" priority="230"/>
  </conditionalFormatting>
  <conditionalFormatting sqref="A531">
    <cfRule type="duplicateValues" dxfId="218" priority="229"/>
  </conditionalFormatting>
  <conditionalFormatting sqref="A532">
    <cfRule type="duplicateValues" dxfId="217" priority="228"/>
  </conditionalFormatting>
  <conditionalFormatting sqref="A533">
    <cfRule type="duplicateValues" dxfId="216" priority="227"/>
  </conditionalFormatting>
  <conditionalFormatting sqref="A534">
    <cfRule type="duplicateValues" dxfId="215" priority="226"/>
  </conditionalFormatting>
  <conditionalFormatting sqref="A535">
    <cfRule type="duplicateValues" dxfId="214" priority="225"/>
  </conditionalFormatting>
  <conditionalFormatting sqref="A536">
    <cfRule type="duplicateValues" dxfId="213" priority="224"/>
  </conditionalFormatting>
  <conditionalFormatting sqref="A537">
    <cfRule type="duplicateValues" dxfId="212" priority="223"/>
  </conditionalFormatting>
  <conditionalFormatting sqref="A538">
    <cfRule type="duplicateValues" dxfId="211" priority="222"/>
  </conditionalFormatting>
  <conditionalFormatting sqref="A543">
    <cfRule type="duplicateValues" dxfId="210" priority="221"/>
  </conditionalFormatting>
  <conditionalFormatting sqref="A544">
    <cfRule type="duplicateValues" dxfId="209" priority="220"/>
  </conditionalFormatting>
  <conditionalFormatting sqref="A545">
    <cfRule type="duplicateValues" dxfId="208" priority="219"/>
  </conditionalFormatting>
  <conditionalFormatting sqref="A546">
    <cfRule type="duplicateValues" dxfId="207" priority="218"/>
  </conditionalFormatting>
  <conditionalFormatting sqref="A547">
    <cfRule type="duplicateValues" dxfId="206" priority="217"/>
  </conditionalFormatting>
  <conditionalFormatting sqref="A548">
    <cfRule type="duplicateValues" dxfId="205" priority="216"/>
  </conditionalFormatting>
  <conditionalFormatting sqref="A549">
    <cfRule type="duplicateValues" dxfId="204" priority="215"/>
  </conditionalFormatting>
  <conditionalFormatting sqref="A550">
    <cfRule type="duplicateValues" dxfId="203" priority="214"/>
  </conditionalFormatting>
  <conditionalFormatting sqref="A551">
    <cfRule type="duplicateValues" dxfId="202" priority="213"/>
  </conditionalFormatting>
  <conditionalFormatting sqref="A552">
    <cfRule type="duplicateValues" dxfId="201" priority="212"/>
  </conditionalFormatting>
  <conditionalFormatting sqref="A593">
    <cfRule type="duplicateValues" dxfId="200" priority="211"/>
  </conditionalFormatting>
  <conditionalFormatting sqref="A594">
    <cfRule type="duplicateValues" dxfId="199" priority="210"/>
  </conditionalFormatting>
  <conditionalFormatting sqref="A595">
    <cfRule type="duplicateValues" dxfId="198" priority="209"/>
  </conditionalFormatting>
  <conditionalFormatting sqref="A596">
    <cfRule type="duplicateValues" dxfId="197" priority="208"/>
  </conditionalFormatting>
  <conditionalFormatting sqref="A597">
    <cfRule type="duplicateValues" dxfId="196" priority="207"/>
  </conditionalFormatting>
  <conditionalFormatting sqref="A598">
    <cfRule type="duplicateValues" dxfId="195" priority="206"/>
  </conditionalFormatting>
  <conditionalFormatting sqref="A599">
    <cfRule type="duplicateValues" dxfId="194" priority="205"/>
  </conditionalFormatting>
  <conditionalFormatting sqref="A600">
    <cfRule type="duplicateValues" dxfId="193" priority="204"/>
  </conditionalFormatting>
  <conditionalFormatting sqref="A601">
    <cfRule type="duplicateValues" dxfId="192" priority="203"/>
  </conditionalFormatting>
  <conditionalFormatting sqref="A602">
    <cfRule type="duplicateValues" dxfId="191" priority="202"/>
  </conditionalFormatting>
  <conditionalFormatting sqref="A607">
    <cfRule type="duplicateValues" dxfId="190" priority="201"/>
  </conditionalFormatting>
  <conditionalFormatting sqref="A608">
    <cfRule type="duplicateValues" dxfId="189" priority="200"/>
  </conditionalFormatting>
  <conditionalFormatting sqref="A609">
    <cfRule type="duplicateValues" dxfId="188" priority="199"/>
  </conditionalFormatting>
  <conditionalFormatting sqref="A610">
    <cfRule type="duplicateValues" dxfId="187" priority="198"/>
  </conditionalFormatting>
  <conditionalFormatting sqref="A611">
    <cfRule type="duplicateValues" dxfId="186" priority="197"/>
  </conditionalFormatting>
  <conditionalFormatting sqref="A612">
    <cfRule type="duplicateValues" dxfId="185" priority="196"/>
  </conditionalFormatting>
  <conditionalFormatting sqref="A613">
    <cfRule type="duplicateValues" dxfId="184" priority="195"/>
  </conditionalFormatting>
  <conditionalFormatting sqref="A614">
    <cfRule type="duplicateValues" dxfId="183" priority="194"/>
  </conditionalFormatting>
  <conditionalFormatting sqref="A615">
    <cfRule type="duplicateValues" dxfId="182" priority="193"/>
  </conditionalFormatting>
  <conditionalFormatting sqref="A616">
    <cfRule type="duplicateValues" dxfId="181" priority="192"/>
  </conditionalFormatting>
  <conditionalFormatting sqref="A621">
    <cfRule type="duplicateValues" dxfId="180" priority="191"/>
  </conditionalFormatting>
  <conditionalFormatting sqref="A622">
    <cfRule type="duplicateValues" dxfId="179" priority="190"/>
  </conditionalFormatting>
  <conditionalFormatting sqref="A623">
    <cfRule type="duplicateValues" dxfId="178" priority="189"/>
  </conditionalFormatting>
  <conditionalFormatting sqref="A624">
    <cfRule type="duplicateValues" dxfId="177" priority="188"/>
  </conditionalFormatting>
  <conditionalFormatting sqref="A625">
    <cfRule type="duplicateValues" dxfId="176" priority="187"/>
  </conditionalFormatting>
  <conditionalFormatting sqref="A626">
    <cfRule type="duplicateValues" dxfId="175" priority="186"/>
  </conditionalFormatting>
  <conditionalFormatting sqref="A627">
    <cfRule type="duplicateValues" dxfId="174" priority="185"/>
  </conditionalFormatting>
  <conditionalFormatting sqref="A628">
    <cfRule type="duplicateValues" dxfId="173" priority="184"/>
  </conditionalFormatting>
  <conditionalFormatting sqref="A629">
    <cfRule type="duplicateValues" dxfId="172" priority="183"/>
  </conditionalFormatting>
  <conditionalFormatting sqref="A630">
    <cfRule type="duplicateValues" dxfId="171" priority="182"/>
  </conditionalFormatting>
  <conditionalFormatting sqref="A635">
    <cfRule type="duplicateValues" dxfId="170" priority="181"/>
  </conditionalFormatting>
  <conditionalFormatting sqref="A636">
    <cfRule type="duplicateValues" dxfId="169" priority="180"/>
  </conditionalFormatting>
  <conditionalFormatting sqref="A637">
    <cfRule type="duplicateValues" dxfId="168" priority="179"/>
  </conditionalFormatting>
  <conditionalFormatting sqref="A638">
    <cfRule type="duplicateValues" dxfId="167" priority="178"/>
  </conditionalFormatting>
  <conditionalFormatting sqref="A639">
    <cfRule type="duplicateValues" dxfId="166" priority="177"/>
  </conditionalFormatting>
  <conditionalFormatting sqref="A640">
    <cfRule type="duplicateValues" dxfId="165" priority="176"/>
  </conditionalFormatting>
  <conditionalFormatting sqref="A641">
    <cfRule type="duplicateValues" dxfId="164" priority="175"/>
  </conditionalFormatting>
  <conditionalFormatting sqref="A642">
    <cfRule type="duplicateValues" dxfId="163" priority="174"/>
  </conditionalFormatting>
  <conditionalFormatting sqref="A643">
    <cfRule type="duplicateValues" dxfId="162" priority="173"/>
  </conditionalFormatting>
  <conditionalFormatting sqref="A644">
    <cfRule type="duplicateValues" dxfId="161" priority="172"/>
  </conditionalFormatting>
  <conditionalFormatting sqref="A649">
    <cfRule type="duplicateValues" dxfId="160" priority="171"/>
  </conditionalFormatting>
  <conditionalFormatting sqref="A650">
    <cfRule type="duplicateValues" dxfId="159" priority="170"/>
  </conditionalFormatting>
  <conditionalFormatting sqref="A651">
    <cfRule type="duplicateValues" dxfId="158" priority="169"/>
  </conditionalFormatting>
  <conditionalFormatting sqref="A652">
    <cfRule type="duplicateValues" dxfId="157" priority="168"/>
  </conditionalFormatting>
  <conditionalFormatting sqref="A653">
    <cfRule type="duplicateValues" dxfId="156" priority="167"/>
  </conditionalFormatting>
  <conditionalFormatting sqref="A654">
    <cfRule type="duplicateValues" dxfId="155" priority="166"/>
  </conditionalFormatting>
  <conditionalFormatting sqref="A655">
    <cfRule type="duplicateValues" dxfId="154" priority="165"/>
  </conditionalFormatting>
  <conditionalFormatting sqref="A656">
    <cfRule type="duplicateValues" dxfId="153" priority="164"/>
  </conditionalFormatting>
  <conditionalFormatting sqref="A657">
    <cfRule type="duplicateValues" dxfId="152" priority="163"/>
  </conditionalFormatting>
  <conditionalFormatting sqref="A658">
    <cfRule type="duplicateValues" dxfId="151" priority="162"/>
  </conditionalFormatting>
  <conditionalFormatting sqref="A663">
    <cfRule type="duplicateValues" dxfId="150" priority="161"/>
  </conditionalFormatting>
  <conditionalFormatting sqref="A664">
    <cfRule type="duplicateValues" dxfId="149" priority="160"/>
  </conditionalFormatting>
  <conditionalFormatting sqref="A665">
    <cfRule type="duplicateValues" dxfId="148" priority="159"/>
  </conditionalFormatting>
  <conditionalFormatting sqref="A666">
    <cfRule type="duplicateValues" dxfId="147" priority="158"/>
  </conditionalFormatting>
  <conditionalFormatting sqref="A667">
    <cfRule type="duplicateValues" dxfId="146" priority="157"/>
  </conditionalFormatting>
  <conditionalFormatting sqref="A668">
    <cfRule type="duplicateValues" dxfId="145" priority="156"/>
  </conditionalFormatting>
  <conditionalFormatting sqref="A669">
    <cfRule type="duplicateValues" dxfId="144" priority="155"/>
  </conditionalFormatting>
  <conditionalFormatting sqref="A670">
    <cfRule type="duplicateValues" dxfId="143" priority="154"/>
  </conditionalFormatting>
  <conditionalFormatting sqref="A671">
    <cfRule type="duplicateValues" dxfId="142" priority="153"/>
  </conditionalFormatting>
  <conditionalFormatting sqref="A672">
    <cfRule type="duplicateValues" dxfId="141" priority="152"/>
  </conditionalFormatting>
  <conditionalFormatting sqref="A677">
    <cfRule type="duplicateValues" dxfId="140" priority="151"/>
  </conditionalFormatting>
  <conditionalFormatting sqref="A678">
    <cfRule type="duplicateValues" dxfId="139" priority="150"/>
  </conditionalFormatting>
  <conditionalFormatting sqref="A679">
    <cfRule type="duplicateValues" dxfId="138" priority="149"/>
  </conditionalFormatting>
  <conditionalFormatting sqref="A680">
    <cfRule type="duplicateValues" dxfId="137" priority="148"/>
  </conditionalFormatting>
  <conditionalFormatting sqref="A681">
    <cfRule type="duplicateValues" dxfId="136" priority="147"/>
  </conditionalFormatting>
  <conditionalFormatting sqref="A682">
    <cfRule type="duplicateValues" dxfId="135" priority="146"/>
  </conditionalFormatting>
  <conditionalFormatting sqref="A683">
    <cfRule type="duplicateValues" dxfId="134" priority="145"/>
  </conditionalFormatting>
  <conditionalFormatting sqref="A684">
    <cfRule type="duplicateValues" dxfId="133" priority="144"/>
  </conditionalFormatting>
  <conditionalFormatting sqref="A685">
    <cfRule type="duplicateValues" dxfId="132" priority="143"/>
  </conditionalFormatting>
  <conditionalFormatting sqref="A686">
    <cfRule type="duplicateValues" dxfId="131" priority="142"/>
  </conditionalFormatting>
  <conditionalFormatting sqref="A691">
    <cfRule type="duplicateValues" dxfId="130" priority="141"/>
  </conditionalFormatting>
  <conditionalFormatting sqref="A692">
    <cfRule type="duplicateValues" dxfId="129" priority="140"/>
  </conditionalFormatting>
  <conditionalFormatting sqref="A693">
    <cfRule type="duplicateValues" dxfId="128" priority="139"/>
  </conditionalFormatting>
  <conditionalFormatting sqref="A694">
    <cfRule type="duplicateValues" dxfId="127" priority="138"/>
  </conditionalFormatting>
  <conditionalFormatting sqref="A695">
    <cfRule type="duplicateValues" dxfId="126" priority="137"/>
  </conditionalFormatting>
  <conditionalFormatting sqref="A696">
    <cfRule type="duplicateValues" dxfId="125" priority="136"/>
  </conditionalFormatting>
  <conditionalFormatting sqref="A697">
    <cfRule type="duplicateValues" dxfId="124" priority="135"/>
  </conditionalFormatting>
  <conditionalFormatting sqref="A698">
    <cfRule type="duplicateValues" dxfId="123" priority="134"/>
  </conditionalFormatting>
  <conditionalFormatting sqref="A699">
    <cfRule type="duplicateValues" dxfId="122" priority="133"/>
  </conditionalFormatting>
  <conditionalFormatting sqref="A700">
    <cfRule type="duplicateValues" dxfId="121" priority="132"/>
  </conditionalFormatting>
  <conditionalFormatting sqref="A705">
    <cfRule type="duplicateValues" dxfId="120" priority="131"/>
  </conditionalFormatting>
  <conditionalFormatting sqref="A706">
    <cfRule type="duplicateValues" dxfId="119" priority="130"/>
  </conditionalFormatting>
  <conditionalFormatting sqref="A707">
    <cfRule type="duplicateValues" dxfId="118" priority="129"/>
  </conditionalFormatting>
  <conditionalFormatting sqref="A708">
    <cfRule type="duplicateValues" dxfId="117" priority="128"/>
  </conditionalFormatting>
  <conditionalFormatting sqref="A709">
    <cfRule type="duplicateValues" dxfId="116" priority="127"/>
  </conditionalFormatting>
  <conditionalFormatting sqref="A710">
    <cfRule type="duplicateValues" dxfId="115" priority="126"/>
  </conditionalFormatting>
  <conditionalFormatting sqref="A711">
    <cfRule type="duplicateValues" dxfId="114" priority="125"/>
  </conditionalFormatting>
  <conditionalFormatting sqref="A712">
    <cfRule type="duplicateValues" dxfId="113" priority="124"/>
  </conditionalFormatting>
  <conditionalFormatting sqref="A713">
    <cfRule type="duplicateValues" dxfId="112" priority="123"/>
  </conditionalFormatting>
  <conditionalFormatting sqref="A714">
    <cfRule type="duplicateValues" dxfId="111" priority="122"/>
  </conditionalFormatting>
  <conditionalFormatting sqref="A729">
    <cfRule type="duplicateValues" dxfId="110" priority="121"/>
  </conditionalFormatting>
  <conditionalFormatting sqref="A730">
    <cfRule type="duplicateValues" dxfId="109" priority="120"/>
  </conditionalFormatting>
  <conditionalFormatting sqref="A731">
    <cfRule type="duplicateValues" dxfId="108" priority="119"/>
  </conditionalFormatting>
  <conditionalFormatting sqref="A732">
    <cfRule type="duplicateValues" dxfId="107" priority="118"/>
  </conditionalFormatting>
  <conditionalFormatting sqref="A733">
    <cfRule type="duplicateValues" dxfId="106" priority="117"/>
  </conditionalFormatting>
  <conditionalFormatting sqref="A734">
    <cfRule type="duplicateValues" dxfId="105" priority="116"/>
  </conditionalFormatting>
  <conditionalFormatting sqref="A735">
    <cfRule type="duplicateValues" dxfId="104" priority="115"/>
  </conditionalFormatting>
  <conditionalFormatting sqref="A736">
    <cfRule type="duplicateValues" dxfId="103" priority="114"/>
  </conditionalFormatting>
  <conditionalFormatting sqref="A737">
    <cfRule type="duplicateValues" dxfId="102" priority="113"/>
  </conditionalFormatting>
  <conditionalFormatting sqref="A738">
    <cfRule type="duplicateValues" dxfId="101" priority="112"/>
  </conditionalFormatting>
  <conditionalFormatting sqref="A728">
    <cfRule type="duplicateValues" dxfId="100" priority="111"/>
  </conditionalFormatting>
  <conditionalFormatting sqref="A32">
    <cfRule type="duplicateValues" dxfId="99" priority="110"/>
  </conditionalFormatting>
  <conditionalFormatting sqref="A33">
    <cfRule type="duplicateValues" dxfId="98" priority="109"/>
  </conditionalFormatting>
  <conditionalFormatting sqref="A34">
    <cfRule type="duplicateValues" dxfId="97" priority="108"/>
  </conditionalFormatting>
  <conditionalFormatting sqref="A35">
    <cfRule type="duplicateValues" dxfId="96" priority="107"/>
  </conditionalFormatting>
  <conditionalFormatting sqref="A36">
    <cfRule type="duplicateValues" dxfId="95" priority="106"/>
  </conditionalFormatting>
  <conditionalFormatting sqref="A37">
    <cfRule type="duplicateValues" dxfId="94" priority="105"/>
  </conditionalFormatting>
  <conditionalFormatting sqref="A38">
    <cfRule type="duplicateValues" dxfId="93" priority="104"/>
  </conditionalFormatting>
  <conditionalFormatting sqref="A39">
    <cfRule type="duplicateValues" dxfId="92" priority="103"/>
  </conditionalFormatting>
  <conditionalFormatting sqref="A40">
    <cfRule type="duplicateValues" dxfId="91" priority="102"/>
  </conditionalFormatting>
  <conditionalFormatting sqref="A41">
    <cfRule type="duplicateValues" dxfId="90" priority="101"/>
  </conditionalFormatting>
  <conditionalFormatting sqref="A47">
    <cfRule type="duplicateValues" dxfId="89" priority="100"/>
  </conditionalFormatting>
  <conditionalFormatting sqref="A48">
    <cfRule type="duplicateValues" dxfId="88" priority="99"/>
  </conditionalFormatting>
  <conditionalFormatting sqref="A49">
    <cfRule type="duplicateValues" dxfId="87" priority="98"/>
  </conditionalFormatting>
  <conditionalFormatting sqref="A50">
    <cfRule type="duplicateValues" dxfId="86" priority="97"/>
  </conditionalFormatting>
  <conditionalFormatting sqref="A51">
    <cfRule type="duplicateValues" dxfId="85" priority="96"/>
  </conditionalFormatting>
  <conditionalFormatting sqref="A52">
    <cfRule type="duplicateValues" dxfId="84" priority="95"/>
  </conditionalFormatting>
  <conditionalFormatting sqref="A53">
    <cfRule type="duplicateValues" dxfId="83" priority="94"/>
  </conditionalFormatting>
  <conditionalFormatting sqref="A54">
    <cfRule type="duplicateValues" dxfId="82" priority="93"/>
  </conditionalFormatting>
  <conditionalFormatting sqref="A55">
    <cfRule type="duplicateValues" dxfId="81" priority="92"/>
  </conditionalFormatting>
  <conditionalFormatting sqref="A56">
    <cfRule type="duplicateValues" dxfId="80" priority="91"/>
  </conditionalFormatting>
  <conditionalFormatting sqref="A62">
    <cfRule type="duplicateValues" dxfId="79" priority="90"/>
  </conditionalFormatting>
  <conditionalFormatting sqref="A63">
    <cfRule type="duplicateValues" dxfId="78" priority="89"/>
  </conditionalFormatting>
  <conditionalFormatting sqref="A64">
    <cfRule type="duplicateValues" dxfId="77" priority="88"/>
  </conditionalFormatting>
  <conditionalFormatting sqref="A65">
    <cfRule type="duplicateValues" dxfId="76" priority="87"/>
  </conditionalFormatting>
  <conditionalFormatting sqref="A66">
    <cfRule type="duplicateValues" dxfId="75" priority="86"/>
  </conditionalFormatting>
  <conditionalFormatting sqref="A67">
    <cfRule type="duplicateValues" dxfId="74" priority="85"/>
  </conditionalFormatting>
  <conditionalFormatting sqref="A68">
    <cfRule type="duplicateValues" dxfId="73" priority="84"/>
  </conditionalFormatting>
  <conditionalFormatting sqref="A69">
    <cfRule type="duplicateValues" dxfId="72" priority="83"/>
  </conditionalFormatting>
  <conditionalFormatting sqref="A70">
    <cfRule type="duplicateValues" dxfId="71" priority="82"/>
  </conditionalFormatting>
  <conditionalFormatting sqref="A71">
    <cfRule type="duplicateValues" dxfId="70" priority="81"/>
  </conditionalFormatting>
  <conditionalFormatting sqref="A77">
    <cfRule type="duplicateValues" dxfId="69" priority="80"/>
  </conditionalFormatting>
  <conditionalFormatting sqref="A78">
    <cfRule type="duplicateValues" dxfId="68" priority="79"/>
  </conditionalFormatting>
  <conditionalFormatting sqref="A79">
    <cfRule type="duplicateValues" dxfId="67" priority="78"/>
  </conditionalFormatting>
  <conditionalFormatting sqref="A80">
    <cfRule type="duplicateValues" dxfId="66" priority="77"/>
  </conditionalFormatting>
  <conditionalFormatting sqref="A81">
    <cfRule type="duplicateValues" dxfId="65" priority="76"/>
  </conditionalFormatting>
  <conditionalFormatting sqref="A82">
    <cfRule type="duplicateValues" dxfId="64" priority="75"/>
  </conditionalFormatting>
  <conditionalFormatting sqref="A83">
    <cfRule type="duplicateValues" dxfId="63" priority="74"/>
  </conditionalFormatting>
  <conditionalFormatting sqref="A84">
    <cfRule type="duplicateValues" dxfId="62" priority="73"/>
  </conditionalFormatting>
  <conditionalFormatting sqref="A85">
    <cfRule type="duplicateValues" dxfId="61" priority="72"/>
  </conditionalFormatting>
  <conditionalFormatting sqref="A86">
    <cfRule type="duplicateValues" dxfId="60" priority="71"/>
  </conditionalFormatting>
  <conditionalFormatting sqref="A92">
    <cfRule type="duplicateValues" dxfId="59" priority="70"/>
  </conditionalFormatting>
  <conditionalFormatting sqref="A93">
    <cfRule type="duplicateValues" dxfId="58" priority="69"/>
  </conditionalFormatting>
  <conditionalFormatting sqref="A94">
    <cfRule type="duplicateValues" dxfId="57" priority="68"/>
  </conditionalFormatting>
  <conditionalFormatting sqref="A95">
    <cfRule type="duplicateValues" dxfId="56" priority="67"/>
  </conditionalFormatting>
  <conditionalFormatting sqref="A96">
    <cfRule type="duplicateValues" dxfId="55" priority="66"/>
  </conditionalFormatting>
  <conditionalFormatting sqref="A97">
    <cfRule type="duplicateValues" dxfId="54" priority="65"/>
  </conditionalFormatting>
  <conditionalFormatting sqref="A98">
    <cfRule type="duplicateValues" dxfId="53" priority="64"/>
  </conditionalFormatting>
  <conditionalFormatting sqref="A99">
    <cfRule type="duplicateValues" dxfId="52" priority="63"/>
  </conditionalFormatting>
  <conditionalFormatting sqref="A100">
    <cfRule type="duplicateValues" dxfId="51" priority="62"/>
  </conditionalFormatting>
  <conditionalFormatting sqref="A101">
    <cfRule type="duplicateValues" dxfId="50" priority="61"/>
  </conditionalFormatting>
  <conditionalFormatting sqref="A107">
    <cfRule type="duplicateValues" dxfId="49" priority="60"/>
  </conditionalFormatting>
  <conditionalFormatting sqref="A108">
    <cfRule type="duplicateValues" dxfId="48" priority="59"/>
  </conditionalFormatting>
  <conditionalFormatting sqref="A109">
    <cfRule type="duplicateValues" dxfId="47" priority="58"/>
  </conditionalFormatting>
  <conditionalFormatting sqref="A110">
    <cfRule type="duplicateValues" dxfId="46" priority="57"/>
  </conditionalFormatting>
  <conditionalFormatting sqref="A111">
    <cfRule type="duplicateValues" dxfId="45" priority="56"/>
  </conditionalFormatting>
  <conditionalFormatting sqref="A112">
    <cfRule type="duplicateValues" dxfId="44" priority="55"/>
  </conditionalFormatting>
  <conditionalFormatting sqref="A113">
    <cfRule type="duplicateValues" dxfId="43" priority="54"/>
  </conditionalFormatting>
  <conditionalFormatting sqref="A114">
    <cfRule type="duplicateValues" dxfId="42" priority="53"/>
  </conditionalFormatting>
  <conditionalFormatting sqref="A115">
    <cfRule type="duplicateValues" dxfId="41" priority="52"/>
  </conditionalFormatting>
  <conditionalFormatting sqref="A116">
    <cfRule type="duplicateValues" dxfId="40" priority="51"/>
  </conditionalFormatting>
  <conditionalFormatting sqref="A122">
    <cfRule type="duplicateValues" dxfId="39" priority="50"/>
  </conditionalFormatting>
  <conditionalFormatting sqref="A123">
    <cfRule type="duplicateValues" dxfId="38" priority="49"/>
  </conditionalFormatting>
  <conditionalFormatting sqref="A124">
    <cfRule type="duplicateValues" dxfId="37" priority="48"/>
  </conditionalFormatting>
  <conditionalFormatting sqref="A125">
    <cfRule type="duplicateValues" dxfId="36" priority="47"/>
  </conditionalFormatting>
  <conditionalFormatting sqref="A126">
    <cfRule type="duplicateValues" dxfId="35" priority="46"/>
  </conditionalFormatting>
  <conditionalFormatting sqref="A127">
    <cfRule type="duplicateValues" dxfId="34" priority="45"/>
  </conditionalFormatting>
  <conditionalFormatting sqref="A128">
    <cfRule type="duplicateValues" dxfId="33" priority="44"/>
  </conditionalFormatting>
  <conditionalFormatting sqref="A129">
    <cfRule type="duplicateValues" dxfId="32" priority="43"/>
  </conditionalFormatting>
  <conditionalFormatting sqref="A130">
    <cfRule type="duplicateValues" dxfId="31" priority="42"/>
  </conditionalFormatting>
  <conditionalFormatting sqref="A131">
    <cfRule type="duplicateValues" dxfId="30" priority="41"/>
  </conditionalFormatting>
  <conditionalFormatting sqref="A137">
    <cfRule type="duplicateValues" dxfId="29" priority="40"/>
  </conditionalFormatting>
  <conditionalFormatting sqref="A138">
    <cfRule type="duplicateValues" dxfId="28" priority="39"/>
  </conditionalFormatting>
  <conditionalFormatting sqref="A139">
    <cfRule type="duplicateValues" dxfId="27" priority="38"/>
  </conditionalFormatting>
  <conditionalFormatting sqref="A140">
    <cfRule type="duplicateValues" dxfId="26" priority="37"/>
  </conditionalFormatting>
  <conditionalFormatting sqref="A141">
    <cfRule type="duplicateValues" dxfId="25" priority="36"/>
  </conditionalFormatting>
  <conditionalFormatting sqref="A142">
    <cfRule type="duplicateValues" dxfId="24" priority="35"/>
  </conditionalFormatting>
  <conditionalFormatting sqref="A143">
    <cfRule type="duplicateValues" dxfId="23" priority="34"/>
  </conditionalFormatting>
  <conditionalFormatting sqref="A144">
    <cfRule type="duplicateValues" dxfId="22" priority="33"/>
  </conditionalFormatting>
  <conditionalFormatting sqref="A145">
    <cfRule type="duplicateValues" dxfId="21" priority="32"/>
  </conditionalFormatting>
  <conditionalFormatting sqref="A146">
    <cfRule type="duplicateValues" dxfId="20" priority="31"/>
  </conditionalFormatting>
  <conditionalFormatting sqref="A152">
    <cfRule type="duplicateValues" dxfId="19" priority="30"/>
  </conditionalFormatting>
  <conditionalFormatting sqref="A153">
    <cfRule type="duplicateValues" dxfId="18" priority="29"/>
  </conditionalFormatting>
  <conditionalFormatting sqref="A154">
    <cfRule type="duplicateValues" dxfId="17" priority="28"/>
  </conditionalFormatting>
  <conditionalFormatting sqref="A155">
    <cfRule type="duplicateValues" dxfId="16" priority="27"/>
  </conditionalFormatting>
  <conditionalFormatting sqref="A156">
    <cfRule type="duplicateValues" dxfId="15" priority="26"/>
  </conditionalFormatting>
  <conditionalFormatting sqref="A157">
    <cfRule type="duplicateValues" dxfId="14" priority="25"/>
  </conditionalFormatting>
  <conditionalFormatting sqref="A158">
    <cfRule type="duplicateValues" dxfId="13" priority="24"/>
  </conditionalFormatting>
  <conditionalFormatting sqref="A159">
    <cfRule type="duplicateValues" dxfId="12" priority="23"/>
  </conditionalFormatting>
  <conditionalFormatting sqref="A160">
    <cfRule type="duplicateValues" dxfId="11" priority="22"/>
  </conditionalFormatting>
  <conditionalFormatting sqref="A161">
    <cfRule type="duplicateValues" dxfId="10" priority="21"/>
  </conditionalFormatting>
  <conditionalFormatting sqref="A177">
    <cfRule type="duplicateValues" dxfId="9" priority="10"/>
  </conditionalFormatting>
  <conditionalFormatting sqref="A178">
    <cfRule type="duplicateValues" dxfId="8" priority="9"/>
  </conditionalFormatting>
  <conditionalFormatting sqref="A179">
    <cfRule type="duplicateValues" dxfId="7" priority="8"/>
  </conditionalFormatting>
  <conditionalFormatting sqref="A180">
    <cfRule type="duplicateValues" dxfId="6" priority="7"/>
  </conditionalFormatting>
  <conditionalFormatting sqref="A181">
    <cfRule type="duplicateValues" dxfId="5" priority="6"/>
  </conditionalFormatting>
  <conditionalFormatting sqref="A182">
    <cfRule type="duplicateValues" dxfId="4" priority="5"/>
  </conditionalFormatting>
  <conditionalFormatting sqref="A183">
    <cfRule type="duplicateValues" dxfId="3" priority="4"/>
  </conditionalFormatting>
  <conditionalFormatting sqref="A184">
    <cfRule type="duplicateValues" dxfId="2" priority="3"/>
  </conditionalFormatting>
  <conditionalFormatting sqref="A185">
    <cfRule type="duplicateValues" dxfId="1" priority="2"/>
  </conditionalFormatting>
  <conditionalFormatting sqref="A186">
    <cfRule type="duplicateValues" dxfId="0" priority="1"/>
  </conditionalFormatting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5D8D-4196-4DA7-8543-DE058D7E705D}">
  <sheetPr>
    <tabColor rgb="FF7030A0"/>
    <pageSetUpPr fitToPage="1"/>
  </sheetPr>
  <dimension ref="A1:Y33"/>
  <sheetViews>
    <sheetView showGridLines="0" zoomScale="100" zoomScaleNormal="100" workbookViewId="0">
      <selection activeCell="A1" sqref="A1"/>
    </sheetView>
  </sheetViews>
  <sheetFormatPr defaultRowHeight="14.4" x14ac:dyDescent="0.3"/>
  <cols>
    <col min="1" max="1" width="9.21875" customWidth="1"/>
    <col min="2" max="12" width="12.77734375" customWidth="1"/>
    <col min="13" max="14" width="13.77734375" customWidth="1"/>
    <col min="15" max="15" width="12.77734375" customWidth="1"/>
    <col min="16" max="18" width="13.77734375" customWidth="1"/>
    <col min="19" max="19" width="10.77734375" customWidth="1"/>
    <col min="21" max="21" width="10.33203125" customWidth="1"/>
    <col min="22" max="22" width="13.77734375" customWidth="1"/>
  </cols>
  <sheetData>
    <row r="1" spans="1:25" ht="16.05" customHeight="1" x14ac:dyDescent="0.3">
      <c r="A1" s="405" t="s">
        <v>90</v>
      </c>
      <c r="B1" s="406"/>
      <c r="C1" s="406"/>
      <c r="D1" s="406"/>
      <c r="E1" s="406"/>
      <c r="F1" s="406"/>
      <c r="G1" s="407"/>
      <c r="I1" s="405" t="s">
        <v>91</v>
      </c>
      <c r="J1" s="406"/>
      <c r="K1" s="406"/>
      <c r="L1" s="406"/>
      <c r="M1" s="406"/>
      <c r="N1" s="407"/>
    </row>
    <row r="2" spans="1:25" ht="16.05" customHeight="1" x14ac:dyDescent="0.3">
      <c r="A2" s="240" t="s">
        <v>7</v>
      </c>
      <c r="B2" s="241"/>
      <c r="C2" s="241"/>
      <c r="D2" s="241"/>
      <c r="E2" s="241"/>
      <c r="F2" s="241"/>
      <c r="G2" s="241" t="s">
        <v>41</v>
      </c>
      <c r="I2" s="240" t="s">
        <v>7</v>
      </c>
      <c r="J2" s="241"/>
      <c r="K2" s="241"/>
      <c r="L2" s="241"/>
      <c r="M2" s="241"/>
      <c r="N2" s="240" t="s">
        <v>41</v>
      </c>
      <c r="P2" s="345"/>
      <c r="Q2" s="408"/>
      <c r="Y2" s="245"/>
    </row>
    <row r="3" spans="1:25" ht="16.05" customHeight="1" x14ac:dyDescent="0.3">
      <c r="A3" s="246"/>
      <c r="B3" s="287">
        <v>-0.13194444444444442</v>
      </c>
      <c r="C3" s="287">
        <v>7.4074074074074042E-2</v>
      </c>
      <c r="D3" s="287">
        <v>6.0763888888888902E-2</v>
      </c>
      <c r="E3" s="287">
        <v>-0.24074050000000002</v>
      </c>
      <c r="F3" s="287">
        <v>-5.3571428571428555E-2</v>
      </c>
      <c r="G3" s="249">
        <v>2</v>
      </c>
      <c r="I3" s="246"/>
      <c r="J3" s="409">
        <v>-0.37806568533891394</v>
      </c>
      <c r="K3" s="409">
        <v>-0.67699741026567173</v>
      </c>
      <c r="L3" s="409">
        <v>-1.3589807460522612</v>
      </c>
      <c r="M3" s="409">
        <v>-1.9056239248799161</v>
      </c>
      <c r="N3" s="249">
        <v>2</v>
      </c>
      <c r="P3" s="259"/>
      <c r="Q3" s="301">
        <v>5</v>
      </c>
    </row>
    <row r="4" spans="1:25" ht="16.05" customHeight="1" x14ac:dyDescent="0.3">
      <c r="A4" s="246"/>
      <c r="B4" s="287">
        <v>6.5972222222222224E-2</v>
      </c>
      <c r="C4" s="287">
        <v>7.4074074074074042E-2</v>
      </c>
      <c r="D4" s="287">
        <v>6.0763888888888923E-2</v>
      </c>
      <c r="E4" s="287">
        <v>0.24074050000000002</v>
      </c>
      <c r="F4" s="287">
        <v>-5.3571428571428555E-2</v>
      </c>
      <c r="G4" s="249">
        <v>1</v>
      </c>
      <c r="I4" s="246"/>
      <c r="J4" s="409">
        <v>0.40872845598398955</v>
      </c>
      <c r="K4" s="409">
        <v>0.69225411753175969</v>
      </c>
      <c r="L4" s="409">
        <v>1.0973331755196423</v>
      </c>
      <c r="M4" s="409">
        <v>1.1955874992027573</v>
      </c>
      <c r="N4" s="249">
        <v>1</v>
      </c>
    </row>
    <row r="5" spans="1:25" ht="16.05" customHeight="1" x14ac:dyDescent="0.3">
      <c r="A5" s="246"/>
      <c r="B5" s="287">
        <v>6.5972222222222224E-2</v>
      </c>
      <c r="C5" s="287">
        <v>7.4074074074074042E-2</v>
      </c>
      <c r="D5" s="287">
        <v>6.0763888888888923E-2</v>
      </c>
      <c r="E5" s="287">
        <v>-0.24074050000000002</v>
      </c>
      <c r="F5" s="287">
        <v>-5.3571428571428555E-2</v>
      </c>
      <c r="G5" s="249">
        <v>2</v>
      </c>
      <c r="I5" s="246"/>
      <c r="J5" s="409">
        <v>-0.14942741726637135</v>
      </c>
      <c r="K5" s="409">
        <v>-0.41361540108076145</v>
      </c>
      <c r="L5" s="409">
        <v>-1.0620337591921905</v>
      </c>
      <c r="M5" s="409">
        <v>-1.5793807325380578</v>
      </c>
      <c r="N5" s="249">
        <v>2</v>
      </c>
    </row>
    <row r="6" spans="1:25" ht="16.05" customHeight="1" x14ac:dyDescent="0.3">
      <c r="A6" s="246"/>
      <c r="B6" s="287">
        <v>-0.13194444444444442</v>
      </c>
      <c r="C6" s="287">
        <v>7.4074074074074042E-2</v>
      </c>
      <c r="D6" s="287">
        <v>6.0763888888888923E-2</v>
      </c>
      <c r="E6" s="287">
        <v>-0.24074050000000002</v>
      </c>
      <c r="F6" s="287">
        <v>5.3571428571428575E-2</v>
      </c>
      <c r="G6" s="249">
        <v>1</v>
      </c>
      <c r="I6" s="246"/>
      <c r="J6" s="409">
        <v>0.23923915005200891</v>
      </c>
      <c r="K6" s="409">
        <v>0.54607491198125124</v>
      </c>
      <c r="L6" s="409">
        <v>0.55066153579842136</v>
      </c>
      <c r="M6" s="409">
        <v>0.80910908540497495</v>
      </c>
      <c r="N6" s="249">
        <v>1</v>
      </c>
    </row>
    <row r="7" spans="1:25" ht="16.05" customHeight="1" x14ac:dyDescent="0.3">
      <c r="A7" s="246"/>
      <c r="B7" s="287">
        <v>6.5972222222222224E-2</v>
      </c>
      <c r="C7" s="287">
        <v>7.4074074074074042E-2</v>
      </c>
      <c r="D7" s="287">
        <v>6.0763888888888902E-2</v>
      </c>
      <c r="E7" s="287">
        <v>0.24074050000000002</v>
      </c>
      <c r="F7" s="287">
        <v>5.3571428571428575E-2</v>
      </c>
      <c r="G7" s="249">
        <v>1</v>
      </c>
      <c r="I7" s="246"/>
      <c r="J7" s="409">
        <v>0.40872845598398955</v>
      </c>
      <c r="K7" s="409">
        <v>0.69225411753175958</v>
      </c>
      <c r="L7" s="409">
        <v>1.097333175519642</v>
      </c>
      <c r="M7" s="409">
        <v>1.2912243595415676</v>
      </c>
      <c r="N7" s="249">
        <v>1</v>
      </c>
    </row>
    <row r="8" spans="1:25" ht="16.05" customHeight="1" x14ac:dyDescent="0.3">
      <c r="A8" s="246"/>
      <c r="B8" s="287">
        <v>-0.13194444444444442</v>
      </c>
      <c r="C8" s="287">
        <v>7.4074074074074042E-2</v>
      </c>
      <c r="D8" s="287">
        <v>6.0763888888888923E-2</v>
      </c>
      <c r="E8" s="287">
        <v>0.24074050000000002</v>
      </c>
      <c r="F8" s="287">
        <v>-5.3571428571428555E-2</v>
      </c>
      <c r="G8" s="249">
        <v>1</v>
      </c>
      <c r="I8" s="246"/>
      <c r="J8" s="409">
        <v>0.23923915005200891</v>
      </c>
      <c r="K8" s="409">
        <v>0.54607491198125124</v>
      </c>
      <c r="L8" s="409">
        <v>0.96858288142615678</v>
      </c>
      <c r="M8" s="409">
        <v>1.0814390907557363</v>
      </c>
      <c r="N8" s="249">
        <v>1</v>
      </c>
    </row>
    <row r="9" spans="1:25" ht="16.05" customHeight="1" x14ac:dyDescent="0.3">
      <c r="A9" s="246"/>
      <c r="B9" s="287">
        <v>6.5972222222222224E-2</v>
      </c>
      <c r="C9" s="287">
        <v>-7.4074074074074056E-2</v>
      </c>
      <c r="D9" s="287">
        <v>-0.12152777777777779</v>
      </c>
      <c r="E9" s="287">
        <v>-0.24074050000000002</v>
      </c>
      <c r="F9" s="287">
        <v>5.3571428571428575E-2</v>
      </c>
      <c r="G9" s="249">
        <v>2</v>
      </c>
      <c r="I9" s="246"/>
      <c r="J9" s="409">
        <v>-0.32058777621177315</v>
      </c>
      <c r="K9" s="409">
        <v>-0.82013350598256329</v>
      </c>
      <c r="L9" s="409">
        <v>-1.5186565413621942</v>
      </c>
      <c r="M9" s="409">
        <v>-1.9627811825322841</v>
      </c>
      <c r="N9" s="249">
        <v>2</v>
      </c>
    </row>
    <row r="10" spans="1:25" ht="16.05" customHeight="1" x14ac:dyDescent="0.3">
      <c r="A10" s="246"/>
      <c r="B10" s="287">
        <v>-0.13194444444444442</v>
      </c>
      <c r="C10" s="287">
        <v>7.4074074074074042E-2</v>
      </c>
      <c r="D10" s="287">
        <v>6.0763888888888923E-2</v>
      </c>
      <c r="E10" s="287">
        <v>0.24074050000000002</v>
      </c>
      <c r="F10" s="287">
        <v>5.3571428571428575E-2</v>
      </c>
      <c r="G10" s="249">
        <v>2</v>
      </c>
      <c r="I10" s="246"/>
      <c r="J10" s="409">
        <v>-0.37806568533891394</v>
      </c>
      <c r="K10" s="409">
        <v>-0.67699741026567162</v>
      </c>
      <c r="L10" s="409">
        <v>-0.81342787967727681</v>
      </c>
      <c r="M10" s="409">
        <v>-1.1814449898616624</v>
      </c>
      <c r="N10" s="249">
        <v>2</v>
      </c>
    </row>
    <row r="11" spans="1:25" ht="16.05" customHeight="1" x14ac:dyDescent="0.3">
      <c r="A11" s="246"/>
      <c r="B11" s="287">
        <v>-0.13194444444444442</v>
      </c>
      <c r="C11" s="287">
        <v>7.4074074074074042E-2</v>
      </c>
      <c r="D11" s="287">
        <v>6.0763888888888923E-2</v>
      </c>
      <c r="E11" s="287">
        <v>-0.24074050000000002</v>
      </c>
      <c r="F11" s="287">
        <v>-5.3571428571428555E-2</v>
      </c>
      <c r="G11" s="249">
        <v>2</v>
      </c>
      <c r="I11" s="246"/>
      <c r="J11" s="409">
        <v>-0.37806568533891394</v>
      </c>
      <c r="K11" s="409">
        <v>-0.67699741026567162</v>
      </c>
      <c r="L11" s="409">
        <v>-1.3589807460522612</v>
      </c>
      <c r="M11" s="409">
        <v>-1.9056239248799161</v>
      </c>
      <c r="N11" s="249">
        <v>2</v>
      </c>
    </row>
    <row r="12" spans="1:25" ht="16.05" customHeight="1" x14ac:dyDescent="0.3">
      <c r="A12" s="246"/>
      <c r="B12" s="287">
        <v>-0.13194444444444442</v>
      </c>
      <c r="C12" s="287">
        <v>7.4074074074074042E-2</v>
      </c>
      <c r="D12" s="287">
        <v>6.0763888888888923E-2</v>
      </c>
      <c r="E12" s="287">
        <v>-0.24074050000000002</v>
      </c>
      <c r="F12" s="287">
        <v>-5.3571428571428555E-2</v>
      </c>
      <c r="G12" s="249">
        <v>2</v>
      </c>
      <c r="I12" s="246"/>
      <c r="J12" s="409">
        <v>-0.37806568533891394</v>
      </c>
      <c r="K12" s="409">
        <v>-0.67699741026567162</v>
      </c>
      <c r="L12" s="409">
        <v>-1.3589807460522612</v>
      </c>
      <c r="M12" s="409">
        <v>-1.9056239248799161</v>
      </c>
      <c r="N12" s="249">
        <v>2</v>
      </c>
    </row>
    <row r="13" spans="1:25" ht="16.05" customHeight="1" x14ac:dyDescent="0.3">
      <c r="A13" s="244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</row>
    <row r="14" spans="1:25" ht="16.05" customHeight="1" x14ac:dyDescent="0.3">
      <c r="B14" s="250" t="s">
        <v>88</v>
      </c>
      <c r="C14" s="250"/>
      <c r="D14" s="250"/>
      <c r="E14" s="410">
        <v>5</v>
      </c>
      <c r="G14" s="244"/>
      <c r="J14" s="411" t="s">
        <v>89</v>
      </c>
      <c r="K14" s="412"/>
      <c r="L14" s="413"/>
      <c r="M14" s="414">
        <v>4</v>
      </c>
      <c r="O14" s="244"/>
      <c r="P14" s="244"/>
    </row>
    <row r="15" spans="1:25" ht="13.95" customHeight="1" x14ac:dyDescent="0.3"/>
    <row r="16" spans="1:25" ht="13.95" customHeight="1" x14ac:dyDescent="0.3"/>
    <row r="17" spans="1:19" ht="13.95" customHeight="1" x14ac:dyDescent="0.3">
      <c r="A17" s="244"/>
      <c r="G17" s="244"/>
      <c r="H17" s="244"/>
      <c r="I17" s="244"/>
      <c r="J17" s="244"/>
      <c r="K17" s="244"/>
      <c r="Q17" s="244"/>
      <c r="R17" s="244"/>
      <c r="S17" s="244"/>
    </row>
    <row r="18" spans="1:19" ht="16.05" customHeight="1" x14ac:dyDescent="0.3">
      <c r="A18" s="244"/>
      <c r="B18" s="244"/>
      <c r="E18" s="415"/>
      <c r="F18" s="416"/>
      <c r="G18" s="417"/>
      <c r="H18" s="244"/>
      <c r="I18" s="244"/>
      <c r="J18" s="244"/>
    </row>
    <row r="19" spans="1:19" ht="16.05" customHeight="1" x14ac:dyDescent="0.3">
      <c r="E19" s="418"/>
      <c r="F19" s="419"/>
      <c r="G19" s="420"/>
      <c r="I19" s="244"/>
      <c r="J19" s="244"/>
    </row>
    <row r="20" spans="1:19" ht="16.05" customHeight="1" x14ac:dyDescent="0.3">
      <c r="I20" s="244"/>
      <c r="J20" s="244"/>
    </row>
    <row r="21" spans="1:19" ht="16.05" customHeight="1" x14ac:dyDescent="0.3">
      <c r="A21" s="405" t="s">
        <v>92</v>
      </c>
      <c r="B21" s="406"/>
      <c r="C21" s="406"/>
      <c r="D21" s="406"/>
      <c r="E21" s="406"/>
      <c r="F21" s="406"/>
      <c r="G21" s="406"/>
      <c r="H21" s="406"/>
      <c r="I21" s="406"/>
      <c r="J21" s="406"/>
      <c r="K21" s="407"/>
    </row>
    <row r="22" spans="1:19" ht="16.05" customHeight="1" x14ac:dyDescent="0.3">
      <c r="A22" s="240" t="s">
        <v>7</v>
      </c>
      <c r="B22" s="241"/>
      <c r="C22" s="241"/>
      <c r="D22" s="241"/>
      <c r="E22" s="241"/>
      <c r="F22" s="241"/>
      <c r="G22" s="241"/>
      <c r="H22" s="241"/>
      <c r="I22" s="241"/>
      <c r="J22" s="241"/>
      <c r="K22" s="240" t="s">
        <v>41</v>
      </c>
      <c r="M22" s="242" t="s">
        <v>45</v>
      </c>
      <c r="N22" s="243"/>
      <c r="O22" s="244"/>
    </row>
    <row r="23" spans="1:19" ht="16.05" customHeight="1" x14ac:dyDescent="0.3">
      <c r="A23" s="246"/>
      <c r="B23" s="287">
        <v>-0.13194444444444442</v>
      </c>
      <c r="C23" s="287">
        <v>7.4074074074074042E-2</v>
      </c>
      <c r="D23" s="287">
        <v>6.0763888888888902E-2</v>
      </c>
      <c r="E23" s="287">
        <v>-0.24074050000000002</v>
      </c>
      <c r="F23" s="287">
        <v>-5.3571428571428555E-2</v>
      </c>
      <c r="G23" s="409">
        <v>-0.37806568533891394</v>
      </c>
      <c r="H23" s="409">
        <v>-0.67699741026567173</v>
      </c>
      <c r="I23" s="409">
        <v>-1.3589807460522612</v>
      </c>
      <c r="J23" s="409">
        <v>-1.9056239248799161</v>
      </c>
      <c r="K23" s="249">
        <v>2</v>
      </c>
      <c r="M23" s="242" t="s">
        <v>42</v>
      </c>
      <c r="N23" s="244"/>
      <c r="O23" s="244"/>
    </row>
    <row r="24" spans="1:19" ht="16.05" customHeight="1" x14ac:dyDescent="0.3">
      <c r="A24" s="246"/>
      <c r="B24" s="287">
        <v>6.5972222222222224E-2</v>
      </c>
      <c r="C24" s="287">
        <v>7.4074074074074042E-2</v>
      </c>
      <c r="D24" s="287">
        <v>6.0763888888888923E-2</v>
      </c>
      <c r="E24" s="287">
        <v>0.24074050000000002</v>
      </c>
      <c r="F24" s="287">
        <v>-5.3571428571428555E-2</v>
      </c>
      <c r="G24" s="409">
        <v>0.40872845598398955</v>
      </c>
      <c r="H24" s="409">
        <v>0.69225411753175969</v>
      </c>
      <c r="I24" s="409">
        <v>1.0973331755196423</v>
      </c>
      <c r="J24" s="409">
        <v>1.1955874992027573</v>
      </c>
      <c r="K24" s="249">
        <v>1</v>
      </c>
      <c r="M24" s="244"/>
      <c r="N24" s="244"/>
      <c r="O24" s="244"/>
    </row>
    <row r="25" spans="1:19" ht="16.05" customHeight="1" x14ac:dyDescent="0.3">
      <c r="A25" s="246"/>
      <c r="B25" s="287">
        <v>6.5972222222222224E-2</v>
      </c>
      <c r="C25" s="287">
        <v>7.4074074074074042E-2</v>
      </c>
      <c r="D25" s="287">
        <v>6.0763888888888923E-2</v>
      </c>
      <c r="E25" s="287">
        <v>-0.24074050000000002</v>
      </c>
      <c r="F25" s="287">
        <v>-5.3571428571428555E-2</v>
      </c>
      <c r="G25" s="409">
        <v>-0.14942741726637135</v>
      </c>
      <c r="H25" s="409">
        <v>-0.41361540108076145</v>
      </c>
      <c r="I25" s="409">
        <v>-1.0620337591921905</v>
      </c>
      <c r="J25" s="409">
        <v>-1.5793807325380578</v>
      </c>
      <c r="K25" s="249">
        <v>2</v>
      </c>
      <c r="M25" s="421" t="s">
        <v>94</v>
      </c>
      <c r="N25" s="422"/>
    </row>
    <row r="26" spans="1:19" ht="16.05" customHeight="1" x14ac:dyDescent="0.3">
      <c r="A26" s="246"/>
      <c r="B26" s="287">
        <v>-0.13194444444444442</v>
      </c>
      <c r="C26" s="287">
        <v>7.4074074074074042E-2</v>
      </c>
      <c r="D26" s="287">
        <v>6.0763888888888923E-2</v>
      </c>
      <c r="E26" s="287">
        <v>-0.24074050000000002</v>
      </c>
      <c r="F26" s="287">
        <v>5.3571428571428575E-2</v>
      </c>
      <c r="G26" s="409">
        <v>0.23923915005200891</v>
      </c>
      <c r="H26" s="409">
        <v>0.54607491198125124</v>
      </c>
      <c r="I26" s="409">
        <v>0.55066153579842136</v>
      </c>
      <c r="J26" s="409">
        <v>0.80910908540497495</v>
      </c>
      <c r="K26" s="249">
        <v>1</v>
      </c>
      <c r="M26" s="423" t="s">
        <v>93</v>
      </c>
      <c r="N26" s="424"/>
    </row>
    <row r="27" spans="1:19" ht="16.05" customHeight="1" x14ac:dyDescent="0.3">
      <c r="A27" s="246"/>
      <c r="B27" s="287">
        <v>6.5972222222222224E-2</v>
      </c>
      <c r="C27" s="287">
        <v>7.4074074074074042E-2</v>
      </c>
      <c r="D27" s="287">
        <v>6.0763888888888902E-2</v>
      </c>
      <c r="E27" s="287">
        <v>0.24074050000000002</v>
      </c>
      <c r="F27" s="287">
        <v>5.3571428571428575E-2</v>
      </c>
      <c r="G27" s="409">
        <v>0.40872845598398955</v>
      </c>
      <c r="H27" s="409">
        <v>0.69225411753175958</v>
      </c>
      <c r="I27" s="409">
        <v>1.097333175519642</v>
      </c>
      <c r="J27" s="409">
        <v>1.2912243595415676</v>
      </c>
      <c r="K27" s="249">
        <v>1</v>
      </c>
    </row>
    <row r="28" spans="1:19" ht="16.05" customHeight="1" x14ac:dyDescent="0.3">
      <c r="A28" s="246"/>
      <c r="B28" s="287">
        <v>-0.13194444444444442</v>
      </c>
      <c r="C28" s="287">
        <v>7.4074074074074042E-2</v>
      </c>
      <c r="D28" s="287">
        <v>6.0763888888888923E-2</v>
      </c>
      <c r="E28" s="287">
        <v>0.24074050000000002</v>
      </c>
      <c r="F28" s="287">
        <v>-5.3571428571428555E-2</v>
      </c>
      <c r="G28" s="409">
        <v>0.23923915005200891</v>
      </c>
      <c r="H28" s="409">
        <v>0.54607491198125124</v>
      </c>
      <c r="I28" s="409">
        <v>0.96858288142615678</v>
      </c>
      <c r="J28" s="409">
        <v>1.0814390907557363</v>
      </c>
      <c r="K28" s="249">
        <v>1</v>
      </c>
    </row>
    <row r="29" spans="1:19" ht="16.05" customHeight="1" x14ac:dyDescent="0.3">
      <c r="A29" s="246"/>
      <c r="B29" s="287">
        <v>6.5972222222222224E-2</v>
      </c>
      <c r="C29" s="287">
        <v>-7.4074074074074056E-2</v>
      </c>
      <c r="D29" s="287">
        <v>-0.12152777777777779</v>
      </c>
      <c r="E29" s="287">
        <v>-0.24074050000000002</v>
      </c>
      <c r="F29" s="287">
        <v>5.3571428571428575E-2</v>
      </c>
      <c r="G29" s="409">
        <v>-0.32058777621177315</v>
      </c>
      <c r="H29" s="409">
        <v>-0.82013350598256329</v>
      </c>
      <c r="I29" s="409">
        <v>-1.5186565413621942</v>
      </c>
      <c r="J29" s="409">
        <v>-1.9627811825322841</v>
      </c>
      <c r="K29" s="249">
        <v>2</v>
      </c>
    </row>
    <row r="30" spans="1:19" ht="16.05" customHeight="1" x14ac:dyDescent="0.3">
      <c r="A30" s="246"/>
      <c r="B30" s="287">
        <v>-0.13194444444444442</v>
      </c>
      <c r="C30" s="287">
        <v>7.4074074074074042E-2</v>
      </c>
      <c r="D30" s="287">
        <v>6.0763888888888923E-2</v>
      </c>
      <c r="E30" s="287">
        <v>0.24074050000000002</v>
      </c>
      <c r="F30" s="287">
        <v>5.3571428571428575E-2</v>
      </c>
      <c r="G30" s="409">
        <v>-0.37806568533891394</v>
      </c>
      <c r="H30" s="409">
        <v>-0.67699741026567162</v>
      </c>
      <c r="I30" s="409">
        <v>-0.81342787967727681</v>
      </c>
      <c r="J30" s="409">
        <v>-1.1814449898616624</v>
      </c>
      <c r="K30" s="249">
        <v>2</v>
      </c>
    </row>
    <row r="31" spans="1:19" ht="16.05" customHeight="1" x14ac:dyDescent="0.3">
      <c r="A31" s="246"/>
      <c r="B31" s="287">
        <v>-0.13194444444444442</v>
      </c>
      <c r="C31" s="287">
        <v>7.4074074074074042E-2</v>
      </c>
      <c r="D31" s="287">
        <v>6.0763888888888923E-2</v>
      </c>
      <c r="E31" s="287">
        <v>-0.24074050000000002</v>
      </c>
      <c r="F31" s="287">
        <v>-5.3571428571428555E-2</v>
      </c>
      <c r="G31" s="409">
        <v>-0.37806568533891394</v>
      </c>
      <c r="H31" s="409">
        <v>-0.67699741026567162</v>
      </c>
      <c r="I31" s="409">
        <v>-1.3589807460522612</v>
      </c>
      <c r="J31" s="409">
        <v>-1.9056239248799161</v>
      </c>
      <c r="K31" s="249">
        <v>2</v>
      </c>
    </row>
    <row r="32" spans="1:19" ht="16.05" customHeight="1" x14ac:dyDescent="0.3">
      <c r="A32" s="246"/>
      <c r="B32" s="287">
        <v>-0.13194444444444442</v>
      </c>
      <c r="C32" s="287">
        <v>7.4074074074074042E-2</v>
      </c>
      <c r="D32" s="287">
        <v>6.0763888888888923E-2</v>
      </c>
      <c r="E32" s="287">
        <v>-0.24074050000000002</v>
      </c>
      <c r="F32" s="287">
        <v>-5.3571428571428555E-2</v>
      </c>
      <c r="G32" s="409">
        <v>-0.37806568533891394</v>
      </c>
      <c r="H32" s="409">
        <v>-0.67699741026567162</v>
      </c>
      <c r="I32" s="409">
        <v>-1.3589807460522612</v>
      </c>
      <c r="J32" s="409">
        <v>-1.9056239248799161</v>
      </c>
      <c r="K32" s="249">
        <v>2</v>
      </c>
    </row>
    <row r="33" spans="1:15" ht="15.6" x14ac:dyDescent="0.3">
      <c r="A33" s="244"/>
      <c r="O33" s="244"/>
    </row>
  </sheetData>
  <mergeCells count="8">
    <mergeCell ref="A21:K21"/>
    <mergeCell ref="M26:N26"/>
    <mergeCell ref="M25:N25"/>
    <mergeCell ref="A1:G1"/>
    <mergeCell ref="I1:N1"/>
    <mergeCell ref="E18:G19"/>
    <mergeCell ref="B14:D14"/>
    <mergeCell ref="J14:L14"/>
  </mergeCells>
  <printOptions horizontalCentered="1"/>
  <pageMargins left="0.4" right="0.4" top="0.7" bottom="0.6" header="0.3" footer="0.3"/>
  <pageSetup paperSize="9" orientation="landscape" fitToWidth="1" fitToHeight="0" r:id="rId1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46"/>
  <sheetViews>
    <sheetView showGridLines="0" tabSelected="1" zoomScale="100" zoomScaleNormal="100" workbookViewId="0">
      <selection activeCell="C7" sqref="C7"/>
    </sheetView>
  </sheetViews>
  <sheetFormatPr defaultRowHeight="14.4"/>
  <cols>
    <col min="1" max="1" width="2.77734375" customWidth="1"/>
    <col min="2" max="2" width="6.77734375" customWidth="1"/>
    <col min="3" max="3" width="40.77734375" customWidth="1"/>
    <col min="4" max="4" width="24.77734375" customWidth="1"/>
    <col min="5" max="5" width="100.77734375" customWidth="1"/>
  </cols>
  <sheetData>
    <row r="1" ht="9" customHeight="1"/>
    <row r="2" ht="40" customHeight="1">
      <c r="B2" s="425" t="inlineStr">
        <is>
          <t xml:space="preserve">Regularized Stacking Ensemble with HAG</t>
        </is>
      </c>
      <c r="C2" s="425"/>
      <c r="D2" s="425"/>
      <c r="E2" s="425"/>
    </row>
    <row r="3" ht="22" customHeight="1">
      <c r="B3" s="426" t="inlineStr">
        <is>
          <t xml:space="preserve">Experiment on the Heart-Disease dataset  ·  10 objects  ·  13 features  ·  2 classes</t>
        </is>
      </c>
    </row>
    <row r="4" ht="10" customHeight="1"/>
    <row r="5" ht="24" customHeight="1">
      <c r="B5" s="427" t="inlineStr">
        <is>
          <t xml:space="preserve">Workbook map</t>
        </is>
      </c>
      <c r="C5" s="427"/>
      <c r="D5" s="427"/>
      <c r="E5" s="427"/>
    </row>
    <row r="6" ht="20" customHeight="1">
      <c r="B6" s="429" t="inlineStr">
        <is>
          <t xml:space="preserve">#</t>
        </is>
      </c>
      <c r="C6" s="428" t="inlineStr">
        <is>
          <t xml:space="preserve">Sheet</t>
        </is>
      </c>
      <c r="D6" s="428" t="inlineStr">
        <is>
          <t xml:space="preserve">Stage</t>
        </is>
      </c>
      <c r="E6" s="428" t="inlineStr">
        <is>
          <t xml:space="preserve">What it contains</t>
        </is>
      </c>
    </row>
    <row r="7" ht="33" customHeight="1">
      <c r="B7" s="430">
        <v>1</v>
      </c>
      <c r="C7" s="433" t="inlineStr">
        <is>
          <t xml:space="preserve">Dataset</t>
        </is>
      </c>
      <c r="D7" s="431" t="inlineStr">
        <is>
          <t xml:space="preserve">1 · Input data</t>
        </is>
      </c>
      <c r="E7" s="431" t="inlineStr">
        <is>
          <t xml:space="preserve">Original sample: 10 objects (S₁–S₁₀) × 13 features (x₁–x₁₃) with class labels (K1 = 4, K2 = 6); feature-type flags (1 = quantitative, 0 = nominal) and the split into 6 quantitative and 7 nominal features.</t>
        </is>
      </c>
    </row>
    <row r="8" ht="33" customHeight="1">
      <c r="B8" s="430">
        <v>2</v>
      </c>
      <c r="C8" s="433" t="inlineStr">
        <is>
          <t xml:space="preserve">Quantitative</t>
        </is>
      </c>
      <c r="D8" s="431" t="inlineStr">
        <is>
          <t xml:space="preserve">2 · Feature analysis</t>
        </is>
      </c>
      <c r="E8" s="431" t="inlineStr">
        <is>
          <t xml:space="preserve">Quantitative features: Criterion 1 boundary values and weights, per-feature class-sorted tables, conversion to a nominal scale, gradations, weights and contributions of gradations, and the features expressed as contribution values.</t>
        </is>
      </c>
    </row>
    <row r="9" ht="33" customHeight="1">
      <c r="B9" s="430">
        <v>3</v>
      </c>
      <c r="C9" s="433" t="inlineStr">
        <is>
          <t xml:space="preserve">Nominal</t>
        </is>
      </c>
      <c r="D9" s="431" t="inlineStr">
        <is>
          <t xml:space="preserve">2 · Feature analysis</t>
        </is>
      </c>
      <c r="E9" s="431" t="inlineStr">
        <is>
          <t xml:space="preserve">Nominal features: class-sorted table, gradations with a helper list, gradation parameters, λ, β and weight ω of each feature, contributions of gradations, and the features expressed as contribution values.</t>
        </is>
      </c>
    </row>
    <row r="10" ht="33" customHeight="1">
      <c r="B10" s="430">
        <v>4</v>
      </c>
      <c r="C10" s="433" t="inlineStr">
        <is>
          <t xml:space="preserve">Dataset (Contribution &amp; Weight)</t>
        </is>
      </c>
      <c r="D10" s="431" t="inlineStr">
        <is>
          <t xml:space="preserve">3 · Weighted dataset</t>
        </is>
      </c>
      <c r="E10" s="431" t="inlineStr">
        <is>
          <t xml:space="preserve">All 13 features expressed as contribution values, with the weight of every feature and its rank (1 = highest weight).</t>
        </is>
      </c>
    </row>
    <row r="11" ht="33" customHeight="1">
      <c r="B11" s="430">
        <v>5</v>
      </c>
      <c r="C11" s="433" t="inlineStr">
        <is>
          <t xml:space="preserve">Greedy upon Weight (1-Latent)</t>
        </is>
      </c>
      <c r="D11" s="431" t="inlineStr">
        <is>
          <t xml:space="preserve">4 · Latent feature 1</t>
        </is>
      </c>
      <c r="E11" s="431" t="inlineStr">
        <is>
          <t xml:space="preserve">Greedy search upon weight: STEP 1 initialisation, STEP 2 selection of the highest-weight feature, STEP 3 generalised assessment of every remaining candidate, and STEP 4 majorizing (sigmoid) function → latent feature 1.</t>
        </is>
      </c>
    </row>
    <row r="12" ht="33" customHeight="1">
      <c r="B12" s="430">
        <v>6</v>
      </c>
      <c r="C12" s="433" t="inlineStr">
        <is>
          <t xml:space="preserve">Greedy upon Weight (2-Latent)</t>
        </is>
      </c>
      <c r="D12" s="431" t="inlineStr">
        <is>
          <t xml:space="preserve">4 · Latent feature 2</t>
        </is>
      </c>
      <c r="E12" s="431" t="inlineStr">
        <is>
          <t xml:space="preserve">Same greedy procedure (STEPS 3–4, majorizing function, STEP 4 check) building latent feature 2.</t>
        </is>
      </c>
    </row>
    <row r="13" ht="33" customHeight="1">
      <c r="B13" s="430">
        <v>7</v>
      </c>
      <c r="C13" s="433" t="inlineStr">
        <is>
          <t xml:space="preserve">Greedy upon Weight (3-Latent)</t>
        </is>
      </c>
      <c r="D13" s="431" t="inlineStr">
        <is>
          <t xml:space="preserve">4 · Latent feature 3</t>
        </is>
      </c>
      <c r="E13" s="431" t="inlineStr">
        <is>
          <t xml:space="preserve">Same greedy procedure (STEPS 3–4, majorizing function, STEP 4 check) building latent feature 3.</t>
        </is>
      </c>
    </row>
    <row r="14" ht="33" customHeight="1">
      <c r="B14" s="430">
        <v>8</v>
      </c>
      <c r="C14" s="433" t="inlineStr">
        <is>
          <t xml:space="preserve">Greedy upon Weight (4-Latent)</t>
        </is>
      </c>
      <c r="D14" s="431" t="inlineStr">
        <is>
          <t xml:space="preserve">4 · Latent feature 4</t>
        </is>
      </c>
      <c r="E14" s="431" t="inlineStr">
        <is>
          <t xml:space="preserve">Same greedy procedure (STEPS 3–4, majorizing function, STEP 4 check) building latent feature 4.</t>
        </is>
      </c>
    </row>
    <row r="15" ht="33" customHeight="1">
      <c r="B15" s="430">
        <v>9</v>
      </c>
      <c r="C15" s="433" t="inlineStr">
        <is>
          <t xml:space="preserve">Dataset for Meta-algorithm</t>
        </is>
      </c>
      <c r="D15" s="431" t="inlineStr">
        <is>
          <t xml:space="preserve">5 · Output</t>
        </is>
      </c>
      <c r="E15" s="431" t="inlineStr">
        <is>
          <t xml:space="preserve">Final dataset for the meta-algorithm: 5 initial features y₀–y₄ (from x₃, x₆, x₁₃, x₄, x₉) and 4 latent features r₁–r₄, with class labels.</t>
        </is>
      </c>
    </row>
    <row r="16" ht="10" customHeight="1"/>
    <row r="17" ht="24" customHeight="1">
      <c r="B17" s="427" t="inlineStr">
        <is>
          <t xml:space="preserve">Key figures</t>
        </is>
      </c>
      <c r="C17" s="427"/>
      <c r="D17" s="427"/>
      <c r="E17" s="427"/>
    </row>
    <row r="18" ht="20" customHeight="1">
      <c r="B18" s="429" t="inlineStr">
        <is>
          <t xml:space="preserve">#</t>
        </is>
      </c>
      <c r="C18" s="428" t="inlineStr">
        <is>
          <t xml:space="preserve">Figure</t>
        </is>
      </c>
      <c r="D18" s="429" t="inlineStr">
        <is>
          <t xml:space="preserve">Value</t>
        </is>
      </c>
      <c r="E18" s="428" t="inlineStr">
        <is>
          <t xml:space="preserve">Linked to</t>
        </is>
      </c>
    </row>
    <row r="19" ht="19" customHeight="1">
      <c r="B19" s="430">
        <v>1</v>
      </c>
      <c r="C19" s="432" t="inlineStr">
        <is>
          <t xml:space="preserve">Objects (samples)</t>
        </is>
      </c>
      <c r="D19" s="434">
        <f>COUNT(Dataset!O3:O12)</f>
        <v>10</v>
      </c>
      <c r="E19" s="435" t="inlineStr">
        <is>
          <t xml:space="preserve">Dataset · O3:O12</t>
        </is>
      </c>
    </row>
    <row r="20" ht="19" customHeight="1">
      <c r="B20" s="430">
        <v>2</v>
      </c>
      <c r="C20" s="432" t="inlineStr">
        <is>
          <t xml:space="preserve">Features in the original dataset</t>
        </is>
      </c>
      <c r="D20" s="434">
        <f>COUNT(Dataset!B3:N3)</f>
        <v>13</v>
      </c>
      <c r="E20" s="435" t="inlineStr">
        <is>
          <t xml:space="preserve">Dataset · B3:N3</t>
        </is>
      </c>
    </row>
    <row r="21" ht="19" customHeight="1">
      <c r="B21" s="430">
        <v>3</v>
      </c>
      <c r="C21" s="432" t="inlineStr">
        <is>
          <t xml:space="preserve">Classes</t>
        </is>
      </c>
      <c r="D21" s="434">
        <f>SUMPRODUCT(1/COUNTIF(Dataset!O3:O12,Dataset!O3:O12))</f>
        <v>2</v>
      </c>
      <c r="E21" s="435" t="inlineStr">
        <is>
          <t xml:space="preserve">Dataset · O3:O12</t>
        </is>
      </c>
    </row>
    <row r="22" ht="19" customHeight="1">
      <c r="B22" s="430">
        <v>4</v>
      </c>
      <c r="C22" s="432" t="inlineStr">
        <is>
          <t xml:space="preserve">Objects in class 1 (K1)</t>
        </is>
      </c>
      <c r="D22" s="434">
        <f>COUNTIF(Dataset!O3:O12,1)</f>
        <v>4</v>
      </c>
      <c r="E22" s="435" t="inlineStr">
        <is>
          <t xml:space="preserve">Dataset · O3:O12</t>
        </is>
      </c>
    </row>
    <row r="23" ht="19" customHeight="1">
      <c r="B23" s="430">
        <v>5</v>
      </c>
      <c r="C23" s="432" t="inlineStr">
        <is>
          <t xml:space="preserve">Objects in class 2 (K2)</t>
        </is>
      </c>
      <c r="D23" s="434">
        <f>COUNTIF(Dataset!O3:O12,2)</f>
        <v>6</v>
      </c>
      <c r="E23" s="435" t="inlineStr">
        <is>
          <t xml:space="preserve">Dataset · O3:O12</t>
        </is>
      </c>
    </row>
    <row r="24" ht="19" customHeight="1">
      <c r="B24" s="430">
        <v>6</v>
      </c>
      <c r="C24" s="432" t="inlineStr">
        <is>
          <t xml:space="preserve">Quantitative features</t>
        </is>
      </c>
      <c r="D24" s="434">
        <f>Dataset!F17</f>
        <v>6</v>
      </c>
      <c r="E24" s="435" t="inlineStr">
        <is>
          <t xml:space="preserve">Dataset · F17</t>
        </is>
      </c>
    </row>
    <row r="25" ht="19" customHeight="1">
      <c r="B25" s="430">
        <v>7</v>
      </c>
      <c r="C25" s="432" t="inlineStr">
        <is>
          <t xml:space="preserve">Nominal features</t>
        </is>
      </c>
      <c r="D25" s="434">
        <f>Dataset!P17</f>
        <v>7</v>
      </c>
      <c r="E25" s="435" t="inlineStr">
        <is>
          <t xml:space="preserve">Dataset · P17</t>
        </is>
      </c>
    </row>
    <row r="26" ht="19" customHeight="1">
      <c r="B26" s="430">
        <v>8</v>
      </c>
      <c r="C26" s="432" t="inlineStr">
        <is>
          <t xml:space="preserve">Initial features kept for the meta-algorithm</t>
        </is>
      </c>
      <c r="D26" s="434">
        <f>'Dataset for Meta-algorithm'!E14</f>
        <v>5</v>
      </c>
      <c r="E26" s="435" t="inlineStr">
        <is>
          <t xml:space="preserve">Dataset for Meta-algorithm · E14</t>
        </is>
      </c>
    </row>
    <row r="27" ht="19" customHeight="1">
      <c r="B27" s="430">
        <v>9</v>
      </c>
      <c r="C27" s="432" t="inlineStr">
        <is>
          <t xml:space="preserve">Latent (additional) features created</t>
        </is>
      </c>
      <c r="D27" s="434">
        <f>'Dataset for Meta-algorithm'!M14</f>
        <v>4</v>
      </c>
      <c r="E27" s="435" t="inlineStr">
        <is>
          <t xml:space="preserve">Dataset for Meta-algorithm · M14</t>
        </is>
      </c>
    </row>
    <row r="28" ht="19" customHeight="1">
      <c r="B28" s="430">
        <v>10</v>
      </c>
      <c r="C28" s="432" t="inlineStr">
        <is>
          <t xml:space="preserve">Features in the meta-dataset</t>
        </is>
      </c>
      <c r="D28" s="434">
        <f>D26+D27</f>
        <v>9</v>
      </c>
      <c r="E28" s="435" t="inlineStr">
        <is>
          <t xml:space="preserve">D26 + D27 (initial kept + latent)</t>
        </is>
      </c>
    </row>
    <row r="29" ht="10" customHeight="1"/>
    <row r="30" ht="24" customHeight="1">
      <c r="B30" s="427" t="inlineStr">
        <is>
          <t xml:space="preserve">Colour legend</t>
        </is>
      </c>
      <c r="C30" s="427"/>
      <c r="D30" s="427"/>
      <c r="E30" s="427"/>
    </row>
    <row r="31" ht="19" customHeight="1">
      <c r="B31" s="437" t="inlineStr">
        <is>
          <t xml:space="preserve">Aa</t>
        </is>
      </c>
      <c r="C31" s="431" t="inlineStr">
        <is>
          <t xml:space="preserve">Sheet title / main table title</t>
        </is>
      </c>
      <c r="D31" s="431"/>
      <c r="E31" s="431"/>
    </row>
    <row r="32" ht="19" customHeight="1">
      <c r="B32" s="429" t="inlineStr">
        <is>
          <t xml:space="preserve">Aa</t>
        </is>
      </c>
      <c r="C32" s="431" t="inlineStr">
        <is>
          <t xml:space="preserve">Section title, STEP box</t>
        </is>
      </c>
      <c r="D32" s="431"/>
      <c r="E32" s="431"/>
    </row>
    <row r="33" ht="19" customHeight="1">
      <c r="B33" s="438" t="inlineStr">
        <is>
          <t xml:space="preserve">Aa</t>
        </is>
      </c>
      <c r="C33" s="431" t="inlineStr">
        <is>
          <t xml:space="preserve">Column header (feature symbols x₁…x₁₃, y, r, …)</t>
        </is>
      </c>
      <c r="D33" s="431"/>
      <c r="E33" s="431"/>
    </row>
    <row r="34" ht="19" customHeight="1">
      <c r="B34" s="439" t="inlineStr">
        <is>
          <t xml:space="preserve">Aa</t>
        </is>
      </c>
      <c r="C34" s="431" t="inlineStr">
        <is>
          <t xml:space="preserve">Object label S₁…S₁₀ and row captions</t>
        </is>
      </c>
      <c r="D34" s="431"/>
      <c r="E34" s="431"/>
    </row>
    <row r="35" ht="19" customHeight="1">
      <c r="B35" s="440" t="inlineStr">
        <is>
          <t xml:space="preserve">Aa</t>
        </is>
      </c>
      <c r="C35" s="431" t="inlineStr">
        <is>
          <t xml:space="preserve">Quantitative feature values</t>
        </is>
      </c>
      <c r="D35" s="431"/>
      <c r="E35" s="431"/>
    </row>
    <row r="36" ht="19" customHeight="1">
      <c r="B36" s="441" t="inlineStr">
        <is>
          <t xml:space="preserve">Aa</t>
        </is>
      </c>
      <c r="C36" s="431" t="inlineStr">
        <is>
          <t xml:space="preserve">Nominal feature values</t>
        </is>
      </c>
      <c r="D36" s="431"/>
      <c r="E36" s="431"/>
    </row>
    <row r="37" ht="19" customHeight="1">
      <c r="B37" s="442" t="inlineStr">
        <is>
          <t xml:space="preserve">Aa</t>
        </is>
      </c>
      <c r="C37" s="431" t="inlineStr">
        <is>
          <t xml:space="preserve">Class label (1 / 2)</t>
        </is>
      </c>
      <c r="D37" s="431"/>
      <c r="E37" s="431"/>
    </row>
    <row r="38" ht="19" customHeight="1">
      <c r="B38" s="443" t="inlineStr">
        <is>
          <t xml:space="preserve">Aa</t>
        </is>
      </c>
      <c r="C38" s="431" t="inlineStr">
        <is>
          <t xml:space="preserve">Selected feature / highlighted result</t>
        </is>
      </c>
      <c r="D38" s="431"/>
      <c r="E38" s="431"/>
    </row>
    <row r="39" ht="19" customHeight="1">
      <c r="B39" s="444" t="inlineStr">
        <is>
          <t xml:space="preserve">Aa</t>
        </is>
      </c>
      <c r="C39" s="431" t="inlineStr">
        <is>
          <t xml:space="preserve">Initial features in the meta-dataset</t>
        </is>
      </c>
      <c r="D39" s="431"/>
      <c r="E39" s="431"/>
    </row>
    <row r="40" ht="19" customHeight="1">
      <c r="B40" s="445" t="inlineStr">
        <is>
          <t xml:space="preserve">Aa</t>
        </is>
      </c>
      <c r="C40" s="431" t="inlineStr">
        <is>
          <t xml:space="preserve">Additional (latent) features in the meta-dataset</t>
        </is>
      </c>
      <c r="D40" s="431"/>
      <c r="E40" s="431"/>
    </row>
    <row r="41" ht="19" customHeight="1">
      <c r="B41" s="446" t="inlineStr">
        <is>
          <t xml:space="preserve">Aa</t>
        </is>
      </c>
      <c r="C41" s="431" t="inlineStr">
        <is>
          <t xml:space="preserve">Key label (counts, sign / colour keys)</t>
        </is>
      </c>
      <c r="D41" s="431"/>
      <c r="E41" s="431"/>
    </row>
    <row r="42" ht="10" customHeight="1"/>
    <row r="43" ht="24" customHeight="1">
      <c r="B43" s="427" t="inlineStr">
        <is>
          <t xml:space="preserve">Notes</t>
        </is>
      </c>
      <c r="C43" s="427"/>
      <c r="D43" s="427"/>
      <c r="E43" s="427"/>
    </row>
    <row r="44" ht="20" customHeight="1">
      <c r="B44" s="436" t="inlineStr">
        <is>
          <t xml:space="preserve">•  Symbols such as x₁, S₁, ω_c and η_c in the sheets are Office-Math equation objects placed over the cells; they display fully in Excel for Windows / Mac.</t>
        </is>
      </c>
    </row>
    <row r="45" ht="20" customHeight="1">
      <c r="B45" s="436" t="inlineStr">
        <is>
          <t xml:space="preserve">•  All numbers, formulas and results are identical to the original workbook; only formatting, colours, print setup and this Overview sheet were added. Numbers keep the original General display.</t>
        </is>
      </c>
    </row>
    <row r="46" ht="20" customHeight="1">
      <c r="B46" s="436" t="inlineStr">
        <is>
          <t xml:space="preserve">•  Every sheet is set up to print landscape on A4, one page wide, with the workbook name, sheet name and page numbers in the header / footer.</t>
        </is>
      </c>
    </row>
  </sheetData>
  <mergeCells count="16">
    <mergeCell ref="B2:E2"/>
    <mergeCell ref="B3:E3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B44:E44"/>
    <mergeCell ref="B45:E45"/>
    <mergeCell ref="B46:E46"/>
  </mergeCells>
  <hyperlinks>
    <hyperlink ref="C7" location="'Dataset'!A1" display="Dataset" tooltip="Go to Dataset"/>
    <hyperlink ref="C8" location="'Quantitative'!A1" display="Quantitative" tooltip="Go to Quantitative"/>
    <hyperlink ref="C9" location="'Nominal'!A1" display="Nominal" tooltip="Go to Nominal"/>
    <hyperlink ref="C10" location="'Dataset (Contribution &amp; Weight)'!A1" display="Dataset (Contribution &amp; Weight)" tooltip="Go to Dataset (Contribution &amp; Weight)"/>
    <hyperlink ref="C11" location="'Greedy upon Weight (1-Latent)'!A1" display="Greedy upon Weight (1-Latent)" tooltip="Go to Greedy upon Weight (1-Latent)"/>
    <hyperlink ref="C12" location="'Greedy upon Weight (2-Latent)'!A1" display="Greedy upon Weight (2-Latent)" tooltip="Go to Greedy upon Weight (2-Latent)"/>
    <hyperlink ref="C13" location="'Greedy upon Weight (3-Latent)'!A1" display="Greedy upon Weight (3-Latent)" tooltip="Go to Greedy upon Weight (3-Latent)"/>
    <hyperlink ref="C14" location="'Greedy upon Weight (4-Latent)'!A1" display="Greedy upon Weight (4-Latent)" tooltip="Go to Greedy upon Weight (4-Latent)"/>
    <hyperlink ref="C15" location="'Dataset for Meta-algorithm'!A1" display="Dataset for Meta-algorithm" tooltip="Go to Dataset for Meta-algorithm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&amp;L&amp;"Calibri,Bold"&amp;9Regularized Stacking Ensemble with HAG —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Dataset</vt:lpstr>
      <vt:lpstr>Quantitative</vt:lpstr>
      <vt:lpstr>Nominal</vt:lpstr>
      <vt:lpstr>Dataset (Contribution &amp; Weight)</vt:lpstr>
      <vt:lpstr>Greedy upon Weight (1-Latent)</vt:lpstr>
      <vt:lpstr>Greedy upon Weight (2-Latent)</vt:lpstr>
      <vt:lpstr>Greedy upon Weight (3-Latent)</vt:lpstr>
      <vt:lpstr>Greedy upon Weight (4-Latent)</vt:lpstr>
      <vt:lpstr>Dataset for Meta-algorithm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Regularized Stacking Ensemble with HAG — Heart-Disease (10, 13, 2)</dc:title>
  <dc:subject>HAG greedy latent-feature construction and meta-algorithm dataset</dc:subject>
  <dc:creator/>
  <cp:lastModifiedBy/>
  <dcterms:created xsi:type="dcterms:W3CDTF">2015-06-05T18:19:34Z</dcterms:created>
  <dcterms:modified xsi:type="dcterms:W3CDTF">2026-05-21T08:12:43Z</dcterms:modified>
</cp:coreProperties>
</file>