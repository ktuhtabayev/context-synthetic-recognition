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9CED58F-4D42-46AB-9E92-9760F38E7031}" xr6:coauthVersionLast="47" xr6:coauthVersionMax="47" xr10:uidLastSave="{00000000-0000-0000-0000-000000000000}"/>
  <bookViews>
    <workbookView xWindow="-108" yWindow="-108" windowWidth="23256" windowHeight="13176" activeTab="0" xr2:uid="{00000000-000D-0000-FFFF-FFFF00000000}"/>
  </bookViews>
  <sheets>
    <sheet name="Overview" sheetId="26" r:id="rId12"/>
    <sheet name="Dataset" sheetId="1" r:id="rId1"/>
    <sheet name="Quantitative" sheetId="3" r:id="rId2"/>
    <sheet name="Nominal" sheetId="17" r:id="rId3"/>
    <sheet name="Dataset (Contribution &amp; Weight)" sheetId="4" r:id="rId4"/>
    <sheet name="Brace for Meta-algorithm" sheetId="24" r:id="rId5"/>
    <sheet name="Meta-algorithm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3" i="25" l="1"/>
  <c r="B195" i="25"/>
  <c r="J211" i="25"/>
  <c r="F194" i="25"/>
  <c r="H29" i="3"/>
  <c r="X29" i="3"/>
  <c r="E64" i="24"/>
  <c r="K165" i="25" l="1"/>
  <c r="K125" i="25"/>
  <c r="K85" i="25"/>
  <c r="K45" i="25"/>
  <c r="F154" i="25"/>
  <c r="B155" i="25" s="1"/>
  <c r="C35" i="3"/>
  <c r="F114" i="25"/>
  <c r="B115" i="25" s="1"/>
  <c r="F74" i="25"/>
  <c r="B75" i="25" s="1"/>
  <c r="K18" i="25" l="1"/>
  <c r="Q4" i="25"/>
  <c r="E62" i="17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C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B70" i="17"/>
  <c r="C63" i="17"/>
  <c r="C71" i="17" s="1"/>
  <c r="C62" i="17"/>
  <c r="C72" i="17" s="1"/>
  <c r="C73" i="17"/>
  <c r="C75" i="17"/>
  <c r="C77" i="17"/>
  <c r="C78" i="17"/>
  <c r="C79" i="17"/>
  <c r="B71" i="17"/>
  <c r="B72" i="17"/>
  <c r="B73" i="17"/>
  <c r="B74" i="17"/>
  <c r="B75" i="17"/>
  <c r="B76" i="17"/>
  <c r="B77" i="17"/>
  <c r="B78" i="17"/>
  <c r="B79" i="17"/>
  <c r="B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B63" i="17"/>
  <c r="B62" i="17"/>
  <c r="H62" i="17"/>
  <c r="D62" i="17"/>
  <c r="F62" i="17"/>
  <c r="G62" i="17"/>
  <c r="B76" i="3"/>
  <c r="H56" i="17"/>
  <c r="G56" i="17"/>
  <c r="C56" i="17"/>
  <c r="D56" i="17"/>
  <c r="E56" i="17"/>
  <c r="F56" i="17"/>
  <c r="B56" i="17"/>
  <c r="C55" i="17"/>
  <c r="D55" i="17"/>
  <c r="E55" i="17"/>
  <c r="F55" i="17"/>
  <c r="G55" i="17"/>
  <c r="H55" i="17"/>
  <c r="B55" i="17"/>
  <c r="B48" i="17"/>
  <c r="F54" i="17"/>
  <c r="H54" i="17"/>
  <c r="C54" i="17"/>
  <c r="B54" i="17"/>
  <c r="H48" i="17"/>
  <c r="C47" i="17"/>
  <c r="B47" i="17"/>
  <c r="B46" i="17"/>
  <c r="B45" i="17"/>
  <c r="C44" i="17"/>
  <c r="B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P29" i="3"/>
  <c r="E54" i="3" s="1"/>
  <c r="B29" i="3"/>
  <c r="B58" i="3" s="1"/>
  <c r="L29" i="3"/>
  <c r="D55" i="3" s="1"/>
  <c r="G55" i="3"/>
  <c r="T29" i="3"/>
  <c r="F53" i="3" s="1"/>
  <c r="C53" i="3"/>
  <c r="D35" i="3" l="1"/>
  <c r="D37" i="3"/>
  <c r="D51" i="3"/>
  <c r="D36" i="3"/>
  <c r="D53" i="3"/>
  <c r="D54" i="3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D67" i="3" s="1"/>
  <c r="E51" i="3"/>
  <c r="E44" i="3"/>
  <c r="G44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35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E64" i="3" l="1"/>
  <c r="D64" i="3"/>
  <c r="E66" i="3"/>
  <c r="E65" i="3"/>
  <c r="E67" i="3"/>
  <c r="D66" i="3"/>
  <c r="D77" i="3" s="1"/>
  <c r="D90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D83" i="3" l="1"/>
  <c r="D87" i="3"/>
  <c r="D85" i="3"/>
  <c r="D89" i="3"/>
  <c r="D84" i="3"/>
  <c r="D92" i="3"/>
  <c r="D86" i="3"/>
  <c r="D91" i="3"/>
  <c r="F76" i="3"/>
  <c r="G76" i="3"/>
  <c r="G77" i="3"/>
  <c r="D76" i="3"/>
  <c r="D88" i="3" s="1"/>
  <c r="E76" i="3"/>
  <c r="E77" i="3"/>
  <c r="C77" i="3"/>
  <c r="F77" i="3"/>
  <c r="C76" i="3"/>
  <c r="E89" i="3" l="1"/>
  <c r="E85" i="3"/>
  <c r="E90" i="3"/>
  <c r="E84" i="3"/>
  <c r="E91" i="3"/>
  <c r="E92" i="3"/>
  <c r="E86" i="3"/>
  <c r="E87" i="3"/>
  <c r="E83" i="3"/>
  <c r="E88" i="3"/>
  <c r="F90" i="3"/>
  <c r="F83" i="3"/>
  <c r="F89" i="3"/>
  <c r="F92" i="3"/>
  <c r="F84" i="3"/>
  <c r="F91" i="3"/>
  <c r="F87" i="3"/>
  <c r="F86" i="3"/>
  <c r="F88" i="3"/>
  <c r="F85" i="3"/>
  <c r="G92" i="3"/>
  <c r="G89" i="3"/>
  <c r="G90" i="3"/>
  <c r="G86" i="3"/>
  <c r="G91" i="3"/>
  <c r="G87" i="3"/>
  <c r="G83" i="3"/>
  <c r="G88" i="3"/>
  <c r="G85" i="3"/>
  <c r="G84" i="3"/>
  <c r="C92" i="3"/>
  <c r="C86" i="3"/>
  <c r="C91" i="3"/>
  <c r="C85" i="3"/>
  <c r="C83" i="3"/>
  <c r="C89" i="3"/>
  <c r="C87" i="3"/>
  <c r="C90" i="3"/>
  <c r="C84" i="3"/>
  <c r="C88" i="3"/>
  <c r="D16" i="26"/>
  <c r="D17" i="26"/>
  <c r="D18" i="26"/>
  <c r="D19" i="26"/>
  <c r="D20" i="26"/>
  <c r="D21" i="26"/>
  <c r="D22" i="26"/>
  <c r="D23" i="26"/>
  <c r="D24" i="26"/>
  <c r="D25" i="26"/>
  <c r="D26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<sst xmlns="http://schemas.openxmlformats.org/spreadsheetml/2006/main" count="330" uniqueCount="83">
  <si>
    <t>{0,1}</t>
  </si>
  <si>
    <t>{2,3,4}</t>
  </si>
  <si>
    <t>{0,2}</t>
  </si>
  <si>
    <t>{1,2}</t>
  </si>
  <si>
    <t>{3,6,7}</t>
  </si>
  <si>
    <t>№</t>
  </si>
  <si>
    <t>K1 =</t>
  </si>
  <si>
    <t>K2 =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</si>
  <si>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</si>
  <si>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</si>
  <si>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</si>
  <si>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</si>
  <si>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</si>
  <si>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</si>
  <si>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</si>
  <si>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</si>
  <si>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</si>
  <si>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</si>
  <si>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</si>
  <si>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</si>
  <si>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</si>
  <si>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</si>
  <si>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</si>
  <si>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</si>
  <si>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</si>
  <si>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</si>
  <si>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</si>
  <si>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</si>
  <si>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</si>
  <si>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</si>
  <si>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</si>
  <si>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</si>
  <si>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</si>
  <si>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</si>
  <si>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</si>
  <si>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</si>
  <si>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</si>
  <si>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</si>
  <si>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</si>
  <si>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</si>
  <si>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</si>
  <si>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</si>
  <si>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</si>
  <si>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</si>
  <si>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</si>
  <si>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</si>
  <si>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</si>
  <si>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</si>
  <si>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</si>
  <si>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</si>
  <si>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</si>
  <si>
    <t>Classifying a New Object with Meta-algorithm [Heart + Disease (10, 13, 2)]</t>
  </si>
  <si>
    <t>↓</t>
  </si>
  <si>
    <t>Training Dataset for Meta-algorithm [Heart + Disease (10, 13, 2)]</t>
  </si>
  <si>
    <t>Sorted Training Dataset based on Classes for Meta-algorithm [Heart + Disease (10, 13, 2)]</t>
  </si>
  <si>
    <t>Original Training Dataset for Meta-algorithm [Heart + Disease (10, 13, 2)]</t>
  </si>
  <si>
    <t>Additional (Latent) Training Dataset for Meta-algorithm [Heart + Disease (10, 13, 2)]</t>
  </si>
  <si>
    <t>Step 1</t>
  </si>
  <si>
    <t>→</t>
  </si>
  <si>
    <t>Step 2</t>
  </si>
  <si>
    <t>The Organizer of GA with the Value of Original Training Dataset</t>
  </si>
  <si>
    <t>The Second Feature of GA with the Value of Original Training Dataset</t>
  </si>
  <si>
    <t>✅</t>
  </si>
  <si>
    <t>Apply Latent Sign Condition</t>
  </si>
  <si>
    <t>Apply Original Feature Condition</t>
  </si>
  <si>
    <t>Match?</t>
  </si>
  <si>
    <t>Sign</t>
  </si>
  <si>
    <t>+</t>
  </si>
  <si>
    <t>-</t>
  </si>
  <si>
    <t>Keep?</t>
  </si>
  <si>
    <t>&amp;</t>
  </si>
  <si>
    <t>Step 3</t>
  </si>
  <si>
    <t>Checking STEP 3 condition</t>
  </si>
  <si>
    <t>❌</t>
  </si>
  <si>
    <t>Step 4</t>
  </si>
  <si>
    <t>Compute Step 4</t>
  </si>
  <si>
    <t>Step 5</t>
  </si>
  <si>
    <t>The End</t>
  </si>
  <si>
    <t>Criterion 1 (Quantitative Features)</t>
  </si>
  <si>
    <t>We need only this FEATURE !!! Cause only this is in the SET among Quant. Features</t>
  </si>
  <si>
    <t>*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</si>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</sst>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1"/>
      <name val="Calibri"/>
      <family val="2"/>
    </font>
    <font>
      <sz val="1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i/>
      <sz val="16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6E0F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DCEB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rgb="FF595959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medium">
        <color rgb="FF595959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medium">
        <color rgb="FF595959"/>
      </bottom>
      <diagonal/>
    </border>
    <border>
      <left/>
      <right style="thin">
        <color rgb="FFA6A6A6"/>
      </right>
      <top/>
      <bottom style="medium">
        <color rgb="FF595959"/>
      </bottom>
      <diagonal/>
    </border>
    <border>
      <left style="thin">
        <color rgb="FFA6A6A6"/>
      </left>
      <right/>
      <top style="medium">
        <color rgb="FF595959"/>
      </top>
      <bottom/>
      <diagonal/>
    </border>
    <border>
      <left/>
      <right style="thin">
        <color rgb="FFA6A6A6"/>
      </right>
      <top style="medium">
        <color rgb="FF595959"/>
      </top>
      <bottom/>
      <diagonal/>
    </border>
    <border>
      <left style="thin">
        <color rgb="FFA6A6A6"/>
      </left>
      <right/>
      <top style="thin">
        <color rgb="FFA6A6A6"/>
      </top>
      <bottom style="medium">
        <color rgb="FF595959"/>
      </bottom>
      <diagonal/>
    </border>
    <border>
      <left/>
      <right/>
      <top style="thin">
        <color rgb="FFA6A6A6"/>
      </top>
      <bottom style="medium">
        <color rgb="FF595959"/>
      </bottom>
      <diagonal/>
    </border>
    <border>
      <left/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4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0" borderId="0" xfId="0" applyFont="1"/>
    <xf numFmtId="0" fontId="3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2" fillId="0" borderId="0" xfId="0" applyFont="1"/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3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" borderId="0" xfId="0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9" xfId="0" applyBorder="1"/>
    <xf numFmtId="0" fontId="13" fillId="0" borderId="25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top"/>
    </xf>
    <xf numFmtId="0" fontId="1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2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4" borderId="14" xfId="0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3" borderId="23" xfId="0" applyFill="1" applyBorder="1" applyAlignment="1">
      <alignment horizontal="center"/>
    </xf>
    <xf numFmtId="0" fontId="0" fillId="23" borderId="24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0" fillId="24" borderId="4" xfId="0" applyFill="1" applyBorder="1" applyAlignment="1">
      <alignment horizontal="center" textRotation="135"/>
    </xf>
    <xf numFmtId="0" fontId="0" fillId="24" borderId="18" xfId="0" applyFill="1" applyBorder="1" applyAlignment="1">
      <alignment horizontal="center" textRotation="135"/>
    </xf>
    <xf numFmtId="0" fontId="0" fillId="23" borderId="9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3" borderId="6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19" fillId="26" borderId="1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0" fillId="27" borderId="6" xfId="0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/>
    </xf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0" fillId="29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0" fontId="25" fillId="32" borderId="1" xfId="0" applyFont="1" applyFill="1" applyBorder="1" applyAlignment="1">
      <alignment horizontal="center" vertical="center"/>
    </xf>
    <xf numFmtId="0" fontId="26" fillId="33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19" fillId="34" borderId="1" xfId="0" applyFont="1" applyFill="1" applyBorder="1" applyAlignment="1">
      <alignment vertical="center" horizontal="center"/>
    </xf>
    <xf numFmtId="0" fontId="19" fillId="26" borderId="1" xfId="0" applyFont="1" applyFill="1" applyBorder="1" applyAlignment="1">
      <alignment vertical="center" horizontal="center"/>
    </xf>
    <xf numFmtId="0" fontId="21" fillId="28" borderId="1" xfId="0" applyFont="1" applyFill="1" applyBorder="1" applyAlignment="1">
      <alignment horizontal="center" vertical="center"/>
    </xf>
    <xf numFmtId="0" fontId="19" fillId="34" borderId="2" xfId="0" applyFont="1" applyFill="1" applyBorder="1" applyAlignment="1">
      <alignment vertical="center" horizontal="center"/>
    </xf>
    <xf numFmtId="0" fontId="19" fillId="34" borderId="7" xfId="0" applyFont="1" applyFill="1" applyBorder="1" applyAlignment="1">
      <alignment vertical="center" horizontal="center"/>
    </xf>
    <xf numFmtId="0" fontId="19" fillId="34" borderId="8" xfId="0" applyFont="1" applyFill="1" applyBorder="1" applyAlignment="1">
      <alignment vertical="center" horizontal="center"/>
    </xf>
    <xf numFmtId="0" fontId="22" fillId="29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0" fillId="29" borderId="5" xfId="0" applyFont="1" applyFill="1" applyBorder="1" applyAlignment="1">
      <alignment horizontal="center" vertical="center"/>
    </xf>
    <xf numFmtId="0" fontId="23" fillId="30" borderId="5" xfId="0" applyFont="1" applyFill="1" applyBorder="1" applyAlignment="1">
      <alignment horizontal="center" vertical="center"/>
    </xf>
    <xf numFmtId="0" fontId="25" fillId="32" borderId="5" xfId="0" applyFont="1" applyFill="1" applyBorder="1" applyAlignment="1">
      <alignment horizontal="center" vertical="center"/>
    </xf>
    <xf numFmtId="0" fontId="23" fillId="30" borderId="6" xfId="0" applyFont="1" applyFill="1" applyBorder="1" applyAlignment="1">
      <alignment horizontal="center" vertical="center"/>
    </xf>
    <xf numFmtId="0" fontId="25" fillId="32" borderId="6" xfId="0" applyFont="1" applyFill="1" applyBorder="1" applyAlignment="1">
      <alignment horizontal="center" vertical="center"/>
    </xf>
    <xf numFmtId="0" fontId="20" fillId="29" borderId="6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3" fillId="31" borderId="1" xfId="0" applyFont="1" applyFill="1" applyBorder="1"/>
    <xf numFmtId="0" fontId="20" fillId="35" borderId="1" xfId="0" applyFont="1" applyFill="1" applyBorder="1" applyAlignment="1">
      <alignment horizontal="center" vertical="center"/>
    </xf>
    <xf numFmtId="0" fontId="19" fillId="34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/>
    </xf>
    <xf numFmtId="0" fontId="23" fillId="36" borderId="1" xfId="0" applyFont="1" applyFill="1" applyBorder="1" applyAlignment="1">
      <alignment horizontal="center" vertical="center"/>
    </xf>
    <xf numFmtId="0" fontId="23" fillId="36" borderId="5" xfId="0" applyFont="1" applyFill="1" applyBorder="1" applyAlignment="1">
      <alignment horizontal="center" vertical="center"/>
    </xf>
    <xf numFmtId="0" fontId="23" fillId="36" borderId="6" xfId="0" applyFont="1" applyFill="1" applyBorder="1" applyAlignment="1">
      <alignment horizontal="center" vertical="center"/>
    </xf>
    <xf numFmtId="0" fontId="20" fillId="31" borderId="4" xfId="0" applyFont="1" applyFill="1" applyBorder="1" applyAlignment="1">
      <alignment vertical="center"/>
    </xf>
    <xf numFmtId="0" fontId="23" fillId="37" borderId="1" xfId="0" applyFont="1" applyFill="1" applyBorder="1" applyAlignment="1">
      <alignment horizontal="center" vertical="center"/>
    </xf>
    <xf numFmtId="0" fontId="20" fillId="31" borderId="5" xfId="0" applyFont="1" applyFill="1" applyBorder="1" applyAlignment="1">
      <alignment vertical="center"/>
    </xf>
    <xf numFmtId="0" fontId="23" fillId="37" borderId="5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vertical="center"/>
    </xf>
    <xf numFmtId="0" fontId="23" fillId="37" borderId="6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vertical="center"/>
    </xf>
    <xf numFmtId="0" fontId="19" fillId="34" borderId="2" xfId="0" applyFont="1" applyFill="1" applyBorder="1" applyAlignment="1">
      <alignment horizontal="center" vertical="center"/>
    </xf>
    <xf numFmtId="0" fontId="19" fillId="34" borderId="7" xfId="0" applyFont="1" applyFill="1" applyBorder="1" applyAlignment="1">
      <alignment horizontal="center" vertical="center"/>
    </xf>
    <xf numFmtId="0" fontId="19" fillId="34" borderId="8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 wrapText="1"/>
    </xf>
    <xf numFmtId="0" fontId="23" fillId="29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38" borderId="1" xfId="0" applyFont="1" applyFill="1" applyBorder="1" applyAlignment="1">
      <alignment horizontal="center" vertical="center"/>
    </xf>
    <xf numFmtId="0" fontId="23" fillId="38" borderId="5" xfId="0" applyFont="1" applyFill="1" applyBorder="1" applyAlignment="1">
      <alignment horizontal="center" vertical="center"/>
    </xf>
    <xf numFmtId="0" fontId="23" fillId="38" borderId="6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40" borderId="1" xfId="0" applyFont="1" applyFill="1" applyBorder="1" applyAlignment="1">
      <alignment horizontal="center" vertical="center"/>
    </xf>
    <xf numFmtId="0" fontId="23" fillId="41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3" fillId="41" borderId="6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42" borderId="6" xfId="0" applyFont="1" applyFill="1" applyBorder="1" applyAlignment="1">
      <alignment horizontal="center" vertical="center"/>
    </xf>
    <xf numFmtId="0" fontId="28" fillId="43" borderId="1" xfId="0" applyFont="1" applyFill="1" applyBorder="1" applyAlignment="1">
      <alignment horizontal="center" vertical="center"/>
    </xf>
    <xf numFmtId="0" fontId="28" fillId="44" borderId="1" xfId="0" applyFont="1" applyFill="1" applyBorder="1" applyAlignment="1">
      <alignment horizontal="center" vertical="center"/>
    </xf>
    <xf numFmtId="0" fontId="19" fillId="26" borderId="2" xfId="0" applyFont="1" applyFill="1" applyBorder="1" applyAlignment="1">
      <alignment horizontal="center" vertical="center"/>
    </xf>
    <xf numFmtId="0" fontId="19" fillId="26" borderId="7" xfId="0" applyFont="1" applyFill="1" applyBorder="1" applyAlignment="1">
      <alignment horizontal="center" vertical="center"/>
    </xf>
    <xf numFmtId="0" fontId="19" fillId="26" borderId="8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vertical="center"/>
    </xf>
    <xf numFmtId="0" fontId="22" fillId="40" borderId="1" xfId="0" applyFont="1" applyFill="1" applyBorder="1" applyAlignment="1">
      <alignment vertical="center"/>
    </xf>
    <xf numFmtId="0" fontId="23" fillId="44" borderId="1" xfId="0" applyFont="1" applyFill="1" applyBorder="1" applyAlignment="1">
      <alignment horizontal="center" vertical="center"/>
    </xf>
    <xf numFmtId="0" fontId="22" fillId="40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0" fontId="26" fillId="33" borderId="2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6" fillId="33" borderId="8" xfId="0" applyFont="1" applyFill="1" applyBorder="1" applyAlignment="1">
      <alignment horizontal="center" vertical="center"/>
    </xf>
    <xf numFmtId="0" fontId="20" fillId="44" borderId="1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1" xfId="0" applyFont="1" applyFill="1" applyBorder="1" applyAlignment="1">
      <alignment horizontal="center" vertical="center"/>
    </xf>
    <xf numFmtId="0" fontId="23" fillId="38" borderId="13" xfId="0" applyFont="1" applyFill="1" applyBorder="1" applyAlignment="1">
      <alignment horizontal="center" vertical="center"/>
    </xf>
    <xf numFmtId="0" fontId="23" fillId="38" borderId="3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0" fillId="38" borderId="2" xfId="0" applyFont="1" applyFill="1" applyBorder="1" applyAlignment="1">
      <alignment horizontal="center" vertical="center"/>
    </xf>
    <xf numFmtId="0" fontId="20" fillId="38" borderId="8" xfId="0" applyFont="1" applyFill="1" applyBorder="1" applyAlignment="1">
      <alignment horizontal="center" vertical="center"/>
    </xf>
    <xf numFmtId="0" fontId="20" fillId="44" borderId="2" xfId="0" applyFont="1" applyFill="1" applyBorder="1" applyAlignment="1">
      <alignment horizontal="center" vertical="center"/>
    </xf>
    <xf numFmtId="0" fontId="20" fillId="44" borderId="8" xfId="0" applyFont="1" applyFill="1" applyBorder="1" applyAlignment="1">
      <alignment horizontal="center" vertical="center"/>
    </xf>
    <xf numFmtId="0" fontId="29" fillId="26" borderId="15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center"/>
    </xf>
    <xf numFmtId="0" fontId="29" fillId="26" borderId="17" xfId="0" applyFont="1" applyFill="1" applyBorder="1" applyAlignment="1">
      <alignment horizontal="center"/>
    </xf>
    <xf numFmtId="0" fontId="22" fillId="30" borderId="1" xfId="0" applyFont="1" applyFill="1" applyBorder="1" applyAlignment="1">
      <alignment horizontal="center" vertical="center"/>
    </xf>
    <xf numFmtId="0" fontId="24" fillId="4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1" fillId="40" borderId="1" xfId="0" applyFont="1" applyFill="1" applyBorder="1" applyAlignment="1">
      <alignment horizontal="center" vertical="center"/>
    </xf>
    <xf numFmtId="0" fontId="32" fillId="32" borderId="1" xfId="0" applyFont="1" applyFill="1" applyBorder="1" applyAlignment="1">
      <alignment horizontal="center" vertical="top"/>
    </xf>
    <xf numFmtId="0" fontId="33" fillId="29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/>
    </xf>
    <xf numFmtId="0" fontId="23" fillId="44" borderId="5" xfId="0" applyFont="1" applyFill="1" applyBorder="1" applyAlignment="1">
      <alignment horizontal="center" vertical="center"/>
    </xf>
    <xf numFmtId="0" fontId="23" fillId="44" borderId="6" xfId="0" applyFont="1" applyFill="1" applyBorder="1" applyAlignment="1">
      <alignment horizontal="center" vertical="center"/>
    </xf>
    <xf numFmtId="0" fontId="33" fillId="36" borderId="1" xfId="0" applyFont="1" applyFill="1" applyBorder="1" applyAlignment="1">
      <alignment horizontal="center"/>
    </xf>
    <xf numFmtId="0" fontId="22" fillId="27" borderId="1" xfId="0" applyFont="1" applyFill="1" applyBorder="1" applyAlignment="1">
      <alignment horizontal="center" vertical="center"/>
    </xf>
    <xf numFmtId="0" fontId="34" fillId="34" borderId="1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center"/>
    </xf>
    <xf numFmtId="0" fontId="20" fillId="40" borderId="0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3" fillId="27" borderId="4" xfId="0" applyFont="1" applyFill="1" applyBorder="1" applyAlignment="1">
      <alignment horizontal="center" textRotation="135"/>
    </xf>
    <xf numFmtId="0" fontId="33" fillId="27" borderId="12" xfId="0" applyFont="1" applyFill="1" applyBorder="1" applyAlignment="1">
      <alignment horizontal="center"/>
    </xf>
    <xf numFmtId="0" fontId="33" fillId="27" borderId="11" xfId="0" applyFont="1" applyFill="1" applyBorder="1" applyAlignment="1">
      <alignment horizontal="center"/>
    </xf>
    <xf numFmtId="0" fontId="33" fillId="27" borderId="18" xfId="0" applyFont="1" applyFill="1" applyBorder="1" applyAlignment="1">
      <alignment horizontal="center" textRotation="135"/>
    </xf>
    <xf numFmtId="0" fontId="35" fillId="0" borderId="5" xfId="0" applyFont="1" applyFill="1" applyBorder="1" applyAlignment="1">
      <alignment horizontal="center" vertical="center"/>
    </xf>
    <xf numFmtId="0" fontId="33" fillId="27" borderId="21" xfId="0" applyFont="1" applyFill="1" applyBorder="1" applyAlignment="1">
      <alignment horizontal="center"/>
    </xf>
    <xf numFmtId="0" fontId="33" fillId="27" borderId="22" xfId="0" applyFont="1" applyFill="1" applyBorder="1" applyAlignment="1">
      <alignment horizontal="center"/>
    </xf>
    <xf numFmtId="0" fontId="33" fillId="44" borderId="9" xfId="0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/>
    </xf>
    <xf numFmtId="0" fontId="33" fillId="44" borderId="24" xfId="0" applyFont="1" applyFill="1" applyBorder="1" applyAlignment="1">
      <alignment horizontal="center"/>
    </xf>
    <xf numFmtId="0" fontId="33" fillId="44" borderId="19" xfId="0" applyFont="1" applyFill="1" applyBorder="1" applyAlignment="1">
      <alignment horizontal="center"/>
    </xf>
    <xf numFmtId="0" fontId="33" fillId="44" borderId="20" xfId="0" applyFont="1" applyFill="1" applyBorder="1" applyAlignment="1">
      <alignment horizontal="center"/>
    </xf>
    <xf numFmtId="0" fontId="33" fillId="44" borderId="6" xfId="0" applyFont="1" applyFill="1" applyBorder="1" applyAlignment="1">
      <alignment horizontal="center" vertical="center"/>
    </xf>
    <xf numFmtId="0" fontId="33" fillId="44" borderId="13" xfId="0" applyFont="1" applyFill="1" applyBorder="1" applyAlignment="1">
      <alignment horizontal="center"/>
    </xf>
    <xf numFmtId="0" fontId="33" fillId="44" borderId="14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33" fillId="27" borderId="13" xfId="0" applyFont="1" applyFill="1" applyBorder="1" applyAlignment="1">
      <alignment horizontal="center"/>
    </xf>
    <xf numFmtId="0" fontId="33" fillId="27" borderId="14" xfId="0" applyFont="1" applyFill="1" applyBorder="1" applyAlignment="1">
      <alignment horizontal="center"/>
    </xf>
    <xf numFmtId="0" fontId="33" fillId="45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33" fillId="0" borderId="25" xfId="0" applyFont="1" applyFill="1" applyBorder="1"/>
    <xf numFmtId="0" fontId="33" fillId="0" borderId="26" xfId="0" applyFont="1" applyFill="1" applyBorder="1"/>
    <xf numFmtId="0" fontId="33" fillId="0" borderId="27" xfId="0" applyFont="1" applyFill="1" applyBorder="1"/>
    <xf numFmtId="0" fontId="20" fillId="31" borderId="4" xfId="0" applyFont="1" applyFill="1" applyBorder="1" applyAlignment="1">
      <alignment horizontal="center" vertical="center"/>
    </xf>
    <xf numFmtId="0" fontId="33" fillId="45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35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33" fillId="0" borderId="5" xfId="0" applyFont="1" applyFill="1" applyBorder="1"/>
    <xf numFmtId="0" fontId="20" fillId="31" borderId="6" xfId="0" applyFont="1" applyFill="1" applyBorder="1" applyAlignment="1">
      <alignment horizontal="center" vertical="center"/>
    </xf>
    <xf numFmtId="0" fontId="33" fillId="45" borderId="6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33" fillId="0" borderId="9" xfId="0" applyFont="1" applyFill="1" applyBorder="1" applyAlignment="1">
      <alignment horizontal="center" vertical="center"/>
    </xf>
    <xf numFmtId="0" fontId="23" fillId="35" borderId="6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33" fillId="44" borderId="12" xfId="0" applyFont="1" applyFill="1" applyBorder="1" applyAlignment="1">
      <alignment horizontal="center"/>
    </xf>
    <xf numFmtId="0" fontId="33" fillId="44" borderId="11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 vertical="center"/>
    </xf>
    <xf numFmtId="0" fontId="22" fillId="31" borderId="12" xfId="0" applyFont="1" applyFill="1" applyBorder="1" applyAlignment="1">
      <alignment horizontal="center" vertical="center"/>
    </xf>
    <xf numFmtId="0" fontId="22" fillId="31" borderId="11" xfId="0" applyFont="1" applyFill="1" applyBorder="1" applyAlignment="1">
      <alignment horizontal="center" vertical="center"/>
    </xf>
    <xf numFmtId="0" fontId="22" fillId="31" borderId="13" xfId="0" applyFont="1" applyFill="1" applyBorder="1" applyAlignment="1">
      <alignment horizontal="center" vertical="center"/>
    </xf>
    <xf numFmtId="0" fontId="22" fillId="31" borderId="14" xfId="0" applyFont="1" applyFill="1" applyBorder="1" applyAlignment="1">
      <alignment horizontal="center" vertical="center"/>
    </xf>
    <xf numFmtId="0" fontId="22" fillId="37" borderId="2" xfId="0" applyFont="1" applyFill="1" applyBorder="1" applyAlignment="1">
      <alignment horizontal="center" vertical="center"/>
    </xf>
    <xf numFmtId="0" fontId="22" fillId="37" borderId="8" xfId="0" applyFont="1" applyFill="1" applyBorder="1" applyAlignment="1">
      <alignment horizontal="center" vertical="center"/>
    </xf>
    <xf numFmtId="0" fontId="33" fillId="41" borderId="12" xfId="0" applyFont="1" applyFill="1" applyBorder="1" applyAlignment="1">
      <alignment horizontal="center"/>
    </xf>
    <xf numFmtId="0" fontId="33" fillId="41" borderId="10" xfId="0" applyFont="1" applyFill="1" applyBorder="1" applyAlignment="1">
      <alignment horizontal="center"/>
    </xf>
    <xf numFmtId="0" fontId="33" fillId="41" borderId="11" xfId="0" applyFont="1" applyFill="1" applyBorder="1" applyAlignment="1">
      <alignment horizontal="center"/>
    </xf>
    <xf numFmtId="0" fontId="33" fillId="41" borderId="13" xfId="0" applyFont="1" applyFill="1" applyBorder="1" applyAlignment="1">
      <alignment horizontal="center"/>
    </xf>
    <xf numFmtId="0" fontId="33" fillId="41" borderId="3" xfId="0" applyFont="1" applyFill="1" applyBorder="1" applyAlignment="1">
      <alignment horizontal="center"/>
    </xf>
    <xf numFmtId="0" fontId="33" fillId="41" borderId="14" xfId="0" applyFont="1" applyFill="1" applyBorder="1" applyAlignment="1">
      <alignment horizontal="center"/>
    </xf>
    <xf numFmtId="0" fontId="36" fillId="32" borderId="0" xfId="0" applyFont="1" applyFill="1" applyBorder="1" applyAlignment="1">
      <alignment horizontal="center" vertical="center"/>
    </xf>
    <xf numFmtId="0" fontId="36" fillId="32" borderId="16" xfId="0" applyFont="1" applyFill="1" applyBorder="1" applyAlignment="1">
      <alignment horizontal="center" vertical="center"/>
    </xf>
    <xf numFmtId="0" fontId="33" fillId="44" borderId="6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 vertical="center"/>
    </xf>
    <xf numFmtId="0" fontId="33" fillId="44" borderId="1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vertical="center"/>
    </xf>
    <xf numFmtId="0" fontId="33" fillId="0" borderId="28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 vertical="center"/>
    </xf>
    <xf numFmtId="0" fontId="33" fillId="44" borderId="24" xfId="0" applyFont="1" applyFill="1" applyBorder="1" applyAlignment="1">
      <alignment horizontal="center" vertical="center"/>
    </xf>
    <xf numFmtId="0" fontId="33" fillId="44" borderId="13" xfId="0" applyFont="1" applyFill="1" applyBorder="1" applyAlignment="1">
      <alignment horizontal="center" vertical="center"/>
    </xf>
    <xf numFmtId="0" fontId="33" fillId="44" borderId="14" xfId="0" applyFont="1" applyFill="1" applyBorder="1" applyAlignment="1">
      <alignment horizontal="center" vertical="center"/>
    </xf>
    <xf numFmtId="0" fontId="33" fillId="42" borderId="1" xfId="0" applyFont="1" applyFill="1" applyBorder="1" applyAlignment="1">
      <alignment horizontal="center"/>
    </xf>
    <xf numFmtId="0" fontId="33" fillId="27" borderId="1" xfId="0" applyFont="1" applyFill="1" applyBorder="1" applyAlignment="1">
      <alignment horizontal="center"/>
    </xf>
    <xf numFmtId="0" fontId="35" fillId="0" borderId="7" xfId="0" applyFont="1" applyFill="1" applyBorder="1" applyAlignment="1">
      <alignment horizontal="center" vertical="center"/>
    </xf>
    <xf numFmtId="0" fontId="33" fillId="0" borderId="19" xfId="0" applyFont="1" applyFill="1" applyBorder="1"/>
    <xf numFmtId="0" fontId="35" fillId="0" borderId="25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0" fontId="34" fillId="34" borderId="2" xfId="0" applyFont="1" applyFill="1" applyBorder="1" applyAlignment="1">
      <alignment horizontal="center" vertical="center"/>
    </xf>
    <xf numFmtId="0" fontId="34" fillId="34" borderId="8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/>
    </xf>
    <xf numFmtId="0" fontId="37" fillId="36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38" fillId="26" borderId="1" xfId="0" applyFont="1" applyFill="1" applyBorder="1" applyAlignment="1">
      <alignment horizontal="center" vertical="center"/>
    </xf>
    <xf numFmtId="0" fontId="39" fillId="26" borderId="0" xfId="0" applyFont="1" applyFill="1" applyBorder="1" applyAlignment="1">
      <alignment horizontal="left" vertical="center" indent="1"/>
    </xf>
    <xf numFmtId="0" fontId="40" fillId="0" borderId="0" xfId="0" applyFont="1" applyFill="1" applyBorder="1" applyAlignment="1">
      <alignment horizontal="left" vertical="center" indent="1"/>
    </xf>
    <xf numFmtId="0" fontId="41" fillId="0" borderId="30" xfId="0" applyFont="1" applyFill="1" applyBorder="1" applyAlignment="1">
      <alignment horizontal="left" vertical="center"/>
    </xf>
    <xf numFmtId="0" fontId="29" fillId="34" borderId="29" xfId="0" applyFont="1" applyFill="1" applyBorder="1" applyAlignment="1">
      <alignment horizontal="left" vertical="center" indent="1"/>
    </xf>
    <xf numFmtId="0" fontId="29" fillId="34" borderId="29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left" vertical="center" wrapText="1" indent="1"/>
    </xf>
    <xf numFmtId="0" fontId="24" fillId="0" borderId="29" xfId="0" applyFont="1" applyFill="1" applyBorder="1" applyAlignment="1">
      <alignment horizontal="left" vertical="center" wrapText="1" indent="1"/>
    </xf>
    <xf numFmtId="0" fontId="42" fillId="0" borderId="29" xfId="0" applyFont="1" applyFill="1" applyBorder="1" applyAlignment="1">
      <alignment horizontal="left" vertical="center" indent="1"/>
    </xf>
    <xf numFmtId="0" fontId="44" fillId="46" borderId="29" xfId="0" applyFont="1" applyFill="1" applyBorder="1" applyAlignment="1">
      <alignment horizontal="center" vertical="center"/>
    </xf>
    <xf numFmtId="0" fontId="44" fillId="36" borderId="29" xfId="0" applyFont="1" applyFill="1" applyBorder="1" applyAlignment="1">
      <alignment horizontal="center" vertical="center"/>
    </xf>
    <xf numFmtId="0" fontId="45" fillId="0" borderId="29" xfId="0" applyFont="1" applyFill="1" applyBorder="1" applyAlignment="1">
      <alignment horizontal="left" vertical="center" indent="1"/>
    </xf>
    <xf numFmtId="0" fontId="43" fillId="0" borderId="0" xfId="0" applyFont="1" applyFill="1" applyBorder="1" applyAlignment="1">
      <alignment horizontal="left" vertical="center" wrapText="1" indent="1"/>
    </xf>
    <xf numFmtId="0" fontId="29" fillId="26" borderId="29" xfId="0" applyFont="1" applyFill="1" applyBorder="1" applyAlignment="1">
      <alignment horizontal="center" vertical="center"/>
    </xf>
    <xf numFmtId="0" fontId="33" fillId="27" borderId="29" xfId="0" applyFont="1" applyFill="1" applyBorder="1" applyAlignment="1">
      <alignment horizontal="center" vertical="center"/>
    </xf>
    <xf numFmtId="0" fontId="33" fillId="29" borderId="29" xfId="0" applyFont="1" applyFill="1" applyBorder="1" applyAlignment="1">
      <alignment horizontal="center" vertical="center"/>
    </xf>
    <xf numFmtId="0" fontId="33" fillId="30" borderId="29" xfId="0" applyFont="1" applyFill="1" applyBorder="1" applyAlignment="1">
      <alignment horizontal="center" vertical="center"/>
    </xf>
    <xf numFmtId="0" fontId="33" fillId="31" borderId="29" xfId="0" applyFont="1" applyFill="1" applyBorder="1" applyAlignment="1">
      <alignment horizontal="center" vertical="center"/>
    </xf>
    <xf numFmtId="0" fontId="33" fillId="32" borderId="29" xfId="0" applyFont="1" applyFill="1" applyBorder="1" applyAlignment="1">
      <alignment horizontal="center" vertical="center"/>
    </xf>
    <xf numFmtId="0" fontId="33" fillId="39" borderId="29" xfId="0" applyFont="1" applyFill="1" applyBorder="1" applyAlignment="1">
      <alignment horizontal="center" vertical="center"/>
    </xf>
    <xf numFmtId="0" fontId="33" fillId="38" borderId="29" xfId="0" applyFont="1" applyFill="1" applyBorder="1" applyAlignment="1">
      <alignment horizontal="center" vertical="center"/>
    </xf>
    <xf numFmtId="0" fontId="33" fillId="44" borderId="29" xfId="0" applyFont="1" applyFill="1" applyBorder="1" applyAlignment="1">
      <alignment horizontal="center" vertical="center"/>
    </xf>
    <xf numFmtId="0" fontId="33" fillId="36" borderId="29" xfId="0" applyFont="1" applyFill="1" applyBorder="1" applyAlignment="1">
      <alignment horizontal="center" vertical="center"/>
    </xf>
    <xf numFmtId="0" fontId="33" fillId="3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4B7"/>
      <color rgb="FFFF6600"/>
      <color rgb="FFFF4F4F"/>
      <color rgb="FF856EF8"/>
      <color rgb="FF09F720"/>
      <color rgb="FF00CC00"/>
      <color rgb="FFE010D6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2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299721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222674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231141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215051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142239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158326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19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23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20</xdr:row>
      <xdr:rowOff>201505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80431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5</xdr:row>
      <xdr:rowOff>186266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3</xdr:col>
      <xdr:colOff>251460</xdr:colOff>
      <xdr:row>17</xdr:row>
      <xdr:rowOff>91440</xdr:rowOff>
    </xdr:from>
    <xdr:to>
      <xdr:col>3</xdr:col>
      <xdr:colOff>693420</xdr:colOff>
      <xdr:row>21</xdr:row>
      <xdr:rowOff>99060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21B959D4-E177-4151-9D4C-CD0A5FB29A4C}"/>
            </a:ext>
          </a:extLst>
        </xdr:cNvPr>
        <xdr:cNvSpPr/>
      </xdr:nvSpPr>
      <xdr:spPr>
        <a:xfrm>
          <a:off x="2705100" y="3459480"/>
          <a:ext cx="441960" cy="822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251460</xdr:colOff>
      <xdr:row>22</xdr:row>
      <xdr:rowOff>106680</xdr:rowOff>
    </xdr:from>
    <xdr:to>
      <xdr:col>3</xdr:col>
      <xdr:colOff>693420</xdr:colOff>
      <xdr:row>26</xdr:row>
      <xdr:rowOff>106680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6171B5CA-CA31-4C67-92DE-1493AFEE93DE}"/>
            </a:ext>
          </a:extLst>
        </xdr:cNvPr>
        <xdr:cNvSpPr/>
      </xdr:nvSpPr>
      <xdr:spPr>
        <a:xfrm>
          <a:off x="2705100" y="4495800"/>
          <a:ext cx="441960" cy="79248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43</xdr:row>
      <xdr:rowOff>12699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1</xdr:row>
      <xdr:rowOff>10161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1</xdr:row>
      <xdr:rowOff>10161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21</xdr:row>
      <xdr:rowOff>2541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21</xdr:row>
      <xdr:rowOff>2541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70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91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92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96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154939</xdr:colOff>
      <xdr:row>111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181187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68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101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116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314959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69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405554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414021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388620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88051</xdr:colOff>
      <xdr:row>43</xdr:row>
      <xdr:rowOff>10161</xdr:rowOff>
    </xdr:from>
    <xdr:ext cx="4872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81278</xdr:colOff>
      <xdr:row>44</xdr:row>
      <xdr:rowOff>2541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45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46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47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48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439422</xdr:colOff>
      <xdr:row>42</xdr:row>
      <xdr:rowOff>11006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237911</xdr:colOff>
      <xdr:row>63</xdr:row>
      <xdr:rowOff>11006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51</xdr:row>
      <xdr:rowOff>9314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60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284479</xdr:colOff>
      <xdr:row>61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77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75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76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228600</xdr:colOff>
      <xdr:row>52</xdr:row>
      <xdr:rowOff>68580</xdr:rowOff>
    </xdr:from>
    <xdr:to>
      <xdr:col>6</xdr:col>
      <xdr:colOff>708660</xdr:colOff>
      <xdr:row>55</xdr:row>
      <xdr:rowOff>160020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D35A2F5F-FD3B-44CE-8C5C-6A80FBE2421D}"/>
            </a:ext>
          </a:extLst>
        </xdr:cNvPr>
        <xdr:cNvSpPr/>
      </xdr:nvSpPr>
      <xdr:spPr>
        <a:xfrm>
          <a:off x="5242560" y="11308080"/>
          <a:ext cx="480060" cy="77724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243840</xdr:colOff>
      <xdr:row>56</xdr:row>
      <xdr:rowOff>83820</xdr:rowOff>
    </xdr:from>
    <xdr:to>
      <xdr:col>6</xdr:col>
      <xdr:colOff>708660</xdr:colOff>
      <xdr:row>61</xdr:row>
      <xdr:rowOff>144780</xdr:rowOff>
    </xdr:to>
    <xdr:sp macro="" textlink="">
      <xdr:nvSpPr>
        <xdr:cNvPr id="264" name="Right Brace 263">
          <a:extLst>
            <a:ext uri="{FF2B5EF4-FFF2-40B4-BE49-F238E27FC236}">
              <a16:creationId xmlns:a16="http://schemas.microsoft.com/office/drawing/2014/main" id="{A21D5C94-5F72-43A4-9899-67CB7D58E8D2}"/>
            </a:ext>
          </a:extLst>
        </xdr:cNvPr>
        <xdr:cNvSpPr/>
      </xdr:nvSpPr>
      <xdr:spPr>
        <a:xfrm>
          <a:off x="5257800" y="12237720"/>
          <a:ext cx="464820" cy="1203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204047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273472</xdr:colOff>
      <xdr:row>1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230300</xdr:colOff>
      <xdr:row>2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24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22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417407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375919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409787</xdr:colOff>
      <xdr:row>33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375919</xdr:colOff>
      <xdr:row>36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30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163527</xdr:colOff>
      <xdr:row>31</xdr:row>
      <xdr:rowOff>159680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𝑩𝟏(𝒂_𝟎)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6</xdr:col>
      <xdr:colOff>163527</xdr:colOff>
      <xdr:row>34</xdr:row>
      <xdr:rowOff>174921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𝑩𝟐(𝒂_𝟎)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236220</xdr:colOff>
      <xdr:row>17</xdr:row>
      <xdr:rowOff>129540</xdr:rowOff>
    </xdr:from>
    <xdr:ext cx="48859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𝒋=𝟎,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525780</xdr:colOff>
      <xdr:row>17</xdr:row>
      <xdr:rowOff>129540</xdr:rowOff>
    </xdr:from>
    <xdr:ext cx="244041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𝑩𝟏(𝒂_𝟎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  │ 𝒂_𝟎=𝒂_𝒊𝟎 }</a:t>
              </a:r>
              <a:r>
                <a:rPr lang="en-US" sz="1400" b="1" i="0">
                  <a:latin typeface="Cambria Math" panose="02040503050406030204" pitchFamily="18" charset="0"/>
                </a:rPr>
                <a:t>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739140</xdr:colOff>
      <xdr:row>17</xdr:row>
      <xdr:rowOff>121920</xdr:rowOff>
    </xdr:from>
    <xdr:ext cx="24036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𝑩𝟐(𝒂_𝟎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∈𝑲_𝟐  │ 𝒂_𝟎=𝒂_𝒊𝟎 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132079</xdr:colOff>
      <xdr:row>23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99060</xdr:colOff>
      <xdr:row>31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15240</xdr:colOff>
      <xdr:row>34</xdr:row>
      <xdr:rowOff>144780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44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845820</xdr:colOff>
      <xdr:row>44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𝟎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𝒂_𝟎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22860</xdr:colOff>
      <xdr:row>44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)={𝑺_𝒊∈𝑩𝟐(𝒂_𝟎) │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7620</xdr:colOff>
      <xdr:row>44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</xdr:colOff>
      <xdr:row>61</xdr:row>
      <xdr:rowOff>121920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9320</xdr:colOff>
      <xdr:row>3</xdr:row>
      <xdr:rowOff>13549</xdr:rowOff>
    </xdr:from>
    <xdr:ext cx="98616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𝑺𝑬𝑻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𝒑=|𝑺𝑬𝑻|−𝟏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16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51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49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50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38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28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63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65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55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57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63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57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115993</xdr:colOff>
      <xdr:row>59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144780</xdr:colOff>
      <xdr:row>58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144780</xdr:colOff>
      <xdr:row>61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58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998220</xdr:colOff>
      <xdr:row>61</xdr:row>
      <xdr:rowOff>144780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72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73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72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84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𝒋=𝟐,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929640</xdr:colOff>
      <xdr:row>84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𝒂_𝟏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7620</xdr:colOff>
      <xdr:row>84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)={𝑺_𝒊∈𝑩𝟐(𝒂_𝟏) │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30480</xdr:colOff>
      <xdr:row>84</xdr:row>
      <xdr:rowOff>121920</xdr:rowOff>
    </xdr:from>
    <xdr:ext cx="66204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</xdr:col>
      <xdr:colOff>1005840</xdr:colOff>
      <xdr:row>101</xdr:row>
      <xdr:rowOff>121920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91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90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105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95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97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409787</xdr:colOff>
      <xdr:row>97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103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97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85513</xdr:colOff>
      <xdr:row>99</xdr:row>
      <xdr:rowOff>132081</xdr:rowOff>
    </xdr:from>
    <xdr:ext cx="8353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 )</a:t>
              </a:r>
              <a:r>
                <a:rPr lang="en-US" sz="1200" b="1" i="0">
                  <a:latin typeface="Cambria Math" panose="02040503050406030204" pitchFamily="18" charset="0"/>
                </a:rPr>
                <a:t>=𝟕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98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101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98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101</xdr:row>
      <xdr:rowOff>144780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95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89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219287</xdr:colOff>
      <xdr:row>55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432647</xdr:colOff>
      <xdr:row>57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28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425027</xdr:colOff>
      <xdr:row>30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49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228600</xdr:colOff>
      <xdr:row>22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854284</xdr:colOff>
      <xdr:row>112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113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112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124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𝒋=𝟑,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922020</xdr:colOff>
      <xdr:row>124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𝒂_𝟐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15240</xdr:colOff>
      <xdr:row>124</xdr:row>
      <xdr:rowOff>121920</xdr:rowOff>
    </xdr:from>
    <xdr:ext cx="30171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)={𝑺_𝒊∈𝑩𝟐(𝒂_𝟐) │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124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141</xdr:row>
      <xdr:rowOff>121920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131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129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130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140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143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145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135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137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137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142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137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139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 )</a:t>
              </a:r>
              <a:r>
                <a:rPr lang="en-US" sz="1200" b="1" i="0">
                  <a:latin typeface="Cambria Math" panose="02040503050406030204" pitchFamily="18" charset="0"/>
                </a:rPr>
                <a:t>=𝟐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138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141</xdr:row>
      <xdr:rowOff>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138</xdr:row>
      <xdr:rowOff>137160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141</xdr:row>
      <xdr:rowOff>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394547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135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57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97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137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854284</xdr:colOff>
      <xdr:row>152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153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152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18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43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45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83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85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123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125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164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𝒋=𝟒,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891540</xdr:colOff>
      <xdr:row>164</xdr:row>
      <xdr:rowOff>121920</xdr:rowOff>
    </xdr:from>
    <xdr:ext cx="305083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𝟑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𝒂_𝟑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998220</xdr:colOff>
      <xdr:row>164</xdr:row>
      <xdr:rowOff>121920</xdr:rowOff>
    </xdr:from>
    <xdr:ext cx="3053208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)={𝑺_𝒊∈𝑩𝟐(𝒂_𝟑) │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164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181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171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169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170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180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183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185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175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177</xdr:row>
      <xdr:rowOff>129540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178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180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181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178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179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𝟗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178</xdr:row>
      <xdr:rowOff>213360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180</xdr:row>
      <xdr:rowOff>121920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178</xdr:row>
      <xdr:rowOff>137160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𝑩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=∅</m:t>
                    </m:r>
                  </m:oMath>
                </m:oMathPara>
              </a14:m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𝑩𝟏(𝒂_𝟒 )=∅</a:t>
              </a:r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180</xdr:row>
      <xdr:rowOff>129540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219287</xdr:colOff>
      <xdr:row>175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169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178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329360</xdr:colOff>
      <xdr:row>163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165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192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193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192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243840</xdr:colOff>
      <xdr:row>204</xdr:row>
      <xdr:rowOff>76200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〖𝒔𝒄𝒐𝒓𝒆〗_𝟏=|𝑩_𝟏 (𝒂_𝒋)|/|𝑲_𝟏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251460</xdr:colOff>
      <xdr:row>208</xdr:row>
      <xdr:rowOff>91440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〖𝒔𝒄𝒐𝒓𝒆〗_𝟐=|𝑩_𝟐 (𝒂_𝒋)|/|𝑲_𝟐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182880</xdr:colOff>
      <xdr:row>205</xdr:row>
      <xdr:rowOff>188889</xdr:rowOff>
    </xdr:from>
    <xdr:ext cx="2721514" cy="797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                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{█(𝑺_𝟏𝟏^𝒏𝒆𝒘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∈𝑲_𝟏,  〖𝒔𝒄𝒐𝒓𝒆〗_𝟏&gt;〖𝒔𝒄𝒐𝒓𝒆〗_𝟐@𝑺_𝟏𝟏^𝒏𝒆𝒘∈𝑲_𝟐,  〖𝒔𝒄𝒐𝒓𝒆〗_𝟏&lt;〖𝒔𝒄𝒐𝒓𝒆〗_𝟐@</a:t>
              </a:r>
              <a:r>
                <a:rPr lang="en-US" sz="1400" b="1" i="0">
                  <a:latin typeface="Cambria Math" panose="02040503050406030204" pitchFamily="18" charset="0"/>
                </a:rPr>
                <a:t>𝟎,                    〖𝒔𝒄𝒐𝒓𝒆〗_𝟏=〖𝒔𝒄𝒐𝒓𝒆〗_𝟐 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99060</xdr:colOff>
      <xdr:row>214</xdr:row>
      <xdr:rowOff>129540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∅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∅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106680</xdr:colOff>
      <xdr:row>216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312420</xdr:colOff>
      <xdr:row>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312420</xdr:colOff>
      <xdr:row>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215</xdr:row>
      <xdr:rowOff>7620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216</xdr:row>
      <xdr:rowOff>15240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198120</xdr:colOff>
      <xdr:row>222</xdr:row>
      <xdr:rowOff>114300</xdr:rowOff>
    </xdr:from>
    <xdr:ext cx="65338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  <m:sup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𝒏𝒆𝒘</m:t>
                        </m:r>
                      </m:sup>
                    </m:sSubSup>
                    <m:r>
                      <a:rPr lang="en-US" sz="16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𝑺_𝟏𝟏^𝒏𝒆𝒘∈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329360</xdr:colOff>
      <xdr:row>210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352220</xdr:colOff>
      <xdr:row>209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Y31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214" t="s">
        <v>13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</row>
    <row r="2" spans="1:25" ht="15.6" x14ac:dyDescent="0.3">
      <c r="A2" s="215" t="s">
        <v>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5" t="s">
        <v>8</v>
      </c>
      <c r="Q2" s="217" t="s">
        <v>12</v>
      </c>
      <c r="R2" s="218"/>
      <c r="S2" s="219"/>
      <c r="T2" s="219"/>
      <c r="Y2" s="220"/>
    </row>
    <row r="3" spans="1:25" ht="15.6" x14ac:dyDescent="0.3">
      <c r="A3" s="221"/>
      <c r="B3" s="222">
        <v>70</v>
      </c>
      <c r="C3" s="223">
        <v>1</v>
      </c>
      <c r="D3" s="223">
        <v>4</v>
      </c>
      <c r="E3" s="222">
        <v>130</v>
      </c>
      <c r="F3" s="222">
        <v>322</v>
      </c>
      <c r="G3" s="223">
        <v>0</v>
      </c>
      <c r="H3" s="223">
        <v>2</v>
      </c>
      <c r="I3" s="222">
        <v>109</v>
      </c>
      <c r="J3" s="223">
        <v>0</v>
      </c>
      <c r="K3" s="222">
        <v>2.4</v>
      </c>
      <c r="L3" s="223">
        <v>2</v>
      </c>
      <c r="M3" s="222">
        <v>3</v>
      </c>
      <c r="N3" s="223">
        <v>3</v>
      </c>
      <c r="O3" s="224">
        <v>2</v>
      </c>
      <c r="Q3" s="217" t="s">
        <v>9</v>
      </c>
      <c r="R3" s="219"/>
      <c r="S3" s="219"/>
      <c r="T3" s="219"/>
    </row>
    <row r="4" spans="1:25" ht="15.6" x14ac:dyDescent="0.3">
      <c r="A4" s="221"/>
      <c r="B4" s="222">
        <v>67</v>
      </c>
      <c r="C4" s="223">
        <v>0</v>
      </c>
      <c r="D4" s="223">
        <v>3</v>
      </c>
      <c r="E4" s="222">
        <v>115</v>
      </c>
      <c r="F4" s="222">
        <v>564</v>
      </c>
      <c r="G4" s="223">
        <v>0</v>
      </c>
      <c r="H4" s="223">
        <v>2</v>
      </c>
      <c r="I4" s="222">
        <v>160</v>
      </c>
      <c r="J4" s="223">
        <v>0</v>
      </c>
      <c r="K4" s="222">
        <v>1.6</v>
      </c>
      <c r="L4" s="223">
        <v>2</v>
      </c>
      <c r="M4" s="222">
        <v>0</v>
      </c>
      <c r="N4" s="223">
        <v>7</v>
      </c>
      <c r="O4" s="224">
        <v>1</v>
      </c>
      <c r="Q4" s="219"/>
      <c r="R4" s="219"/>
      <c r="S4" s="219"/>
      <c r="T4" s="219"/>
    </row>
    <row r="5" spans="1:25" ht="15.6" x14ac:dyDescent="0.3">
      <c r="A5" s="221"/>
      <c r="B5" s="222">
        <v>57</v>
      </c>
      <c r="C5" s="223">
        <v>1</v>
      </c>
      <c r="D5" s="223">
        <v>2</v>
      </c>
      <c r="E5" s="222">
        <v>124</v>
      </c>
      <c r="F5" s="222">
        <v>261</v>
      </c>
      <c r="G5" s="223">
        <v>0</v>
      </c>
      <c r="H5" s="223">
        <v>0</v>
      </c>
      <c r="I5" s="222">
        <v>141</v>
      </c>
      <c r="J5" s="223">
        <v>0</v>
      </c>
      <c r="K5" s="222">
        <v>0.3</v>
      </c>
      <c r="L5" s="223">
        <v>1</v>
      </c>
      <c r="M5" s="222">
        <v>0</v>
      </c>
      <c r="N5" s="223">
        <v>7</v>
      </c>
      <c r="O5" s="224">
        <v>2</v>
      </c>
      <c r="Q5" s="225" t="s">
        <v>16</v>
      </c>
      <c r="R5" s="225"/>
      <c r="S5" s="225"/>
      <c r="T5" s="226">
        <v>1</v>
      </c>
    </row>
    <row r="6" spans="1:25" ht="15.6" x14ac:dyDescent="0.3">
      <c r="A6" s="221"/>
      <c r="B6" s="222">
        <v>64</v>
      </c>
      <c r="C6" s="223">
        <v>1</v>
      </c>
      <c r="D6" s="223">
        <v>4</v>
      </c>
      <c r="E6" s="222">
        <v>128</v>
      </c>
      <c r="F6" s="222">
        <v>263</v>
      </c>
      <c r="G6" s="223">
        <v>0</v>
      </c>
      <c r="H6" s="223">
        <v>0</v>
      </c>
      <c r="I6" s="222">
        <v>105</v>
      </c>
      <c r="J6" s="223">
        <v>1</v>
      </c>
      <c r="K6" s="222">
        <v>0.2</v>
      </c>
      <c r="L6" s="223">
        <v>2</v>
      </c>
      <c r="M6" s="222">
        <v>1</v>
      </c>
      <c r="N6" s="223">
        <v>7</v>
      </c>
      <c r="O6" s="224">
        <v>1</v>
      </c>
      <c r="Q6" s="225" t="s">
        <v>17</v>
      </c>
      <c r="R6" s="225"/>
      <c r="S6" s="225"/>
      <c r="T6" s="227">
        <v>0</v>
      </c>
    </row>
    <row r="7" spans="1:25" ht="15.6" x14ac:dyDescent="0.3">
      <c r="A7" s="221"/>
      <c r="B7" s="222">
        <v>74</v>
      </c>
      <c r="C7" s="223">
        <v>0</v>
      </c>
      <c r="D7" s="223">
        <v>2</v>
      </c>
      <c r="E7" s="222">
        <v>120</v>
      </c>
      <c r="F7" s="222">
        <v>269</v>
      </c>
      <c r="G7" s="223">
        <v>0</v>
      </c>
      <c r="H7" s="223">
        <v>2</v>
      </c>
      <c r="I7" s="222">
        <v>121</v>
      </c>
      <c r="J7" s="223">
        <v>1</v>
      </c>
      <c r="K7" s="222">
        <v>0.2</v>
      </c>
      <c r="L7" s="223">
        <v>1</v>
      </c>
      <c r="M7" s="222">
        <v>1</v>
      </c>
      <c r="N7" s="223">
        <v>3</v>
      </c>
      <c r="O7" s="224">
        <v>1</v>
      </c>
    </row>
    <row r="8" spans="1:25" ht="15.6" x14ac:dyDescent="0.3">
      <c r="A8" s="221"/>
      <c r="B8" s="222">
        <v>65</v>
      </c>
      <c r="C8" s="223">
        <v>1</v>
      </c>
      <c r="D8" s="223">
        <v>4</v>
      </c>
      <c r="E8" s="222">
        <v>120</v>
      </c>
      <c r="F8" s="222">
        <v>177</v>
      </c>
      <c r="G8" s="223">
        <v>0</v>
      </c>
      <c r="H8" s="223">
        <v>0</v>
      </c>
      <c r="I8" s="222">
        <v>140</v>
      </c>
      <c r="J8" s="223">
        <v>0</v>
      </c>
      <c r="K8" s="222">
        <v>0.4</v>
      </c>
      <c r="L8" s="223">
        <v>1</v>
      </c>
      <c r="M8" s="222">
        <v>0</v>
      </c>
      <c r="N8" s="223">
        <v>7</v>
      </c>
      <c r="O8" s="224">
        <v>1</v>
      </c>
    </row>
    <row r="9" spans="1:25" ht="15.6" x14ac:dyDescent="0.3">
      <c r="A9" s="221"/>
      <c r="B9" s="222">
        <v>56</v>
      </c>
      <c r="C9" s="223">
        <v>1</v>
      </c>
      <c r="D9" s="223">
        <v>3</v>
      </c>
      <c r="E9" s="222">
        <v>130</v>
      </c>
      <c r="F9" s="222">
        <v>256</v>
      </c>
      <c r="G9" s="223">
        <v>1</v>
      </c>
      <c r="H9" s="223">
        <v>2</v>
      </c>
      <c r="I9" s="222">
        <v>142</v>
      </c>
      <c r="J9" s="223">
        <v>1</v>
      </c>
      <c r="K9" s="222">
        <v>0.6</v>
      </c>
      <c r="L9" s="223">
        <v>2</v>
      </c>
      <c r="M9" s="222">
        <v>1</v>
      </c>
      <c r="N9" s="223">
        <v>6</v>
      </c>
      <c r="O9" s="224">
        <v>2</v>
      </c>
    </row>
    <row r="10" spans="1:25" ht="15.6" x14ac:dyDescent="0.3">
      <c r="A10" s="221"/>
      <c r="B10" s="222">
        <v>59</v>
      </c>
      <c r="C10" s="223">
        <v>1</v>
      </c>
      <c r="D10" s="223">
        <v>4</v>
      </c>
      <c r="E10" s="222">
        <v>110</v>
      </c>
      <c r="F10" s="222">
        <v>239</v>
      </c>
      <c r="G10" s="223">
        <v>0</v>
      </c>
      <c r="H10" s="223">
        <v>2</v>
      </c>
      <c r="I10" s="222">
        <v>142</v>
      </c>
      <c r="J10" s="223">
        <v>1</v>
      </c>
      <c r="K10" s="222">
        <v>1.2</v>
      </c>
      <c r="L10" s="223">
        <v>2</v>
      </c>
      <c r="M10" s="222">
        <v>1</v>
      </c>
      <c r="N10" s="223">
        <v>7</v>
      </c>
      <c r="O10" s="224">
        <v>2</v>
      </c>
    </row>
    <row r="11" spans="1:25" ht="15.6" x14ac:dyDescent="0.3">
      <c r="A11" s="221"/>
      <c r="B11" s="222">
        <v>60</v>
      </c>
      <c r="C11" s="223">
        <v>1</v>
      </c>
      <c r="D11" s="223">
        <v>4</v>
      </c>
      <c r="E11" s="222">
        <v>140</v>
      </c>
      <c r="F11" s="222">
        <v>293</v>
      </c>
      <c r="G11" s="223">
        <v>0</v>
      </c>
      <c r="H11" s="223">
        <v>2</v>
      </c>
      <c r="I11" s="222">
        <v>170</v>
      </c>
      <c r="J11" s="223">
        <v>0</v>
      </c>
      <c r="K11" s="222">
        <v>1.2</v>
      </c>
      <c r="L11" s="223">
        <v>2</v>
      </c>
      <c r="M11" s="222">
        <v>2</v>
      </c>
      <c r="N11" s="223">
        <v>7</v>
      </c>
      <c r="O11" s="224">
        <v>2</v>
      </c>
    </row>
    <row r="12" spans="1:25" ht="15.6" x14ac:dyDescent="0.3">
      <c r="A12" s="221"/>
      <c r="B12" s="222">
        <v>63</v>
      </c>
      <c r="C12" s="223">
        <v>0</v>
      </c>
      <c r="D12" s="223">
        <v>4</v>
      </c>
      <c r="E12" s="222">
        <v>150</v>
      </c>
      <c r="F12" s="222">
        <v>407</v>
      </c>
      <c r="G12" s="223">
        <v>0</v>
      </c>
      <c r="H12" s="223">
        <v>2</v>
      </c>
      <c r="I12" s="222">
        <v>154</v>
      </c>
      <c r="J12" s="223">
        <v>0</v>
      </c>
      <c r="K12" s="222">
        <v>4</v>
      </c>
      <c r="L12" s="223">
        <v>2</v>
      </c>
      <c r="M12" s="222">
        <v>3</v>
      </c>
      <c r="N12" s="223">
        <v>7</v>
      </c>
      <c r="O12" s="224">
        <v>2</v>
      </c>
    </row>
    <row r="13" spans="1:25" ht="15.6" x14ac:dyDescent="0.3">
      <c r="A13" s="219"/>
      <c r="B13" s="228">
        <v>1</v>
      </c>
      <c r="C13" s="228">
        <v>0</v>
      </c>
      <c r="D13" s="228">
        <v>0</v>
      </c>
      <c r="E13" s="228">
        <v>1</v>
      </c>
      <c r="F13" s="228">
        <v>1</v>
      </c>
      <c r="G13" s="228">
        <v>0</v>
      </c>
      <c r="H13" s="228">
        <v>0</v>
      </c>
      <c r="I13" s="228">
        <v>1</v>
      </c>
      <c r="J13" s="228">
        <v>0</v>
      </c>
      <c r="K13" s="228">
        <v>1</v>
      </c>
      <c r="L13" s="228">
        <v>0</v>
      </c>
      <c r="M13" s="228">
        <v>1</v>
      </c>
      <c r="N13" s="228">
        <v>0</v>
      </c>
      <c r="O13" s="219"/>
    </row>
    <row r="17" spans="1:19" ht="15.6" x14ac:dyDescent="0.3">
      <c r="A17" s="219"/>
      <c r="B17" s="225" t="s">
        <v>14</v>
      </c>
      <c r="C17" s="225"/>
      <c r="D17" s="225"/>
      <c r="E17" s="225"/>
      <c r="F17" s="226">
        <v>6</v>
      </c>
      <c r="G17" s="219"/>
      <c r="H17" s="219"/>
      <c r="I17" s="219"/>
      <c r="J17" s="219"/>
      <c r="K17" s="219"/>
      <c r="L17" s="225" t="s">
        <v>15</v>
      </c>
      <c r="M17" s="225"/>
      <c r="N17" s="225"/>
      <c r="O17" s="225"/>
      <c r="P17" s="227">
        <v>7</v>
      </c>
      <c r="Q17" s="219"/>
      <c r="R17" s="219"/>
      <c r="S17" s="219"/>
    </row>
    <row r="18" spans="1:19" ht="15.6" x14ac:dyDescent="0.3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</row>
    <row r="19" spans="1:19" ht="15.6" x14ac:dyDescent="0.3">
      <c r="A19" s="229" t="s">
        <v>11</v>
      </c>
      <c r="B19" s="229"/>
      <c r="C19" s="229"/>
      <c r="D19" s="229"/>
      <c r="E19" s="229"/>
      <c r="F19" s="229"/>
      <c r="G19" s="229"/>
      <c r="H19" s="229"/>
      <c r="I19" s="219"/>
      <c r="J19" s="219"/>
      <c r="K19" s="229" t="s">
        <v>10</v>
      </c>
      <c r="L19" s="229"/>
      <c r="M19" s="229"/>
      <c r="N19" s="229"/>
      <c r="O19" s="229"/>
      <c r="P19" s="229"/>
      <c r="Q19" s="229"/>
      <c r="R19" s="229"/>
      <c r="S19" s="229"/>
    </row>
    <row r="20" spans="1:19" ht="15.6" x14ac:dyDescent="0.3">
      <c r="A20" s="215" t="s">
        <v>5</v>
      </c>
      <c r="B20" s="216"/>
      <c r="C20" s="216"/>
      <c r="D20" s="216"/>
      <c r="E20" s="216"/>
      <c r="F20" s="216"/>
      <c r="G20" s="216"/>
      <c r="H20" s="216" t="s">
        <v>8</v>
      </c>
      <c r="I20" s="219"/>
      <c r="J20" s="219"/>
      <c r="K20" s="215" t="s">
        <v>5</v>
      </c>
      <c r="L20" s="216"/>
      <c r="M20" s="216"/>
      <c r="N20" s="216"/>
      <c r="O20" s="216"/>
      <c r="P20" s="216"/>
      <c r="Q20" s="216"/>
      <c r="R20" s="216"/>
      <c r="S20" s="215" t="s">
        <v>8</v>
      </c>
    </row>
    <row r="21" spans="1:19" ht="15.6" x14ac:dyDescent="0.3">
      <c r="A21" s="221"/>
      <c r="B21" s="222">
        <v>70</v>
      </c>
      <c r="C21" s="222">
        <v>130</v>
      </c>
      <c r="D21" s="222">
        <v>322</v>
      </c>
      <c r="E21" s="222">
        <v>109</v>
      </c>
      <c r="F21" s="222">
        <v>2.4</v>
      </c>
      <c r="G21" s="222">
        <v>3</v>
      </c>
      <c r="H21" s="224">
        <v>2</v>
      </c>
      <c r="I21" s="219"/>
      <c r="J21" s="219"/>
      <c r="K21" s="221"/>
      <c r="L21" s="223">
        <v>1</v>
      </c>
      <c r="M21" s="223">
        <v>4</v>
      </c>
      <c r="N21" s="223">
        <v>0</v>
      </c>
      <c r="O21" s="223">
        <v>2</v>
      </c>
      <c r="P21" s="223">
        <v>0</v>
      </c>
      <c r="Q21" s="223">
        <v>2</v>
      </c>
      <c r="R21" s="223">
        <v>3</v>
      </c>
      <c r="S21" s="224">
        <v>2</v>
      </c>
    </row>
    <row r="22" spans="1:19" ht="15.6" x14ac:dyDescent="0.3">
      <c r="A22" s="221"/>
      <c r="B22" s="222">
        <v>67</v>
      </c>
      <c r="C22" s="222">
        <v>115</v>
      </c>
      <c r="D22" s="222">
        <v>564</v>
      </c>
      <c r="E22" s="222">
        <v>160</v>
      </c>
      <c r="F22" s="222">
        <v>1.6</v>
      </c>
      <c r="G22" s="222">
        <v>0</v>
      </c>
      <c r="H22" s="224">
        <v>1</v>
      </c>
      <c r="I22" s="219"/>
      <c r="J22" s="219"/>
      <c r="K22" s="221"/>
      <c r="L22" s="223">
        <v>0</v>
      </c>
      <c r="M22" s="223">
        <v>3</v>
      </c>
      <c r="N22" s="223">
        <v>0</v>
      </c>
      <c r="O22" s="223">
        <v>2</v>
      </c>
      <c r="P22" s="223">
        <v>0</v>
      </c>
      <c r="Q22" s="223">
        <v>2</v>
      </c>
      <c r="R22" s="223">
        <v>7</v>
      </c>
      <c r="S22" s="224">
        <v>1</v>
      </c>
    </row>
    <row r="23" spans="1:19" ht="15.6" x14ac:dyDescent="0.3">
      <c r="A23" s="221"/>
      <c r="B23" s="222">
        <v>57</v>
      </c>
      <c r="C23" s="222">
        <v>124</v>
      </c>
      <c r="D23" s="222">
        <v>261</v>
      </c>
      <c r="E23" s="222">
        <v>141</v>
      </c>
      <c r="F23" s="222">
        <v>0.3</v>
      </c>
      <c r="G23" s="222">
        <v>0</v>
      </c>
      <c r="H23" s="224">
        <v>2</v>
      </c>
      <c r="I23" s="219"/>
      <c r="J23" s="219"/>
      <c r="K23" s="221"/>
      <c r="L23" s="223">
        <v>1</v>
      </c>
      <c r="M23" s="223">
        <v>2</v>
      </c>
      <c r="N23" s="223">
        <v>0</v>
      </c>
      <c r="O23" s="223">
        <v>0</v>
      </c>
      <c r="P23" s="223">
        <v>0</v>
      </c>
      <c r="Q23" s="223">
        <v>1</v>
      </c>
      <c r="R23" s="223">
        <v>7</v>
      </c>
      <c r="S23" s="224">
        <v>2</v>
      </c>
    </row>
    <row r="24" spans="1:19" ht="15.6" x14ac:dyDescent="0.3">
      <c r="A24" s="221"/>
      <c r="B24" s="222">
        <v>64</v>
      </c>
      <c r="C24" s="222">
        <v>128</v>
      </c>
      <c r="D24" s="222">
        <v>263</v>
      </c>
      <c r="E24" s="222">
        <v>105</v>
      </c>
      <c r="F24" s="222">
        <v>0.2</v>
      </c>
      <c r="G24" s="222">
        <v>1</v>
      </c>
      <c r="H24" s="224">
        <v>1</v>
      </c>
      <c r="I24" s="219"/>
      <c r="J24" s="219"/>
      <c r="K24" s="221"/>
      <c r="L24" s="223">
        <v>1</v>
      </c>
      <c r="M24" s="223">
        <v>4</v>
      </c>
      <c r="N24" s="223">
        <v>0</v>
      </c>
      <c r="O24" s="223">
        <v>0</v>
      </c>
      <c r="P24" s="223">
        <v>1</v>
      </c>
      <c r="Q24" s="223">
        <v>2</v>
      </c>
      <c r="R24" s="223">
        <v>7</v>
      </c>
      <c r="S24" s="224">
        <v>1</v>
      </c>
    </row>
    <row r="25" spans="1:19" ht="15.6" x14ac:dyDescent="0.3">
      <c r="A25" s="221"/>
      <c r="B25" s="222">
        <v>74</v>
      </c>
      <c r="C25" s="222">
        <v>120</v>
      </c>
      <c r="D25" s="222">
        <v>269</v>
      </c>
      <c r="E25" s="222">
        <v>121</v>
      </c>
      <c r="F25" s="222">
        <v>0.2</v>
      </c>
      <c r="G25" s="222">
        <v>1</v>
      </c>
      <c r="H25" s="224">
        <v>1</v>
      </c>
      <c r="I25" s="219"/>
      <c r="J25" s="219"/>
      <c r="K25" s="221"/>
      <c r="L25" s="223">
        <v>0</v>
      </c>
      <c r="M25" s="223">
        <v>2</v>
      </c>
      <c r="N25" s="223">
        <v>0</v>
      </c>
      <c r="O25" s="223">
        <v>2</v>
      </c>
      <c r="P25" s="223">
        <v>1</v>
      </c>
      <c r="Q25" s="223">
        <v>1</v>
      </c>
      <c r="R25" s="223">
        <v>3</v>
      </c>
      <c r="S25" s="224">
        <v>1</v>
      </c>
    </row>
    <row r="26" spans="1:19" ht="15.6" x14ac:dyDescent="0.3">
      <c r="A26" s="221"/>
      <c r="B26" s="222">
        <v>65</v>
      </c>
      <c r="C26" s="222">
        <v>120</v>
      </c>
      <c r="D26" s="222">
        <v>177</v>
      </c>
      <c r="E26" s="222">
        <v>140</v>
      </c>
      <c r="F26" s="222">
        <v>0.4</v>
      </c>
      <c r="G26" s="222">
        <v>0</v>
      </c>
      <c r="H26" s="224">
        <v>1</v>
      </c>
      <c r="I26" s="219"/>
      <c r="J26" s="219"/>
      <c r="K26" s="221"/>
      <c r="L26" s="223">
        <v>1</v>
      </c>
      <c r="M26" s="223">
        <v>4</v>
      </c>
      <c r="N26" s="223">
        <v>0</v>
      </c>
      <c r="O26" s="223">
        <v>0</v>
      </c>
      <c r="P26" s="223">
        <v>0</v>
      </c>
      <c r="Q26" s="223">
        <v>1</v>
      </c>
      <c r="R26" s="223">
        <v>7</v>
      </c>
      <c r="S26" s="224">
        <v>1</v>
      </c>
    </row>
    <row r="27" spans="1:19" ht="15.6" x14ac:dyDescent="0.3">
      <c r="A27" s="221"/>
      <c r="B27" s="222">
        <v>56</v>
      </c>
      <c r="C27" s="222">
        <v>130</v>
      </c>
      <c r="D27" s="222">
        <v>256</v>
      </c>
      <c r="E27" s="222">
        <v>142</v>
      </c>
      <c r="F27" s="222">
        <v>0.6</v>
      </c>
      <c r="G27" s="222">
        <v>1</v>
      </c>
      <c r="H27" s="224">
        <v>2</v>
      </c>
      <c r="I27" s="219"/>
      <c r="J27" s="219"/>
      <c r="K27" s="221"/>
      <c r="L27" s="223">
        <v>1</v>
      </c>
      <c r="M27" s="223">
        <v>3</v>
      </c>
      <c r="N27" s="223">
        <v>1</v>
      </c>
      <c r="O27" s="223">
        <v>2</v>
      </c>
      <c r="P27" s="223">
        <v>1</v>
      </c>
      <c r="Q27" s="223">
        <v>2</v>
      </c>
      <c r="R27" s="223">
        <v>6</v>
      </c>
      <c r="S27" s="224">
        <v>2</v>
      </c>
    </row>
    <row r="28" spans="1:19" ht="15.6" x14ac:dyDescent="0.3">
      <c r="A28" s="221"/>
      <c r="B28" s="222">
        <v>59</v>
      </c>
      <c r="C28" s="222">
        <v>110</v>
      </c>
      <c r="D28" s="222">
        <v>239</v>
      </c>
      <c r="E28" s="222">
        <v>142</v>
      </c>
      <c r="F28" s="222">
        <v>1.2</v>
      </c>
      <c r="G28" s="222">
        <v>1</v>
      </c>
      <c r="H28" s="224">
        <v>2</v>
      </c>
      <c r="I28" s="219"/>
      <c r="J28" s="219"/>
      <c r="K28" s="221"/>
      <c r="L28" s="223">
        <v>1</v>
      </c>
      <c r="M28" s="223">
        <v>4</v>
      </c>
      <c r="N28" s="223">
        <v>0</v>
      </c>
      <c r="O28" s="223">
        <v>2</v>
      </c>
      <c r="P28" s="223">
        <v>1</v>
      </c>
      <c r="Q28" s="223">
        <v>2</v>
      </c>
      <c r="R28" s="223">
        <v>7</v>
      </c>
      <c r="S28" s="224">
        <v>2</v>
      </c>
    </row>
    <row r="29" spans="1:19" ht="15.6" x14ac:dyDescent="0.3">
      <c r="A29" s="221"/>
      <c r="B29" s="222">
        <v>60</v>
      </c>
      <c r="C29" s="222">
        <v>140</v>
      </c>
      <c r="D29" s="222">
        <v>293</v>
      </c>
      <c r="E29" s="222">
        <v>170</v>
      </c>
      <c r="F29" s="222">
        <v>1.2</v>
      </c>
      <c r="G29" s="222">
        <v>2</v>
      </c>
      <c r="H29" s="224">
        <v>2</v>
      </c>
      <c r="I29" s="219"/>
      <c r="J29" s="219"/>
      <c r="K29" s="221"/>
      <c r="L29" s="223">
        <v>1</v>
      </c>
      <c r="M29" s="223">
        <v>4</v>
      </c>
      <c r="N29" s="223">
        <v>0</v>
      </c>
      <c r="O29" s="223">
        <v>2</v>
      </c>
      <c r="P29" s="223">
        <v>0</v>
      </c>
      <c r="Q29" s="223">
        <v>2</v>
      </c>
      <c r="R29" s="223">
        <v>7</v>
      </c>
      <c r="S29" s="224">
        <v>2</v>
      </c>
    </row>
    <row r="30" spans="1:19" ht="15.6" x14ac:dyDescent="0.3">
      <c r="A30" s="221"/>
      <c r="B30" s="222">
        <v>63</v>
      </c>
      <c r="C30" s="222">
        <v>150</v>
      </c>
      <c r="D30" s="222">
        <v>407</v>
      </c>
      <c r="E30" s="222">
        <v>154</v>
      </c>
      <c r="F30" s="222">
        <v>4</v>
      </c>
      <c r="G30" s="222">
        <v>3</v>
      </c>
      <c r="H30" s="224">
        <v>2</v>
      </c>
      <c r="I30" s="219"/>
      <c r="J30" s="219"/>
      <c r="K30" s="221"/>
      <c r="L30" s="223">
        <v>0</v>
      </c>
      <c r="M30" s="223">
        <v>4</v>
      </c>
      <c r="N30" s="223">
        <v>0</v>
      </c>
      <c r="O30" s="223">
        <v>2</v>
      </c>
      <c r="P30" s="223">
        <v>0</v>
      </c>
      <c r="Q30" s="223">
        <v>2</v>
      </c>
      <c r="R30" s="223">
        <v>7</v>
      </c>
      <c r="S30" s="224">
        <v>2</v>
      </c>
    </row>
    <row r="31" spans="1:19" ht="15.6" x14ac:dyDescent="0.3">
      <c r="A31" s="219"/>
      <c r="B31" s="228">
        <v>1</v>
      </c>
      <c r="C31" s="228">
        <v>1</v>
      </c>
      <c r="D31" s="228">
        <v>1</v>
      </c>
      <c r="E31" s="228">
        <v>1</v>
      </c>
      <c r="F31" s="228">
        <v>1</v>
      </c>
      <c r="G31" s="228">
        <v>1</v>
      </c>
      <c r="H31" s="219"/>
      <c r="I31" s="219"/>
      <c r="J31" s="219"/>
      <c r="K31" s="219"/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19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Y93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230" t="s">
        <v>11</v>
      </c>
      <c r="B1" s="230"/>
      <c r="C1" s="230"/>
      <c r="D1" s="230"/>
      <c r="E1" s="230"/>
      <c r="F1" s="230"/>
      <c r="G1" s="230"/>
      <c r="H1" s="230"/>
      <c r="I1" s="219"/>
      <c r="J1" s="219"/>
      <c r="K1" s="219"/>
      <c r="L1" s="219"/>
      <c r="M1" s="219"/>
      <c r="N1" s="219"/>
      <c r="O1" s="219"/>
      <c r="P1" s="219"/>
    </row>
    <row r="2" spans="1:17" ht="15.6" x14ac:dyDescent="0.3">
      <c r="A2" s="215" t="s">
        <v>5</v>
      </c>
      <c r="B2" s="216"/>
      <c r="C2" s="216"/>
      <c r="D2" s="216"/>
      <c r="E2" s="216"/>
      <c r="F2" s="216"/>
      <c r="G2" s="216"/>
      <c r="H2" s="216" t="s">
        <v>8</v>
      </c>
      <c r="I2" s="219"/>
      <c r="J2" s="219"/>
      <c r="K2" s="231" t="s">
        <v>12</v>
      </c>
      <c r="P2" s="219"/>
    </row>
    <row r="3" spans="1:17" ht="15.6" x14ac:dyDescent="0.3">
      <c r="A3" s="221"/>
      <c r="B3" s="222">
        <v>70</v>
      </c>
      <c r="C3" s="222">
        <v>130</v>
      </c>
      <c r="D3" s="222">
        <v>322</v>
      </c>
      <c r="E3" s="222">
        <v>109</v>
      </c>
      <c r="F3" s="222">
        <v>2.4</v>
      </c>
      <c r="G3" s="222">
        <v>3</v>
      </c>
      <c r="H3" s="224">
        <v>2</v>
      </c>
      <c r="I3" s="219"/>
      <c r="J3" s="219"/>
      <c r="K3" s="231" t="s">
        <v>9</v>
      </c>
      <c r="M3" s="225" t="s">
        <v>25</v>
      </c>
      <c r="N3" s="225"/>
      <c r="O3" s="225"/>
      <c r="P3" s="225"/>
      <c r="Q3" s="226">
        <v>1</v>
      </c>
    </row>
    <row r="4" spans="1:17" ht="15.6" x14ac:dyDescent="0.3">
      <c r="A4" s="221"/>
      <c r="B4" s="222">
        <v>67</v>
      </c>
      <c r="C4" s="222">
        <v>115</v>
      </c>
      <c r="D4" s="222">
        <v>564</v>
      </c>
      <c r="E4" s="222">
        <v>160</v>
      </c>
      <c r="F4" s="222">
        <v>1.6</v>
      </c>
      <c r="G4" s="222">
        <v>0</v>
      </c>
      <c r="H4" s="224">
        <v>1</v>
      </c>
      <c r="I4" s="219"/>
      <c r="J4" s="219"/>
      <c r="P4" s="219"/>
    </row>
    <row r="5" spans="1:17" ht="15.6" x14ac:dyDescent="0.3">
      <c r="A5" s="221"/>
      <c r="B5" s="222">
        <v>57</v>
      </c>
      <c r="C5" s="222">
        <v>124</v>
      </c>
      <c r="D5" s="222">
        <v>261</v>
      </c>
      <c r="E5" s="222">
        <v>141</v>
      </c>
      <c r="F5" s="222">
        <v>0.3</v>
      </c>
      <c r="G5" s="222">
        <v>0</v>
      </c>
      <c r="H5" s="224">
        <v>2</v>
      </c>
      <c r="I5" s="219"/>
      <c r="J5" s="219"/>
      <c r="P5" s="219"/>
    </row>
    <row r="6" spans="1:17" ht="15.6" x14ac:dyDescent="0.3">
      <c r="A6" s="221"/>
      <c r="B6" s="222">
        <v>64</v>
      </c>
      <c r="C6" s="222">
        <v>128</v>
      </c>
      <c r="D6" s="222">
        <v>263</v>
      </c>
      <c r="E6" s="222">
        <v>105</v>
      </c>
      <c r="F6" s="222">
        <v>0.2</v>
      </c>
      <c r="G6" s="222">
        <v>1</v>
      </c>
      <c r="H6" s="224">
        <v>1</v>
      </c>
      <c r="I6" s="219"/>
      <c r="J6" s="219"/>
      <c r="K6" s="232" t="s">
        <v>18</v>
      </c>
      <c r="L6" s="233"/>
      <c r="M6" s="233"/>
      <c r="N6" s="233"/>
      <c r="O6" s="234"/>
      <c r="P6" s="219"/>
    </row>
    <row r="7" spans="1:17" ht="15.6" x14ac:dyDescent="0.3">
      <c r="A7" s="221"/>
      <c r="B7" s="222">
        <v>74</v>
      </c>
      <c r="C7" s="222">
        <v>120</v>
      </c>
      <c r="D7" s="222">
        <v>269</v>
      </c>
      <c r="E7" s="222">
        <v>121</v>
      </c>
      <c r="F7" s="222">
        <v>0.2</v>
      </c>
      <c r="G7" s="222">
        <v>1</v>
      </c>
      <c r="H7" s="224">
        <v>1</v>
      </c>
      <c r="I7" s="219"/>
      <c r="J7" s="219"/>
      <c r="K7" s="215" t="s">
        <v>5</v>
      </c>
      <c r="L7" s="221"/>
      <c r="M7" s="221"/>
      <c r="N7" s="221"/>
      <c r="O7" s="221"/>
      <c r="P7" s="219"/>
    </row>
    <row r="8" spans="1:17" ht="15.6" x14ac:dyDescent="0.3">
      <c r="A8" s="221"/>
      <c r="B8" s="222">
        <v>65</v>
      </c>
      <c r="C8" s="222">
        <v>120</v>
      </c>
      <c r="D8" s="222">
        <v>177</v>
      </c>
      <c r="E8" s="222">
        <v>140</v>
      </c>
      <c r="F8" s="222">
        <v>0.4</v>
      </c>
      <c r="G8" s="222">
        <v>0</v>
      </c>
      <c r="H8" s="224">
        <v>1</v>
      </c>
      <c r="I8" s="219"/>
      <c r="J8" s="219"/>
      <c r="K8" s="216"/>
      <c r="L8" s="223">
        <v>56</v>
      </c>
      <c r="M8" s="223">
        <v>63</v>
      </c>
      <c r="N8" s="223">
        <v>74</v>
      </c>
      <c r="O8" s="235">
        <v>0.63492099999999996</v>
      </c>
      <c r="P8" s="219"/>
    </row>
    <row r="9" spans="1:17" ht="15.6" x14ac:dyDescent="0.3">
      <c r="A9" s="221"/>
      <c r="B9" s="222">
        <v>56</v>
      </c>
      <c r="C9" s="222">
        <v>130</v>
      </c>
      <c r="D9" s="222">
        <v>256</v>
      </c>
      <c r="E9" s="222">
        <v>142</v>
      </c>
      <c r="F9" s="222">
        <v>0.6</v>
      </c>
      <c r="G9" s="222">
        <v>1</v>
      </c>
      <c r="H9" s="224">
        <v>2</v>
      </c>
      <c r="I9" s="219"/>
      <c r="J9" s="219"/>
      <c r="K9" s="216"/>
      <c r="L9" s="223">
        <v>110</v>
      </c>
      <c r="M9" s="223">
        <v>120</v>
      </c>
      <c r="N9" s="223">
        <v>150</v>
      </c>
      <c r="O9" s="235">
        <v>0.41269800000000001</v>
      </c>
      <c r="P9" s="219"/>
    </row>
    <row r="10" spans="1:17" ht="15.6" x14ac:dyDescent="0.3">
      <c r="A10" s="221"/>
      <c r="B10" s="222">
        <v>59</v>
      </c>
      <c r="C10" s="222">
        <v>110</v>
      </c>
      <c r="D10" s="222">
        <v>239</v>
      </c>
      <c r="E10" s="222">
        <v>142</v>
      </c>
      <c r="F10" s="222">
        <v>1.2</v>
      </c>
      <c r="G10" s="222">
        <v>1</v>
      </c>
      <c r="H10" s="224">
        <v>2</v>
      </c>
      <c r="I10" s="219"/>
      <c r="J10" s="219"/>
      <c r="K10" s="216"/>
      <c r="L10" s="223">
        <v>177</v>
      </c>
      <c r="M10" s="223">
        <v>177</v>
      </c>
      <c r="N10" s="223">
        <v>564</v>
      </c>
      <c r="O10" s="235">
        <v>0.214286</v>
      </c>
      <c r="P10" s="219"/>
    </row>
    <row r="11" spans="1:17" ht="15.6" x14ac:dyDescent="0.3">
      <c r="A11" s="221"/>
      <c r="B11" s="222">
        <v>60</v>
      </c>
      <c r="C11" s="222">
        <v>140</v>
      </c>
      <c r="D11" s="222">
        <v>293</v>
      </c>
      <c r="E11" s="222">
        <v>170</v>
      </c>
      <c r="F11" s="222">
        <v>1.2</v>
      </c>
      <c r="G11" s="222">
        <v>2</v>
      </c>
      <c r="H11" s="224">
        <v>2</v>
      </c>
      <c r="I11" s="219"/>
      <c r="J11" s="219"/>
      <c r="K11" s="216"/>
      <c r="L11" s="223">
        <v>105</v>
      </c>
      <c r="M11" s="223">
        <v>140</v>
      </c>
      <c r="N11" s="223">
        <v>170</v>
      </c>
      <c r="O11" s="235">
        <v>0.41269800000000001</v>
      </c>
      <c r="P11" s="219"/>
    </row>
    <row r="12" spans="1:17" ht="15.6" x14ac:dyDescent="0.3">
      <c r="A12" s="221"/>
      <c r="B12" s="222">
        <v>63</v>
      </c>
      <c r="C12" s="222">
        <v>150</v>
      </c>
      <c r="D12" s="222">
        <v>407</v>
      </c>
      <c r="E12" s="222">
        <v>154</v>
      </c>
      <c r="F12" s="222">
        <v>4</v>
      </c>
      <c r="G12" s="222">
        <v>3</v>
      </c>
      <c r="H12" s="224">
        <v>2</v>
      </c>
      <c r="I12" s="219"/>
      <c r="J12" s="219"/>
      <c r="K12" s="216"/>
      <c r="L12" s="223">
        <v>0.2</v>
      </c>
      <c r="M12" s="223">
        <v>0.4</v>
      </c>
      <c r="N12" s="223">
        <v>4</v>
      </c>
      <c r="O12" s="235">
        <v>0.41269800000000001</v>
      </c>
      <c r="P12" s="219"/>
    </row>
    <row r="13" spans="1:17" ht="15.6" x14ac:dyDescent="0.3">
      <c r="A13" s="219"/>
      <c r="B13" s="228">
        <v>1</v>
      </c>
      <c r="C13" s="228">
        <v>1</v>
      </c>
      <c r="D13" s="228">
        <v>1</v>
      </c>
      <c r="E13" s="228">
        <v>1</v>
      </c>
      <c r="F13" s="228">
        <v>1</v>
      </c>
      <c r="G13" s="228">
        <v>1</v>
      </c>
      <c r="H13" s="219"/>
      <c r="I13" s="219"/>
      <c r="J13" s="219"/>
      <c r="K13" s="216"/>
      <c r="L13" s="223">
        <v>0</v>
      </c>
      <c r="M13" s="223">
        <v>0</v>
      </c>
      <c r="N13" s="223">
        <v>3</v>
      </c>
      <c r="O13" s="235">
        <v>0.28571400000000002</v>
      </c>
      <c r="P13" s="219"/>
    </row>
    <row r="14" spans="1:17" ht="15.6" x14ac:dyDescent="0.3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</row>
    <row r="15" spans="1:17" ht="15.6" x14ac:dyDescent="0.3">
      <c r="A15" s="219"/>
      <c r="B15" s="219"/>
      <c r="C15" s="219"/>
      <c r="D15" s="219"/>
      <c r="E15" s="219"/>
      <c r="F15" s="219"/>
      <c r="G15" s="219"/>
      <c r="H15" s="219"/>
      <c r="I15" s="236"/>
      <c r="J15" s="219"/>
      <c r="K15" s="219"/>
      <c r="L15" s="219"/>
      <c r="M15" s="219"/>
      <c r="N15" s="219"/>
      <c r="O15" s="219"/>
      <c r="P15" s="219"/>
    </row>
    <row r="16" spans="1:17" ht="15.6" x14ac:dyDescent="0.3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</row>
    <row r="17" spans="1:25" ht="15.6" x14ac:dyDescent="0.3">
      <c r="A17" s="215" t="s">
        <v>5</v>
      </c>
      <c r="B17" s="215"/>
      <c r="C17" s="215" t="s">
        <v>8</v>
      </c>
      <c r="G17" s="215" t="s">
        <v>5</v>
      </c>
      <c r="H17" s="215"/>
      <c r="I17" s="215" t="s">
        <v>8</v>
      </c>
      <c r="K17" s="215" t="s">
        <v>5</v>
      </c>
      <c r="L17" s="215"/>
      <c r="M17" s="215" t="s">
        <v>8</v>
      </c>
      <c r="O17" s="215" t="s">
        <v>5</v>
      </c>
      <c r="P17" s="215"/>
      <c r="Q17" s="215" t="s">
        <v>8</v>
      </c>
      <c r="S17" s="215" t="s">
        <v>5</v>
      </c>
      <c r="T17" s="215"/>
      <c r="U17" s="215" t="s">
        <v>8</v>
      </c>
      <c r="W17" s="215" t="s">
        <v>5</v>
      </c>
      <c r="X17" s="215"/>
      <c r="Y17" s="215" t="s">
        <v>8</v>
      </c>
    </row>
    <row r="18" spans="1:25" ht="16.2" thickBot="1" x14ac:dyDescent="0.35">
      <c r="A18" s="221"/>
      <c r="B18" s="222">
        <v>56</v>
      </c>
      <c r="C18" s="224">
        <v>2</v>
      </c>
      <c r="G18" s="221"/>
      <c r="H18" s="222">
        <v>110</v>
      </c>
      <c r="I18" s="224">
        <v>2</v>
      </c>
      <c r="K18" s="237"/>
      <c r="L18" s="238">
        <v>177</v>
      </c>
      <c r="M18" s="239">
        <v>1</v>
      </c>
      <c r="O18" s="221"/>
      <c r="P18" s="222">
        <v>105</v>
      </c>
      <c r="Q18" s="224">
        <v>1</v>
      </c>
      <c r="S18" s="221"/>
      <c r="T18" s="222">
        <v>0.2</v>
      </c>
      <c r="U18" s="224">
        <v>1</v>
      </c>
      <c r="W18" s="221"/>
      <c r="X18" s="222">
        <v>0</v>
      </c>
      <c r="Y18" s="224">
        <v>1</v>
      </c>
    </row>
    <row r="19" spans="1:25" ht="15.6" x14ac:dyDescent="0.3">
      <c r="A19" s="221"/>
      <c r="B19" s="222">
        <v>57</v>
      </c>
      <c r="C19" s="224">
        <v>2</v>
      </c>
      <c r="G19" s="221"/>
      <c r="H19" s="222">
        <v>115</v>
      </c>
      <c r="I19" s="224">
        <v>1</v>
      </c>
      <c r="K19" s="221"/>
      <c r="L19" s="240">
        <v>239</v>
      </c>
      <c r="M19" s="241">
        <v>2</v>
      </c>
      <c r="O19" s="221"/>
      <c r="P19" s="222">
        <v>109</v>
      </c>
      <c r="Q19" s="224">
        <v>2</v>
      </c>
      <c r="S19" s="221"/>
      <c r="T19" s="222">
        <v>0.2</v>
      </c>
      <c r="U19" s="224">
        <v>1</v>
      </c>
      <c r="W19" s="242"/>
      <c r="X19" s="222">
        <v>0</v>
      </c>
      <c r="Y19" s="224">
        <v>2</v>
      </c>
    </row>
    <row r="20" spans="1:25" ht="16.2" thickBot="1" x14ac:dyDescent="0.35">
      <c r="A20" s="221"/>
      <c r="B20" s="222">
        <v>59</v>
      </c>
      <c r="C20" s="224">
        <v>2</v>
      </c>
      <c r="E20" s="243" t="s">
        <v>81</v>
      </c>
      <c r="G20" s="221"/>
      <c r="H20" s="222">
        <v>120</v>
      </c>
      <c r="I20" s="224">
        <v>1</v>
      </c>
      <c r="K20" s="221"/>
      <c r="L20" s="222">
        <v>256</v>
      </c>
      <c r="M20" s="224">
        <v>2</v>
      </c>
      <c r="O20" s="221"/>
      <c r="P20" s="222">
        <v>121</v>
      </c>
      <c r="Q20" s="224">
        <v>1</v>
      </c>
      <c r="S20" s="242"/>
      <c r="T20" s="222">
        <v>0.3</v>
      </c>
      <c r="U20" s="224">
        <v>2</v>
      </c>
      <c r="W20" s="237"/>
      <c r="X20" s="238">
        <v>0</v>
      </c>
      <c r="Y20" s="239">
        <v>1</v>
      </c>
    </row>
    <row r="21" spans="1:25" ht="16.2" thickBot="1" x14ac:dyDescent="0.35">
      <c r="A21" s="221"/>
      <c r="B21" s="222">
        <v>60</v>
      </c>
      <c r="C21" s="224">
        <v>2</v>
      </c>
      <c r="G21" s="237"/>
      <c r="H21" s="238">
        <v>120</v>
      </c>
      <c r="I21" s="239">
        <v>1</v>
      </c>
      <c r="K21" s="242"/>
      <c r="L21" s="222">
        <v>261</v>
      </c>
      <c r="M21" s="224">
        <v>2</v>
      </c>
      <c r="O21" s="237"/>
      <c r="P21" s="238">
        <v>140</v>
      </c>
      <c r="Q21" s="239">
        <v>1</v>
      </c>
      <c r="S21" s="237"/>
      <c r="T21" s="238">
        <v>0.4</v>
      </c>
      <c r="U21" s="239">
        <v>1</v>
      </c>
      <c r="W21" s="221"/>
      <c r="X21" s="240">
        <v>1</v>
      </c>
      <c r="Y21" s="241">
        <v>1</v>
      </c>
    </row>
    <row r="22" spans="1:25" ht="16.2" thickBot="1" x14ac:dyDescent="0.35">
      <c r="A22" s="237"/>
      <c r="B22" s="238">
        <v>63</v>
      </c>
      <c r="C22" s="239">
        <v>2</v>
      </c>
      <c r="G22" s="242"/>
      <c r="H22" s="240">
        <v>124</v>
      </c>
      <c r="I22" s="241">
        <v>2</v>
      </c>
      <c r="K22" s="221"/>
      <c r="L22" s="222">
        <v>263</v>
      </c>
      <c r="M22" s="224">
        <v>1</v>
      </c>
      <c r="O22" s="242"/>
      <c r="P22" s="240">
        <v>141</v>
      </c>
      <c r="Q22" s="241">
        <v>2</v>
      </c>
      <c r="S22" s="221"/>
      <c r="T22" s="240">
        <v>0.6</v>
      </c>
      <c r="U22" s="241">
        <v>2</v>
      </c>
      <c r="W22" s="221"/>
      <c r="X22" s="222">
        <v>1</v>
      </c>
      <c r="Y22" s="224">
        <v>1</v>
      </c>
    </row>
    <row r="23" spans="1:25" ht="15.6" x14ac:dyDescent="0.3">
      <c r="A23" s="242"/>
      <c r="B23" s="240">
        <v>64</v>
      </c>
      <c r="C23" s="241">
        <v>1</v>
      </c>
      <c r="G23" s="221"/>
      <c r="H23" s="222">
        <v>128</v>
      </c>
      <c r="I23" s="224">
        <v>1</v>
      </c>
      <c r="K23" s="221"/>
      <c r="L23" s="222">
        <v>269</v>
      </c>
      <c r="M23" s="224">
        <v>1</v>
      </c>
      <c r="O23" s="221"/>
      <c r="P23" s="222">
        <v>142</v>
      </c>
      <c r="Q23" s="224">
        <v>2</v>
      </c>
      <c r="S23" s="221"/>
      <c r="T23" s="222">
        <v>1.2</v>
      </c>
      <c r="U23" s="224">
        <v>2</v>
      </c>
      <c r="W23" s="221"/>
      <c r="X23" s="222">
        <v>1</v>
      </c>
      <c r="Y23" s="224">
        <v>2</v>
      </c>
    </row>
    <row r="24" spans="1:25" ht="15.6" x14ac:dyDescent="0.3">
      <c r="A24" s="221"/>
      <c r="B24" s="222">
        <v>65</v>
      </c>
      <c r="C24" s="224">
        <v>1</v>
      </c>
      <c r="G24" s="221"/>
      <c r="H24" s="222">
        <v>130</v>
      </c>
      <c r="I24" s="224">
        <v>2</v>
      </c>
      <c r="K24" s="221"/>
      <c r="L24" s="222">
        <v>293</v>
      </c>
      <c r="M24" s="224">
        <v>2</v>
      </c>
      <c r="O24" s="221"/>
      <c r="P24" s="222">
        <v>142</v>
      </c>
      <c r="Q24" s="224">
        <v>2</v>
      </c>
      <c r="S24" s="221"/>
      <c r="T24" s="222">
        <v>1.2</v>
      </c>
      <c r="U24" s="224">
        <v>2</v>
      </c>
      <c r="W24" s="221"/>
      <c r="X24" s="222">
        <v>1</v>
      </c>
      <c r="Y24" s="224">
        <v>2</v>
      </c>
    </row>
    <row r="25" spans="1:25" ht="15.6" x14ac:dyDescent="0.3">
      <c r="A25" s="221"/>
      <c r="B25" s="222">
        <v>67</v>
      </c>
      <c r="C25" s="224">
        <v>1</v>
      </c>
      <c r="E25" s="243" t="s">
        <v>82</v>
      </c>
      <c r="G25" s="221"/>
      <c r="H25" s="222">
        <v>130</v>
      </c>
      <c r="I25" s="224">
        <v>2</v>
      </c>
      <c r="K25" s="221"/>
      <c r="L25" s="222">
        <v>322</v>
      </c>
      <c r="M25" s="224">
        <v>2</v>
      </c>
      <c r="O25" s="221"/>
      <c r="P25" s="222">
        <v>154</v>
      </c>
      <c r="Q25" s="224">
        <v>2</v>
      </c>
      <c r="S25" s="221"/>
      <c r="T25" s="222">
        <v>1.6</v>
      </c>
      <c r="U25" s="224">
        <v>1</v>
      </c>
      <c r="W25" s="221"/>
      <c r="X25" s="222">
        <v>2</v>
      </c>
      <c r="Y25" s="224">
        <v>2</v>
      </c>
    </row>
    <row r="26" spans="1:25" ht="15.6" x14ac:dyDescent="0.3">
      <c r="A26" s="221"/>
      <c r="B26" s="222">
        <v>70</v>
      </c>
      <c r="C26" s="224">
        <v>2</v>
      </c>
      <c r="G26" s="221"/>
      <c r="H26" s="222">
        <v>140</v>
      </c>
      <c r="I26" s="224">
        <v>2</v>
      </c>
      <c r="K26" s="221"/>
      <c r="L26" s="222">
        <v>407</v>
      </c>
      <c r="M26" s="224">
        <v>2</v>
      </c>
      <c r="O26" s="221"/>
      <c r="P26" s="222">
        <v>160</v>
      </c>
      <c r="Q26" s="224">
        <v>1</v>
      </c>
      <c r="S26" s="221"/>
      <c r="T26" s="222">
        <v>2.4</v>
      </c>
      <c r="U26" s="224">
        <v>2</v>
      </c>
      <c r="W26" s="221"/>
      <c r="X26" s="222">
        <v>3</v>
      </c>
      <c r="Y26" s="224">
        <v>2</v>
      </c>
    </row>
    <row r="27" spans="1:25" ht="15.6" x14ac:dyDescent="0.3">
      <c r="A27" s="221"/>
      <c r="B27" s="222">
        <v>74</v>
      </c>
      <c r="C27" s="224">
        <v>1</v>
      </c>
      <c r="G27" s="221"/>
      <c r="H27" s="222">
        <v>150</v>
      </c>
      <c r="I27" s="224">
        <v>2</v>
      </c>
      <c r="K27" s="221"/>
      <c r="L27" s="222">
        <v>564</v>
      </c>
      <c r="M27" s="224">
        <v>1</v>
      </c>
      <c r="O27" s="221"/>
      <c r="P27" s="222">
        <v>170</v>
      </c>
      <c r="Q27" s="224">
        <v>2</v>
      </c>
      <c r="S27" s="221"/>
      <c r="T27" s="222">
        <v>4</v>
      </c>
      <c r="U27" s="224">
        <v>2</v>
      </c>
      <c r="W27" s="221"/>
      <c r="X27" s="222">
        <v>3</v>
      </c>
      <c r="Y27" s="224">
        <v>2</v>
      </c>
    </row>
    <row r="28" spans="1:25" ht="15.6" x14ac:dyDescent="0.3">
      <c r="A28" s="219"/>
      <c r="B28" s="219"/>
      <c r="C28" s="219"/>
      <c r="G28" s="219"/>
      <c r="H28" s="219"/>
      <c r="I28" s="219"/>
      <c r="K28" s="219"/>
      <c r="L28" s="219"/>
      <c r="M28" s="219"/>
      <c r="O28" s="219"/>
      <c r="P28" s="219"/>
      <c r="Q28" s="219"/>
      <c r="S28" s="219"/>
      <c r="T28" s="219"/>
      <c r="U28" s="219"/>
      <c r="W28" s="219"/>
      <c r="X28" s="219"/>
      <c r="Y28" s="219"/>
    </row>
    <row r="29" spans="1:25" ht="15.6" x14ac:dyDescent="0.3">
      <c r="A29" s="244"/>
      <c r="B29" s="245">
        <f>AVERAGE(B22,B23)</f>
        <v>63.5</v>
      </c>
      <c r="C29" s="219"/>
      <c r="G29" s="244"/>
      <c r="H29" s="245">
        <f>AVERAGE(H21,H22)</f>
        <v>122</v>
      </c>
      <c r="I29" s="219"/>
      <c r="K29" s="244"/>
      <c r="L29" s="245">
        <f>AVERAGE(L18,L19)</f>
        <v>208</v>
      </c>
      <c r="M29" s="219"/>
      <c r="O29" s="244"/>
      <c r="P29" s="245">
        <f>AVERAGE(P21,P22)</f>
        <v>140.5</v>
      </c>
      <c r="Q29" s="219"/>
      <c r="S29" s="244"/>
      <c r="T29" s="245">
        <f>AVERAGE(T21,T22)</f>
        <v>0.5</v>
      </c>
      <c r="U29" s="219"/>
      <c r="W29" s="244"/>
      <c r="X29" s="245">
        <f>AVERAGE(X20,X21)</f>
        <v>0.5</v>
      </c>
      <c r="Y29" s="219"/>
    </row>
    <row r="33" spans="1:8" ht="15.6" x14ac:dyDescent="0.3">
      <c r="A33" s="246" t="s">
        <v>19</v>
      </c>
      <c r="B33" s="246"/>
      <c r="C33" s="246"/>
      <c r="D33" s="246"/>
      <c r="E33" s="246"/>
      <c r="F33" s="246"/>
      <c r="G33" s="246"/>
      <c r="H33" s="246"/>
    </row>
    <row r="34" spans="1:8" ht="15.6" x14ac:dyDescent="0.3">
      <c r="A34" s="215" t="s">
        <v>5</v>
      </c>
      <c r="B34" s="215"/>
      <c r="C34" s="215"/>
      <c r="D34" s="215"/>
      <c r="E34" s="215"/>
      <c r="F34" s="215"/>
      <c r="G34" s="215"/>
      <c r="H34" s="216" t="s">
        <v>8</v>
      </c>
    </row>
    <row r="35" spans="1:8" ht="15.6" x14ac:dyDescent="0.3">
      <c r="A35" s="221"/>
      <c r="B35" s="247">
        <f t="shared" ref="B35:B44" si="0">IF(B3&lt;$B$29,1,2)</f>
        <v>2</v>
      </c>
      <c r="C35" s="247">
        <f t="shared" ref="C35:C44" si="1">IF(C3&lt;$H$29,1,2)</f>
        <v>2</v>
      </c>
      <c r="D35" s="247">
        <f t="shared" ref="D35:D44" si="2">IF(D3&lt;$L$29,1,2)</f>
        <v>2</v>
      </c>
      <c r="E35" s="247">
        <f t="shared" ref="E35:E44" si="3">IF(E3&lt;$P$29,1,2)</f>
        <v>1</v>
      </c>
      <c r="F35" s="247">
        <f t="shared" ref="F35:F44" si="4">IF(F3&lt;$T$29,1,2)</f>
        <v>2</v>
      </c>
      <c r="G35" s="247">
        <f t="shared" ref="G35:G44" si="5">IF(G3&lt;$X$29,1,2)</f>
        <v>2</v>
      </c>
      <c r="H35" s="224">
        <v>2</v>
      </c>
    </row>
    <row r="36" spans="1:8" ht="15.6" x14ac:dyDescent="0.3">
      <c r="A36" s="221"/>
      <c r="B36" s="247">
        <f t="shared" si="0"/>
        <v>2</v>
      </c>
      <c r="C36" s="247">
        <f t="shared" si="1"/>
        <v>1</v>
      </c>
      <c r="D36" s="247">
        <f t="shared" si="2"/>
        <v>2</v>
      </c>
      <c r="E36" s="247">
        <f t="shared" si="3"/>
        <v>2</v>
      </c>
      <c r="F36" s="247">
        <f t="shared" si="4"/>
        <v>2</v>
      </c>
      <c r="G36" s="247">
        <f t="shared" si="5"/>
        <v>1</v>
      </c>
      <c r="H36" s="224">
        <v>1</v>
      </c>
    </row>
    <row r="37" spans="1:8" ht="15.6" x14ac:dyDescent="0.3">
      <c r="A37" s="221"/>
      <c r="B37" s="247">
        <f t="shared" si="0"/>
        <v>1</v>
      </c>
      <c r="C37" s="247">
        <f t="shared" si="1"/>
        <v>2</v>
      </c>
      <c r="D37" s="247">
        <f t="shared" si="2"/>
        <v>2</v>
      </c>
      <c r="E37" s="247">
        <f t="shared" si="3"/>
        <v>2</v>
      </c>
      <c r="F37" s="247">
        <f t="shared" si="4"/>
        <v>1</v>
      </c>
      <c r="G37" s="247">
        <f t="shared" si="5"/>
        <v>1</v>
      </c>
      <c r="H37" s="224">
        <v>2</v>
      </c>
    </row>
    <row r="38" spans="1:8" ht="15.6" x14ac:dyDescent="0.3">
      <c r="A38" s="221"/>
      <c r="B38" s="247">
        <f t="shared" si="0"/>
        <v>2</v>
      </c>
      <c r="C38" s="247">
        <f t="shared" si="1"/>
        <v>2</v>
      </c>
      <c r="D38" s="247">
        <f t="shared" si="2"/>
        <v>2</v>
      </c>
      <c r="E38" s="247">
        <f t="shared" si="3"/>
        <v>1</v>
      </c>
      <c r="F38" s="247">
        <f t="shared" si="4"/>
        <v>1</v>
      </c>
      <c r="G38" s="247">
        <f t="shared" si="5"/>
        <v>2</v>
      </c>
      <c r="H38" s="224">
        <v>1</v>
      </c>
    </row>
    <row r="39" spans="1:8" ht="15.6" x14ac:dyDescent="0.3">
      <c r="A39" s="221"/>
      <c r="B39" s="247">
        <f t="shared" si="0"/>
        <v>2</v>
      </c>
      <c r="C39" s="247">
        <f t="shared" si="1"/>
        <v>1</v>
      </c>
      <c r="D39" s="247">
        <f t="shared" si="2"/>
        <v>2</v>
      </c>
      <c r="E39" s="247">
        <f t="shared" si="3"/>
        <v>1</v>
      </c>
      <c r="F39" s="247">
        <f t="shared" si="4"/>
        <v>1</v>
      </c>
      <c r="G39" s="247">
        <f t="shared" si="5"/>
        <v>2</v>
      </c>
      <c r="H39" s="224">
        <v>1</v>
      </c>
    </row>
    <row r="40" spans="1:8" ht="15.6" x14ac:dyDescent="0.3">
      <c r="A40" s="221"/>
      <c r="B40" s="247">
        <f t="shared" si="0"/>
        <v>2</v>
      </c>
      <c r="C40" s="247">
        <f t="shared" si="1"/>
        <v>1</v>
      </c>
      <c r="D40" s="247">
        <f t="shared" si="2"/>
        <v>1</v>
      </c>
      <c r="E40" s="247">
        <f t="shared" si="3"/>
        <v>1</v>
      </c>
      <c r="F40" s="247">
        <f t="shared" si="4"/>
        <v>1</v>
      </c>
      <c r="G40" s="247">
        <f t="shared" si="5"/>
        <v>1</v>
      </c>
      <c r="H40" s="224">
        <v>1</v>
      </c>
    </row>
    <row r="41" spans="1:8" ht="15.6" x14ac:dyDescent="0.3">
      <c r="A41" s="221"/>
      <c r="B41" s="247">
        <f t="shared" si="0"/>
        <v>1</v>
      </c>
      <c r="C41" s="247">
        <f t="shared" si="1"/>
        <v>2</v>
      </c>
      <c r="D41" s="247">
        <f t="shared" si="2"/>
        <v>2</v>
      </c>
      <c r="E41" s="247">
        <f t="shared" si="3"/>
        <v>2</v>
      </c>
      <c r="F41" s="247">
        <f t="shared" si="4"/>
        <v>2</v>
      </c>
      <c r="G41" s="247">
        <f t="shared" si="5"/>
        <v>2</v>
      </c>
      <c r="H41" s="224">
        <v>2</v>
      </c>
    </row>
    <row r="42" spans="1:8" ht="15.6" x14ac:dyDescent="0.3">
      <c r="A42" s="221"/>
      <c r="B42" s="247">
        <f t="shared" si="0"/>
        <v>1</v>
      </c>
      <c r="C42" s="247">
        <f t="shared" si="1"/>
        <v>1</v>
      </c>
      <c r="D42" s="247">
        <f t="shared" si="2"/>
        <v>2</v>
      </c>
      <c r="E42" s="247">
        <f t="shared" si="3"/>
        <v>2</v>
      </c>
      <c r="F42" s="247">
        <f t="shared" si="4"/>
        <v>2</v>
      </c>
      <c r="G42" s="247">
        <f t="shared" si="5"/>
        <v>2</v>
      </c>
      <c r="H42" s="224">
        <v>2</v>
      </c>
    </row>
    <row r="43" spans="1:8" ht="15.6" x14ac:dyDescent="0.3">
      <c r="A43" s="221"/>
      <c r="B43" s="247">
        <f t="shared" si="0"/>
        <v>1</v>
      </c>
      <c r="C43" s="247">
        <f t="shared" si="1"/>
        <v>2</v>
      </c>
      <c r="D43" s="247">
        <f t="shared" si="2"/>
        <v>2</v>
      </c>
      <c r="E43" s="247">
        <f t="shared" si="3"/>
        <v>2</v>
      </c>
      <c r="F43" s="247">
        <f t="shared" si="4"/>
        <v>2</v>
      </c>
      <c r="G43" s="247">
        <f t="shared" si="5"/>
        <v>2</v>
      </c>
      <c r="H43" s="224">
        <v>2</v>
      </c>
    </row>
    <row r="44" spans="1:8" ht="15.6" x14ac:dyDescent="0.3">
      <c r="A44" s="221"/>
      <c r="B44" s="247">
        <f t="shared" si="0"/>
        <v>1</v>
      </c>
      <c r="C44" s="247">
        <f t="shared" si="1"/>
        <v>2</v>
      </c>
      <c r="D44" s="247">
        <f t="shared" si="2"/>
        <v>2</v>
      </c>
      <c r="E44" s="247">
        <f t="shared" si="3"/>
        <v>2</v>
      </c>
      <c r="F44" s="247">
        <f t="shared" si="4"/>
        <v>2</v>
      </c>
      <c r="G44" s="247">
        <f t="shared" si="5"/>
        <v>2</v>
      </c>
      <c r="H44" s="224">
        <v>2</v>
      </c>
    </row>
    <row r="47" spans="1:8" ht="15.6" x14ac:dyDescent="0.3">
      <c r="A47" s="246" t="s">
        <v>20</v>
      </c>
      <c r="B47" s="246"/>
      <c r="C47" s="246"/>
      <c r="D47" s="246"/>
      <c r="E47" s="246"/>
      <c r="F47" s="246"/>
      <c r="G47" s="246"/>
      <c r="H47" s="246"/>
    </row>
    <row r="48" spans="1:8" ht="15.6" x14ac:dyDescent="0.3">
      <c r="A48" s="215" t="s">
        <v>5</v>
      </c>
      <c r="B48" s="215"/>
      <c r="C48" s="215"/>
      <c r="D48" s="215"/>
      <c r="E48" s="215"/>
      <c r="F48" s="215"/>
      <c r="G48" s="215"/>
      <c r="H48" s="216" t="s">
        <v>8</v>
      </c>
    </row>
    <row r="49" spans="1:8" ht="15.6" x14ac:dyDescent="0.3">
      <c r="A49" s="221"/>
      <c r="B49" s="248">
        <f>IF(B4&lt;$B$29,1,2)</f>
        <v>2</v>
      </c>
      <c r="C49" s="248">
        <f>IF(C4&lt;$H$29,1,2)</f>
        <v>1</v>
      </c>
      <c r="D49" s="248">
        <f>IF(D4&lt;$L$29,1,2)</f>
        <v>2</v>
      </c>
      <c r="E49" s="248">
        <f>IF(E4&lt;$P$29,1,2)</f>
        <v>2</v>
      </c>
      <c r="F49" s="248">
        <f>IF(F4&lt;$T$29,1,2)</f>
        <v>2</v>
      </c>
      <c r="G49" s="248">
        <f>IF(G4&lt;$X$29,1,2)</f>
        <v>1</v>
      </c>
      <c r="H49" s="224">
        <v>1</v>
      </c>
    </row>
    <row r="50" spans="1:8" ht="15.6" x14ac:dyDescent="0.3">
      <c r="A50" s="221"/>
      <c r="B50" s="248">
        <f>IF(B6&lt;$B$29,1,2)</f>
        <v>2</v>
      </c>
      <c r="C50" s="248">
        <f>IF(C6&lt;$H$29,1,2)</f>
        <v>2</v>
      </c>
      <c r="D50" s="248">
        <f>IF(D6&lt;$L$29,1,2)</f>
        <v>2</v>
      </c>
      <c r="E50" s="248">
        <f>IF(E6&lt;$P$29,1,2)</f>
        <v>1</v>
      </c>
      <c r="F50" s="248">
        <f>IF(F6&lt;$T$29,1,2)</f>
        <v>1</v>
      </c>
      <c r="G50" s="248">
        <f>IF(G6&lt;$X$29,1,2)</f>
        <v>2</v>
      </c>
      <c r="H50" s="224">
        <v>1</v>
      </c>
    </row>
    <row r="51" spans="1:8" ht="15.6" x14ac:dyDescent="0.3">
      <c r="A51" s="221"/>
      <c r="B51" s="248">
        <f>IF(B7&lt;$B$29,1,2)</f>
        <v>2</v>
      </c>
      <c r="C51" s="248">
        <f>IF(C7&lt;$H$29,1,2)</f>
        <v>1</v>
      </c>
      <c r="D51" s="248">
        <f>IF(D7&lt;$L$29,1,2)</f>
        <v>2</v>
      </c>
      <c r="E51" s="248">
        <f>IF(E7&lt;$P$29,1,2)</f>
        <v>1</v>
      </c>
      <c r="F51" s="248">
        <f>IF(F7&lt;$T$29,1,2)</f>
        <v>1</v>
      </c>
      <c r="G51" s="248">
        <f>IF(G7&lt;$X$29,1,2)</f>
        <v>2</v>
      </c>
      <c r="H51" s="224">
        <v>1</v>
      </c>
    </row>
    <row r="52" spans="1:8" ht="16.2" thickBot="1" x14ac:dyDescent="0.35">
      <c r="A52" s="237"/>
      <c r="B52" s="249">
        <f>IF(B8&lt;$B$29,1,2)</f>
        <v>2</v>
      </c>
      <c r="C52" s="249">
        <f>IF(C8&lt;$H$29,1,2)</f>
        <v>1</v>
      </c>
      <c r="D52" s="249">
        <f>IF(D8&lt;$L$29,1,2)</f>
        <v>1</v>
      </c>
      <c r="E52" s="249">
        <f>IF(E8&lt;$P$29,1,2)</f>
        <v>1</v>
      </c>
      <c r="F52" s="249">
        <f>IF(F8&lt;$T$29,1,2)</f>
        <v>1</v>
      </c>
      <c r="G52" s="249">
        <f>IF(G8&lt;$X$29,1,2)</f>
        <v>1</v>
      </c>
      <c r="H52" s="239">
        <v>1</v>
      </c>
    </row>
    <row r="53" spans="1:8" ht="15.6" x14ac:dyDescent="0.3">
      <c r="A53" s="242"/>
      <c r="B53" s="250">
        <f>IF(B3&lt;$B$29,1,2)</f>
        <v>2</v>
      </c>
      <c r="C53" s="250">
        <f>IF(C3&lt;$H$29,1,2)</f>
        <v>2</v>
      </c>
      <c r="D53" s="250">
        <f>IF(D3&lt;$L$29,1,2)</f>
        <v>2</v>
      </c>
      <c r="E53" s="250">
        <f>IF(E3&lt;$P$29,1,2)</f>
        <v>1</v>
      </c>
      <c r="F53" s="250">
        <f>IF(F3&lt;$T$29,1,2)</f>
        <v>2</v>
      </c>
      <c r="G53" s="250">
        <f>IF(G3&lt;$X$29,1,2)</f>
        <v>2</v>
      </c>
      <c r="H53" s="241">
        <v>2</v>
      </c>
    </row>
    <row r="54" spans="1:8" ht="15.6" x14ac:dyDescent="0.3">
      <c r="A54" s="221"/>
      <c r="B54" s="248">
        <f>IF(B5&lt;$B$29,1,2)</f>
        <v>1</v>
      </c>
      <c r="C54" s="248">
        <f>IF(C5&lt;$H$29,1,2)</f>
        <v>2</v>
      </c>
      <c r="D54" s="248">
        <f>IF(D5&lt;$L$29,1,2)</f>
        <v>2</v>
      </c>
      <c r="E54" s="248">
        <f>IF(E5&lt;$P$29,1,2)</f>
        <v>2</v>
      </c>
      <c r="F54" s="248">
        <f>IF(F5&lt;$T$29,1,2)</f>
        <v>1</v>
      </c>
      <c r="G54" s="248">
        <f>IF(G5&lt;$X$29,1,2)</f>
        <v>1</v>
      </c>
      <c r="H54" s="224">
        <v>2</v>
      </c>
    </row>
    <row r="55" spans="1:8" ht="15.6" x14ac:dyDescent="0.3">
      <c r="A55" s="221"/>
      <c r="B55" s="248">
        <f>IF(B9&lt;$B$29,1,2)</f>
        <v>1</v>
      </c>
      <c r="C55" s="248">
        <f>IF(C9&lt;$H$29,1,2)</f>
        <v>2</v>
      </c>
      <c r="D55" s="248">
        <f>IF(D9&lt;$L$29,1,2)</f>
        <v>2</v>
      </c>
      <c r="E55" s="248">
        <f>IF(E9&lt;$P$29,1,2)</f>
        <v>2</v>
      </c>
      <c r="F55" s="248">
        <f>IF(F9&lt;$T$29,1,2)</f>
        <v>2</v>
      </c>
      <c r="G55" s="248">
        <f>IF(G9&lt;$X$29,1,2)</f>
        <v>2</v>
      </c>
      <c r="H55" s="224">
        <v>2</v>
      </c>
    </row>
    <row r="56" spans="1:8" ht="15.6" x14ac:dyDescent="0.3">
      <c r="A56" s="221"/>
      <c r="B56" s="248">
        <f>IF(B10&lt;$B$29,1,2)</f>
        <v>1</v>
      </c>
      <c r="C56" s="248">
        <f>IF(C10&lt;$H$29,1,2)</f>
        <v>1</v>
      </c>
      <c r="D56" s="248">
        <f>IF(D10&lt;$L$29,1,2)</f>
        <v>2</v>
      </c>
      <c r="E56" s="248">
        <f>IF(E10&lt;$P$29,1,2)</f>
        <v>2</v>
      </c>
      <c r="F56" s="248">
        <f>IF(F10&lt;$T$29,1,2)</f>
        <v>2</v>
      </c>
      <c r="G56" s="248">
        <f>IF(G10&lt;$X$29,1,2)</f>
        <v>2</v>
      </c>
      <c r="H56" s="224">
        <v>2</v>
      </c>
    </row>
    <row r="57" spans="1:8" ht="15.6" x14ac:dyDescent="0.3">
      <c r="A57" s="221"/>
      <c r="B57" s="248">
        <f>IF(B11&lt;$B$29,1,2)</f>
        <v>1</v>
      </c>
      <c r="C57" s="248">
        <f>IF(C11&lt;$H$29,1,2)</f>
        <v>2</v>
      </c>
      <c r="D57" s="248">
        <f>IF(D11&lt;$L$29,1,2)</f>
        <v>2</v>
      </c>
      <c r="E57" s="248">
        <f>IF(E11&lt;$P$29,1,2)</f>
        <v>2</v>
      </c>
      <c r="F57" s="248">
        <f>IF(F11&lt;$T$29,1,2)</f>
        <v>2</v>
      </c>
      <c r="G57" s="248">
        <f>IF(G11&lt;$X$29,1,2)</f>
        <v>2</v>
      </c>
      <c r="H57" s="224">
        <v>2</v>
      </c>
    </row>
    <row r="58" spans="1:8" ht="15.6" x14ac:dyDescent="0.3">
      <c r="A58" s="221"/>
      <c r="B58" s="248">
        <f>IF(B12&lt;$B$29,1,2)</f>
        <v>1</v>
      </c>
      <c r="C58" s="248">
        <f>IF(C12&lt;$H$29,1,2)</f>
        <v>2</v>
      </c>
      <c r="D58" s="248">
        <f>IF(D12&lt;$L$29,1,2)</f>
        <v>2</v>
      </c>
      <c r="E58" s="248">
        <f>IF(E12&lt;$P$29,1,2)</f>
        <v>2</v>
      </c>
      <c r="F58" s="248">
        <f>IF(F12&lt;$T$29,1,2)</f>
        <v>2</v>
      </c>
      <c r="G58" s="248">
        <f>IF(G12&lt;$X$29,1,2)</f>
        <v>2</v>
      </c>
      <c r="H58" s="224">
        <v>2</v>
      </c>
    </row>
    <row r="62" spans="1:8" ht="15.6" x14ac:dyDescent="0.3">
      <c r="A62" s="246" t="s">
        <v>21</v>
      </c>
      <c r="B62" s="246"/>
      <c r="C62" s="246"/>
      <c r="D62" s="246"/>
      <c r="E62" s="246"/>
      <c r="F62" s="246"/>
      <c r="G62" s="246"/>
      <c r="H62" s="246"/>
    </row>
    <row r="63" spans="1:8" ht="15.6" x14ac:dyDescent="0.3">
      <c r="A63" s="216" t="s">
        <v>22</v>
      </c>
      <c r="B63" s="216" t="s">
        <v>3</v>
      </c>
      <c r="C63" s="216" t="s">
        <v>3</v>
      </c>
      <c r="D63" s="216" t="s">
        <v>3</v>
      </c>
      <c r="E63" s="216" t="s">
        <v>3</v>
      </c>
      <c r="F63" s="216" t="s">
        <v>3</v>
      </c>
      <c r="G63" s="216" t="s">
        <v>3</v>
      </c>
      <c r="H63" s="216" t="s">
        <v>8</v>
      </c>
    </row>
    <row r="64" spans="1:8" ht="19.95" customHeight="1" x14ac:dyDescent="0.3">
      <c r="A64" s="251"/>
      <c r="B64" s="252">
        <f>COUNTIFS(B$49:B$58, 1+MOD(INT((ROW()-ROW($B$64))/2),2), $H$49:$H$58, VALUE(RIGHT($H64,1)))</f>
        <v>0</v>
      </c>
      <c r="C64" s="252">
        <f t="shared" ref="B64:G67" si="6">COUNTIFS(C$49:C$58, 1+MOD(INT((ROW()-ROW($B$64))/2),2), $H$49:$H$58, VALUE(RIGHT($H64,1)))</f>
        <v>3</v>
      </c>
      <c r="D64" s="252">
        <f t="shared" si="6"/>
        <v>1</v>
      </c>
      <c r="E64" s="252">
        <f t="shared" si="6"/>
        <v>3</v>
      </c>
      <c r="F64" s="252">
        <f t="shared" si="6"/>
        <v>3</v>
      </c>
      <c r="G64" s="252">
        <f t="shared" si="6"/>
        <v>2</v>
      </c>
      <c r="H64" s="224">
        <v>1</v>
      </c>
    </row>
    <row r="65" spans="1:8" ht="19.95" customHeight="1" thickBot="1" x14ac:dyDescent="0.35">
      <c r="A65" s="253"/>
      <c r="B65" s="254">
        <f t="shared" si="6"/>
        <v>5</v>
      </c>
      <c r="C65" s="254">
        <f t="shared" si="6"/>
        <v>1</v>
      </c>
      <c r="D65" s="254">
        <f t="shared" si="6"/>
        <v>0</v>
      </c>
      <c r="E65" s="254">
        <f t="shared" si="6"/>
        <v>1</v>
      </c>
      <c r="F65" s="254">
        <f t="shared" si="6"/>
        <v>1</v>
      </c>
      <c r="G65" s="254">
        <f t="shared" si="6"/>
        <v>1</v>
      </c>
      <c r="H65" s="239">
        <v>2</v>
      </c>
    </row>
    <row r="66" spans="1:8" ht="19.95" customHeight="1" x14ac:dyDescent="0.3">
      <c r="A66" s="255"/>
      <c r="B66" s="256">
        <f t="shared" si="6"/>
        <v>4</v>
      </c>
      <c r="C66" s="256">
        <f t="shared" si="6"/>
        <v>1</v>
      </c>
      <c r="D66" s="256">
        <f t="shared" si="6"/>
        <v>3</v>
      </c>
      <c r="E66" s="256">
        <f t="shared" si="6"/>
        <v>1</v>
      </c>
      <c r="F66" s="256">
        <f t="shared" si="6"/>
        <v>1</v>
      </c>
      <c r="G66" s="256">
        <f t="shared" si="6"/>
        <v>2</v>
      </c>
      <c r="H66" s="241">
        <v>1</v>
      </c>
    </row>
    <row r="67" spans="1:8" ht="19.95" customHeight="1" x14ac:dyDescent="0.3">
      <c r="A67" s="257"/>
      <c r="B67" s="252">
        <f t="shared" si="6"/>
        <v>1</v>
      </c>
      <c r="C67" s="252">
        <f t="shared" si="6"/>
        <v>5</v>
      </c>
      <c r="D67" s="252">
        <f t="shared" si="6"/>
        <v>6</v>
      </c>
      <c r="E67" s="252">
        <f t="shared" si="6"/>
        <v>5</v>
      </c>
      <c r="F67" s="252">
        <f t="shared" si="6"/>
        <v>5</v>
      </c>
      <c r="G67" s="252">
        <f t="shared" si="6"/>
        <v>5</v>
      </c>
      <c r="H67" s="224">
        <v>2</v>
      </c>
    </row>
    <row r="70" spans="1:8" ht="15.6" x14ac:dyDescent="0.3">
      <c r="A70" s="246" t="s">
        <v>24</v>
      </c>
      <c r="B70" s="246"/>
      <c r="C70" s="246"/>
      <c r="D70" s="246"/>
      <c r="E70" s="246"/>
      <c r="F70" s="246"/>
      <c r="G70" s="246"/>
    </row>
    <row r="71" spans="1:8" ht="15.6" x14ac:dyDescent="0.3">
      <c r="A71" s="221"/>
      <c r="B71" s="235">
        <v>0.63492099999999996</v>
      </c>
      <c r="C71" s="235">
        <v>0.41269800000000001</v>
      </c>
      <c r="D71" s="235">
        <v>0.214286</v>
      </c>
      <c r="E71" s="235">
        <v>0.41269800000000001</v>
      </c>
      <c r="F71" s="235">
        <v>0.41269800000000001</v>
      </c>
      <c r="G71" s="235">
        <v>0.28571400000000002</v>
      </c>
    </row>
    <row r="74" spans="1:8" ht="15.6" x14ac:dyDescent="0.3">
      <c r="A74" s="258" t="s">
        <v>23</v>
      </c>
      <c r="B74" s="259"/>
      <c r="C74" s="259"/>
      <c r="D74" s="259"/>
      <c r="E74" s="259"/>
      <c r="F74" s="259"/>
      <c r="G74" s="260"/>
    </row>
    <row r="75" spans="1:8" ht="34.200000000000003" customHeight="1" x14ac:dyDescent="0.3">
      <c r="A75" s="261" t="s">
        <v>40</v>
      </c>
      <c r="B75" s="216" t="s">
        <v>3</v>
      </c>
      <c r="C75" s="216" t="s">
        <v>3</v>
      </c>
      <c r="D75" s="216" t="s">
        <v>3</v>
      </c>
      <c r="E75" s="216" t="s">
        <v>3</v>
      </c>
      <c r="F75" s="216" t="s">
        <v>3</v>
      </c>
      <c r="G75" s="216" t="s">
        <v>3</v>
      </c>
    </row>
    <row r="76" spans="1:8" ht="19.95" customHeight="1" x14ac:dyDescent="0.3">
      <c r="A76" s="221"/>
      <c r="B76" s="262">
        <f>B$71*(B$64/COUNTIF($H$3:$H$12,1) - B$65/COUNTIF($H$3:$H$12,2))</f>
        <v>-0.52910083333333335</v>
      </c>
      <c r="C76" s="262">
        <f t="shared" ref="C76:G76" si="7">C$71*(C$64/COUNTIF($H$3:$H$12,1) - C$65/COUNTIF($H$3:$H$12,2))</f>
        <v>0.24074050000000002</v>
      </c>
      <c r="D76" s="262">
        <f>D$71*(D$64/COUNTIF($H$3:$H$12,1) - D$65/COUNTIF($H$3:$H$12,2))</f>
        <v>5.3571500000000001E-2</v>
      </c>
      <c r="E76" s="262">
        <f t="shared" si="7"/>
        <v>0.24074050000000002</v>
      </c>
      <c r="F76" s="262">
        <f t="shared" si="7"/>
        <v>0.24074050000000002</v>
      </c>
      <c r="G76" s="262">
        <f t="shared" si="7"/>
        <v>9.5238000000000017E-2</v>
      </c>
    </row>
    <row r="77" spans="1:8" ht="19.95" customHeight="1" x14ac:dyDescent="0.3">
      <c r="A77" s="221"/>
      <c r="B77" s="262">
        <f>B$71*(B$66/COUNTIF($H$3:$H$12,1) - B$67/COUNTIF($H$3:$H$12,2))</f>
        <v>0.52910083333333335</v>
      </c>
      <c r="C77" s="262">
        <f t="shared" ref="C77:G77" si="8">C$71*(C$66/COUNTIF($H$3:$H$12,1) - C$67/COUNTIF($H$3:$H$12,2))</f>
        <v>-0.24074050000000002</v>
      </c>
      <c r="D77" s="262">
        <f t="shared" si="8"/>
        <v>-5.3571500000000001E-2</v>
      </c>
      <c r="E77" s="262">
        <f t="shared" si="8"/>
        <v>-0.24074050000000002</v>
      </c>
      <c r="F77" s="262">
        <f t="shared" si="8"/>
        <v>-0.24074050000000002</v>
      </c>
      <c r="G77" s="262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246" t="s">
        <v>39</v>
      </c>
      <c r="B81" s="246"/>
      <c r="C81" s="246"/>
      <c r="D81" s="246"/>
      <c r="E81" s="246"/>
      <c r="F81" s="246"/>
      <c r="G81" s="246"/>
      <c r="H81" s="246"/>
    </row>
    <row r="82" spans="1:15" ht="15.6" x14ac:dyDescent="0.3">
      <c r="A82" s="215" t="s">
        <v>5</v>
      </c>
      <c r="B82" s="216"/>
      <c r="C82" s="216"/>
      <c r="D82" s="216"/>
      <c r="E82" s="216"/>
      <c r="F82" s="216"/>
      <c r="G82" s="216"/>
      <c r="H82" s="216" t="s">
        <v>8</v>
      </c>
    </row>
    <row r="83" spans="1:15" ht="15.6" x14ac:dyDescent="0.3">
      <c r="A83" s="221"/>
      <c r="B83" s="222">
        <f>IFERROR(IF(B35=1, B$76, IF(B35=2, B$77, "Error!!!")), "Error!!!")</f>
        <v>0.52910083333333335</v>
      </c>
      <c r="C83" s="222">
        <f t="shared" ref="C83:G83" si="9">IFERROR(IF(C35=1, C$76, IF(C35=2, C$77, "Error!!!")), "Error!!!")</f>
        <v>-0.24074050000000002</v>
      </c>
      <c r="D83" s="222">
        <f t="shared" si="9"/>
        <v>-5.3571500000000001E-2</v>
      </c>
      <c r="E83" s="222">
        <f t="shared" si="9"/>
        <v>0.24074050000000002</v>
      </c>
      <c r="F83" s="222">
        <f t="shared" si="9"/>
        <v>-0.24074050000000002</v>
      </c>
      <c r="G83" s="222">
        <f t="shared" si="9"/>
        <v>-9.5238000000000017E-2</v>
      </c>
      <c r="H83" s="224">
        <v>2</v>
      </c>
      <c r="O83" s="263"/>
    </row>
    <row r="84" spans="1:15" ht="15.6" x14ac:dyDescent="0.3">
      <c r="A84" s="221"/>
      <c r="B84" s="222">
        <f t="shared" ref="B84:G92" si="10">IFERROR(IF(B36=1, B$76, IF(B36=2, B$77, "Error!!!")), "Error!!!")</f>
        <v>0.52910083333333335</v>
      </c>
      <c r="C84" s="222">
        <f t="shared" si="10"/>
        <v>0.24074050000000002</v>
      </c>
      <c r="D84" s="222">
        <f t="shared" si="10"/>
        <v>-5.3571500000000001E-2</v>
      </c>
      <c r="E84" s="222">
        <f t="shared" si="10"/>
        <v>-0.24074050000000002</v>
      </c>
      <c r="F84" s="222">
        <f t="shared" si="10"/>
        <v>-0.24074050000000002</v>
      </c>
      <c r="G84" s="222">
        <f t="shared" si="10"/>
        <v>9.5238000000000017E-2</v>
      </c>
      <c r="H84" s="224">
        <v>1</v>
      </c>
      <c r="O84" s="263"/>
    </row>
    <row r="85" spans="1:15" ht="15.6" x14ac:dyDescent="0.3">
      <c r="A85" s="221"/>
      <c r="B85" s="222">
        <f t="shared" si="10"/>
        <v>-0.52910083333333335</v>
      </c>
      <c r="C85" s="222">
        <f t="shared" si="10"/>
        <v>-0.24074050000000002</v>
      </c>
      <c r="D85" s="222">
        <f t="shared" si="10"/>
        <v>-5.3571500000000001E-2</v>
      </c>
      <c r="E85" s="222">
        <f t="shared" si="10"/>
        <v>-0.24074050000000002</v>
      </c>
      <c r="F85" s="222">
        <f t="shared" si="10"/>
        <v>0.24074050000000002</v>
      </c>
      <c r="G85" s="222">
        <f t="shared" si="10"/>
        <v>9.5238000000000017E-2</v>
      </c>
      <c r="H85" s="224">
        <v>2</v>
      </c>
      <c r="O85" s="263"/>
    </row>
    <row r="86" spans="1:15" ht="15.6" x14ac:dyDescent="0.3">
      <c r="A86" s="221"/>
      <c r="B86" s="222">
        <f t="shared" si="10"/>
        <v>0.52910083333333335</v>
      </c>
      <c r="C86" s="222">
        <f t="shared" si="10"/>
        <v>-0.24074050000000002</v>
      </c>
      <c r="D86" s="222">
        <f t="shared" si="10"/>
        <v>-5.3571500000000001E-2</v>
      </c>
      <c r="E86" s="222">
        <f t="shared" si="10"/>
        <v>0.24074050000000002</v>
      </c>
      <c r="F86" s="222">
        <f t="shared" si="10"/>
        <v>0.24074050000000002</v>
      </c>
      <c r="G86" s="222">
        <f t="shared" si="10"/>
        <v>-9.5238000000000017E-2</v>
      </c>
      <c r="H86" s="224">
        <v>1</v>
      </c>
    </row>
    <row r="87" spans="1:15" ht="15.6" x14ac:dyDescent="0.3">
      <c r="A87" s="221"/>
      <c r="B87" s="222">
        <f t="shared" si="10"/>
        <v>0.52910083333333335</v>
      </c>
      <c r="C87" s="222">
        <f t="shared" si="10"/>
        <v>0.24074050000000002</v>
      </c>
      <c r="D87" s="222">
        <f t="shared" si="10"/>
        <v>-5.3571500000000001E-2</v>
      </c>
      <c r="E87" s="222">
        <f t="shared" si="10"/>
        <v>0.24074050000000002</v>
      </c>
      <c r="F87" s="222">
        <f t="shared" si="10"/>
        <v>0.24074050000000002</v>
      </c>
      <c r="G87" s="222">
        <f t="shared" si="10"/>
        <v>-9.5238000000000017E-2</v>
      </c>
      <c r="H87" s="224">
        <v>1</v>
      </c>
    </row>
    <row r="88" spans="1:15" ht="15.6" x14ac:dyDescent="0.3">
      <c r="A88" s="221"/>
      <c r="B88" s="222">
        <f t="shared" si="10"/>
        <v>0.52910083333333335</v>
      </c>
      <c r="C88" s="222">
        <f t="shared" si="10"/>
        <v>0.24074050000000002</v>
      </c>
      <c r="D88" s="222">
        <f t="shared" si="10"/>
        <v>5.3571500000000001E-2</v>
      </c>
      <c r="E88" s="222">
        <f t="shared" si="10"/>
        <v>0.24074050000000002</v>
      </c>
      <c r="F88" s="222">
        <f t="shared" si="10"/>
        <v>0.24074050000000002</v>
      </c>
      <c r="G88" s="222">
        <f t="shared" si="10"/>
        <v>9.5238000000000017E-2</v>
      </c>
      <c r="H88" s="224">
        <v>1</v>
      </c>
    </row>
    <row r="89" spans="1:15" ht="15.6" x14ac:dyDescent="0.3">
      <c r="A89" s="221"/>
      <c r="B89" s="222">
        <f t="shared" si="10"/>
        <v>-0.52910083333333335</v>
      </c>
      <c r="C89" s="222">
        <f t="shared" si="10"/>
        <v>-0.24074050000000002</v>
      </c>
      <c r="D89" s="222">
        <f t="shared" si="10"/>
        <v>-5.3571500000000001E-2</v>
      </c>
      <c r="E89" s="222">
        <f t="shared" si="10"/>
        <v>-0.24074050000000002</v>
      </c>
      <c r="F89" s="222">
        <f t="shared" si="10"/>
        <v>-0.24074050000000002</v>
      </c>
      <c r="G89" s="222">
        <f t="shared" si="10"/>
        <v>-9.5238000000000017E-2</v>
      </c>
      <c r="H89" s="224">
        <v>2</v>
      </c>
    </row>
    <row r="90" spans="1:15" ht="15.6" x14ac:dyDescent="0.3">
      <c r="A90" s="221"/>
      <c r="B90" s="222">
        <f t="shared" si="10"/>
        <v>-0.52910083333333335</v>
      </c>
      <c r="C90" s="222">
        <f t="shared" si="10"/>
        <v>0.24074050000000002</v>
      </c>
      <c r="D90" s="222">
        <f t="shared" si="10"/>
        <v>-5.3571500000000001E-2</v>
      </c>
      <c r="E90" s="222">
        <f t="shared" si="10"/>
        <v>-0.24074050000000002</v>
      </c>
      <c r="F90" s="222">
        <f t="shared" si="10"/>
        <v>-0.24074050000000002</v>
      </c>
      <c r="G90" s="222">
        <f t="shared" si="10"/>
        <v>-9.5238000000000017E-2</v>
      </c>
      <c r="H90" s="224">
        <v>2</v>
      </c>
    </row>
    <row r="91" spans="1:15" ht="15.6" x14ac:dyDescent="0.3">
      <c r="A91" s="221"/>
      <c r="B91" s="222">
        <f t="shared" si="10"/>
        <v>-0.52910083333333335</v>
      </c>
      <c r="C91" s="222">
        <f t="shared" si="10"/>
        <v>-0.24074050000000002</v>
      </c>
      <c r="D91" s="222">
        <f t="shared" si="10"/>
        <v>-5.3571500000000001E-2</v>
      </c>
      <c r="E91" s="222">
        <f t="shared" si="10"/>
        <v>-0.24074050000000002</v>
      </c>
      <c r="F91" s="222">
        <f t="shared" si="10"/>
        <v>-0.24074050000000002</v>
      </c>
      <c r="G91" s="222">
        <f t="shared" si="10"/>
        <v>-9.5238000000000017E-2</v>
      </c>
      <c r="H91" s="224">
        <v>2</v>
      </c>
    </row>
    <row r="92" spans="1:15" ht="15.6" x14ac:dyDescent="0.3">
      <c r="A92" s="221"/>
      <c r="B92" s="222">
        <f t="shared" si="10"/>
        <v>-0.52910083333333335</v>
      </c>
      <c r="C92" s="222">
        <f t="shared" si="10"/>
        <v>-0.24074050000000002</v>
      </c>
      <c r="D92" s="222">
        <f t="shared" si="10"/>
        <v>-5.3571500000000001E-2</v>
      </c>
      <c r="E92" s="222">
        <f t="shared" si="10"/>
        <v>-0.24074050000000002</v>
      </c>
      <c r="F92" s="222">
        <f t="shared" si="10"/>
        <v>-0.24074050000000002</v>
      </c>
      <c r="G92" s="222">
        <f t="shared" si="10"/>
        <v>-9.5238000000000017E-2</v>
      </c>
      <c r="H92" s="224">
        <v>2</v>
      </c>
    </row>
    <row r="93" spans="1:15" ht="15.6" x14ac:dyDescent="0.3">
      <c r="A93" s="219"/>
      <c r="B93" s="228">
        <v>1</v>
      </c>
      <c r="C93" s="228">
        <v>1</v>
      </c>
      <c r="D93" s="228">
        <v>1</v>
      </c>
      <c r="E93" s="228">
        <v>1</v>
      </c>
      <c r="F93" s="228">
        <v>1</v>
      </c>
      <c r="G93" s="228">
        <v>1</v>
      </c>
      <c r="H93" s="219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sheetPr>
    <tabColor rgb="FFBF8F00"/>
    <pageSetUpPr fitToPage="1"/>
  </sheetPr>
  <dimension ref="A1:R80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230" t="s">
        <v>10</v>
      </c>
      <c r="B1" s="230"/>
      <c r="C1" s="230"/>
      <c r="D1" s="230"/>
      <c r="E1" s="230"/>
      <c r="F1" s="230"/>
      <c r="G1" s="230"/>
      <c r="H1" s="230"/>
      <c r="I1" s="230"/>
    </row>
    <row r="2" spans="1:18" ht="15.6" x14ac:dyDescent="0.3">
      <c r="A2" s="215" t="s">
        <v>5</v>
      </c>
      <c r="B2" s="216"/>
      <c r="C2" s="216"/>
      <c r="D2" s="216"/>
      <c r="E2" s="216"/>
      <c r="F2" s="216"/>
      <c r="G2" s="216"/>
      <c r="H2" s="216"/>
      <c r="I2" s="215" t="s">
        <v>8</v>
      </c>
      <c r="L2" s="217" t="s">
        <v>12</v>
      </c>
    </row>
    <row r="3" spans="1:18" ht="15.6" x14ac:dyDescent="0.3">
      <c r="A3" s="221"/>
      <c r="B3" s="223">
        <v>1</v>
      </c>
      <c r="C3" s="223">
        <v>4</v>
      </c>
      <c r="D3" s="223">
        <v>0</v>
      </c>
      <c r="E3" s="223">
        <v>2</v>
      </c>
      <c r="F3" s="223">
        <v>0</v>
      </c>
      <c r="G3" s="223">
        <v>2</v>
      </c>
      <c r="H3" s="223">
        <v>3</v>
      </c>
      <c r="I3" s="224">
        <v>2</v>
      </c>
      <c r="L3" s="217" t="s">
        <v>9</v>
      </c>
      <c r="N3" s="225" t="s">
        <v>26</v>
      </c>
      <c r="O3" s="225"/>
      <c r="P3" s="225"/>
      <c r="Q3" s="225"/>
      <c r="R3" s="227">
        <v>0</v>
      </c>
    </row>
    <row r="4" spans="1:18" ht="15.6" x14ac:dyDescent="0.3">
      <c r="A4" s="221"/>
      <c r="B4" s="223">
        <v>0</v>
      </c>
      <c r="C4" s="223">
        <v>3</v>
      </c>
      <c r="D4" s="223">
        <v>0</v>
      </c>
      <c r="E4" s="223">
        <v>2</v>
      </c>
      <c r="F4" s="223">
        <v>0</v>
      </c>
      <c r="G4" s="223">
        <v>2</v>
      </c>
      <c r="H4" s="223">
        <v>7</v>
      </c>
      <c r="I4" s="224">
        <v>1</v>
      </c>
    </row>
    <row r="5" spans="1:18" ht="15.6" x14ac:dyDescent="0.3">
      <c r="A5" s="221"/>
      <c r="B5" s="223">
        <v>1</v>
      </c>
      <c r="C5" s="223">
        <v>2</v>
      </c>
      <c r="D5" s="223">
        <v>0</v>
      </c>
      <c r="E5" s="223">
        <v>0</v>
      </c>
      <c r="F5" s="223">
        <v>0</v>
      </c>
      <c r="G5" s="223">
        <v>1</v>
      </c>
      <c r="H5" s="223">
        <v>7</v>
      </c>
      <c r="I5" s="224">
        <v>2</v>
      </c>
    </row>
    <row r="6" spans="1:18" ht="15.6" x14ac:dyDescent="0.3">
      <c r="A6" s="221"/>
      <c r="B6" s="223">
        <v>1</v>
      </c>
      <c r="C6" s="223">
        <v>4</v>
      </c>
      <c r="D6" s="223">
        <v>0</v>
      </c>
      <c r="E6" s="223">
        <v>0</v>
      </c>
      <c r="F6" s="223">
        <v>1</v>
      </c>
      <c r="G6" s="223">
        <v>2</v>
      </c>
      <c r="H6" s="223">
        <v>7</v>
      </c>
      <c r="I6" s="224">
        <v>1</v>
      </c>
    </row>
    <row r="7" spans="1:18" ht="15.6" x14ac:dyDescent="0.3">
      <c r="A7" s="221"/>
      <c r="B7" s="223">
        <v>0</v>
      </c>
      <c r="C7" s="223">
        <v>2</v>
      </c>
      <c r="D7" s="223">
        <v>0</v>
      </c>
      <c r="E7" s="223">
        <v>2</v>
      </c>
      <c r="F7" s="223">
        <v>1</v>
      </c>
      <c r="G7" s="223">
        <v>1</v>
      </c>
      <c r="H7" s="223">
        <v>3</v>
      </c>
      <c r="I7" s="224">
        <v>1</v>
      </c>
    </row>
    <row r="8" spans="1:18" ht="15.6" x14ac:dyDescent="0.3">
      <c r="A8" s="221"/>
      <c r="B8" s="223">
        <v>1</v>
      </c>
      <c r="C8" s="223">
        <v>4</v>
      </c>
      <c r="D8" s="223">
        <v>0</v>
      </c>
      <c r="E8" s="223">
        <v>0</v>
      </c>
      <c r="F8" s="223">
        <v>0</v>
      </c>
      <c r="G8" s="223">
        <v>1</v>
      </c>
      <c r="H8" s="223">
        <v>7</v>
      </c>
      <c r="I8" s="224">
        <v>1</v>
      </c>
    </row>
    <row r="9" spans="1:18" ht="15.6" x14ac:dyDescent="0.3">
      <c r="A9" s="221"/>
      <c r="B9" s="223">
        <v>1</v>
      </c>
      <c r="C9" s="223">
        <v>3</v>
      </c>
      <c r="D9" s="223">
        <v>1</v>
      </c>
      <c r="E9" s="223">
        <v>2</v>
      </c>
      <c r="F9" s="223">
        <v>1</v>
      </c>
      <c r="G9" s="223">
        <v>2</v>
      </c>
      <c r="H9" s="223">
        <v>6</v>
      </c>
      <c r="I9" s="224">
        <v>2</v>
      </c>
    </row>
    <row r="10" spans="1:18" ht="15.6" x14ac:dyDescent="0.3">
      <c r="A10" s="221"/>
      <c r="B10" s="223">
        <v>1</v>
      </c>
      <c r="C10" s="223">
        <v>4</v>
      </c>
      <c r="D10" s="223">
        <v>0</v>
      </c>
      <c r="E10" s="223">
        <v>2</v>
      </c>
      <c r="F10" s="223">
        <v>1</v>
      </c>
      <c r="G10" s="223">
        <v>2</v>
      </c>
      <c r="H10" s="223">
        <v>7</v>
      </c>
      <c r="I10" s="224">
        <v>2</v>
      </c>
    </row>
    <row r="11" spans="1:18" ht="15.6" x14ac:dyDescent="0.3">
      <c r="A11" s="221"/>
      <c r="B11" s="223">
        <v>1</v>
      </c>
      <c r="C11" s="223">
        <v>4</v>
      </c>
      <c r="D11" s="223">
        <v>0</v>
      </c>
      <c r="E11" s="223">
        <v>2</v>
      </c>
      <c r="F11" s="223">
        <v>0</v>
      </c>
      <c r="G11" s="223">
        <v>2</v>
      </c>
      <c r="H11" s="223">
        <v>7</v>
      </c>
      <c r="I11" s="224">
        <v>2</v>
      </c>
    </row>
    <row r="12" spans="1:18" ht="15.6" x14ac:dyDescent="0.3">
      <c r="A12" s="221"/>
      <c r="B12" s="223">
        <v>0</v>
      </c>
      <c r="C12" s="223">
        <v>4</v>
      </c>
      <c r="D12" s="223">
        <v>0</v>
      </c>
      <c r="E12" s="223">
        <v>2</v>
      </c>
      <c r="F12" s="223">
        <v>0</v>
      </c>
      <c r="G12" s="223">
        <v>2</v>
      </c>
      <c r="H12" s="223">
        <v>7</v>
      </c>
      <c r="I12" s="224">
        <v>2</v>
      </c>
    </row>
    <row r="13" spans="1:18" ht="15.6" x14ac:dyDescent="0.3">
      <c r="A13" s="219"/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19"/>
    </row>
    <row r="17" spans="1:18" ht="15.6" x14ac:dyDescent="0.3">
      <c r="A17" s="229" t="s">
        <v>10</v>
      </c>
      <c r="B17" s="229"/>
      <c r="C17" s="229"/>
      <c r="D17" s="229"/>
      <c r="E17" s="229"/>
      <c r="F17" s="229"/>
      <c r="G17" s="229"/>
      <c r="H17" s="229"/>
      <c r="I17" s="229"/>
    </row>
    <row r="18" spans="1:18" ht="15.6" x14ac:dyDescent="0.3">
      <c r="A18" s="215" t="s">
        <v>5</v>
      </c>
      <c r="B18" s="216"/>
      <c r="C18" s="216"/>
      <c r="D18" s="216"/>
      <c r="E18" s="216"/>
      <c r="F18" s="216"/>
      <c r="G18" s="216"/>
      <c r="H18" s="216"/>
      <c r="I18" s="215" t="s">
        <v>8</v>
      </c>
    </row>
    <row r="19" spans="1:18" ht="15.6" x14ac:dyDescent="0.3">
      <c r="A19" s="221"/>
      <c r="B19" s="264">
        <v>0</v>
      </c>
      <c r="C19" s="264">
        <v>3</v>
      </c>
      <c r="D19" s="264">
        <v>0</v>
      </c>
      <c r="E19" s="264">
        <v>2</v>
      </c>
      <c r="F19" s="264">
        <v>0</v>
      </c>
      <c r="G19" s="264">
        <v>2</v>
      </c>
      <c r="H19" s="264">
        <v>7</v>
      </c>
      <c r="I19" s="224">
        <v>1</v>
      </c>
    </row>
    <row r="20" spans="1:18" ht="15.6" x14ac:dyDescent="0.3">
      <c r="A20" s="221"/>
      <c r="B20" s="264">
        <v>1</v>
      </c>
      <c r="C20" s="264">
        <v>4</v>
      </c>
      <c r="D20" s="264">
        <v>0</v>
      </c>
      <c r="E20" s="264">
        <v>0</v>
      </c>
      <c r="F20" s="264">
        <v>1</v>
      </c>
      <c r="G20" s="264">
        <v>2</v>
      </c>
      <c r="H20" s="264">
        <v>7</v>
      </c>
      <c r="I20" s="224">
        <v>1</v>
      </c>
    </row>
    <row r="21" spans="1:18" ht="15.6" x14ac:dyDescent="0.3">
      <c r="A21" s="221"/>
      <c r="B21" s="264">
        <v>0</v>
      </c>
      <c r="C21" s="264">
        <v>2</v>
      </c>
      <c r="D21" s="264">
        <v>0</v>
      </c>
      <c r="E21" s="264">
        <v>2</v>
      </c>
      <c r="F21" s="264">
        <v>1</v>
      </c>
      <c r="G21" s="264">
        <v>1</v>
      </c>
      <c r="H21" s="264">
        <v>3</v>
      </c>
      <c r="I21" s="224">
        <v>1</v>
      </c>
    </row>
    <row r="22" spans="1:18" ht="16.2" thickBot="1" x14ac:dyDescent="0.35">
      <c r="A22" s="237"/>
      <c r="B22" s="265">
        <v>1</v>
      </c>
      <c r="C22" s="265">
        <v>4</v>
      </c>
      <c r="D22" s="265">
        <v>0</v>
      </c>
      <c r="E22" s="265">
        <v>0</v>
      </c>
      <c r="F22" s="265">
        <v>0</v>
      </c>
      <c r="G22" s="265">
        <v>1</v>
      </c>
      <c r="H22" s="265">
        <v>7</v>
      </c>
      <c r="I22" s="239">
        <v>1</v>
      </c>
    </row>
    <row r="23" spans="1:18" ht="15.6" x14ac:dyDescent="0.3">
      <c r="A23" s="242"/>
      <c r="B23" s="266">
        <v>1</v>
      </c>
      <c r="C23" s="266">
        <v>4</v>
      </c>
      <c r="D23" s="266">
        <v>0</v>
      </c>
      <c r="E23" s="266">
        <v>2</v>
      </c>
      <c r="F23" s="266">
        <v>0</v>
      </c>
      <c r="G23" s="266">
        <v>2</v>
      </c>
      <c r="H23" s="266">
        <v>3</v>
      </c>
      <c r="I23" s="241">
        <v>2</v>
      </c>
    </row>
    <row r="24" spans="1:18" ht="15.6" x14ac:dyDescent="0.3">
      <c r="A24" s="221"/>
      <c r="B24" s="264">
        <v>1</v>
      </c>
      <c r="C24" s="264">
        <v>2</v>
      </c>
      <c r="D24" s="264">
        <v>0</v>
      </c>
      <c r="E24" s="264">
        <v>0</v>
      </c>
      <c r="F24" s="264">
        <v>0</v>
      </c>
      <c r="G24" s="264">
        <v>1</v>
      </c>
      <c r="H24" s="264">
        <v>7</v>
      </c>
      <c r="I24" s="224">
        <v>2</v>
      </c>
    </row>
    <row r="25" spans="1:18" ht="15.6" x14ac:dyDescent="0.3">
      <c r="A25" s="221"/>
      <c r="B25" s="264">
        <v>1</v>
      </c>
      <c r="C25" s="264">
        <v>3</v>
      </c>
      <c r="D25" s="264">
        <v>1</v>
      </c>
      <c r="E25" s="264">
        <v>2</v>
      </c>
      <c r="F25" s="264">
        <v>1</v>
      </c>
      <c r="G25" s="264">
        <v>2</v>
      </c>
      <c r="H25" s="264">
        <v>6</v>
      </c>
      <c r="I25" s="224">
        <v>2</v>
      </c>
    </row>
    <row r="26" spans="1:18" ht="15.6" x14ac:dyDescent="0.3">
      <c r="A26" s="221"/>
      <c r="B26" s="264">
        <v>1</v>
      </c>
      <c r="C26" s="264">
        <v>4</v>
      </c>
      <c r="D26" s="264">
        <v>0</v>
      </c>
      <c r="E26" s="264">
        <v>2</v>
      </c>
      <c r="F26" s="264">
        <v>1</v>
      </c>
      <c r="G26" s="264">
        <v>2</v>
      </c>
      <c r="H26" s="264">
        <v>7</v>
      </c>
      <c r="I26" s="224">
        <v>2</v>
      </c>
    </row>
    <row r="27" spans="1:18" ht="15.6" x14ac:dyDescent="0.3">
      <c r="A27" s="221"/>
      <c r="B27" s="264">
        <v>1</v>
      </c>
      <c r="C27" s="264">
        <v>4</v>
      </c>
      <c r="D27" s="264">
        <v>0</v>
      </c>
      <c r="E27" s="264">
        <v>2</v>
      </c>
      <c r="F27" s="264">
        <v>0</v>
      </c>
      <c r="G27" s="264">
        <v>2</v>
      </c>
      <c r="H27" s="264">
        <v>7</v>
      </c>
      <c r="I27" s="224">
        <v>2</v>
      </c>
    </row>
    <row r="28" spans="1:18" ht="15.6" x14ac:dyDescent="0.3">
      <c r="A28" s="221"/>
      <c r="B28" s="264">
        <v>0</v>
      </c>
      <c r="C28" s="264">
        <v>4</v>
      </c>
      <c r="D28" s="264">
        <v>0</v>
      </c>
      <c r="E28" s="264">
        <v>2</v>
      </c>
      <c r="F28" s="264">
        <v>0</v>
      </c>
      <c r="G28" s="264">
        <v>2</v>
      </c>
      <c r="H28" s="264">
        <v>7</v>
      </c>
      <c r="I28" s="224">
        <v>2</v>
      </c>
    </row>
    <row r="32" spans="1:18" ht="19.95" customHeight="1" x14ac:dyDescent="0.3">
      <c r="A32" s="246" t="s">
        <v>27</v>
      </c>
      <c r="B32" s="246"/>
      <c r="C32" s="246"/>
      <c r="D32" s="246"/>
      <c r="E32" s="246"/>
      <c r="F32" s="246"/>
      <c r="G32" s="246"/>
      <c r="H32" s="246"/>
      <c r="I32" s="246"/>
      <c r="L32" s="246" t="s">
        <v>35</v>
      </c>
      <c r="M32" s="246"/>
      <c r="N32" s="246"/>
      <c r="O32" s="246"/>
      <c r="P32" s="246"/>
      <c r="Q32" s="246"/>
      <c r="R32" s="246"/>
    </row>
    <row r="33" spans="1:18" ht="19.95" customHeight="1" x14ac:dyDescent="0.3">
      <c r="A33" s="216" t="s">
        <v>22</v>
      </c>
      <c r="B33" s="216" t="s">
        <v>0</v>
      </c>
      <c r="C33" s="216" t="s">
        <v>1</v>
      </c>
      <c r="D33" s="216" t="s">
        <v>0</v>
      </c>
      <c r="E33" s="216" t="s">
        <v>2</v>
      </c>
      <c r="F33" s="216" t="s">
        <v>0</v>
      </c>
      <c r="G33" s="216" t="s">
        <v>3</v>
      </c>
      <c r="H33" s="216" t="s">
        <v>4</v>
      </c>
      <c r="I33" s="216" t="s">
        <v>8</v>
      </c>
      <c r="L33" s="267" t="s">
        <v>28</v>
      </c>
      <c r="M33" s="267" t="s">
        <v>29</v>
      </c>
      <c r="N33" s="267" t="s">
        <v>30</v>
      </c>
      <c r="O33" s="267" t="s">
        <v>31</v>
      </c>
      <c r="P33" s="267" t="s">
        <v>32</v>
      </c>
      <c r="Q33" s="267" t="s">
        <v>33</v>
      </c>
      <c r="R33" s="267" t="s">
        <v>34</v>
      </c>
    </row>
    <row r="34" spans="1:18" ht="22.95" customHeight="1" x14ac:dyDescent="0.3">
      <c r="A34" s="221"/>
      <c r="B34" s="252" cm="1">
        <f t="array" ref="B34">IFERROR(SUMPRODUCT(((B$19:B$28)*1=INDEX($L$34:$L$35,INT((ROW()-34)/2)+1))*((($I$19:$I$28)*1)=1+MOD(ROW()-34,2))),"")</f>
        <v>2</v>
      </c>
      <c r="C34" s="252" cm="1">
        <f t="array" ref="C34">IFERROR(SUMPRODUCT(((C$19:C$28)*1=INDEX($M$34:$M$36,INT((ROW()-34)/2)+1))*((($I$19:$I$28)*1)=1+MOD(ROW()-34,2))),"")</f>
        <v>1</v>
      </c>
      <c r="D34" s="252" cm="1">
        <f t="array" ref="D34">IFERROR(SUMPRODUCT(((D$19:D$28)*1=INDEX($N$34:$N$35,INT((ROW()-34)/2)+1))*((($I$19:$I$28)*1)=1+MOD(ROW()-34,2))),"")</f>
        <v>4</v>
      </c>
      <c r="E34" s="252" cm="1">
        <f t="array" ref="E34">IFERROR(SUMPRODUCT(((E$19:E$28)*1=INDEX($O$34:$O$35,INT((ROW()-34)/2)+1))*((($I$19:$I$28)*1)=1+MOD(ROW()-34,2))),"")</f>
        <v>2</v>
      </c>
      <c r="F34" s="252" cm="1">
        <f t="array" ref="F34">IFERROR(SUMPRODUCT(((F$19:F$28)*1=INDEX($P$34:$P$35,INT((ROW()-34)/2)+1))*((($I$19:$I$28)*1)=1+MOD(ROW()-34,2))),"")</f>
        <v>2</v>
      </c>
      <c r="G34" s="252" cm="1">
        <f t="array" ref="G34">IFERROR(SUMPRODUCT(((G$19:G$28)*1=INDEX($Q$34:$Q$35,INT((ROW()-34)/2)+1))*((($I$19:$I$28)*1)=1+MOD(ROW()-34,2))),"")</f>
        <v>2</v>
      </c>
      <c r="H34" s="252" cm="1">
        <f t="array" ref="H34">IFERROR(SUMPRODUCT(((H$19:H$28)*1=INDEX($R$34:$R$36,INT((ROW()-34)/2)+1))*((($I$19:$I$28)*1)=1+MOD(ROW()-34,2))),"")</f>
        <v>1</v>
      </c>
      <c r="I34" s="224">
        <v>1</v>
      </c>
      <c r="L34" s="268">
        <v>0</v>
      </c>
      <c r="M34" s="268">
        <v>2</v>
      </c>
      <c r="N34" s="268">
        <v>0</v>
      </c>
      <c r="O34" s="268">
        <v>0</v>
      </c>
      <c r="P34" s="268">
        <v>0</v>
      </c>
      <c r="Q34" s="268">
        <v>1</v>
      </c>
      <c r="R34" s="268">
        <v>3</v>
      </c>
    </row>
    <row r="35" spans="1:18" ht="22.95" customHeight="1" thickBot="1" x14ac:dyDescent="0.35">
      <c r="A35" s="237"/>
      <c r="B35" s="254" cm="1">
        <f t="array" ref="B35">IFERROR(SUMPRODUCT(((B$19:B$28)*1=INDEX($L$34:$L$35,INT((ROW()-34)/2)+1))*((($I$19:$I$28)*1)=1+MOD(ROW()-34,2))),"")</f>
        <v>1</v>
      </c>
      <c r="C35" s="254" cm="1">
        <f t="array" ref="C35">IFERROR(SUMPRODUCT(((C$19:C$28)*1=INDEX($M$34:$M$36,INT((ROW()-34)/2)+1))*((($I$19:$I$28)*1)=1+MOD(ROW()-34,2))),"")</f>
        <v>1</v>
      </c>
      <c r="D35" s="254" cm="1">
        <f t="array" ref="D35">IFERROR(SUMPRODUCT(((D$19:D$28)*1=INDEX($N$34:$N$35,INT((ROW()-34)/2)+1))*((($I$19:$I$28)*1)=1+MOD(ROW()-34,2))),"")</f>
        <v>5</v>
      </c>
      <c r="E35" s="254" cm="1">
        <f t="array" ref="E35">IFERROR(SUMPRODUCT(((E$19:E$28)*1=INDEX($O$34:$O$35,INT((ROW()-34)/2)+1))*((($I$19:$I$28)*1)=1+MOD(ROW()-34,2))),"")</f>
        <v>1</v>
      </c>
      <c r="F35" s="254" cm="1">
        <f t="array" ref="F35">IFERROR(SUMPRODUCT(((F$19:F$28)*1=INDEX($P$34:$P$35,INT((ROW()-34)/2)+1))*((($I$19:$I$28)*1)=1+MOD(ROW()-34,2))),"")</f>
        <v>4</v>
      </c>
      <c r="G35" s="254" cm="1">
        <f t="array" ref="G35">IFERROR(SUMPRODUCT(((G$19:G$28)*1=INDEX($Q$34:$Q$35,INT((ROW()-34)/2)+1))*((($I$19:$I$28)*1)=1+MOD(ROW()-34,2))),"")</f>
        <v>1</v>
      </c>
      <c r="H35" s="254" cm="1">
        <f t="array" ref="H35">IFERROR(SUMPRODUCT(((H$19:H$28)*1=INDEX($R$34:$R$36,INT((ROW()-34)/2)+1))*((($I$19:$I$28)*1)=1+MOD(ROW()-34,2))),"")</f>
        <v>1</v>
      </c>
      <c r="I35" s="239">
        <v>2</v>
      </c>
      <c r="L35" s="268">
        <v>1</v>
      </c>
      <c r="M35" s="268">
        <v>3</v>
      </c>
      <c r="N35" s="268">
        <v>1</v>
      </c>
      <c r="O35" s="268">
        <v>2</v>
      </c>
      <c r="P35" s="268">
        <v>1</v>
      </c>
      <c r="Q35" s="268">
        <v>2</v>
      </c>
      <c r="R35" s="268">
        <v>6</v>
      </c>
    </row>
    <row r="36" spans="1:18" ht="22.95" customHeight="1" x14ac:dyDescent="0.3">
      <c r="A36" s="242"/>
      <c r="B36" s="256" cm="1">
        <f t="array" ref="B36">IFERROR(SUMPRODUCT(((B$19:B$28)*1=INDEX($L$34:$L$35,INT((ROW()-34)/2)+1))*((($I$19:$I$28)*1)=1+MOD(ROW()-34,2))),"")</f>
        <v>2</v>
      </c>
      <c r="C36" s="256" cm="1">
        <f t="array" ref="C36">IFERROR(SUMPRODUCT(((C$19:C$28)*1=INDEX($M$34:$M$36,INT((ROW()-34)/2)+1))*((($I$19:$I$28)*1)=1+MOD(ROW()-34,2))),"")</f>
        <v>1</v>
      </c>
      <c r="D36" s="256" cm="1">
        <f t="array" ref="D36">IFERROR(SUMPRODUCT(((D$19:D$28)*1=INDEX($N$34:$N$35,INT((ROW()-34)/2)+1))*((($I$19:$I$28)*1)=1+MOD(ROW()-34,2))),"")</f>
        <v>0</v>
      </c>
      <c r="E36" s="256" cm="1">
        <f t="array" ref="E36">IFERROR(SUMPRODUCT(((E$19:E$28)*1=INDEX($O$34:$O$35,INT((ROW()-34)/2)+1))*((($I$19:$I$28)*1)=1+MOD(ROW()-34,2))),"")</f>
        <v>2</v>
      </c>
      <c r="F36" s="256" cm="1">
        <f t="array" ref="F36">IFERROR(SUMPRODUCT(((F$19:F$28)*1=INDEX($P$34:$P$35,INT((ROW()-34)/2)+1))*((($I$19:$I$28)*1)=1+MOD(ROW()-34,2))),"")</f>
        <v>2</v>
      </c>
      <c r="G36" s="256" cm="1">
        <f t="array" ref="G36">IFERROR(SUMPRODUCT(((G$19:G$28)*1=INDEX($Q$34:$Q$35,INT((ROW()-34)/2)+1))*((($I$19:$I$28)*1)=1+MOD(ROW()-34,2))),"")</f>
        <v>2</v>
      </c>
      <c r="H36" s="256" cm="1">
        <f t="array" ref="H36">IFERROR(SUMPRODUCT(((H$19:H$28)*1=INDEX($R$34:$R$36,INT((ROW()-34)/2)+1))*((($I$19:$I$28)*1)=1+MOD(ROW()-34,2))),"")</f>
        <v>0</v>
      </c>
      <c r="I36" s="241">
        <v>1</v>
      </c>
      <c r="L36" s="268"/>
      <c r="M36" s="268">
        <v>4</v>
      </c>
      <c r="N36" s="268"/>
      <c r="O36" s="268"/>
      <c r="P36" s="268"/>
      <c r="Q36" s="268"/>
      <c r="R36" s="268">
        <v>7</v>
      </c>
    </row>
    <row r="37" spans="1:18" ht="22.95" customHeight="1" thickBot="1" x14ac:dyDescent="0.35">
      <c r="A37" s="237"/>
      <c r="B37" s="254" cm="1">
        <f t="array" ref="B37">IFERROR(SUMPRODUCT(((B$19:B$28)*1=INDEX($L$34:$L$35,INT((ROW()-34)/2)+1))*((($I$19:$I$28)*1)=1+MOD(ROW()-34,2))),"")</f>
        <v>5</v>
      </c>
      <c r="C37" s="254" cm="1">
        <f t="array" ref="C37">IFERROR(SUMPRODUCT(((C$19:C$28)*1=INDEX($M$34:$M$36,INT((ROW()-34)/2)+1))*((($I$19:$I$28)*1)=1+MOD(ROW()-34,2))),"")</f>
        <v>1</v>
      </c>
      <c r="D37" s="254" cm="1">
        <f t="array" ref="D37">IFERROR(SUMPRODUCT(((D$19:D$28)*1=INDEX($N$34:$N$35,INT((ROW()-34)/2)+1))*((($I$19:$I$28)*1)=1+MOD(ROW()-34,2))),"")</f>
        <v>1</v>
      </c>
      <c r="E37" s="254" cm="1">
        <f t="array" ref="E37">IFERROR(SUMPRODUCT(((E$19:E$28)*1=INDEX($O$34:$O$35,INT((ROW()-34)/2)+1))*((($I$19:$I$28)*1)=1+MOD(ROW()-34,2))),"")</f>
        <v>5</v>
      </c>
      <c r="F37" s="254" cm="1">
        <f t="array" ref="F37">IFERROR(SUMPRODUCT(((F$19:F$28)*1=INDEX($P$34:$P$35,INT((ROW()-34)/2)+1))*((($I$19:$I$28)*1)=1+MOD(ROW()-34,2))),"")</f>
        <v>2</v>
      </c>
      <c r="G37" s="254" cm="1">
        <f t="array" ref="G37">IFERROR(SUMPRODUCT(((G$19:G$28)*1=INDEX($Q$34:$Q$35,INT((ROW()-34)/2)+1))*((($I$19:$I$28)*1)=1+MOD(ROW()-34,2))),"")</f>
        <v>5</v>
      </c>
      <c r="H37" s="254" cm="1">
        <f t="array" ref="H37">IFERROR(SUMPRODUCT(((H$19:H$28)*1=INDEX($R$34:$R$36,INT((ROW()-34)/2)+1))*((($I$19:$I$28)*1)=1+MOD(ROW()-34,2))),"")</f>
        <v>1</v>
      </c>
      <c r="I37" s="239">
        <v>2</v>
      </c>
    </row>
    <row r="38" spans="1:18" ht="22.95" customHeight="1" x14ac:dyDescent="0.3">
      <c r="A38" s="242"/>
      <c r="B38" s="256"/>
      <c r="C38" s="256" cm="1">
        <f t="array" ref="C38">IFERROR(SUMPRODUCT(((C$19:C$28)*1=INDEX($M$34:$M$36,INT((ROW()-34)/2)+1))*((($I$19:$I$28)*1)=1+MOD(ROW()-34,2))),"")</f>
        <v>2</v>
      </c>
      <c r="D38" s="256"/>
      <c r="E38" s="256"/>
      <c r="F38" s="256"/>
      <c r="G38" s="256"/>
      <c r="H38" s="256" cm="1">
        <f t="array" ref="H38">IFERROR(SUMPRODUCT(((H$19:H$28)*1=INDEX($R$34:$R$36,INT((ROW()-34)/2)+1))*((($I$19:$I$28)*1)=1+MOD(ROW()-34,2))),"")</f>
        <v>3</v>
      </c>
      <c r="I38" s="241">
        <v>1</v>
      </c>
    </row>
    <row r="39" spans="1:18" ht="22.95" customHeight="1" thickBot="1" x14ac:dyDescent="0.35">
      <c r="A39" s="237"/>
      <c r="B39" s="254"/>
      <c r="C39" s="254" cm="1">
        <f t="array" ref="C39">IFERROR(SUMPRODUCT(((C$19:C$28)*1=INDEX($M$34:$M$36,INT((ROW()-34)/2)+1))*((($I$19:$I$28)*1)=1+MOD(ROW()-34,2))),"")</f>
        <v>4</v>
      </c>
      <c r="D39" s="254"/>
      <c r="E39" s="254"/>
      <c r="F39" s="254"/>
      <c r="G39" s="254"/>
      <c r="H39" s="254" cm="1">
        <f t="array" ref="H39">IFERROR(SUMPRODUCT(((H$19:H$28)*1=INDEX($R$34:$R$36,INT((ROW()-34)/2)+1))*((($I$19:$I$28)*1)=1+MOD(ROW()-34,2))),"")</f>
        <v>4</v>
      </c>
      <c r="I39" s="224">
        <v>2</v>
      </c>
    </row>
    <row r="41" spans="1:18" ht="14.4" customHeight="1" x14ac:dyDescent="0.3"/>
    <row r="43" spans="1:18" ht="18" customHeight="1" x14ac:dyDescent="0.3">
      <c r="A43" s="221"/>
      <c r="B43" s="215"/>
      <c r="C43" s="215"/>
      <c r="D43" s="215"/>
      <c r="E43" s="215"/>
      <c r="F43" s="215"/>
      <c r="G43" s="215"/>
      <c r="H43" s="215"/>
    </row>
    <row r="44" spans="1:18" ht="19.95" customHeight="1" x14ac:dyDescent="0.3">
      <c r="A44" s="221"/>
      <c r="B44" s="269">
        <f t="shared" ref="B44:H44" si="0">COUNTA(_xlfn.UNIQUE(B3:B12))</f>
        <v>2</v>
      </c>
      <c r="C44" s="269">
        <f t="shared" si="0"/>
        <v>3</v>
      </c>
      <c r="D44" s="269">
        <f t="shared" si="0"/>
        <v>2</v>
      </c>
      <c r="E44" s="269">
        <f t="shared" si="0"/>
        <v>2</v>
      </c>
      <c r="F44" s="269">
        <f t="shared" si="0"/>
        <v>2</v>
      </c>
      <c r="G44" s="269">
        <f t="shared" si="0"/>
        <v>2</v>
      </c>
      <c r="H44" s="269">
        <f t="shared" si="0"/>
        <v>3</v>
      </c>
      <c r="J44" s="231" t="s">
        <v>6</v>
      </c>
      <c r="K44" s="215">
        <v>4</v>
      </c>
    </row>
    <row r="45" spans="1:18" ht="19.95" customHeight="1" x14ac:dyDescent="0.3">
      <c r="A45" s="221"/>
      <c r="B45" s="269">
        <f t="shared" ref="B45:H45" si="1">COUNTA(_xlfn.UNIQUE(B19:B22))</f>
        <v>2</v>
      </c>
      <c r="C45" s="269">
        <f t="shared" si="1"/>
        <v>3</v>
      </c>
      <c r="D45" s="269">
        <f t="shared" si="1"/>
        <v>1</v>
      </c>
      <c r="E45" s="269">
        <f t="shared" si="1"/>
        <v>2</v>
      </c>
      <c r="F45" s="269">
        <f t="shared" si="1"/>
        <v>2</v>
      </c>
      <c r="G45" s="269">
        <f t="shared" si="1"/>
        <v>2</v>
      </c>
      <c r="H45" s="269">
        <f t="shared" si="1"/>
        <v>2</v>
      </c>
      <c r="J45" s="231" t="s">
        <v>7</v>
      </c>
      <c r="K45" s="270">
        <v>6</v>
      </c>
    </row>
    <row r="46" spans="1:18" ht="19.95" customHeight="1" x14ac:dyDescent="0.3">
      <c r="A46" s="221"/>
      <c r="B46" s="271">
        <f t="shared" ref="B46:H46" si="2">COUNTA(_xlfn.UNIQUE(B23:B28))</f>
        <v>2</v>
      </c>
      <c r="C46" s="271">
        <f t="shared" si="2"/>
        <v>3</v>
      </c>
      <c r="D46" s="271">
        <f t="shared" si="2"/>
        <v>2</v>
      </c>
      <c r="E46" s="271">
        <f t="shared" si="2"/>
        <v>2</v>
      </c>
      <c r="F46" s="271">
        <f t="shared" si="2"/>
        <v>2</v>
      </c>
      <c r="G46" s="271">
        <f t="shared" si="2"/>
        <v>2</v>
      </c>
      <c r="H46" s="271">
        <f t="shared" si="2"/>
        <v>3</v>
      </c>
    </row>
    <row r="47" spans="1:18" ht="19.95" customHeight="1" x14ac:dyDescent="0.3">
      <c r="A47" s="221"/>
      <c r="B47" s="269">
        <f t="shared" ref="B47:H48" si="3">IFERROR(IF(B$44&gt;2, ($K44-B45+1)*($K44-B45), $K44*($K44-1)), "Error!!!")</f>
        <v>12</v>
      </c>
      <c r="C47" s="269">
        <f t="shared" si="3"/>
        <v>2</v>
      </c>
      <c r="D47" s="269">
        <f t="shared" si="3"/>
        <v>12</v>
      </c>
      <c r="E47" s="269">
        <f t="shared" si="3"/>
        <v>12</v>
      </c>
      <c r="F47" s="269">
        <f t="shared" si="3"/>
        <v>12</v>
      </c>
      <c r="G47" s="269">
        <f t="shared" si="3"/>
        <v>12</v>
      </c>
      <c r="H47" s="269">
        <f t="shared" si="3"/>
        <v>6</v>
      </c>
    </row>
    <row r="48" spans="1:18" ht="19.95" customHeight="1" x14ac:dyDescent="0.3">
      <c r="A48" s="221"/>
      <c r="B48" s="269">
        <f t="shared" si="3"/>
        <v>30</v>
      </c>
      <c r="C48" s="269">
        <f t="shared" si="3"/>
        <v>12</v>
      </c>
      <c r="D48" s="269">
        <f t="shared" si="3"/>
        <v>30</v>
      </c>
      <c r="E48" s="269">
        <f t="shared" si="3"/>
        <v>30</v>
      </c>
      <c r="F48" s="269">
        <f t="shared" si="3"/>
        <v>30</v>
      </c>
      <c r="G48" s="269">
        <f t="shared" si="3"/>
        <v>30</v>
      </c>
      <c r="H48" s="269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246" t="s">
        <v>36</v>
      </c>
      <c r="B52" s="246"/>
      <c r="C52" s="246"/>
      <c r="D52" s="246"/>
      <c r="E52" s="246"/>
      <c r="F52" s="246"/>
      <c r="G52" s="246"/>
      <c r="H52" s="246"/>
    </row>
    <row r="53" spans="1:8" ht="18" customHeight="1" x14ac:dyDescent="0.3">
      <c r="A53" s="216" t="s">
        <v>37</v>
      </c>
      <c r="B53" s="216"/>
      <c r="C53" s="216"/>
      <c r="D53" s="216"/>
      <c r="E53" s="216"/>
      <c r="F53" s="216"/>
      <c r="G53" s="216"/>
      <c r="H53" s="216"/>
    </row>
    <row r="54" spans="1:8" ht="19.95" customHeight="1" x14ac:dyDescent="0.3">
      <c r="A54" s="221"/>
      <c r="B54" s="272">
        <f t="shared" ref="B54:H54" si="4">1-((B34*B35+B36*B37+B38*B39)/(2*$K$44*$K$45))</f>
        <v>0.75</v>
      </c>
      <c r="C54" s="272">
        <f t="shared" si="4"/>
        <v>0.79166666666666663</v>
      </c>
      <c r="D54" s="272">
        <f t="shared" si="4"/>
        <v>0.58333333333333326</v>
      </c>
      <c r="E54" s="272">
        <f t="shared" si="4"/>
        <v>0.75</v>
      </c>
      <c r="F54" s="272">
        <f t="shared" si="4"/>
        <v>0.75</v>
      </c>
      <c r="G54" s="272">
        <f t="shared" si="4"/>
        <v>0.75</v>
      </c>
      <c r="H54" s="272">
        <f t="shared" si="4"/>
        <v>0.72916666666666674</v>
      </c>
    </row>
    <row r="55" spans="1:8" ht="19.95" customHeight="1" x14ac:dyDescent="0.3">
      <c r="A55" s="221"/>
      <c r="B55" s="272">
        <f>IFERROR(IF(B47+B48&gt;0, ((B34*(B34-1)+B35*(B35-1))+(B36*(B36-1)+B37*(B37-1))+(B38*(B38-1)+B39*(B39-1)))/(B47+B48), 0), "Error!!!")</f>
        <v>0.5714285714285714</v>
      </c>
      <c r="C55" s="272">
        <f>IFERROR(IF(C47+C48&gt;0, ((C34*(C34-1)+C35*(C35-1))+(C36*(C36-1)+C37*(C37-1))+(C38*(C38-1)+C39*(C39-1)))/(C47+C48), 0), "Error!!!")</f>
        <v>1</v>
      </c>
      <c r="D55" s="272">
        <f t="shared" ref="D55:H55" si="5">IFERROR(IF(D47+D48&gt;0, ((D34*(D34-1)+D35*(D35-1))+(D36*(D36-1)+D37*(D37-1))+(D38*(D38-1)+D39*(D39-1)))/(D47+D48), 0), "Error!!!")</f>
        <v>0.76190476190476186</v>
      </c>
      <c r="E55" s="272">
        <f t="shared" si="5"/>
        <v>0.5714285714285714</v>
      </c>
      <c r="F55" s="272">
        <f t="shared" si="5"/>
        <v>0.42857142857142855</v>
      </c>
      <c r="G55" s="272">
        <f t="shared" si="5"/>
        <v>0.5714285714285714</v>
      </c>
      <c r="H55" s="272">
        <f t="shared" si="5"/>
        <v>1</v>
      </c>
    </row>
    <row r="56" spans="1:8" ht="19.95" customHeight="1" x14ac:dyDescent="0.3">
      <c r="A56" s="242"/>
      <c r="B56" s="273">
        <f>B54*B55</f>
        <v>0.42857142857142855</v>
      </c>
      <c r="C56" s="273">
        <f>C54*C55</f>
        <v>0.79166666666666663</v>
      </c>
      <c r="D56" s="273">
        <f t="shared" ref="D56:F56" si="6">D54*D55</f>
        <v>0.44444444444444436</v>
      </c>
      <c r="E56" s="273">
        <f t="shared" si="6"/>
        <v>0.42857142857142855</v>
      </c>
      <c r="F56" s="273">
        <f t="shared" si="6"/>
        <v>0.3214285714285714</v>
      </c>
      <c r="G56" s="273">
        <f>G54*G55</f>
        <v>0.42857142857142855</v>
      </c>
      <c r="H56" s="273">
        <f>H54*H55</f>
        <v>0.72916666666666674</v>
      </c>
    </row>
    <row r="60" spans="1:8" ht="19.95" customHeight="1" x14ac:dyDescent="0.3">
      <c r="A60" s="246" t="s">
        <v>38</v>
      </c>
      <c r="B60" s="246"/>
      <c r="C60" s="246"/>
      <c r="D60" s="246"/>
      <c r="E60" s="246"/>
      <c r="F60" s="246"/>
      <c r="G60" s="246"/>
      <c r="H60" s="246"/>
    </row>
    <row r="61" spans="1:8" ht="34.799999999999997" customHeight="1" x14ac:dyDescent="0.3">
      <c r="A61" s="261" t="s">
        <v>40</v>
      </c>
      <c r="B61" s="216" t="s">
        <v>0</v>
      </c>
      <c r="C61" s="216" t="s">
        <v>1</v>
      </c>
      <c r="D61" s="216" t="s">
        <v>0</v>
      </c>
      <c r="E61" s="216" t="s">
        <v>2</v>
      </c>
      <c r="F61" s="216" t="s">
        <v>0</v>
      </c>
      <c r="G61" s="216" t="s">
        <v>3</v>
      </c>
      <c r="H61" s="216" t="s">
        <v>4</v>
      </c>
    </row>
    <row r="62" spans="1:8" ht="19.95" customHeight="1" x14ac:dyDescent="0.3">
      <c r="A62" s="221"/>
      <c r="B62" s="262">
        <f>B$56*(B$34/COUNTIF($I$3:$I$12,1) - B$35/COUNTIF($I$3:$I$12,2))</f>
        <v>0.14285714285714288</v>
      </c>
      <c r="C62" s="262">
        <f>C$56*(C$34/COUNTIF($I$3:$I$12,1) - C$35/COUNTIF($I$3:$I$12,2))</f>
        <v>6.5972222222222224E-2</v>
      </c>
      <c r="D62" s="262">
        <f t="shared" ref="D62:G62" si="7">D$56*(D$34/COUNTIF($I$3:$I$12,1) - D$35/COUNTIF($I$3:$I$12,2))</f>
        <v>7.4074074074074042E-2</v>
      </c>
      <c r="E62" s="262">
        <f>E$56*(E$34/COUNTIF($I$3:$I$12,1) - E$35/COUNTIF($I$3:$I$12,2))</f>
        <v>0.14285714285714288</v>
      </c>
      <c r="F62" s="262">
        <f t="shared" si="7"/>
        <v>-5.3571428571428555E-2</v>
      </c>
      <c r="G62" s="262">
        <f t="shared" si="7"/>
        <v>0.14285714285714288</v>
      </c>
      <c r="H62" s="262">
        <f>H$56*(H$34/COUNTIF($I$3:$I$12,1) - H$35/COUNTIF($I$3:$I$12,2))</f>
        <v>6.0763888888888902E-2</v>
      </c>
    </row>
    <row r="63" spans="1:8" ht="19.95" customHeight="1" x14ac:dyDescent="0.3">
      <c r="A63" s="221"/>
      <c r="B63" s="262">
        <f>B$56*(B$36/COUNTIF($I$3:$I$12,1) - B$37/COUNTIF($I$3:$I$12,2))</f>
        <v>-0.14285714285714288</v>
      </c>
      <c r="C63" s="262">
        <f>C$56*(C$36/COUNTIF($I$3:$I$12,1) - C$37/COUNTIF($I$3:$I$12,2))</f>
        <v>6.5972222222222224E-2</v>
      </c>
      <c r="D63" s="262">
        <f t="shared" ref="D63:H63" si="8">D$56*(D$36/COUNTIF($I$3:$I$12,1) - D$37/COUNTIF($I$3:$I$12,2))</f>
        <v>-7.4074074074074056E-2</v>
      </c>
      <c r="E63" s="262">
        <f t="shared" si="8"/>
        <v>-0.14285714285714288</v>
      </c>
      <c r="F63" s="262">
        <f t="shared" si="8"/>
        <v>5.3571428571428575E-2</v>
      </c>
      <c r="G63" s="262">
        <f t="shared" si="8"/>
        <v>-0.14285714285714288</v>
      </c>
      <c r="H63" s="262">
        <f t="shared" si="8"/>
        <v>-0.12152777777777779</v>
      </c>
    </row>
    <row r="64" spans="1:8" ht="19.95" customHeight="1" x14ac:dyDescent="0.3">
      <c r="A64" s="221"/>
      <c r="B64" s="262"/>
      <c r="C64" s="262">
        <f>C$56*(C$38/COUNTIF($I$3:$I$12,1) - C$39/COUNTIF($I$3:$I$12,2))</f>
        <v>-0.13194444444444442</v>
      </c>
      <c r="D64" s="262"/>
      <c r="E64" s="262"/>
      <c r="F64" s="262"/>
      <c r="G64" s="262"/>
      <c r="H64" s="262">
        <f>H$56*(H$38/COUNTIF($I$3:$I$12,1) - H$39/COUNTIF($I$3:$I$12,2))</f>
        <v>6.0763888888888923E-2</v>
      </c>
    </row>
    <row r="68" spans="1:9" ht="15.6" x14ac:dyDescent="0.3">
      <c r="A68" s="246" t="s">
        <v>41</v>
      </c>
      <c r="B68" s="246"/>
      <c r="C68" s="246"/>
      <c r="D68" s="246"/>
      <c r="E68" s="246"/>
      <c r="F68" s="246"/>
      <c r="G68" s="246"/>
      <c r="H68" s="246"/>
      <c r="I68" s="246"/>
    </row>
    <row r="69" spans="1:9" ht="15.6" x14ac:dyDescent="0.3">
      <c r="A69" s="215" t="s">
        <v>5</v>
      </c>
      <c r="B69" s="216"/>
      <c r="C69" s="216"/>
      <c r="D69" s="216"/>
      <c r="E69" s="216"/>
      <c r="F69" s="216"/>
      <c r="G69" s="216"/>
      <c r="H69" s="216"/>
      <c r="I69" s="215" t="s">
        <v>8</v>
      </c>
    </row>
    <row r="70" spans="1:9" ht="15.6" x14ac:dyDescent="0.3">
      <c r="A70" s="221"/>
      <c r="B70" s="223">
        <f>IFERROR(IF(B3=0, B$62, IF(B3=1, B$63, "Error!!!")), "Error!!!")</f>
        <v>-0.14285714285714288</v>
      </c>
      <c r="C70" s="223">
        <f>IFERROR(IF(C3=2, C$62, IF(C3=3, C$63, IF(C3=4, C$64, "Error!!!"))), "Error!!!")</f>
        <v>-0.13194444444444442</v>
      </c>
      <c r="D70" s="223">
        <f>IFERROR(IF(D3=0, D$62, IF(D3=1, D$63, "Error!!!")), "Error!!!")</f>
        <v>7.4074074074074042E-2</v>
      </c>
      <c r="E70" s="223">
        <f>IFERROR(IF(E3=0, E$62, IF(E3=2, E$63, "Error!!!")), "Error!!!")</f>
        <v>-0.14285714285714288</v>
      </c>
      <c r="F70" s="223">
        <f>IFERROR(IF(F3=0, F$62, IF(F3=1, F$63, "Error!!!")), "Error!!!")</f>
        <v>-5.3571428571428555E-2</v>
      </c>
      <c r="G70" s="223">
        <f>IFERROR(IF(G3=1, G$62, IF(G3=2, G$63, "Error!!!")), "Error!!!")</f>
        <v>-0.14285714285714288</v>
      </c>
      <c r="H70" s="223">
        <f>IFERROR(IF(H3=3, H$62, IF(H3=6, H$63, IF(H3=7, H$64, "Error!!!"))), "Error!!!")</f>
        <v>6.0763888888888902E-2</v>
      </c>
      <c r="I70" s="224">
        <v>2</v>
      </c>
    </row>
    <row r="71" spans="1:9" ht="15.6" x14ac:dyDescent="0.3">
      <c r="A71" s="221"/>
      <c r="B71" s="223">
        <f t="shared" ref="B71:B79" si="9">IFERROR(IF(B4=0, B$62, IF(B4=1, B$63, "Error!!!")), "Error!!!")</f>
        <v>0.14285714285714288</v>
      </c>
      <c r="C71" s="223">
        <f t="shared" ref="C71:C79" si="10">IFERROR(IF(C4=2, C$62, IF(C4=3, C$63, IF(C4=4, C$64, "Error!!!"))), "Error!!!")</f>
        <v>6.5972222222222224E-2</v>
      </c>
      <c r="D71" s="223">
        <f t="shared" ref="D71:D79" si="11">IFERROR(IF(D4=0, D$62, IF(D4=1, D$63, "Error!!!")), "Error!!!")</f>
        <v>7.4074074074074042E-2</v>
      </c>
      <c r="E71" s="223">
        <f t="shared" ref="E71:E79" si="12">IFERROR(IF(E4=0, E$62, IF(E4=2, E$63, "Error!!!")), "Error!!!")</f>
        <v>-0.14285714285714288</v>
      </c>
      <c r="F71" s="223">
        <f t="shared" ref="F71:F79" si="13">IFERROR(IF(F4=0, F$62, IF(F4=1, F$63, "Error!!!")), "Error!!!")</f>
        <v>-5.3571428571428555E-2</v>
      </c>
      <c r="G71" s="223">
        <f t="shared" ref="G71:G79" si="14">IFERROR(IF(G4=1, G$62, IF(G4=2, G$63, "Error!!!")), "Error!!!")</f>
        <v>-0.14285714285714288</v>
      </c>
      <c r="H71" s="223">
        <f t="shared" ref="H71:H79" si="15">IFERROR(IF(H4=3, H$62, IF(H4=6, H$63, IF(H4=7, H$64, "Error!!!"))), "Error!!!")</f>
        <v>6.0763888888888923E-2</v>
      </c>
      <c r="I71" s="224">
        <v>1</v>
      </c>
    </row>
    <row r="72" spans="1:9" ht="15.6" x14ac:dyDescent="0.3">
      <c r="A72" s="221"/>
      <c r="B72" s="223">
        <f t="shared" si="9"/>
        <v>-0.14285714285714288</v>
      </c>
      <c r="C72" s="223">
        <f t="shared" si="10"/>
        <v>6.5972222222222224E-2</v>
      </c>
      <c r="D72" s="223">
        <f t="shared" si="11"/>
        <v>7.4074074074074042E-2</v>
      </c>
      <c r="E72" s="223">
        <f t="shared" si="12"/>
        <v>0.14285714285714288</v>
      </c>
      <c r="F72" s="223">
        <f t="shared" si="13"/>
        <v>-5.3571428571428555E-2</v>
      </c>
      <c r="G72" s="223">
        <f t="shared" si="14"/>
        <v>0.14285714285714288</v>
      </c>
      <c r="H72" s="223">
        <f t="shared" si="15"/>
        <v>6.0763888888888923E-2</v>
      </c>
      <c r="I72" s="224">
        <v>2</v>
      </c>
    </row>
    <row r="73" spans="1:9" ht="15.6" x14ac:dyDescent="0.3">
      <c r="A73" s="221"/>
      <c r="B73" s="223">
        <f t="shared" si="9"/>
        <v>-0.14285714285714288</v>
      </c>
      <c r="C73" s="223">
        <f t="shared" si="10"/>
        <v>-0.13194444444444442</v>
      </c>
      <c r="D73" s="223">
        <f t="shared" si="11"/>
        <v>7.4074074074074042E-2</v>
      </c>
      <c r="E73" s="223">
        <f t="shared" si="12"/>
        <v>0.14285714285714288</v>
      </c>
      <c r="F73" s="223">
        <f t="shared" si="13"/>
        <v>5.3571428571428575E-2</v>
      </c>
      <c r="G73" s="223">
        <f t="shared" si="14"/>
        <v>-0.14285714285714288</v>
      </c>
      <c r="H73" s="223">
        <f t="shared" si="15"/>
        <v>6.0763888888888923E-2</v>
      </c>
      <c r="I73" s="224">
        <v>1</v>
      </c>
    </row>
    <row r="74" spans="1:9" ht="15.6" x14ac:dyDescent="0.3">
      <c r="A74" s="221"/>
      <c r="B74" s="223">
        <f t="shared" si="9"/>
        <v>0.14285714285714288</v>
      </c>
      <c r="C74" s="223">
        <f t="shared" si="10"/>
        <v>6.5972222222222224E-2</v>
      </c>
      <c r="D74" s="223">
        <f t="shared" si="11"/>
        <v>7.4074074074074042E-2</v>
      </c>
      <c r="E74" s="223">
        <f t="shared" si="12"/>
        <v>-0.14285714285714288</v>
      </c>
      <c r="F74" s="223">
        <f t="shared" si="13"/>
        <v>5.3571428571428575E-2</v>
      </c>
      <c r="G74" s="223">
        <f t="shared" si="14"/>
        <v>0.14285714285714288</v>
      </c>
      <c r="H74" s="223">
        <f t="shared" si="15"/>
        <v>6.0763888888888902E-2</v>
      </c>
      <c r="I74" s="224">
        <v>1</v>
      </c>
    </row>
    <row r="75" spans="1:9" ht="15.6" x14ac:dyDescent="0.3">
      <c r="A75" s="221"/>
      <c r="B75" s="223">
        <f t="shared" si="9"/>
        <v>-0.14285714285714288</v>
      </c>
      <c r="C75" s="223">
        <f t="shared" si="10"/>
        <v>-0.13194444444444442</v>
      </c>
      <c r="D75" s="223">
        <f t="shared" si="11"/>
        <v>7.4074074074074042E-2</v>
      </c>
      <c r="E75" s="223">
        <f t="shared" si="12"/>
        <v>0.14285714285714288</v>
      </c>
      <c r="F75" s="223">
        <f t="shared" si="13"/>
        <v>-5.3571428571428555E-2</v>
      </c>
      <c r="G75" s="223">
        <f t="shared" si="14"/>
        <v>0.14285714285714288</v>
      </c>
      <c r="H75" s="223">
        <f t="shared" si="15"/>
        <v>6.0763888888888923E-2</v>
      </c>
      <c r="I75" s="224">
        <v>1</v>
      </c>
    </row>
    <row r="76" spans="1:9" ht="15.6" x14ac:dyDescent="0.3">
      <c r="A76" s="221"/>
      <c r="B76" s="223">
        <f t="shared" si="9"/>
        <v>-0.14285714285714288</v>
      </c>
      <c r="C76" s="223">
        <f t="shared" si="10"/>
        <v>6.5972222222222224E-2</v>
      </c>
      <c r="D76" s="223">
        <f t="shared" si="11"/>
        <v>-7.4074074074074056E-2</v>
      </c>
      <c r="E76" s="223">
        <f t="shared" si="12"/>
        <v>-0.14285714285714288</v>
      </c>
      <c r="F76" s="223">
        <f t="shared" si="13"/>
        <v>5.3571428571428575E-2</v>
      </c>
      <c r="G76" s="223">
        <f t="shared" si="14"/>
        <v>-0.14285714285714288</v>
      </c>
      <c r="H76" s="223">
        <f t="shared" si="15"/>
        <v>-0.12152777777777779</v>
      </c>
      <c r="I76" s="224">
        <v>2</v>
      </c>
    </row>
    <row r="77" spans="1:9" ht="15.6" x14ac:dyDescent="0.3">
      <c r="A77" s="221"/>
      <c r="B77" s="223">
        <f t="shared" si="9"/>
        <v>-0.14285714285714288</v>
      </c>
      <c r="C77" s="223">
        <f t="shared" si="10"/>
        <v>-0.13194444444444442</v>
      </c>
      <c r="D77" s="223">
        <f t="shared" si="11"/>
        <v>7.4074074074074042E-2</v>
      </c>
      <c r="E77" s="223">
        <f t="shared" si="12"/>
        <v>-0.14285714285714288</v>
      </c>
      <c r="F77" s="223">
        <f t="shared" si="13"/>
        <v>5.3571428571428575E-2</v>
      </c>
      <c r="G77" s="223">
        <f t="shared" si="14"/>
        <v>-0.14285714285714288</v>
      </c>
      <c r="H77" s="223">
        <f t="shared" si="15"/>
        <v>6.0763888888888923E-2</v>
      </c>
      <c r="I77" s="224">
        <v>2</v>
      </c>
    </row>
    <row r="78" spans="1:9" ht="15.6" x14ac:dyDescent="0.3">
      <c r="A78" s="221"/>
      <c r="B78" s="223">
        <f t="shared" si="9"/>
        <v>-0.14285714285714288</v>
      </c>
      <c r="C78" s="223">
        <f t="shared" si="10"/>
        <v>-0.13194444444444442</v>
      </c>
      <c r="D78" s="223">
        <f t="shared" si="11"/>
        <v>7.4074074074074042E-2</v>
      </c>
      <c r="E78" s="223">
        <f t="shared" si="12"/>
        <v>-0.14285714285714288</v>
      </c>
      <c r="F78" s="223">
        <f t="shared" si="13"/>
        <v>-5.3571428571428555E-2</v>
      </c>
      <c r="G78" s="223">
        <f t="shared" si="14"/>
        <v>-0.14285714285714288</v>
      </c>
      <c r="H78" s="223">
        <f t="shared" si="15"/>
        <v>6.0763888888888923E-2</v>
      </c>
      <c r="I78" s="224">
        <v>2</v>
      </c>
    </row>
    <row r="79" spans="1:9" ht="15.6" x14ac:dyDescent="0.3">
      <c r="A79" s="221"/>
      <c r="B79" s="223">
        <f t="shared" si="9"/>
        <v>0.14285714285714288</v>
      </c>
      <c r="C79" s="223">
        <f t="shared" si="10"/>
        <v>-0.13194444444444442</v>
      </c>
      <c r="D79" s="223">
        <f t="shared" si="11"/>
        <v>7.4074074074074042E-2</v>
      </c>
      <c r="E79" s="223">
        <f t="shared" si="12"/>
        <v>-0.14285714285714288</v>
      </c>
      <c r="F79" s="223">
        <f t="shared" si="13"/>
        <v>-5.3571428571428555E-2</v>
      </c>
      <c r="G79" s="223">
        <f t="shared" si="14"/>
        <v>-0.14285714285714288</v>
      </c>
      <c r="H79" s="223">
        <f t="shared" si="15"/>
        <v>6.0763888888888923E-2</v>
      </c>
      <c r="I79" s="224">
        <v>2</v>
      </c>
    </row>
    <row r="80" spans="1:9" ht="15.6" x14ac:dyDescent="0.3">
      <c r="A80" s="219"/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19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O19"/>
  <sheetViews>
    <sheetView showGridLines="0" zoomScale="90" zoomScaleNormal="90" workbookViewId="0">
      <selection activeCell="A1" sqref="A1"/>
    </sheetView>
  </sheetViews>
  <sheetFormatPr defaultRowHeight="14.4" x14ac:dyDescent="0.3"/>
  <cols>
    <col min="2" max="14" width="12.77734375" customWidth="1"/>
  </cols>
  <sheetData>
    <row r="1" spans="1:15" ht="15.6" x14ac:dyDescent="0.3">
      <c r="A1" s="214" t="s">
        <v>42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</row>
    <row r="2" spans="1:15" ht="15.6" x14ac:dyDescent="0.3">
      <c r="A2" s="215" t="s">
        <v>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5" t="s">
        <v>8</v>
      </c>
    </row>
    <row r="3" spans="1:15" ht="18" customHeight="1" x14ac:dyDescent="0.3">
      <c r="A3" s="221"/>
      <c r="B3" s="222">
        <v>0.52910083333333335</v>
      </c>
      <c r="C3" s="223">
        <v>-0.14285714285714288</v>
      </c>
      <c r="D3" s="223">
        <v>-0.13194444444444442</v>
      </c>
      <c r="E3" s="222">
        <v>-0.24074050000000002</v>
      </c>
      <c r="F3" s="222">
        <v>-5.3571500000000001E-2</v>
      </c>
      <c r="G3" s="223">
        <v>7.4074074074074042E-2</v>
      </c>
      <c r="H3" s="223">
        <v>-0.14285714285714288</v>
      </c>
      <c r="I3" s="222">
        <v>0.24074050000000002</v>
      </c>
      <c r="J3" s="223">
        <v>-5.3571428571428555E-2</v>
      </c>
      <c r="K3" s="222">
        <v>-0.24074050000000002</v>
      </c>
      <c r="L3" s="223">
        <v>-0.14285714285714288</v>
      </c>
      <c r="M3" s="222">
        <v>-9.5238000000000017E-2</v>
      </c>
      <c r="N3" s="223">
        <v>6.0763888888888902E-2</v>
      </c>
      <c r="O3" s="224">
        <v>2</v>
      </c>
    </row>
    <row r="4" spans="1:15" ht="18" customHeight="1" x14ac:dyDescent="0.3">
      <c r="A4" s="221"/>
      <c r="B4" s="222">
        <v>0.52910083333333335</v>
      </c>
      <c r="C4" s="223">
        <v>0.14285714285714288</v>
      </c>
      <c r="D4" s="223">
        <v>6.5972222222222224E-2</v>
      </c>
      <c r="E4" s="222">
        <v>0.24074050000000002</v>
      </c>
      <c r="F4" s="222">
        <v>-5.3571500000000001E-2</v>
      </c>
      <c r="G4" s="223">
        <v>7.4074074074074042E-2</v>
      </c>
      <c r="H4" s="223">
        <v>-0.14285714285714288</v>
      </c>
      <c r="I4" s="222">
        <v>-0.24074050000000002</v>
      </c>
      <c r="J4" s="223">
        <v>-5.3571428571428555E-2</v>
      </c>
      <c r="K4" s="222">
        <v>-0.24074050000000002</v>
      </c>
      <c r="L4" s="223">
        <v>-0.14285714285714288</v>
      </c>
      <c r="M4" s="222">
        <v>9.5238000000000017E-2</v>
      </c>
      <c r="N4" s="223">
        <v>6.0763888888888923E-2</v>
      </c>
      <c r="O4" s="224">
        <v>1</v>
      </c>
    </row>
    <row r="5" spans="1:15" ht="18" customHeight="1" x14ac:dyDescent="0.3">
      <c r="A5" s="221"/>
      <c r="B5" s="222">
        <v>-0.52910083333333335</v>
      </c>
      <c r="C5" s="223">
        <v>-0.14285714285714288</v>
      </c>
      <c r="D5" s="223">
        <v>6.5972222222222224E-2</v>
      </c>
      <c r="E5" s="222">
        <v>-0.24074050000000002</v>
      </c>
      <c r="F5" s="222">
        <v>-5.3571500000000001E-2</v>
      </c>
      <c r="G5" s="223">
        <v>7.4074074074074042E-2</v>
      </c>
      <c r="H5" s="223">
        <v>0.14285714285714288</v>
      </c>
      <c r="I5" s="222">
        <v>-0.24074050000000002</v>
      </c>
      <c r="J5" s="223">
        <v>-5.3571428571428555E-2</v>
      </c>
      <c r="K5" s="222">
        <v>0.24074050000000002</v>
      </c>
      <c r="L5" s="223">
        <v>0.14285714285714288</v>
      </c>
      <c r="M5" s="222">
        <v>9.5238000000000017E-2</v>
      </c>
      <c r="N5" s="223">
        <v>6.0763888888888923E-2</v>
      </c>
      <c r="O5" s="224">
        <v>2</v>
      </c>
    </row>
    <row r="6" spans="1:15" ht="18" customHeight="1" x14ac:dyDescent="0.3">
      <c r="A6" s="221"/>
      <c r="B6" s="222">
        <v>0.52910083333333335</v>
      </c>
      <c r="C6" s="223">
        <v>-0.14285714285714288</v>
      </c>
      <c r="D6" s="223">
        <v>-0.13194444444444442</v>
      </c>
      <c r="E6" s="222">
        <v>-0.24074050000000002</v>
      </c>
      <c r="F6" s="222">
        <v>-5.3571500000000001E-2</v>
      </c>
      <c r="G6" s="223">
        <v>7.4074074074074042E-2</v>
      </c>
      <c r="H6" s="223">
        <v>0.14285714285714288</v>
      </c>
      <c r="I6" s="222">
        <v>0.24074050000000002</v>
      </c>
      <c r="J6" s="223">
        <v>5.3571428571428575E-2</v>
      </c>
      <c r="K6" s="222">
        <v>0.24074050000000002</v>
      </c>
      <c r="L6" s="223">
        <v>-0.14285714285714288</v>
      </c>
      <c r="M6" s="222">
        <v>-9.5238000000000017E-2</v>
      </c>
      <c r="N6" s="223">
        <v>6.0763888888888923E-2</v>
      </c>
      <c r="O6" s="224">
        <v>1</v>
      </c>
    </row>
    <row r="7" spans="1:15" ht="18" customHeight="1" x14ac:dyDescent="0.3">
      <c r="A7" s="221"/>
      <c r="B7" s="222">
        <v>0.52910083333333335</v>
      </c>
      <c r="C7" s="223">
        <v>0.14285714285714288</v>
      </c>
      <c r="D7" s="223">
        <v>6.5972222222222224E-2</v>
      </c>
      <c r="E7" s="222">
        <v>0.24074050000000002</v>
      </c>
      <c r="F7" s="222">
        <v>-5.3571500000000001E-2</v>
      </c>
      <c r="G7" s="223">
        <v>7.4074074074074042E-2</v>
      </c>
      <c r="H7" s="223">
        <v>-0.14285714285714288</v>
      </c>
      <c r="I7" s="222">
        <v>0.24074050000000002</v>
      </c>
      <c r="J7" s="223">
        <v>5.3571428571428575E-2</v>
      </c>
      <c r="K7" s="222">
        <v>0.24074050000000002</v>
      </c>
      <c r="L7" s="223">
        <v>0.14285714285714288</v>
      </c>
      <c r="M7" s="222">
        <v>-9.5238000000000017E-2</v>
      </c>
      <c r="N7" s="223">
        <v>6.0763888888888902E-2</v>
      </c>
      <c r="O7" s="224">
        <v>1</v>
      </c>
    </row>
    <row r="8" spans="1:15" ht="18" customHeight="1" x14ac:dyDescent="0.3">
      <c r="A8" s="221"/>
      <c r="B8" s="222">
        <v>0.52910083333333335</v>
      </c>
      <c r="C8" s="223">
        <v>-0.14285714285714288</v>
      </c>
      <c r="D8" s="223">
        <v>-0.13194444444444442</v>
      </c>
      <c r="E8" s="222">
        <v>0.24074050000000002</v>
      </c>
      <c r="F8" s="222">
        <v>5.3571500000000001E-2</v>
      </c>
      <c r="G8" s="223">
        <v>7.4074074074074042E-2</v>
      </c>
      <c r="H8" s="223">
        <v>0.14285714285714288</v>
      </c>
      <c r="I8" s="222">
        <v>0.24074050000000002</v>
      </c>
      <c r="J8" s="223">
        <v>-5.3571428571428555E-2</v>
      </c>
      <c r="K8" s="222">
        <v>0.24074050000000002</v>
      </c>
      <c r="L8" s="223">
        <v>0.14285714285714288</v>
      </c>
      <c r="M8" s="222">
        <v>9.5238000000000017E-2</v>
      </c>
      <c r="N8" s="223">
        <v>6.0763888888888923E-2</v>
      </c>
      <c r="O8" s="224">
        <v>1</v>
      </c>
    </row>
    <row r="9" spans="1:15" ht="18" customHeight="1" x14ac:dyDescent="0.3">
      <c r="A9" s="221"/>
      <c r="B9" s="222">
        <v>-0.52910083333333335</v>
      </c>
      <c r="C9" s="223">
        <v>-0.14285714285714288</v>
      </c>
      <c r="D9" s="223">
        <v>6.5972222222222224E-2</v>
      </c>
      <c r="E9" s="222">
        <v>-0.24074050000000002</v>
      </c>
      <c r="F9" s="222">
        <v>-5.3571500000000001E-2</v>
      </c>
      <c r="G9" s="223">
        <v>-7.4074074074074056E-2</v>
      </c>
      <c r="H9" s="223">
        <v>-0.14285714285714288</v>
      </c>
      <c r="I9" s="222">
        <v>-0.24074050000000002</v>
      </c>
      <c r="J9" s="223">
        <v>5.3571428571428575E-2</v>
      </c>
      <c r="K9" s="222">
        <v>-0.24074050000000002</v>
      </c>
      <c r="L9" s="223">
        <v>-0.14285714285714288</v>
      </c>
      <c r="M9" s="222">
        <v>-9.5238000000000017E-2</v>
      </c>
      <c r="N9" s="223">
        <v>-0.12152777777777779</v>
      </c>
      <c r="O9" s="224">
        <v>2</v>
      </c>
    </row>
    <row r="10" spans="1:15" ht="18" customHeight="1" x14ac:dyDescent="0.3">
      <c r="A10" s="221"/>
      <c r="B10" s="222">
        <v>-0.52910083333333335</v>
      </c>
      <c r="C10" s="223">
        <v>-0.14285714285714288</v>
      </c>
      <c r="D10" s="223">
        <v>-0.13194444444444442</v>
      </c>
      <c r="E10" s="222">
        <v>0.24074050000000002</v>
      </c>
      <c r="F10" s="222">
        <v>-5.3571500000000001E-2</v>
      </c>
      <c r="G10" s="223">
        <v>7.4074074074074042E-2</v>
      </c>
      <c r="H10" s="223">
        <v>-0.14285714285714288</v>
      </c>
      <c r="I10" s="222">
        <v>-0.24074050000000002</v>
      </c>
      <c r="J10" s="223">
        <v>5.3571428571428575E-2</v>
      </c>
      <c r="K10" s="222">
        <v>-0.24074050000000002</v>
      </c>
      <c r="L10" s="223">
        <v>-0.14285714285714288</v>
      </c>
      <c r="M10" s="222">
        <v>-9.5238000000000017E-2</v>
      </c>
      <c r="N10" s="223">
        <v>6.0763888888888923E-2</v>
      </c>
      <c r="O10" s="224">
        <v>2</v>
      </c>
    </row>
    <row r="11" spans="1:15" ht="18" customHeight="1" x14ac:dyDescent="0.3">
      <c r="A11" s="221"/>
      <c r="B11" s="222">
        <v>-0.52910083333333335</v>
      </c>
      <c r="C11" s="223">
        <v>-0.14285714285714288</v>
      </c>
      <c r="D11" s="223">
        <v>-0.13194444444444442</v>
      </c>
      <c r="E11" s="222">
        <v>-0.24074050000000002</v>
      </c>
      <c r="F11" s="222">
        <v>-5.3571500000000001E-2</v>
      </c>
      <c r="G11" s="223">
        <v>7.4074074074074042E-2</v>
      </c>
      <c r="H11" s="223">
        <v>-0.14285714285714288</v>
      </c>
      <c r="I11" s="222">
        <v>-0.24074050000000002</v>
      </c>
      <c r="J11" s="223">
        <v>-5.3571428571428555E-2</v>
      </c>
      <c r="K11" s="222">
        <v>-0.24074050000000002</v>
      </c>
      <c r="L11" s="223">
        <v>-0.14285714285714288</v>
      </c>
      <c r="M11" s="222">
        <v>-9.5238000000000017E-2</v>
      </c>
      <c r="N11" s="223">
        <v>6.0763888888888923E-2</v>
      </c>
      <c r="O11" s="224">
        <v>2</v>
      </c>
    </row>
    <row r="12" spans="1:15" ht="18" customHeight="1" x14ac:dyDescent="0.3">
      <c r="A12" s="221"/>
      <c r="B12" s="222">
        <v>-0.52910083333333335</v>
      </c>
      <c r="C12" s="223">
        <v>0.14285714285714288</v>
      </c>
      <c r="D12" s="223">
        <v>-0.13194444444444442</v>
      </c>
      <c r="E12" s="222">
        <v>-0.24074050000000002</v>
      </c>
      <c r="F12" s="222">
        <v>-5.3571500000000001E-2</v>
      </c>
      <c r="G12" s="223">
        <v>7.4074074074074042E-2</v>
      </c>
      <c r="H12" s="223">
        <v>-0.14285714285714288</v>
      </c>
      <c r="I12" s="222">
        <v>-0.24074050000000002</v>
      </c>
      <c r="J12" s="223">
        <v>-5.3571428571428555E-2</v>
      </c>
      <c r="K12" s="222">
        <v>-0.24074050000000002</v>
      </c>
      <c r="L12" s="223">
        <v>-0.14285714285714288</v>
      </c>
      <c r="M12" s="222">
        <v>-9.5238000000000017E-2</v>
      </c>
      <c r="N12" s="223">
        <v>6.0763888888888923E-2</v>
      </c>
      <c r="O12" s="224">
        <v>2</v>
      </c>
    </row>
    <row r="13" spans="1:15" ht="15.6" x14ac:dyDescent="0.3">
      <c r="A13" s="219"/>
      <c r="B13" s="228">
        <v>1</v>
      </c>
      <c r="C13" s="228">
        <v>0</v>
      </c>
      <c r="D13" s="228">
        <v>0</v>
      </c>
      <c r="E13" s="228">
        <v>1</v>
      </c>
      <c r="F13" s="228">
        <v>1</v>
      </c>
      <c r="G13" s="228">
        <v>0</v>
      </c>
      <c r="H13" s="228">
        <v>0</v>
      </c>
      <c r="I13" s="228">
        <v>1</v>
      </c>
      <c r="J13" s="228">
        <v>0</v>
      </c>
      <c r="K13" s="228">
        <v>1</v>
      </c>
      <c r="L13" s="228">
        <v>0</v>
      </c>
      <c r="M13" s="228">
        <v>1</v>
      </c>
      <c r="N13" s="228">
        <v>0</v>
      </c>
      <c r="O13" s="219"/>
    </row>
    <row r="16" spans="1:15" ht="15.6" x14ac:dyDescent="0.3">
      <c r="B16" s="246" t="s">
        <v>43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</row>
    <row r="17" spans="2:14" ht="15.6" x14ac:dyDescent="0.3"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</row>
    <row r="18" spans="2:14" ht="15.6" x14ac:dyDescent="0.3">
      <c r="B18" s="222">
        <v>0.63492099999999996</v>
      </c>
      <c r="C18" s="223">
        <v>0.42857142857142855</v>
      </c>
      <c r="D18" s="223">
        <v>0.79166666666666663</v>
      </c>
      <c r="E18" s="222">
        <v>0.41269800000000001</v>
      </c>
      <c r="F18" s="222">
        <v>0.214286</v>
      </c>
      <c r="G18" s="223">
        <v>0.44444444444444436</v>
      </c>
      <c r="H18" s="223">
        <v>0.42857142857142855</v>
      </c>
      <c r="I18" s="222">
        <v>0.41269800000000001</v>
      </c>
      <c r="J18" s="223">
        <v>0.3214285714285714</v>
      </c>
      <c r="K18" s="222">
        <v>0.41269800000000001</v>
      </c>
      <c r="L18" s="223">
        <v>0.42857142857142855</v>
      </c>
      <c r="M18" s="222">
        <v>0.28571400000000002</v>
      </c>
      <c r="N18" s="223">
        <v>0.72916666666666674</v>
      </c>
    </row>
    <row r="19" spans="2:14" ht="15.6" x14ac:dyDescent="0.3">
      <c r="B19" s="274">
        <f>COUNTIF($B$18:$N$18, "&gt;" &amp; B18) + COUNTIF($B$18:B18, "=" &amp; B18)</f>
        <v>3</v>
      </c>
      <c r="C19" s="274">
        <f>COUNTIF($B$18:$N$18, "&gt;" &amp; C18) + COUNTIF($B$18:C18, "=" &amp; C18)</f>
        <v>5</v>
      </c>
      <c r="D19" s="275">
        <f>COUNTIF($B$18:$N$18, "&gt;" &amp; D18) + COUNTIF($B$18:D18, "=" &amp; D18)</f>
        <v>1</v>
      </c>
      <c r="E19" s="274">
        <f>COUNTIF($B$18:$N$18, "&gt;" &amp; E18) + COUNTIF($B$18:E18, "=" &amp; E18)</f>
        <v>8</v>
      </c>
      <c r="F19" s="274">
        <f>COUNTIF($B$18:$N$18, "&gt;" &amp; F18) + COUNTIF($B$18:F18, "=" &amp; F18)</f>
        <v>13</v>
      </c>
      <c r="G19" s="274">
        <f>COUNTIF($B$18:$N$18, "&gt;" &amp; G18) + COUNTIF($B$18:G18, "=" &amp; G18)</f>
        <v>4</v>
      </c>
      <c r="H19" s="274">
        <f>COUNTIF($B$18:$N$18, "&gt;" &amp; H18) + COUNTIF($B$18:H18, "=" &amp; H18)</f>
        <v>6</v>
      </c>
      <c r="I19" s="274">
        <f>COUNTIF($B$18:$N$18, "&gt;" &amp; I18) + COUNTIF($B$18:I18, "=" &amp; I18)</f>
        <v>9</v>
      </c>
      <c r="J19" s="274">
        <f>COUNTIF($B$18:$N$18, "&gt;" &amp; J18) + COUNTIF($B$18:J18, "=" &amp; J18)</f>
        <v>11</v>
      </c>
      <c r="K19" s="274">
        <f>COUNTIF($B$18:$N$18, "&gt;" &amp; K18) + COUNTIF($B$18:K18, "=" &amp; K18)</f>
        <v>10</v>
      </c>
      <c r="L19" s="274">
        <f>COUNTIF($B$18:$N$18, "&gt;" &amp; L18) + COUNTIF($B$18:L18, "=" &amp; L18)</f>
        <v>7</v>
      </c>
      <c r="M19" s="274">
        <f>COUNTIF($B$18:$N$18, "&gt;" &amp; M18) + COUNTIF($B$18:M18, "=" &amp; M18)</f>
        <v>12</v>
      </c>
      <c r="N19" s="274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sheetPr>
    <tabColor rgb="FF7030A0"/>
    <pageSetUpPr fitToPage="1"/>
  </sheetPr>
  <dimension ref="A1:Y127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9.21875" customWidth="1"/>
    <col min="2" max="7" width="12.77734375" customWidth="1"/>
    <col min="8" max="8" width="13.109375" customWidth="1"/>
    <col min="9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8" customHeight="1" x14ac:dyDescent="0.3">
      <c r="A1" s="276" t="s">
        <v>46</v>
      </c>
      <c r="B1" s="277"/>
      <c r="C1" s="277"/>
      <c r="D1" s="277"/>
      <c r="E1" s="277"/>
      <c r="F1" s="277"/>
      <c r="G1" s="278"/>
      <c r="I1" s="276" t="s">
        <v>47</v>
      </c>
      <c r="J1" s="277"/>
      <c r="K1" s="277"/>
      <c r="L1" s="277"/>
      <c r="M1" s="277"/>
      <c r="N1" s="278"/>
    </row>
    <row r="2" spans="1:25" ht="18" customHeight="1" x14ac:dyDescent="0.3">
      <c r="A2" s="215" t="s">
        <v>5</v>
      </c>
      <c r="B2" s="216"/>
      <c r="C2" s="216"/>
      <c r="D2" s="216"/>
      <c r="E2" s="216"/>
      <c r="F2" s="216"/>
      <c r="G2" s="216" t="s">
        <v>8</v>
      </c>
      <c r="I2" s="215" t="s">
        <v>5</v>
      </c>
      <c r="J2" s="216"/>
      <c r="K2" s="216"/>
      <c r="L2" s="216"/>
      <c r="M2" s="216"/>
      <c r="N2" s="215" t="s">
        <v>8</v>
      </c>
      <c r="P2" s="279"/>
      <c r="Q2" s="280"/>
      <c r="Y2" s="220"/>
    </row>
    <row r="3" spans="1:25" ht="18" customHeight="1" x14ac:dyDescent="0.3">
      <c r="A3" s="221"/>
      <c r="B3" s="264">
        <v>-0.13194444444444442</v>
      </c>
      <c r="C3" s="264">
        <v>7.4074074074074042E-2</v>
      </c>
      <c r="D3" s="264">
        <v>6.0763888888888902E-2</v>
      </c>
      <c r="E3" s="264">
        <v>-0.24074050000000002</v>
      </c>
      <c r="F3" s="264">
        <v>-5.3571428571428555E-2</v>
      </c>
      <c r="G3" s="224">
        <v>2</v>
      </c>
      <c r="I3" s="221"/>
      <c r="J3" s="281">
        <v>-0.37806568533891394</v>
      </c>
      <c r="K3" s="281">
        <v>-0.67699741026567173</v>
      </c>
      <c r="L3" s="281">
        <v>-1.3589807460522612</v>
      </c>
      <c r="M3" s="281">
        <v>-1.9056239248799161</v>
      </c>
      <c r="N3" s="224">
        <v>2</v>
      </c>
      <c r="P3" s="235"/>
      <c r="Q3" s="282">
        <v>5</v>
      </c>
    </row>
    <row r="4" spans="1:25" ht="18" customHeight="1" x14ac:dyDescent="0.3">
      <c r="A4" s="221"/>
      <c r="B4" s="264">
        <v>6.5972222222222224E-2</v>
      </c>
      <c r="C4" s="264">
        <v>7.4074074074074042E-2</v>
      </c>
      <c r="D4" s="264">
        <v>6.0763888888888923E-2</v>
      </c>
      <c r="E4" s="264">
        <v>0.24074050000000002</v>
      </c>
      <c r="F4" s="264">
        <v>-5.3571428571428555E-2</v>
      </c>
      <c r="G4" s="224">
        <v>1</v>
      </c>
      <c r="I4" s="221"/>
      <c r="J4" s="281">
        <v>0.40872845598398955</v>
      </c>
      <c r="K4" s="281">
        <v>0.69225411753175969</v>
      </c>
      <c r="L4" s="281">
        <v>1.0973331755196423</v>
      </c>
      <c r="M4" s="281">
        <v>1.1955874992027573</v>
      </c>
      <c r="N4" s="224">
        <v>1</v>
      </c>
    </row>
    <row r="5" spans="1:25" ht="18" customHeight="1" x14ac:dyDescent="0.3">
      <c r="A5" s="221"/>
      <c r="B5" s="264">
        <v>6.5972222222222224E-2</v>
      </c>
      <c r="C5" s="264">
        <v>7.4074074074074042E-2</v>
      </c>
      <c r="D5" s="264">
        <v>6.0763888888888923E-2</v>
      </c>
      <c r="E5" s="264">
        <v>-0.24074050000000002</v>
      </c>
      <c r="F5" s="264">
        <v>-5.3571428571428555E-2</v>
      </c>
      <c r="G5" s="224">
        <v>2</v>
      </c>
      <c r="I5" s="221"/>
      <c r="J5" s="281">
        <v>-0.14942741726637135</v>
      </c>
      <c r="K5" s="281">
        <v>-0.41361540108076145</v>
      </c>
      <c r="L5" s="281">
        <v>-1.0620337591921905</v>
      </c>
      <c r="M5" s="281">
        <v>-1.5793807325380578</v>
      </c>
      <c r="N5" s="224">
        <v>2</v>
      </c>
    </row>
    <row r="6" spans="1:25" ht="18" customHeight="1" x14ac:dyDescent="0.3">
      <c r="A6" s="221"/>
      <c r="B6" s="264">
        <v>-0.13194444444444442</v>
      </c>
      <c r="C6" s="264">
        <v>7.4074074074074042E-2</v>
      </c>
      <c r="D6" s="264">
        <v>6.0763888888888923E-2</v>
      </c>
      <c r="E6" s="264">
        <v>-0.24074050000000002</v>
      </c>
      <c r="F6" s="264">
        <v>5.3571428571428575E-2</v>
      </c>
      <c r="G6" s="224">
        <v>1</v>
      </c>
      <c r="I6" s="221"/>
      <c r="J6" s="281">
        <v>0.23923915005200891</v>
      </c>
      <c r="K6" s="281">
        <v>0.54607491198125124</v>
      </c>
      <c r="L6" s="281">
        <v>0.55066153579842136</v>
      </c>
      <c r="M6" s="281">
        <v>0.80910908540497495</v>
      </c>
      <c r="N6" s="224">
        <v>1</v>
      </c>
    </row>
    <row r="7" spans="1:25" ht="18" customHeight="1" x14ac:dyDescent="0.3">
      <c r="A7" s="221"/>
      <c r="B7" s="264">
        <v>6.5972222222222224E-2</v>
      </c>
      <c r="C7" s="264">
        <v>7.4074074074074042E-2</v>
      </c>
      <c r="D7" s="264">
        <v>6.0763888888888902E-2</v>
      </c>
      <c r="E7" s="264">
        <v>0.24074050000000002</v>
      </c>
      <c r="F7" s="264">
        <v>5.3571428571428575E-2</v>
      </c>
      <c r="G7" s="224">
        <v>1</v>
      </c>
      <c r="I7" s="221"/>
      <c r="J7" s="281">
        <v>0.40872845598398955</v>
      </c>
      <c r="K7" s="281">
        <v>0.69225411753175958</v>
      </c>
      <c r="L7" s="281">
        <v>1.097333175519642</v>
      </c>
      <c r="M7" s="281">
        <v>1.2912243595415676</v>
      </c>
      <c r="N7" s="224">
        <v>1</v>
      </c>
    </row>
    <row r="8" spans="1:25" ht="18" customHeight="1" x14ac:dyDescent="0.3">
      <c r="A8" s="221"/>
      <c r="B8" s="264">
        <v>-0.13194444444444442</v>
      </c>
      <c r="C8" s="264">
        <v>7.4074074074074042E-2</v>
      </c>
      <c r="D8" s="264">
        <v>6.0763888888888923E-2</v>
      </c>
      <c r="E8" s="264">
        <v>0.24074050000000002</v>
      </c>
      <c r="F8" s="264">
        <v>-5.3571428571428555E-2</v>
      </c>
      <c r="G8" s="224">
        <v>1</v>
      </c>
      <c r="I8" s="221"/>
      <c r="J8" s="281">
        <v>0.23923915005200891</v>
      </c>
      <c r="K8" s="281">
        <v>0.54607491198125124</v>
      </c>
      <c r="L8" s="281">
        <v>0.96858288142615678</v>
      </c>
      <c r="M8" s="281">
        <v>1.0814390907557363</v>
      </c>
      <c r="N8" s="224">
        <v>1</v>
      </c>
    </row>
    <row r="9" spans="1:25" ht="18" customHeight="1" x14ac:dyDescent="0.3">
      <c r="A9" s="221"/>
      <c r="B9" s="264">
        <v>6.5972222222222224E-2</v>
      </c>
      <c r="C9" s="264">
        <v>-7.4074074074074056E-2</v>
      </c>
      <c r="D9" s="264">
        <v>-0.12152777777777779</v>
      </c>
      <c r="E9" s="264">
        <v>-0.24074050000000002</v>
      </c>
      <c r="F9" s="264">
        <v>5.3571428571428575E-2</v>
      </c>
      <c r="G9" s="224">
        <v>2</v>
      </c>
      <c r="I9" s="221"/>
      <c r="J9" s="281">
        <v>-0.32058777621177315</v>
      </c>
      <c r="K9" s="281">
        <v>-0.82013350598256329</v>
      </c>
      <c r="L9" s="281">
        <v>-1.5186565413621942</v>
      </c>
      <c r="M9" s="281">
        <v>-1.9627811825322841</v>
      </c>
      <c r="N9" s="224">
        <v>2</v>
      </c>
    </row>
    <row r="10" spans="1:25" ht="18" customHeight="1" x14ac:dyDescent="0.3">
      <c r="A10" s="221"/>
      <c r="B10" s="264">
        <v>-0.13194444444444442</v>
      </c>
      <c r="C10" s="264">
        <v>7.4074074074074042E-2</v>
      </c>
      <c r="D10" s="264">
        <v>6.0763888888888923E-2</v>
      </c>
      <c r="E10" s="264">
        <v>0.24074050000000002</v>
      </c>
      <c r="F10" s="264">
        <v>5.3571428571428575E-2</v>
      </c>
      <c r="G10" s="224">
        <v>2</v>
      </c>
      <c r="I10" s="221"/>
      <c r="J10" s="281">
        <v>-0.37806568533891394</v>
      </c>
      <c r="K10" s="281">
        <v>-0.67699741026567162</v>
      </c>
      <c r="L10" s="281">
        <v>-0.81342787967727681</v>
      </c>
      <c r="M10" s="281">
        <v>-1.1814449898616624</v>
      </c>
      <c r="N10" s="224">
        <v>2</v>
      </c>
    </row>
    <row r="11" spans="1:25" ht="18" customHeight="1" x14ac:dyDescent="0.3">
      <c r="A11" s="221"/>
      <c r="B11" s="264">
        <v>-0.13194444444444442</v>
      </c>
      <c r="C11" s="264">
        <v>7.4074074074074042E-2</v>
      </c>
      <c r="D11" s="264">
        <v>6.0763888888888923E-2</v>
      </c>
      <c r="E11" s="264">
        <v>-0.24074050000000002</v>
      </c>
      <c r="F11" s="264">
        <v>-5.3571428571428555E-2</v>
      </c>
      <c r="G11" s="224">
        <v>2</v>
      </c>
      <c r="I11" s="221"/>
      <c r="J11" s="281">
        <v>-0.37806568533891394</v>
      </c>
      <c r="K11" s="281">
        <v>-0.67699741026567162</v>
      </c>
      <c r="L11" s="281">
        <v>-1.3589807460522612</v>
      </c>
      <c r="M11" s="281">
        <v>-1.9056239248799161</v>
      </c>
      <c r="N11" s="224">
        <v>2</v>
      </c>
    </row>
    <row r="12" spans="1:25" ht="18" customHeight="1" x14ac:dyDescent="0.3">
      <c r="A12" s="221"/>
      <c r="B12" s="264">
        <v>-0.13194444444444442</v>
      </c>
      <c r="C12" s="264">
        <v>7.4074074074074042E-2</v>
      </c>
      <c r="D12" s="264">
        <v>6.0763888888888923E-2</v>
      </c>
      <c r="E12" s="264">
        <v>-0.24074050000000002</v>
      </c>
      <c r="F12" s="264">
        <v>-5.3571428571428555E-2</v>
      </c>
      <c r="G12" s="224">
        <v>2</v>
      </c>
      <c r="I12" s="221"/>
      <c r="J12" s="281">
        <v>-0.37806568533891394</v>
      </c>
      <c r="K12" s="281">
        <v>-0.67699741026567162</v>
      </c>
      <c r="L12" s="281">
        <v>-1.3589807460522612</v>
      </c>
      <c r="M12" s="281">
        <v>-1.9056239248799161</v>
      </c>
      <c r="N12" s="224">
        <v>2</v>
      </c>
    </row>
    <row r="13" spans="1:25" ht="16.05" customHeight="1" x14ac:dyDescent="0.3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</row>
    <row r="14" spans="1:25" ht="18" customHeight="1" x14ac:dyDescent="0.3">
      <c r="B14" s="225" t="s">
        <v>44</v>
      </c>
      <c r="C14" s="225"/>
      <c r="D14" s="225"/>
      <c r="E14" s="283">
        <v>5</v>
      </c>
      <c r="G14" s="219"/>
      <c r="J14" s="284" t="s">
        <v>45</v>
      </c>
      <c r="K14" s="285"/>
      <c r="L14" s="286"/>
      <c r="M14" s="287">
        <v>4</v>
      </c>
      <c r="O14" s="219"/>
      <c r="P14" s="219"/>
    </row>
    <row r="15" spans="1:25" ht="13.95" customHeight="1" x14ac:dyDescent="0.3"/>
    <row r="16" spans="1:25" ht="13.95" customHeight="1" x14ac:dyDescent="0.3"/>
    <row r="17" spans="1:19" ht="13.95" customHeight="1" x14ac:dyDescent="0.3">
      <c r="A17" s="219"/>
      <c r="G17" s="219"/>
      <c r="H17" s="219"/>
      <c r="I17" s="219"/>
      <c r="J17" s="219"/>
      <c r="K17" s="219"/>
      <c r="Q17" s="219"/>
      <c r="R17" s="219"/>
      <c r="S17" s="219"/>
    </row>
    <row r="18" spans="1:19" ht="18" customHeight="1" x14ac:dyDescent="0.3">
      <c r="A18" s="219"/>
      <c r="B18" s="219"/>
      <c r="E18" s="288"/>
      <c r="F18" s="289"/>
      <c r="G18" s="290"/>
      <c r="H18" s="219"/>
      <c r="I18" s="219"/>
      <c r="J18" s="219"/>
    </row>
    <row r="19" spans="1:19" ht="18" customHeight="1" x14ac:dyDescent="0.3">
      <c r="E19" s="291"/>
      <c r="F19" s="292"/>
      <c r="G19" s="293"/>
      <c r="I19" s="219"/>
      <c r="J19" s="219"/>
    </row>
    <row r="20" spans="1:19" ht="16.05" customHeight="1" x14ac:dyDescent="0.3">
      <c r="I20" s="219"/>
      <c r="J20" s="219"/>
    </row>
    <row r="21" spans="1:19" ht="18" customHeight="1" x14ac:dyDescent="0.3">
      <c r="A21" s="276" t="s">
        <v>48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8"/>
    </row>
    <row r="22" spans="1:19" ht="18" customHeight="1" x14ac:dyDescent="0.3">
      <c r="A22" s="215" t="s">
        <v>5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5" t="s">
        <v>8</v>
      </c>
      <c r="M22" s="217" t="s">
        <v>12</v>
      </c>
      <c r="N22" s="218"/>
      <c r="O22" s="219"/>
    </row>
    <row r="23" spans="1:19" ht="18" customHeight="1" x14ac:dyDescent="0.3">
      <c r="A23" s="221"/>
      <c r="B23" s="264">
        <v>-0.13194444444444442</v>
      </c>
      <c r="C23" s="264">
        <v>7.4074074074074042E-2</v>
      </c>
      <c r="D23" s="264">
        <v>6.0763888888888902E-2</v>
      </c>
      <c r="E23" s="264">
        <v>-0.24074050000000002</v>
      </c>
      <c r="F23" s="264">
        <v>-5.3571428571428555E-2</v>
      </c>
      <c r="G23" s="281">
        <v>-0.37806568533891394</v>
      </c>
      <c r="H23" s="281">
        <v>-0.67699741026567173</v>
      </c>
      <c r="I23" s="281">
        <v>-1.3589807460522612</v>
      </c>
      <c r="J23" s="281">
        <v>-1.9056239248799161</v>
      </c>
      <c r="K23" s="224">
        <v>2</v>
      </c>
      <c r="M23" s="217" t="s">
        <v>9</v>
      </c>
      <c r="N23" s="219"/>
      <c r="O23" s="219"/>
    </row>
    <row r="24" spans="1:19" ht="18" customHeight="1" x14ac:dyDescent="0.3">
      <c r="A24" s="221"/>
      <c r="B24" s="264">
        <v>6.5972222222222224E-2</v>
      </c>
      <c r="C24" s="264">
        <v>7.4074074074074042E-2</v>
      </c>
      <c r="D24" s="264">
        <v>6.0763888888888923E-2</v>
      </c>
      <c r="E24" s="264">
        <v>0.24074050000000002</v>
      </c>
      <c r="F24" s="264">
        <v>-5.3571428571428555E-2</v>
      </c>
      <c r="G24" s="281">
        <v>0.40872845598398955</v>
      </c>
      <c r="H24" s="281">
        <v>0.69225411753175969</v>
      </c>
      <c r="I24" s="281">
        <v>1.0973331755196423</v>
      </c>
      <c r="J24" s="281">
        <v>1.1955874992027573</v>
      </c>
      <c r="K24" s="224">
        <v>1</v>
      </c>
      <c r="M24" s="219"/>
      <c r="N24" s="219"/>
      <c r="O24" s="219"/>
    </row>
    <row r="25" spans="1:19" ht="18" customHeight="1" x14ac:dyDescent="0.3">
      <c r="A25" s="221"/>
      <c r="B25" s="264">
        <v>6.5972222222222224E-2</v>
      </c>
      <c r="C25" s="264">
        <v>7.4074074074074042E-2</v>
      </c>
      <c r="D25" s="264">
        <v>6.0763888888888923E-2</v>
      </c>
      <c r="E25" s="264">
        <v>-0.24074050000000002</v>
      </c>
      <c r="F25" s="264">
        <v>-5.3571428571428555E-2</v>
      </c>
      <c r="G25" s="281">
        <v>-0.14942741726637135</v>
      </c>
      <c r="H25" s="281">
        <v>-0.41361540108076145</v>
      </c>
      <c r="I25" s="281">
        <v>-1.0620337591921905</v>
      </c>
      <c r="J25" s="281">
        <v>-1.5793807325380578</v>
      </c>
      <c r="K25" s="224">
        <v>2</v>
      </c>
      <c r="M25" s="294" t="s">
        <v>50</v>
      </c>
      <c r="N25" s="295"/>
    </row>
    <row r="26" spans="1:19" ht="18" customHeight="1" x14ac:dyDescent="0.3">
      <c r="A26" s="221"/>
      <c r="B26" s="264">
        <v>-0.13194444444444442</v>
      </c>
      <c r="C26" s="264">
        <v>7.4074074074074042E-2</v>
      </c>
      <c r="D26" s="264">
        <v>6.0763888888888923E-2</v>
      </c>
      <c r="E26" s="264">
        <v>-0.24074050000000002</v>
      </c>
      <c r="F26" s="264">
        <v>5.3571428571428575E-2</v>
      </c>
      <c r="G26" s="281">
        <v>0.23923915005200891</v>
      </c>
      <c r="H26" s="281">
        <v>0.54607491198125124</v>
      </c>
      <c r="I26" s="281">
        <v>0.55066153579842136</v>
      </c>
      <c r="J26" s="281">
        <v>0.80910908540497495</v>
      </c>
      <c r="K26" s="224">
        <v>1</v>
      </c>
      <c r="M26" s="296" t="s">
        <v>49</v>
      </c>
      <c r="N26" s="297"/>
    </row>
    <row r="27" spans="1:19" ht="18" customHeight="1" x14ac:dyDescent="0.3">
      <c r="A27" s="221"/>
      <c r="B27" s="264">
        <v>6.5972222222222224E-2</v>
      </c>
      <c r="C27" s="264">
        <v>7.4074074074074042E-2</v>
      </c>
      <c r="D27" s="264">
        <v>6.0763888888888902E-2</v>
      </c>
      <c r="E27" s="264">
        <v>0.24074050000000002</v>
      </c>
      <c r="F27" s="264">
        <v>5.3571428571428575E-2</v>
      </c>
      <c r="G27" s="281">
        <v>0.40872845598398955</v>
      </c>
      <c r="H27" s="281">
        <v>0.69225411753175958</v>
      </c>
      <c r="I27" s="281">
        <v>1.097333175519642</v>
      </c>
      <c r="J27" s="281">
        <v>1.2912243595415676</v>
      </c>
      <c r="K27" s="224">
        <v>1</v>
      </c>
    </row>
    <row r="28" spans="1:19" ht="18" customHeight="1" x14ac:dyDescent="0.3">
      <c r="A28" s="221"/>
      <c r="B28" s="264">
        <v>-0.13194444444444442</v>
      </c>
      <c r="C28" s="264">
        <v>7.4074074074074042E-2</v>
      </c>
      <c r="D28" s="264">
        <v>6.0763888888888923E-2</v>
      </c>
      <c r="E28" s="264">
        <v>0.24074050000000002</v>
      </c>
      <c r="F28" s="264">
        <v>-5.3571428571428555E-2</v>
      </c>
      <c r="G28" s="281">
        <v>0.23923915005200891</v>
      </c>
      <c r="H28" s="281">
        <v>0.54607491198125124</v>
      </c>
      <c r="I28" s="281">
        <v>0.96858288142615678</v>
      </c>
      <c r="J28" s="281">
        <v>1.0814390907557363</v>
      </c>
      <c r="K28" s="224">
        <v>1</v>
      </c>
    </row>
    <row r="29" spans="1:19" ht="18" customHeight="1" x14ac:dyDescent="0.3">
      <c r="A29" s="221"/>
      <c r="B29" s="264">
        <v>6.5972222222222224E-2</v>
      </c>
      <c r="C29" s="264">
        <v>-7.4074074074074056E-2</v>
      </c>
      <c r="D29" s="264">
        <v>-0.12152777777777779</v>
      </c>
      <c r="E29" s="264">
        <v>-0.24074050000000002</v>
      </c>
      <c r="F29" s="264">
        <v>5.3571428571428575E-2</v>
      </c>
      <c r="G29" s="281">
        <v>-0.32058777621177315</v>
      </c>
      <c r="H29" s="281">
        <v>-0.82013350598256329</v>
      </c>
      <c r="I29" s="281">
        <v>-1.5186565413621942</v>
      </c>
      <c r="J29" s="281">
        <v>-1.9627811825322841</v>
      </c>
      <c r="K29" s="224">
        <v>2</v>
      </c>
    </row>
    <row r="30" spans="1:19" ht="18" customHeight="1" x14ac:dyDescent="0.3">
      <c r="A30" s="221"/>
      <c r="B30" s="264">
        <v>-0.13194444444444442</v>
      </c>
      <c r="C30" s="264">
        <v>7.4074074074074042E-2</v>
      </c>
      <c r="D30" s="264">
        <v>6.0763888888888923E-2</v>
      </c>
      <c r="E30" s="264">
        <v>0.24074050000000002</v>
      </c>
      <c r="F30" s="264">
        <v>5.3571428571428575E-2</v>
      </c>
      <c r="G30" s="281">
        <v>-0.37806568533891394</v>
      </c>
      <c r="H30" s="281">
        <v>-0.67699741026567162</v>
      </c>
      <c r="I30" s="281">
        <v>-0.81342787967727681</v>
      </c>
      <c r="J30" s="281">
        <v>-1.1814449898616624</v>
      </c>
      <c r="K30" s="224">
        <v>2</v>
      </c>
    </row>
    <row r="31" spans="1:19" ht="18" customHeight="1" x14ac:dyDescent="0.3">
      <c r="A31" s="221"/>
      <c r="B31" s="264">
        <v>-0.13194444444444442</v>
      </c>
      <c r="C31" s="264">
        <v>7.4074074074074042E-2</v>
      </c>
      <c r="D31" s="264">
        <v>6.0763888888888923E-2</v>
      </c>
      <c r="E31" s="264">
        <v>-0.24074050000000002</v>
      </c>
      <c r="F31" s="264">
        <v>-5.3571428571428555E-2</v>
      </c>
      <c r="G31" s="281">
        <v>-0.37806568533891394</v>
      </c>
      <c r="H31" s="281">
        <v>-0.67699741026567162</v>
      </c>
      <c r="I31" s="281">
        <v>-1.3589807460522612</v>
      </c>
      <c r="J31" s="281">
        <v>-1.9056239248799161</v>
      </c>
      <c r="K31" s="224">
        <v>2</v>
      </c>
    </row>
    <row r="32" spans="1:19" ht="18" customHeight="1" x14ac:dyDescent="0.3">
      <c r="A32" s="221"/>
      <c r="B32" s="264">
        <v>-0.13194444444444442</v>
      </c>
      <c r="C32" s="264">
        <v>7.4074074074074042E-2</v>
      </c>
      <c r="D32" s="264">
        <v>6.0763888888888923E-2</v>
      </c>
      <c r="E32" s="264">
        <v>-0.24074050000000002</v>
      </c>
      <c r="F32" s="264">
        <v>-5.3571428571428555E-2</v>
      </c>
      <c r="G32" s="281">
        <v>-0.37806568533891394</v>
      </c>
      <c r="H32" s="281">
        <v>-0.67699741026567162</v>
      </c>
      <c r="I32" s="281">
        <v>-1.3589807460522612</v>
      </c>
      <c r="J32" s="281">
        <v>-1.9056239248799161</v>
      </c>
      <c r="K32" s="224">
        <v>2</v>
      </c>
    </row>
    <row r="33" spans="1:15" ht="15.6" x14ac:dyDescent="0.3">
      <c r="A33" s="219"/>
      <c r="O33" s="219"/>
    </row>
    <row r="35" spans="1:15" ht="15" thickBot="1" x14ac:dyDescent="0.35"/>
    <row r="36" spans="1:15" ht="15" thickBot="1" x14ac:dyDescent="0.35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00"/>
    </row>
    <row r="40" spans="1:15" ht="18" customHeight="1" x14ac:dyDescent="0.3">
      <c r="A40" s="214" t="s">
        <v>51</v>
      </c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</row>
    <row r="41" spans="1:15" ht="14.4" customHeight="1" x14ac:dyDescent="0.3"/>
    <row r="42" spans="1:15" ht="18" customHeight="1" x14ac:dyDescent="0.3">
      <c r="A42" s="258" t="s">
        <v>78</v>
      </c>
      <c r="B42" s="259"/>
      <c r="C42" s="259"/>
      <c r="D42" s="259"/>
      <c r="E42" s="260"/>
    </row>
    <row r="43" spans="1:15" ht="18" customHeight="1" x14ac:dyDescent="0.3">
      <c r="A43" s="215" t="s">
        <v>5</v>
      </c>
      <c r="B43" s="221"/>
      <c r="C43" s="221"/>
      <c r="D43" s="221"/>
      <c r="E43" s="221"/>
    </row>
    <row r="44" spans="1:15" ht="18" customHeight="1" x14ac:dyDescent="0.3">
      <c r="A44" s="216"/>
      <c r="B44" s="223">
        <v>56</v>
      </c>
      <c r="C44" s="223">
        <v>63</v>
      </c>
      <c r="D44" s="223">
        <v>74</v>
      </c>
      <c r="E44" s="235">
        <v>0.63492099999999996</v>
      </c>
    </row>
    <row r="45" spans="1:15" ht="18" customHeight="1" x14ac:dyDescent="0.3">
      <c r="A45" s="222"/>
      <c r="B45" s="301">
        <v>110</v>
      </c>
      <c r="C45" s="301">
        <v>120</v>
      </c>
      <c r="D45" s="301">
        <v>150</v>
      </c>
      <c r="E45" s="301">
        <v>0.41269800000000001</v>
      </c>
      <c r="F45" s="302" t="s">
        <v>79</v>
      </c>
      <c r="G45" s="302"/>
      <c r="H45" s="302"/>
      <c r="I45" s="302"/>
      <c r="J45" s="302"/>
      <c r="K45" s="302"/>
    </row>
    <row r="46" spans="1:15" ht="18" customHeight="1" x14ac:dyDescent="0.3">
      <c r="A46" s="216"/>
      <c r="B46" s="223">
        <v>177</v>
      </c>
      <c r="C46" s="223">
        <v>177</v>
      </c>
      <c r="D46" s="223">
        <v>564</v>
      </c>
      <c r="E46" s="235">
        <v>0.214286</v>
      </c>
    </row>
    <row r="47" spans="1:15" ht="18" customHeight="1" x14ac:dyDescent="0.3">
      <c r="A47" s="216"/>
      <c r="B47" s="223">
        <v>105</v>
      </c>
      <c r="C47" s="223">
        <v>140</v>
      </c>
      <c r="D47" s="223">
        <v>170</v>
      </c>
      <c r="E47" s="235">
        <v>0.41269800000000001</v>
      </c>
    </row>
    <row r="48" spans="1:15" ht="18" customHeight="1" x14ac:dyDescent="0.3">
      <c r="A48" s="216"/>
      <c r="B48" s="223">
        <v>0.2</v>
      </c>
      <c r="C48" s="223">
        <v>0.4</v>
      </c>
      <c r="D48" s="223">
        <v>4</v>
      </c>
      <c r="E48" s="235">
        <v>0.41269800000000001</v>
      </c>
    </row>
    <row r="49" spans="1:8" ht="18" customHeight="1" x14ac:dyDescent="0.3">
      <c r="A49" s="216"/>
      <c r="B49" s="223">
        <v>0</v>
      </c>
      <c r="C49" s="223">
        <v>0</v>
      </c>
      <c r="D49" s="223">
        <v>3</v>
      </c>
      <c r="E49" s="235">
        <v>0.28571400000000002</v>
      </c>
    </row>
    <row r="50" spans="1:8" ht="14.4" customHeight="1" x14ac:dyDescent="0.3"/>
    <row r="51" spans="1:8" ht="14.4" customHeight="1" x14ac:dyDescent="0.3"/>
    <row r="52" spans="1:8" ht="18" customHeight="1" x14ac:dyDescent="0.3">
      <c r="D52" s="215" t="s">
        <v>5</v>
      </c>
      <c r="E52" s="215"/>
      <c r="F52" s="215" t="s">
        <v>8</v>
      </c>
    </row>
    <row r="53" spans="1:8" ht="18" customHeight="1" x14ac:dyDescent="0.3">
      <c r="D53" s="221"/>
      <c r="E53" s="222">
        <v>110</v>
      </c>
      <c r="F53" s="224">
        <v>2</v>
      </c>
    </row>
    <row r="54" spans="1:8" ht="18" customHeight="1" x14ac:dyDescent="0.3">
      <c r="D54" s="221"/>
      <c r="E54" s="222">
        <v>115</v>
      </c>
      <c r="F54" s="224">
        <v>1</v>
      </c>
      <c r="H54" s="303" t="s">
        <v>81</v>
      </c>
    </row>
    <row r="55" spans="1:8" ht="18" customHeight="1" x14ac:dyDescent="0.3">
      <c r="D55" s="221"/>
      <c r="E55" s="222">
        <v>120</v>
      </c>
      <c r="F55" s="224">
        <v>1</v>
      </c>
      <c r="H55" s="303"/>
    </row>
    <row r="56" spans="1:8" ht="18" customHeight="1" thickBot="1" x14ac:dyDescent="0.35">
      <c r="D56" s="237"/>
      <c r="E56" s="238">
        <v>120</v>
      </c>
      <c r="F56" s="239">
        <v>1</v>
      </c>
    </row>
    <row r="57" spans="1:8" ht="18" customHeight="1" x14ac:dyDescent="0.3">
      <c r="D57" s="242"/>
      <c r="E57" s="240">
        <v>124</v>
      </c>
      <c r="F57" s="241">
        <v>2</v>
      </c>
    </row>
    <row r="58" spans="1:8" ht="18" customHeight="1" x14ac:dyDescent="0.3">
      <c r="D58" s="221"/>
      <c r="E58" s="222">
        <v>128</v>
      </c>
      <c r="F58" s="224">
        <v>1</v>
      </c>
    </row>
    <row r="59" spans="1:8" ht="18" customHeight="1" x14ac:dyDescent="0.3">
      <c r="D59" s="221"/>
      <c r="E59" s="222">
        <v>130</v>
      </c>
      <c r="F59" s="224">
        <v>2</v>
      </c>
      <c r="H59" s="303" t="s">
        <v>82</v>
      </c>
    </row>
    <row r="60" spans="1:8" ht="18" customHeight="1" x14ac:dyDescent="0.3">
      <c r="D60" s="221"/>
      <c r="E60" s="222">
        <v>130</v>
      </c>
      <c r="F60" s="224">
        <v>2</v>
      </c>
      <c r="H60" s="303"/>
    </row>
    <row r="61" spans="1:8" ht="18" customHeight="1" x14ac:dyDescent="0.3">
      <c r="D61" s="221"/>
      <c r="E61" s="222">
        <v>140</v>
      </c>
      <c r="F61" s="224">
        <v>2</v>
      </c>
    </row>
    <row r="62" spans="1:8" ht="18" customHeight="1" x14ac:dyDescent="0.3">
      <c r="D62" s="221"/>
      <c r="E62" s="222">
        <v>150</v>
      </c>
      <c r="F62" s="224">
        <v>2</v>
      </c>
    </row>
    <row r="63" spans="1:8" ht="18" customHeight="1" x14ac:dyDescent="0.3">
      <c r="D63" s="219"/>
      <c r="E63" s="219"/>
      <c r="F63" s="219"/>
    </row>
    <row r="64" spans="1:8" ht="18" customHeight="1" x14ac:dyDescent="0.3">
      <c r="D64" s="244"/>
      <c r="E64" s="245">
        <f>AVERAGE(E56,E57)</f>
        <v>122</v>
      </c>
      <c r="F64" s="219"/>
    </row>
    <row r="65" spans="1:7" ht="18" customHeight="1" x14ac:dyDescent="0.3"/>
    <row r="66" spans="1:7" ht="18" customHeight="1" x14ac:dyDescent="0.3">
      <c r="E66" s="304" t="s">
        <v>52</v>
      </c>
    </row>
    <row r="67" spans="1:7" ht="18" customHeight="1" x14ac:dyDescent="0.3"/>
    <row r="68" spans="1:7" ht="18" customHeight="1" x14ac:dyDescent="0.3">
      <c r="A68" s="246" t="s">
        <v>51</v>
      </c>
      <c r="B68" s="246"/>
      <c r="C68" s="246"/>
      <c r="D68" s="246"/>
      <c r="E68" s="246"/>
      <c r="F68" s="246"/>
      <c r="G68" s="246"/>
    </row>
    <row r="69" spans="1:7" ht="18" customHeight="1" x14ac:dyDescent="0.3">
      <c r="A69" s="216" t="s">
        <v>5</v>
      </c>
      <c r="B69" s="216"/>
      <c r="C69" s="216"/>
      <c r="D69" s="216"/>
      <c r="E69" s="216"/>
      <c r="F69" s="216"/>
      <c r="G69" s="216" t="s">
        <v>8</v>
      </c>
    </row>
    <row r="70" spans="1:7" ht="18" customHeight="1" x14ac:dyDescent="0.3">
      <c r="A70" s="221"/>
      <c r="B70" s="223">
        <v>4</v>
      </c>
      <c r="C70" s="223">
        <v>0</v>
      </c>
      <c r="D70" s="223">
        <v>7</v>
      </c>
      <c r="E70" s="222">
        <v>135</v>
      </c>
      <c r="F70" s="223">
        <v>0</v>
      </c>
      <c r="G70" s="305" t="s">
        <v>80</v>
      </c>
    </row>
    <row r="71" spans="1:7" ht="18" customHeight="1" x14ac:dyDescent="0.3">
      <c r="A71" s="306"/>
      <c r="B71" s="228">
        <v>3</v>
      </c>
      <c r="C71" s="228">
        <v>6</v>
      </c>
      <c r="D71" s="228">
        <v>13</v>
      </c>
      <c r="E71" s="228">
        <v>4</v>
      </c>
      <c r="F71" s="228">
        <v>9</v>
      </c>
    </row>
    <row r="72" spans="1:7" ht="18" customHeight="1" x14ac:dyDescent="0.3"/>
    <row r="73" spans="1:7" ht="18" customHeight="1" x14ac:dyDescent="0.3">
      <c r="E73" s="304" t="s">
        <v>52</v>
      </c>
    </row>
    <row r="74" spans="1:7" ht="18" customHeight="1" x14ac:dyDescent="0.3"/>
    <row r="75" spans="1:7" ht="18" customHeight="1" x14ac:dyDescent="0.3">
      <c r="A75" s="246" t="s">
        <v>51</v>
      </c>
      <c r="B75" s="246"/>
      <c r="C75" s="246"/>
      <c r="D75" s="246"/>
      <c r="E75" s="246"/>
      <c r="F75" s="246"/>
      <c r="G75" s="246"/>
    </row>
    <row r="76" spans="1:7" ht="18" customHeight="1" x14ac:dyDescent="0.3">
      <c r="A76" s="216" t="s">
        <v>5</v>
      </c>
      <c r="B76" s="216"/>
      <c r="C76" s="216"/>
      <c r="D76" s="216"/>
      <c r="E76" s="216"/>
      <c r="F76" s="216"/>
      <c r="G76" s="216" t="s">
        <v>8</v>
      </c>
    </row>
    <row r="77" spans="1:7" ht="18" customHeight="1" x14ac:dyDescent="0.3">
      <c r="A77" s="221"/>
      <c r="B77" s="223">
        <v>4</v>
      </c>
      <c r="C77" s="223">
        <v>0</v>
      </c>
      <c r="D77" s="223">
        <v>7</v>
      </c>
      <c r="E77" s="222">
        <v>2</v>
      </c>
      <c r="F77" s="223">
        <v>0</v>
      </c>
      <c r="G77" s="305" t="s">
        <v>80</v>
      </c>
    </row>
    <row r="78" spans="1:7" ht="18" customHeight="1" x14ac:dyDescent="0.3">
      <c r="A78" s="306"/>
      <c r="B78" s="228">
        <v>3</v>
      </c>
      <c r="C78" s="228">
        <v>6</v>
      </c>
      <c r="D78" s="228">
        <v>13</v>
      </c>
      <c r="E78" s="228">
        <v>4</v>
      </c>
      <c r="F78" s="228">
        <v>9</v>
      </c>
    </row>
    <row r="79" spans="1:7" ht="15" customHeight="1" x14ac:dyDescent="0.3"/>
    <row r="80" spans="1:7" ht="15" customHeight="1" x14ac:dyDescent="0.3"/>
    <row r="81" spans="1:14" ht="15" customHeight="1" x14ac:dyDescent="0.3"/>
    <row r="82" spans="1:14" ht="15" customHeight="1" x14ac:dyDescent="0.3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</row>
    <row r="83" spans="1:14" ht="15" customHeight="1" x14ac:dyDescent="0.3"/>
    <row r="84" spans="1:14" ht="15" customHeight="1" x14ac:dyDescent="0.3"/>
    <row r="85" spans="1:14" ht="15" customHeight="1" x14ac:dyDescent="0.3"/>
    <row r="86" spans="1:14" ht="18" customHeight="1" x14ac:dyDescent="0.3">
      <c r="A86" s="258" t="s">
        <v>53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60"/>
    </row>
    <row r="87" spans="1:14" ht="18" customHeight="1" x14ac:dyDescent="0.3">
      <c r="A87" s="215" t="s">
        <v>5</v>
      </c>
      <c r="B87" s="216"/>
      <c r="C87" s="216"/>
      <c r="D87" s="216"/>
      <c r="E87" s="216"/>
      <c r="F87" s="216"/>
      <c r="G87" s="216"/>
      <c r="H87" s="216"/>
      <c r="I87" s="216"/>
      <c r="J87" s="216"/>
      <c r="K87" s="215" t="s">
        <v>8</v>
      </c>
    </row>
    <row r="88" spans="1:14" ht="18" customHeight="1" x14ac:dyDescent="0.3">
      <c r="A88" s="221"/>
      <c r="B88" s="264">
        <v>4</v>
      </c>
      <c r="C88" s="264">
        <v>0</v>
      </c>
      <c r="D88" s="264">
        <v>3</v>
      </c>
      <c r="E88" s="222">
        <v>2</v>
      </c>
      <c r="F88" s="264">
        <v>0</v>
      </c>
      <c r="G88" s="281">
        <v>-0.37806568533891394</v>
      </c>
      <c r="H88" s="281">
        <v>-0.67699741026567173</v>
      </c>
      <c r="I88" s="281">
        <v>-1.3589807460522612</v>
      </c>
      <c r="J88" s="281">
        <v>-1.9056239248799161</v>
      </c>
      <c r="K88" s="224">
        <v>2</v>
      </c>
    </row>
    <row r="89" spans="1:14" ht="18" customHeight="1" x14ac:dyDescent="0.3">
      <c r="A89" s="221"/>
      <c r="B89" s="264">
        <v>3</v>
      </c>
      <c r="C89" s="264">
        <v>0</v>
      </c>
      <c r="D89" s="264">
        <v>7</v>
      </c>
      <c r="E89" s="222">
        <v>1</v>
      </c>
      <c r="F89" s="264">
        <v>0</v>
      </c>
      <c r="G89" s="281">
        <v>0.40872845598398955</v>
      </c>
      <c r="H89" s="281">
        <v>0.69225411753175969</v>
      </c>
      <c r="I89" s="281">
        <v>1.0973331755196423</v>
      </c>
      <c r="J89" s="281">
        <v>1.1955874992027573</v>
      </c>
      <c r="K89" s="224">
        <v>1</v>
      </c>
    </row>
    <row r="90" spans="1:14" ht="18" customHeight="1" x14ac:dyDescent="0.3">
      <c r="A90" s="221"/>
      <c r="B90" s="264">
        <v>2</v>
      </c>
      <c r="C90" s="264">
        <v>0</v>
      </c>
      <c r="D90" s="264">
        <v>7</v>
      </c>
      <c r="E90" s="222">
        <v>2</v>
      </c>
      <c r="F90" s="264">
        <v>0</v>
      </c>
      <c r="G90" s="281">
        <v>-0.14942741726637135</v>
      </c>
      <c r="H90" s="281">
        <v>-0.41361540108076145</v>
      </c>
      <c r="I90" s="281">
        <v>-1.0620337591921905</v>
      </c>
      <c r="J90" s="281">
        <v>-1.5793807325380578</v>
      </c>
      <c r="K90" s="224">
        <v>2</v>
      </c>
    </row>
    <row r="91" spans="1:14" ht="18" customHeight="1" x14ac:dyDescent="0.3">
      <c r="A91" s="221"/>
      <c r="B91" s="264">
        <v>4</v>
      </c>
      <c r="C91" s="264">
        <v>0</v>
      </c>
      <c r="D91" s="264">
        <v>7</v>
      </c>
      <c r="E91" s="222">
        <v>2</v>
      </c>
      <c r="F91" s="264">
        <v>1</v>
      </c>
      <c r="G91" s="281">
        <v>0.23923915005200891</v>
      </c>
      <c r="H91" s="281">
        <v>0.54607491198125124</v>
      </c>
      <c r="I91" s="281">
        <v>0.55066153579842136</v>
      </c>
      <c r="J91" s="281">
        <v>0.80910908540497495</v>
      </c>
      <c r="K91" s="224">
        <v>1</v>
      </c>
    </row>
    <row r="92" spans="1:14" ht="18" customHeight="1" x14ac:dyDescent="0.3">
      <c r="A92" s="221"/>
      <c r="B92" s="264">
        <v>2</v>
      </c>
      <c r="C92" s="264">
        <v>0</v>
      </c>
      <c r="D92" s="264">
        <v>3</v>
      </c>
      <c r="E92" s="222">
        <v>1</v>
      </c>
      <c r="F92" s="264">
        <v>1</v>
      </c>
      <c r="G92" s="281">
        <v>0.40872845598398955</v>
      </c>
      <c r="H92" s="281">
        <v>0.69225411753175958</v>
      </c>
      <c r="I92" s="281">
        <v>1.097333175519642</v>
      </c>
      <c r="J92" s="281">
        <v>1.2912243595415676</v>
      </c>
      <c r="K92" s="224">
        <v>1</v>
      </c>
    </row>
    <row r="93" spans="1:14" ht="18" customHeight="1" x14ac:dyDescent="0.3">
      <c r="A93" s="221"/>
      <c r="B93" s="264">
        <v>4</v>
      </c>
      <c r="C93" s="264">
        <v>0</v>
      </c>
      <c r="D93" s="264">
        <v>7</v>
      </c>
      <c r="E93" s="222">
        <v>1</v>
      </c>
      <c r="F93" s="264">
        <v>0</v>
      </c>
      <c r="G93" s="281">
        <v>0.23923915005200891</v>
      </c>
      <c r="H93" s="281">
        <v>0.54607491198125124</v>
      </c>
      <c r="I93" s="281">
        <v>0.96858288142615678</v>
      </c>
      <c r="J93" s="281">
        <v>1.0814390907557363</v>
      </c>
      <c r="K93" s="224">
        <v>1</v>
      </c>
    </row>
    <row r="94" spans="1:14" ht="18" customHeight="1" x14ac:dyDescent="0.3">
      <c r="A94" s="221"/>
      <c r="B94" s="264">
        <v>3</v>
      </c>
      <c r="C94" s="264">
        <v>1</v>
      </c>
      <c r="D94" s="264">
        <v>6</v>
      </c>
      <c r="E94" s="222">
        <v>2</v>
      </c>
      <c r="F94" s="264">
        <v>1</v>
      </c>
      <c r="G94" s="281">
        <v>-0.32058777621177315</v>
      </c>
      <c r="H94" s="281">
        <v>-0.82013350598256329</v>
      </c>
      <c r="I94" s="281">
        <v>-1.5186565413621942</v>
      </c>
      <c r="J94" s="281">
        <v>-1.9627811825322841</v>
      </c>
      <c r="K94" s="224">
        <v>2</v>
      </c>
    </row>
    <row r="95" spans="1:14" ht="18" customHeight="1" x14ac:dyDescent="0.3">
      <c r="A95" s="221"/>
      <c r="B95" s="264">
        <v>4</v>
      </c>
      <c r="C95" s="264">
        <v>0</v>
      </c>
      <c r="D95" s="264">
        <v>7</v>
      </c>
      <c r="E95" s="222">
        <v>1</v>
      </c>
      <c r="F95" s="264">
        <v>1</v>
      </c>
      <c r="G95" s="281">
        <v>-0.37806568533891394</v>
      </c>
      <c r="H95" s="281">
        <v>-0.67699741026567162</v>
      </c>
      <c r="I95" s="281">
        <v>-0.81342787967727681</v>
      </c>
      <c r="J95" s="281">
        <v>-1.1814449898616624</v>
      </c>
      <c r="K95" s="224">
        <v>2</v>
      </c>
    </row>
    <row r="96" spans="1:14" ht="18" customHeight="1" x14ac:dyDescent="0.3">
      <c r="A96" s="221"/>
      <c r="B96" s="264">
        <v>4</v>
      </c>
      <c r="C96" s="264">
        <v>0</v>
      </c>
      <c r="D96" s="264">
        <v>7</v>
      </c>
      <c r="E96" s="222">
        <v>2</v>
      </c>
      <c r="F96" s="264">
        <v>0</v>
      </c>
      <c r="G96" s="281">
        <v>-0.37806568533891394</v>
      </c>
      <c r="H96" s="281">
        <v>-0.67699741026567162</v>
      </c>
      <c r="I96" s="281">
        <v>-1.3589807460522612</v>
      </c>
      <c r="J96" s="281">
        <v>-1.9056239248799161</v>
      </c>
      <c r="K96" s="224">
        <v>2</v>
      </c>
    </row>
    <row r="97" spans="1:11" ht="18" customHeight="1" x14ac:dyDescent="0.3">
      <c r="A97" s="221"/>
      <c r="B97" s="264">
        <v>4</v>
      </c>
      <c r="C97" s="264">
        <v>0</v>
      </c>
      <c r="D97" s="264">
        <v>7</v>
      </c>
      <c r="E97" s="222">
        <v>2</v>
      </c>
      <c r="F97" s="264">
        <v>0</v>
      </c>
      <c r="G97" s="281">
        <v>-0.37806568533891394</v>
      </c>
      <c r="H97" s="281">
        <v>-0.67699741026567162</v>
      </c>
      <c r="I97" s="281">
        <v>-1.3589807460522612</v>
      </c>
      <c r="J97" s="281">
        <v>-1.9056239248799161</v>
      </c>
      <c r="K97" s="224">
        <v>2</v>
      </c>
    </row>
    <row r="98" spans="1:11" ht="15" customHeight="1" x14ac:dyDescent="0.3"/>
    <row r="99" spans="1:11" ht="15" customHeight="1" x14ac:dyDescent="0.3"/>
    <row r="100" spans="1:11" ht="15" customHeight="1" x14ac:dyDescent="0.3"/>
    <row r="101" spans="1:11" ht="18" customHeight="1" x14ac:dyDescent="0.3">
      <c r="A101" s="258" t="s">
        <v>54</v>
      </c>
      <c r="B101" s="259"/>
      <c r="C101" s="259"/>
      <c r="D101" s="259"/>
      <c r="E101" s="259"/>
      <c r="F101" s="259"/>
      <c r="G101" s="259"/>
      <c r="H101" s="259"/>
      <c r="I101" s="259"/>
      <c r="J101" s="259"/>
      <c r="K101" s="260"/>
    </row>
    <row r="102" spans="1:11" ht="18" customHeight="1" x14ac:dyDescent="0.3">
      <c r="A102" s="215" t="s">
        <v>5</v>
      </c>
      <c r="B102" s="216"/>
      <c r="C102" s="216"/>
      <c r="D102" s="216"/>
      <c r="E102" s="216"/>
      <c r="F102" s="216"/>
      <c r="G102" s="216"/>
      <c r="H102" s="216"/>
      <c r="I102" s="216"/>
      <c r="J102" s="216"/>
      <c r="K102" s="215" t="s">
        <v>8</v>
      </c>
    </row>
    <row r="103" spans="1:11" ht="18" customHeight="1" x14ac:dyDescent="0.3">
      <c r="A103" s="221"/>
      <c r="B103" s="264">
        <v>3</v>
      </c>
      <c r="C103" s="264">
        <v>0</v>
      </c>
      <c r="D103" s="264">
        <v>7</v>
      </c>
      <c r="E103" s="222">
        <v>1</v>
      </c>
      <c r="F103" s="264">
        <v>0</v>
      </c>
      <c r="G103" s="281">
        <v>0.40872845598398955</v>
      </c>
      <c r="H103" s="281">
        <v>0.69225411753175969</v>
      </c>
      <c r="I103" s="281">
        <v>1.0973331755196423</v>
      </c>
      <c r="J103" s="281">
        <v>1.1955874992027573</v>
      </c>
      <c r="K103" s="224">
        <v>1</v>
      </c>
    </row>
    <row r="104" spans="1:11" ht="18" customHeight="1" x14ac:dyDescent="0.3">
      <c r="A104" s="221"/>
      <c r="B104" s="264">
        <v>4</v>
      </c>
      <c r="C104" s="264">
        <v>0</v>
      </c>
      <c r="D104" s="264">
        <v>7</v>
      </c>
      <c r="E104" s="222">
        <v>2</v>
      </c>
      <c r="F104" s="264">
        <v>1</v>
      </c>
      <c r="G104" s="281">
        <v>0.23923915005200891</v>
      </c>
      <c r="H104" s="281">
        <v>0.54607491198125124</v>
      </c>
      <c r="I104" s="281">
        <v>0.55066153579842136</v>
      </c>
      <c r="J104" s="281">
        <v>0.80910908540497495</v>
      </c>
      <c r="K104" s="224">
        <v>1</v>
      </c>
    </row>
    <row r="105" spans="1:11" ht="18" customHeight="1" x14ac:dyDescent="0.3">
      <c r="A105" s="221"/>
      <c r="B105" s="264">
        <v>2</v>
      </c>
      <c r="C105" s="264">
        <v>0</v>
      </c>
      <c r="D105" s="264">
        <v>3</v>
      </c>
      <c r="E105" s="222">
        <v>1</v>
      </c>
      <c r="F105" s="264">
        <v>1</v>
      </c>
      <c r="G105" s="281">
        <v>0.40872845598398955</v>
      </c>
      <c r="H105" s="281">
        <v>0.69225411753175958</v>
      </c>
      <c r="I105" s="281">
        <v>1.097333175519642</v>
      </c>
      <c r="J105" s="281">
        <v>1.2912243595415676</v>
      </c>
      <c r="K105" s="224">
        <v>1</v>
      </c>
    </row>
    <row r="106" spans="1:11" ht="18" customHeight="1" thickBot="1" x14ac:dyDescent="0.35">
      <c r="A106" s="237"/>
      <c r="B106" s="265">
        <v>4</v>
      </c>
      <c r="C106" s="265">
        <v>0</v>
      </c>
      <c r="D106" s="265">
        <v>7</v>
      </c>
      <c r="E106" s="238">
        <v>1</v>
      </c>
      <c r="F106" s="265">
        <v>0</v>
      </c>
      <c r="G106" s="308">
        <v>0.23923915005200891</v>
      </c>
      <c r="H106" s="308">
        <v>0.54607491198125124</v>
      </c>
      <c r="I106" s="308">
        <v>0.96858288142615678</v>
      </c>
      <c r="J106" s="308">
        <v>1.0814390907557363</v>
      </c>
      <c r="K106" s="239">
        <v>1</v>
      </c>
    </row>
    <row r="107" spans="1:11" ht="18" customHeight="1" x14ac:dyDescent="0.3">
      <c r="A107" s="242"/>
      <c r="B107" s="266">
        <v>4</v>
      </c>
      <c r="C107" s="266">
        <v>0</v>
      </c>
      <c r="D107" s="266">
        <v>3</v>
      </c>
      <c r="E107" s="240">
        <v>2</v>
      </c>
      <c r="F107" s="266">
        <v>0</v>
      </c>
      <c r="G107" s="309">
        <v>-0.37806568533891394</v>
      </c>
      <c r="H107" s="309">
        <v>-0.67699741026567173</v>
      </c>
      <c r="I107" s="309">
        <v>-1.3589807460522612</v>
      </c>
      <c r="J107" s="309">
        <v>-1.9056239248799161</v>
      </c>
      <c r="K107" s="241">
        <v>2</v>
      </c>
    </row>
    <row r="108" spans="1:11" ht="18" customHeight="1" x14ac:dyDescent="0.3">
      <c r="A108" s="221"/>
      <c r="B108" s="264">
        <v>2</v>
      </c>
      <c r="C108" s="264">
        <v>0</v>
      </c>
      <c r="D108" s="264">
        <v>7</v>
      </c>
      <c r="E108" s="222">
        <v>2</v>
      </c>
      <c r="F108" s="264">
        <v>0</v>
      </c>
      <c r="G108" s="281">
        <v>-0.14942741726637135</v>
      </c>
      <c r="H108" s="281">
        <v>-0.41361540108076145</v>
      </c>
      <c r="I108" s="281">
        <v>-1.0620337591921905</v>
      </c>
      <c r="J108" s="281">
        <v>-1.5793807325380578</v>
      </c>
      <c r="K108" s="224">
        <v>2</v>
      </c>
    </row>
    <row r="109" spans="1:11" ht="18" customHeight="1" x14ac:dyDescent="0.3">
      <c r="A109" s="221"/>
      <c r="B109" s="264">
        <v>3</v>
      </c>
      <c r="C109" s="264">
        <v>1</v>
      </c>
      <c r="D109" s="264">
        <v>6</v>
      </c>
      <c r="E109" s="222">
        <v>2</v>
      </c>
      <c r="F109" s="264">
        <v>1</v>
      </c>
      <c r="G109" s="281">
        <v>-0.32058777621177315</v>
      </c>
      <c r="H109" s="281">
        <v>-0.82013350598256329</v>
      </c>
      <c r="I109" s="281">
        <v>-1.5186565413621942</v>
      </c>
      <c r="J109" s="281">
        <v>-1.9627811825322841</v>
      </c>
      <c r="K109" s="224">
        <v>2</v>
      </c>
    </row>
    <row r="110" spans="1:11" ht="18" customHeight="1" x14ac:dyDescent="0.3">
      <c r="A110" s="221"/>
      <c r="B110" s="264">
        <v>4</v>
      </c>
      <c r="C110" s="264">
        <v>0</v>
      </c>
      <c r="D110" s="264">
        <v>7</v>
      </c>
      <c r="E110" s="222">
        <v>1</v>
      </c>
      <c r="F110" s="264">
        <v>1</v>
      </c>
      <c r="G110" s="281">
        <v>-0.37806568533891394</v>
      </c>
      <c r="H110" s="281">
        <v>-0.67699741026567162</v>
      </c>
      <c r="I110" s="281">
        <v>-0.81342787967727681</v>
      </c>
      <c r="J110" s="281">
        <v>-1.1814449898616624</v>
      </c>
      <c r="K110" s="224">
        <v>2</v>
      </c>
    </row>
    <row r="111" spans="1:11" ht="18" customHeight="1" x14ac:dyDescent="0.3">
      <c r="A111" s="221"/>
      <c r="B111" s="264">
        <v>4</v>
      </c>
      <c r="C111" s="264">
        <v>0</v>
      </c>
      <c r="D111" s="264">
        <v>7</v>
      </c>
      <c r="E111" s="222">
        <v>2</v>
      </c>
      <c r="F111" s="264">
        <v>0</v>
      </c>
      <c r="G111" s="281">
        <v>-0.37806568533891394</v>
      </c>
      <c r="H111" s="281">
        <v>-0.67699741026567162</v>
      </c>
      <c r="I111" s="281">
        <v>-1.3589807460522612</v>
      </c>
      <c r="J111" s="281">
        <v>-1.9056239248799161</v>
      </c>
      <c r="K111" s="224">
        <v>2</v>
      </c>
    </row>
    <row r="112" spans="1:11" ht="18" customHeight="1" x14ac:dyDescent="0.3">
      <c r="A112" s="221"/>
      <c r="B112" s="264">
        <v>4</v>
      </c>
      <c r="C112" s="264">
        <v>0</v>
      </c>
      <c r="D112" s="264">
        <v>7</v>
      </c>
      <c r="E112" s="222">
        <v>2</v>
      </c>
      <c r="F112" s="264">
        <v>0</v>
      </c>
      <c r="G112" s="281">
        <v>-0.37806568533891394</v>
      </c>
      <c r="H112" s="281">
        <v>-0.67699741026567162</v>
      </c>
      <c r="I112" s="281">
        <v>-1.3589807460522612</v>
      </c>
      <c r="J112" s="281">
        <v>-1.9056239248799161</v>
      </c>
      <c r="K112" s="224">
        <v>2</v>
      </c>
    </row>
    <row r="113" spans="1:14" ht="15" customHeight="1" x14ac:dyDescent="0.3"/>
    <row r="114" spans="1:14" ht="15" customHeight="1" x14ac:dyDescent="0.3"/>
    <row r="115" spans="1:14" ht="15" customHeight="1" x14ac:dyDescent="0.3"/>
    <row r="116" spans="1:14" ht="18" customHeight="1" x14ac:dyDescent="0.3">
      <c r="A116" s="246" t="s">
        <v>55</v>
      </c>
      <c r="B116" s="246"/>
      <c r="C116" s="246"/>
      <c r="D116" s="246"/>
      <c r="E116" s="246"/>
      <c r="F116" s="246"/>
      <c r="G116" s="246"/>
      <c r="I116" s="246" t="s">
        <v>56</v>
      </c>
      <c r="J116" s="246"/>
      <c r="K116" s="246"/>
      <c r="L116" s="246"/>
      <c r="M116" s="246"/>
      <c r="N116" s="246"/>
    </row>
    <row r="117" spans="1:14" ht="18" customHeight="1" x14ac:dyDescent="0.3">
      <c r="A117" s="215" t="s">
        <v>5</v>
      </c>
      <c r="B117" s="216"/>
      <c r="C117" s="216"/>
      <c r="D117" s="216"/>
      <c r="E117" s="216"/>
      <c r="F117" s="216"/>
      <c r="G117" s="215" t="s">
        <v>8</v>
      </c>
      <c r="I117" s="215" t="s">
        <v>5</v>
      </c>
      <c r="J117" s="216"/>
      <c r="K117" s="216"/>
      <c r="L117" s="216"/>
      <c r="M117" s="216"/>
      <c r="N117" s="215" t="s">
        <v>8</v>
      </c>
    </row>
    <row r="118" spans="1:14" ht="18" customHeight="1" x14ac:dyDescent="0.3">
      <c r="A118" s="221"/>
      <c r="B118" s="264">
        <v>3</v>
      </c>
      <c r="C118" s="264">
        <v>0</v>
      </c>
      <c r="D118" s="264">
        <v>7</v>
      </c>
      <c r="E118" s="222">
        <v>1</v>
      </c>
      <c r="F118" s="264">
        <v>0</v>
      </c>
      <c r="G118" s="224">
        <v>1</v>
      </c>
      <c r="I118" s="221"/>
      <c r="J118" s="281">
        <v>0.40872845598398955</v>
      </c>
      <c r="K118" s="281">
        <v>0.69225411753175969</v>
      </c>
      <c r="L118" s="281">
        <v>1.0973331755196423</v>
      </c>
      <c r="M118" s="281">
        <v>1.1955874992027573</v>
      </c>
      <c r="N118" s="224">
        <v>1</v>
      </c>
    </row>
    <row r="119" spans="1:14" ht="18" customHeight="1" x14ac:dyDescent="0.3">
      <c r="A119" s="221"/>
      <c r="B119" s="264">
        <v>4</v>
      </c>
      <c r="C119" s="264">
        <v>0</v>
      </c>
      <c r="D119" s="264">
        <v>7</v>
      </c>
      <c r="E119" s="222">
        <v>2</v>
      </c>
      <c r="F119" s="264">
        <v>1</v>
      </c>
      <c r="G119" s="224">
        <v>1</v>
      </c>
      <c r="I119" s="221"/>
      <c r="J119" s="281">
        <v>0.23923915005200891</v>
      </c>
      <c r="K119" s="281">
        <v>0.54607491198125124</v>
      </c>
      <c r="L119" s="281">
        <v>0.55066153579842136</v>
      </c>
      <c r="M119" s="281">
        <v>0.80910908540497495</v>
      </c>
      <c r="N119" s="224">
        <v>1</v>
      </c>
    </row>
    <row r="120" spans="1:14" ht="18" customHeight="1" x14ac:dyDescent="0.3">
      <c r="A120" s="221"/>
      <c r="B120" s="264">
        <v>2</v>
      </c>
      <c r="C120" s="264">
        <v>0</v>
      </c>
      <c r="D120" s="264">
        <v>3</v>
      </c>
      <c r="E120" s="222">
        <v>1</v>
      </c>
      <c r="F120" s="264">
        <v>1</v>
      </c>
      <c r="G120" s="224">
        <v>1</v>
      </c>
      <c r="I120" s="221"/>
      <c r="J120" s="281">
        <v>0.40872845598398955</v>
      </c>
      <c r="K120" s="281">
        <v>0.69225411753175958</v>
      </c>
      <c r="L120" s="281">
        <v>1.097333175519642</v>
      </c>
      <c r="M120" s="281">
        <v>1.2912243595415676</v>
      </c>
      <c r="N120" s="224">
        <v>1</v>
      </c>
    </row>
    <row r="121" spans="1:14" ht="18" customHeight="1" thickBot="1" x14ac:dyDescent="0.35">
      <c r="A121" s="237"/>
      <c r="B121" s="265">
        <v>4</v>
      </c>
      <c r="C121" s="265">
        <v>0</v>
      </c>
      <c r="D121" s="265">
        <v>7</v>
      </c>
      <c r="E121" s="238">
        <v>1</v>
      </c>
      <c r="F121" s="265">
        <v>0</v>
      </c>
      <c r="G121" s="239">
        <v>1</v>
      </c>
      <c r="I121" s="237"/>
      <c r="J121" s="308">
        <v>0.23923915005200891</v>
      </c>
      <c r="K121" s="308">
        <v>0.54607491198125124</v>
      </c>
      <c r="L121" s="308">
        <v>0.96858288142615678</v>
      </c>
      <c r="M121" s="308">
        <v>1.0814390907557363</v>
      </c>
      <c r="N121" s="239">
        <v>1</v>
      </c>
    </row>
    <row r="122" spans="1:14" ht="18" customHeight="1" x14ac:dyDescent="0.3">
      <c r="A122" s="242"/>
      <c r="B122" s="266">
        <v>4</v>
      </c>
      <c r="C122" s="266">
        <v>0</v>
      </c>
      <c r="D122" s="266">
        <v>3</v>
      </c>
      <c r="E122" s="240">
        <v>2</v>
      </c>
      <c r="F122" s="266">
        <v>0</v>
      </c>
      <c r="G122" s="241">
        <v>2</v>
      </c>
      <c r="I122" s="242"/>
      <c r="J122" s="309">
        <v>-0.37806568533891394</v>
      </c>
      <c r="K122" s="309">
        <v>-0.67699741026567173</v>
      </c>
      <c r="L122" s="309">
        <v>-1.3589807460522612</v>
      </c>
      <c r="M122" s="309">
        <v>-1.9056239248799161</v>
      </c>
      <c r="N122" s="241">
        <v>2</v>
      </c>
    </row>
    <row r="123" spans="1:14" ht="18" customHeight="1" x14ac:dyDescent="0.3">
      <c r="A123" s="221"/>
      <c r="B123" s="264">
        <v>2</v>
      </c>
      <c r="C123" s="264">
        <v>0</v>
      </c>
      <c r="D123" s="264">
        <v>7</v>
      </c>
      <c r="E123" s="222">
        <v>2</v>
      </c>
      <c r="F123" s="264">
        <v>0</v>
      </c>
      <c r="G123" s="224">
        <v>2</v>
      </c>
      <c r="I123" s="221"/>
      <c r="J123" s="281">
        <v>-0.14942741726637135</v>
      </c>
      <c r="K123" s="281">
        <v>-0.41361540108076145</v>
      </c>
      <c r="L123" s="281">
        <v>-1.0620337591921905</v>
      </c>
      <c r="M123" s="281">
        <v>-1.5793807325380578</v>
      </c>
      <c r="N123" s="224">
        <v>2</v>
      </c>
    </row>
    <row r="124" spans="1:14" ht="18" customHeight="1" x14ac:dyDescent="0.3">
      <c r="A124" s="221"/>
      <c r="B124" s="264">
        <v>3</v>
      </c>
      <c r="C124" s="264">
        <v>1</v>
      </c>
      <c r="D124" s="264">
        <v>6</v>
      </c>
      <c r="E124" s="222">
        <v>2</v>
      </c>
      <c r="F124" s="264">
        <v>1</v>
      </c>
      <c r="G124" s="224">
        <v>2</v>
      </c>
      <c r="I124" s="221"/>
      <c r="J124" s="281">
        <v>-0.32058777621177315</v>
      </c>
      <c r="K124" s="281">
        <v>-0.82013350598256329</v>
      </c>
      <c r="L124" s="281">
        <v>-1.5186565413621942</v>
      </c>
      <c r="M124" s="281">
        <v>-1.9627811825322841</v>
      </c>
      <c r="N124" s="224">
        <v>2</v>
      </c>
    </row>
    <row r="125" spans="1:14" ht="18" customHeight="1" x14ac:dyDescent="0.3">
      <c r="A125" s="221"/>
      <c r="B125" s="264">
        <v>4</v>
      </c>
      <c r="C125" s="264">
        <v>0</v>
      </c>
      <c r="D125" s="264">
        <v>7</v>
      </c>
      <c r="E125" s="222">
        <v>1</v>
      </c>
      <c r="F125" s="264">
        <v>1</v>
      </c>
      <c r="G125" s="224">
        <v>2</v>
      </c>
      <c r="I125" s="221"/>
      <c r="J125" s="281">
        <v>-0.37806568533891394</v>
      </c>
      <c r="K125" s="281">
        <v>-0.67699741026567162</v>
      </c>
      <c r="L125" s="281">
        <v>-0.81342787967727681</v>
      </c>
      <c r="M125" s="281">
        <v>-1.1814449898616624</v>
      </c>
      <c r="N125" s="224">
        <v>2</v>
      </c>
    </row>
    <row r="126" spans="1:14" ht="18" customHeight="1" x14ac:dyDescent="0.3">
      <c r="A126" s="221"/>
      <c r="B126" s="264">
        <v>4</v>
      </c>
      <c r="C126" s="264">
        <v>0</v>
      </c>
      <c r="D126" s="264">
        <v>7</v>
      </c>
      <c r="E126" s="222">
        <v>2</v>
      </c>
      <c r="F126" s="264">
        <v>0</v>
      </c>
      <c r="G126" s="224">
        <v>2</v>
      </c>
      <c r="I126" s="221"/>
      <c r="J126" s="281">
        <v>-0.37806568533891394</v>
      </c>
      <c r="K126" s="281">
        <v>-0.67699741026567162</v>
      </c>
      <c r="L126" s="281">
        <v>-1.3589807460522612</v>
      </c>
      <c r="M126" s="281">
        <v>-1.9056239248799161</v>
      </c>
      <c r="N126" s="224">
        <v>2</v>
      </c>
    </row>
    <row r="127" spans="1:14" ht="18" customHeight="1" x14ac:dyDescent="0.3">
      <c r="A127" s="221"/>
      <c r="B127" s="264">
        <v>4</v>
      </c>
      <c r="C127" s="264">
        <v>0</v>
      </c>
      <c r="D127" s="264">
        <v>7</v>
      </c>
      <c r="E127" s="222">
        <v>2</v>
      </c>
      <c r="F127" s="264">
        <v>0</v>
      </c>
      <c r="G127" s="224">
        <v>2</v>
      </c>
      <c r="I127" s="221"/>
      <c r="J127" s="281">
        <v>-0.37806568533891394</v>
      </c>
      <c r="K127" s="281">
        <v>-0.67699741026567162</v>
      </c>
      <c r="L127" s="281">
        <v>-1.3589807460522612</v>
      </c>
      <c r="M127" s="281">
        <v>-1.9056239248799161</v>
      </c>
      <c r="N127" s="224">
        <v>2</v>
      </c>
    </row>
  </sheetData>
  <mergeCells count="21">
    <mergeCell ref="A21:K21"/>
    <mergeCell ref="M26:N26"/>
    <mergeCell ref="M25:N25"/>
    <mergeCell ref="A1:G1"/>
    <mergeCell ref="I1:N1"/>
    <mergeCell ref="E18:G19"/>
    <mergeCell ref="B14:D14"/>
    <mergeCell ref="J14:L14"/>
    <mergeCell ref="A116:G116"/>
    <mergeCell ref="A36:O36"/>
    <mergeCell ref="A40:O40"/>
    <mergeCell ref="A86:K86"/>
    <mergeCell ref="A101:K101"/>
    <mergeCell ref="I116:N116"/>
    <mergeCell ref="A68:G68"/>
    <mergeCell ref="A42:E42"/>
    <mergeCell ref="F45:K45"/>
    <mergeCell ref="A75:G75"/>
    <mergeCell ref="H54:H55"/>
    <mergeCell ref="H59:H60"/>
    <mergeCell ref="A82:N8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B277-B2A6-4FF2-86DE-CBC0BEA2551B}">
  <sheetPr>
    <tabColor rgb="FFC55A11"/>
    <pageSetUpPr fitToPage="1"/>
  </sheetPr>
  <dimension ref="A1:R236"/>
  <sheetViews>
    <sheetView showGridLines="0" zoomScale="100" zoomScaleNormal="100" workbookViewId="0">
      <selection activeCell="A1" sqref="A1"/>
    </sheetView>
  </sheetViews>
  <sheetFormatPr defaultRowHeight="14.4" x14ac:dyDescent="0.3"/>
  <cols>
    <col min="2" max="18" width="14.77734375" customWidth="1"/>
  </cols>
  <sheetData>
    <row r="1" spans="1:17" ht="18" customHeight="1" x14ac:dyDescent="0.3">
      <c r="A1" s="214" t="s">
        <v>55</v>
      </c>
      <c r="B1" s="214"/>
      <c r="C1" s="214"/>
      <c r="D1" s="214"/>
      <c r="E1" s="214"/>
      <c r="F1" s="214"/>
      <c r="G1" s="214"/>
      <c r="I1" s="214" t="s">
        <v>56</v>
      </c>
      <c r="J1" s="214"/>
      <c r="K1" s="214"/>
      <c r="L1" s="214"/>
      <c r="M1" s="214"/>
      <c r="N1" s="214"/>
    </row>
    <row r="2" spans="1:17" ht="18" customHeight="1" x14ac:dyDescent="0.3">
      <c r="A2" s="215"/>
      <c r="B2" s="216"/>
      <c r="C2" s="216"/>
      <c r="D2" s="216"/>
      <c r="E2" s="216"/>
      <c r="F2" s="216"/>
      <c r="G2" s="215" t="s">
        <v>8</v>
      </c>
      <c r="I2" s="215"/>
      <c r="J2" s="216"/>
      <c r="K2" s="216"/>
      <c r="L2" s="216"/>
      <c r="M2" s="216"/>
      <c r="N2" s="215" t="s">
        <v>8</v>
      </c>
      <c r="P2" s="279"/>
      <c r="Q2" s="280"/>
    </row>
    <row r="3" spans="1:17" ht="18" customHeight="1" x14ac:dyDescent="0.3">
      <c r="A3" s="221"/>
      <c r="B3" s="264">
        <v>3</v>
      </c>
      <c r="C3" s="264">
        <v>0</v>
      </c>
      <c r="D3" s="264">
        <v>7</v>
      </c>
      <c r="E3" s="222">
        <v>1</v>
      </c>
      <c r="F3" s="264">
        <v>0</v>
      </c>
      <c r="G3" s="224">
        <v>1</v>
      </c>
      <c r="I3" s="221"/>
      <c r="J3" s="281">
        <v>0.40872845598398955</v>
      </c>
      <c r="K3" s="281">
        <v>0.69225411753175969</v>
      </c>
      <c r="L3" s="281">
        <v>1.0973331755196423</v>
      </c>
      <c r="M3" s="281">
        <v>1.1955874992027573</v>
      </c>
      <c r="N3" s="224">
        <v>1</v>
      </c>
      <c r="P3" s="235"/>
      <c r="Q3" s="282">
        <v>5</v>
      </c>
    </row>
    <row r="4" spans="1:17" ht="18" customHeight="1" x14ac:dyDescent="0.3">
      <c r="A4" s="221"/>
      <c r="B4" s="264">
        <v>4</v>
      </c>
      <c r="C4" s="264">
        <v>0</v>
      </c>
      <c r="D4" s="264">
        <v>7</v>
      </c>
      <c r="E4" s="222">
        <v>2</v>
      </c>
      <c r="F4" s="264">
        <v>1</v>
      </c>
      <c r="G4" s="224">
        <v>1</v>
      </c>
      <c r="I4" s="221"/>
      <c r="J4" s="281">
        <v>0.23923915005200891</v>
      </c>
      <c r="K4" s="281">
        <v>0.54607491198125124</v>
      </c>
      <c r="L4" s="281">
        <v>0.55066153579842136</v>
      </c>
      <c r="M4" s="281">
        <v>0.80910908540497495</v>
      </c>
      <c r="N4" s="224">
        <v>1</v>
      </c>
      <c r="P4" s="235"/>
      <c r="Q4" s="282">
        <f>Q3-1</f>
        <v>4</v>
      </c>
    </row>
    <row r="5" spans="1:17" ht="18" customHeight="1" x14ac:dyDescent="0.3">
      <c r="A5" s="221"/>
      <c r="B5" s="264">
        <v>2</v>
      </c>
      <c r="C5" s="264">
        <v>0</v>
      </c>
      <c r="D5" s="264">
        <v>3</v>
      </c>
      <c r="E5" s="222">
        <v>1</v>
      </c>
      <c r="F5" s="264">
        <v>1</v>
      </c>
      <c r="G5" s="224">
        <v>1</v>
      </c>
      <c r="I5" s="221"/>
      <c r="J5" s="281">
        <v>0.40872845598398955</v>
      </c>
      <c r="K5" s="281">
        <v>0.69225411753175958</v>
      </c>
      <c r="L5" s="281">
        <v>1.097333175519642</v>
      </c>
      <c r="M5" s="281">
        <v>1.2912243595415676</v>
      </c>
      <c r="N5" s="224">
        <v>1</v>
      </c>
    </row>
    <row r="6" spans="1:17" ht="18" customHeight="1" thickBot="1" x14ac:dyDescent="0.35">
      <c r="A6" s="237"/>
      <c r="B6" s="265">
        <v>4</v>
      </c>
      <c r="C6" s="265">
        <v>0</v>
      </c>
      <c r="D6" s="265">
        <v>7</v>
      </c>
      <c r="E6" s="238">
        <v>1</v>
      </c>
      <c r="F6" s="265">
        <v>0</v>
      </c>
      <c r="G6" s="239">
        <v>1</v>
      </c>
      <c r="I6" s="237"/>
      <c r="J6" s="308">
        <v>0.23923915005200891</v>
      </c>
      <c r="K6" s="308">
        <v>0.54607491198125124</v>
      </c>
      <c r="L6" s="308">
        <v>0.96858288142615678</v>
      </c>
      <c r="M6" s="308">
        <v>1.0814390907557363</v>
      </c>
      <c r="N6" s="239">
        <v>1</v>
      </c>
      <c r="P6" s="310"/>
      <c r="Q6" s="311">
        <v>4</v>
      </c>
    </row>
    <row r="7" spans="1:17" ht="18" customHeight="1" x14ac:dyDescent="0.3">
      <c r="A7" s="242"/>
      <c r="B7" s="266">
        <v>4</v>
      </c>
      <c r="C7" s="266">
        <v>0</v>
      </c>
      <c r="D7" s="266">
        <v>3</v>
      </c>
      <c r="E7" s="240">
        <v>2</v>
      </c>
      <c r="F7" s="266">
        <v>0</v>
      </c>
      <c r="G7" s="241">
        <v>2</v>
      </c>
      <c r="I7" s="242"/>
      <c r="J7" s="309">
        <v>-0.37806568533891394</v>
      </c>
      <c r="K7" s="309">
        <v>-0.67699741026567173</v>
      </c>
      <c r="L7" s="309">
        <v>-1.3589807460522612</v>
      </c>
      <c r="M7" s="309">
        <v>-1.9056239248799161</v>
      </c>
      <c r="N7" s="241">
        <v>2</v>
      </c>
      <c r="P7" s="310"/>
      <c r="Q7" s="311">
        <v>6</v>
      </c>
    </row>
    <row r="8" spans="1:17" ht="18" customHeight="1" x14ac:dyDescent="0.3">
      <c r="A8" s="221"/>
      <c r="B8" s="264">
        <v>2</v>
      </c>
      <c r="C8" s="264">
        <v>0</v>
      </c>
      <c r="D8" s="264">
        <v>7</v>
      </c>
      <c r="E8" s="222">
        <v>2</v>
      </c>
      <c r="F8" s="264">
        <v>0</v>
      </c>
      <c r="G8" s="224">
        <v>2</v>
      </c>
      <c r="I8" s="221"/>
      <c r="J8" s="281">
        <v>-0.14942741726637135</v>
      </c>
      <c r="K8" s="281">
        <v>-0.41361540108076145</v>
      </c>
      <c r="L8" s="281">
        <v>-1.0620337591921905</v>
      </c>
      <c r="M8" s="281">
        <v>-1.5793807325380578</v>
      </c>
      <c r="N8" s="224">
        <v>2</v>
      </c>
    </row>
    <row r="9" spans="1:17" ht="18" customHeight="1" x14ac:dyDescent="0.3">
      <c r="A9" s="221"/>
      <c r="B9" s="264">
        <v>3</v>
      </c>
      <c r="C9" s="264">
        <v>1</v>
      </c>
      <c r="D9" s="264">
        <v>6</v>
      </c>
      <c r="E9" s="222">
        <v>2</v>
      </c>
      <c r="F9" s="264">
        <v>1</v>
      </c>
      <c r="G9" s="224">
        <v>2</v>
      </c>
      <c r="I9" s="221"/>
      <c r="J9" s="281">
        <v>-0.32058777621177315</v>
      </c>
      <c r="K9" s="281">
        <v>-0.82013350598256329</v>
      </c>
      <c r="L9" s="281">
        <v>-1.5186565413621942</v>
      </c>
      <c r="M9" s="281">
        <v>-1.9627811825322841</v>
      </c>
      <c r="N9" s="224">
        <v>2</v>
      </c>
    </row>
    <row r="10" spans="1:17" ht="18" customHeight="1" x14ac:dyDescent="0.3">
      <c r="A10" s="221"/>
      <c r="B10" s="264">
        <v>4</v>
      </c>
      <c r="C10" s="264">
        <v>0</v>
      </c>
      <c r="D10" s="264">
        <v>7</v>
      </c>
      <c r="E10" s="222">
        <v>1</v>
      </c>
      <c r="F10" s="264">
        <v>1</v>
      </c>
      <c r="G10" s="224">
        <v>2</v>
      </c>
      <c r="I10" s="221"/>
      <c r="J10" s="281">
        <v>-0.37806568533891394</v>
      </c>
      <c r="K10" s="281">
        <v>-0.67699741026567195</v>
      </c>
      <c r="L10" s="281">
        <v>-0.81342787967727681</v>
      </c>
      <c r="M10" s="281">
        <v>-1.1814449898616624</v>
      </c>
      <c r="N10" s="224">
        <v>2</v>
      </c>
    </row>
    <row r="11" spans="1:17" ht="18" customHeight="1" x14ac:dyDescent="0.3">
      <c r="A11" s="221"/>
      <c r="B11" s="264">
        <v>4</v>
      </c>
      <c r="C11" s="264">
        <v>0</v>
      </c>
      <c r="D11" s="264">
        <v>7</v>
      </c>
      <c r="E11" s="222">
        <v>2</v>
      </c>
      <c r="F11" s="264">
        <v>0</v>
      </c>
      <c r="G11" s="224">
        <v>2</v>
      </c>
      <c r="I11" s="221"/>
      <c r="J11" s="281">
        <v>-0.37806568533891394</v>
      </c>
      <c r="K11" s="281">
        <v>-0.67699741026567162</v>
      </c>
      <c r="L11" s="281">
        <v>-1.3589807460522612</v>
      </c>
      <c r="M11" s="281">
        <v>-1.9056239248799161</v>
      </c>
      <c r="N11" s="224">
        <v>2</v>
      </c>
    </row>
    <row r="12" spans="1:17" ht="18" customHeight="1" x14ac:dyDescent="0.3">
      <c r="A12" s="221"/>
      <c r="B12" s="264">
        <v>4</v>
      </c>
      <c r="C12" s="264">
        <v>0</v>
      </c>
      <c r="D12" s="264">
        <v>7</v>
      </c>
      <c r="E12" s="222">
        <v>2</v>
      </c>
      <c r="F12" s="264">
        <v>0</v>
      </c>
      <c r="G12" s="224">
        <v>2</v>
      </c>
      <c r="I12" s="221"/>
      <c r="J12" s="281">
        <v>-0.37806568533891394</v>
      </c>
      <c r="K12" s="281">
        <v>-0.67699741026567162</v>
      </c>
      <c r="L12" s="281">
        <v>-1.3589807460522612</v>
      </c>
      <c r="M12" s="281">
        <v>-1.9056239248799161</v>
      </c>
      <c r="N12" s="224">
        <v>2</v>
      </c>
    </row>
    <row r="13" spans="1:17" ht="14.4" customHeight="1" x14ac:dyDescent="0.3"/>
    <row r="14" spans="1:17" ht="14.4" customHeight="1" x14ac:dyDescent="0.3"/>
    <row r="15" spans="1:17" ht="14.4" customHeight="1" x14ac:dyDescent="0.3"/>
    <row r="16" spans="1:17" ht="18" customHeight="1" x14ac:dyDescent="0.3">
      <c r="A16" s="312" t="s">
        <v>57</v>
      </c>
      <c r="B16" s="312"/>
      <c r="C16" s="312"/>
      <c r="D16" s="312"/>
      <c r="E16" s="312"/>
      <c r="F16" s="312"/>
      <c r="G16" s="312"/>
      <c r="H16" s="312"/>
      <c r="I16" s="312"/>
      <c r="J16" s="312"/>
      <c r="K16" s="312"/>
    </row>
    <row r="17" spans="1:11" ht="14.4" customHeight="1" x14ac:dyDescent="0.3"/>
    <row r="18" spans="1:11" ht="18" customHeight="1" x14ac:dyDescent="0.3">
      <c r="A18" s="313"/>
      <c r="B18" s="313"/>
      <c r="C18" s="313"/>
      <c r="D18" s="313"/>
      <c r="E18" s="313"/>
      <c r="F18" s="313"/>
      <c r="G18" s="313"/>
      <c r="H18" s="313"/>
      <c r="J18" s="235"/>
      <c r="K18" s="282">
        <f>Q3-1</f>
        <v>4</v>
      </c>
    </row>
    <row r="19" spans="1:11" ht="18" customHeight="1" x14ac:dyDescent="0.3">
      <c r="A19" s="313"/>
      <c r="B19" s="313"/>
      <c r="C19" s="313"/>
      <c r="D19" s="313"/>
      <c r="E19" s="313"/>
      <c r="F19" s="313"/>
      <c r="G19" s="313"/>
      <c r="H19" s="313"/>
      <c r="J19" s="235"/>
      <c r="K19" s="282">
        <v>0</v>
      </c>
    </row>
    <row r="20" spans="1:11" ht="14.4" customHeight="1" x14ac:dyDescent="0.3"/>
    <row r="21" spans="1:11" ht="14.4" customHeight="1" x14ac:dyDescent="0.3"/>
    <row r="22" spans="1:11" ht="18" customHeight="1" x14ac:dyDescent="0.3">
      <c r="A22" s="246" t="s">
        <v>51</v>
      </c>
      <c r="B22" s="246"/>
      <c r="C22" s="246"/>
      <c r="D22" s="246"/>
      <c r="E22" s="246"/>
      <c r="F22" s="246"/>
      <c r="G22" s="246"/>
    </row>
    <row r="23" spans="1:11" ht="18" customHeight="1" x14ac:dyDescent="0.3">
      <c r="A23" s="215"/>
      <c r="B23" s="216"/>
      <c r="C23" s="216"/>
      <c r="D23" s="216"/>
      <c r="E23" s="216"/>
      <c r="F23" s="216"/>
      <c r="G23" s="215" t="s">
        <v>8</v>
      </c>
    </row>
    <row r="24" spans="1:11" ht="18" customHeight="1" x14ac:dyDescent="0.3">
      <c r="A24" s="221"/>
      <c r="B24" s="223">
        <v>4</v>
      </c>
      <c r="C24" s="223">
        <v>0</v>
      </c>
      <c r="D24" s="223">
        <v>7</v>
      </c>
      <c r="E24" s="222">
        <v>2</v>
      </c>
      <c r="F24" s="223">
        <v>0</v>
      </c>
      <c r="G24" s="305" t="s">
        <v>80</v>
      </c>
    </row>
    <row r="25" spans="1:11" ht="18" customHeight="1" x14ac:dyDescent="0.3">
      <c r="A25" s="306"/>
      <c r="B25" s="228">
        <v>3</v>
      </c>
      <c r="C25" s="228">
        <v>6</v>
      </c>
      <c r="D25" s="228">
        <v>13</v>
      </c>
      <c r="E25" s="228">
        <v>4</v>
      </c>
      <c r="F25" s="228">
        <v>9</v>
      </c>
    </row>
    <row r="26" spans="1:11" ht="18" customHeight="1" x14ac:dyDescent="0.3">
      <c r="B26" s="314" t="s">
        <v>52</v>
      </c>
    </row>
    <row r="27" spans="1:11" ht="14.4" customHeight="1" x14ac:dyDescent="0.3"/>
    <row r="28" spans="1:11" ht="15" customHeight="1" x14ac:dyDescent="0.3"/>
    <row r="29" spans="1:11" ht="18" customHeight="1" x14ac:dyDescent="0.3">
      <c r="A29" s="215"/>
      <c r="B29" s="215"/>
    </row>
    <row r="30" spans="1:11" ht="18" customHeight="1" x14ac:dyDescent="0.3">
      <c r="A30" s="221"/>
      <c r="B30" s="264">
        <v>3</v>
      </c>
      <c r="D30" s="246" t="s">
        <v>60</v>
      </c>
      <c r="E30" s="246"/>
      <c r="F30" s="246"/>
      <c r="G30" s="246"/>
      <c r="H30" s="246"/>
      <c r="I30" s="246"/>
    </row>
    <row r="31" spans="1:11" ht="18" customHeight="1" x14ac:dyDescent="0.3">
      <c r="A31" s="221"/>
      <c r="B31" s="264">
        <v>4</v>
      </c>
      <c r="D31" s="215"/>
      <c r="E31" s="216"/>
      <c r="F31" s="216" t="s">
        <v>8</v>
      </c>
    </row>
    <row r="32" spans="1:11" ht="18" customHeight="1" x14ac:dyDescent="0.3">
      <c r="A32" s="221"/>
      <c r="B32" s="264">
        <v>2</v>
      </c>
      <c r="C32" s="315" t="s">
        <v>58</v>
      </c>
      <c r="D32" s="221"/>
      <c r="E32" s="264">
        <v>4</v>
      </c>
      <c r="F32" s="224">
        <v>1</v>
      </c>
      <c r="G32" s="316"/>
      <c r="H32" s="315" t="s">
        <v>58</v>
      </c>
      <c r="I32" s="317"/>
      <c r="J32" s="318"/>
    </row>
    <row r="33" spans="1:11" ht="18" customHeight="1" thickBot="1" x14ac:dyDescent="0.35">
      <c r="A33" s="237"/>
      <c r="B33" s="265">
        <v>4</v>
      </c>
      <c r="D33" s="237"/>
      <c r="E33" s="265">
        <v>4</v>
      </c>
      <c r="F33" s="239">
        <v>1</v>
      </c>
      <c r="G33" s="319"/>
      <c r="H33" s="320"/>
      <c r="I33" s="321"/>
      <c r="J33" s="322"/>
    </row>
    <row r="34" spans="1:11" ht="18" customHeight="1" x14ac:dyDescent="0.3">
      <c r="A34" s="242"/>
      <c r="B34" s="266">
        <v>4</v>
      </c>
      <c r="D34" s="242"/>
      <c r="E34" s="266">
        <v>4</v>
      </c>
      <c r="F34" s="241">
        <v>2</v>
      </c>
      <c r="G34" s="323"/>
      <c r="H34" s="324" t="s">
        <v>58</v>
      </c>
      <c r="I34" s="325"/>
      <c r="J34" s="326"/>
    </row>
    <row r="35" spans="1:11" ht="18" customHeight="1" x14ac:dyDescent="0.3">
      <c r="A35" s="221"/>
      <c r="B35" s="264">
        <v>2</v>
      </c>
      <c r="C35" s="315" t="s">
        <v>58</v>
      </c>
      <c r="D35" s="221"/>
      <c r="E35" s="264">
        <v>4</v>
      </c>
      <c r="F35" s="224">
        <v>2</v>
      </c>
      <c r="G35" s="323"/>
      <c r="H35" s="315"/>
      <c r="I35" s="327"/>
      <c r="J35" s="328"/>
    </row>
    <row r="36" spans="1:11" ht="18" customHeight="1" x14ac:dyDescent="0.3">
      <c r="A36" s="221"/>
      <c r="B36" s="264">
        <v>3</v>
      </c>
      <c r="D36" s="221"/>
      <c r="E36" s="264">
        <v>4</v>
      </c>
      <c r="F36" s="224">
        <v>2</v>
      </c>
      <c r="G36" s="323"/>
      <c r="H36" s="315"/>
      <c r="I36" s="327"/>
      <c r="J36" s="328"/>
    </row>
    <row r="37" spans="1:11" ht="18" customHeight="1" x14ac:dyDescent="0.3">
      <c r="A37" s="221"/>
      <c r="B37" s="264">
        <v>4</v>
      </c>
      <c r="D37" s="221"/>
      <c r="E37" s="264">
        <v>4</v>
      </c>
      <c r="F37" s="224">
        <v>2</v>
      </c>
      <c r="G37" s="329"/>
      <c r="H37" s="315"/>
      <c r="I37" s="330"/>
      <c r="J37" s="331"/>
    </row>
    <row r="38" spans="1:11" ht="18" customHeight="1" x14ac:dyDescent="0.3">
      <c r="A38" s="221"/>
      <c r="B38" s="264">
        <v>4</v>
      </c>
    </row>
    <row r="39" spans="1:11" ht="18" customHeight="1" x14ac:dyDescent="0.3">
      <c r="A39" s="221"/>
      <c r="B39" s="264">
        <v>4</v>
      </c>
    </row>
    <row r="40" spans="1:11" ht="14.4" customHeight="1" x14ac:dyDescent="0.3"/>
    <row r="41" spans="1:11" ht="14.4" customHeight="1" x14ac:dyDescent="0.3"/>
    <row r="42" spans="1:11" ht="14.4" customHeight="1" x14ac:dyDescent="0.3"/>
    <row r="43" spans="1:11" ht="18" customHeight="1" x14ac:dyDescent="0.3">
      <c r="A43" s="312" t="s">
        <v>59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</row>
    <row r="44" spans="1:11" ht="14.4" customHeight="1" x14ac:dyDescent="0.3"/>
    <row r="45" spans="1:11" ht="18" customHeight="1" x14ac:dyDescent="0.3">
      <c r="A45" s="313"/>
      <c r="B45" s="313"/>
      <c r="C45" s="313"/>
      <c r="D45" s="313"/>
      <c r="E45" s="313"/>
      <c r="F45" s="313"/>
      <c r="G45" s="313"/>
      <c r="H45" s="313"/>
      <c r="J45" s="235"/>
      <c r="K45" s="282">
        <f>Q3-1</f>
        <v>4</v>
      </c>
    </row>
    <row r="46" spans="1:11" ht="18" customHeight="1" x14ac:dyDescent="0.3">
      <c r="A46" s="313"/>
      <c r="B46" s="313"/>
      <c r="C46" s="313"/>
      <c r="D46" s="313"/>
      <c r="E46" s="313"/>
      <c r="F46" s="313"/>
      <c r="G46" s="313"/>
      <c r="H46" s="313"/>
      <c r="J46" s="235"/>
      <c r="K46" s="282">
        <v>1</v>
      </c>
    </row>
    <row r="47" spans="1:11" ht="14.4" customHeight="1" x14ac:dyDescent="0.3"/>
    <row r="48" spans="1:11" ht="14.4" customHeight="1" x14ac:dyDescent="0.3"/>
    <row r="49" spans="1:18" ht="18" customHeight="1" x14ac:dyDescent="0.3">
      <c r="A49" s="246" t="s">
        <v>51</v>
      </c>
      <c r="B49" s="246"/>
      <c r="C49" s="246"/>
      <c r="D49" s="246"/>
      <c r="E49" s="246"/>
      <c r="F49" s="246"/>
      <c r="G49" s="246"/>
    </row>
    <row r="50" spans="1:18" ht="18" customHeight="1" x14ac:dyDescent="0.3">
      <c r="A50" s="215"/>
      <c r="B50" s="216"/>
      <c r="C50" s="216"/>
      <c r="D50" s="216"/>
      <c r="E50" s="216"/>
      <c r="F50" s="216"/>
      <c r="G50" s="215" t="s">
        <v>8</v>
      </c>
    </row>
    <row r="51" spans="1:18" ht="18" customHeight="1" x14ac:dyDescent="0.3">
      <c r="A51" s="221"/>
      <c r="B51" s="223">
        <v>4</v>
      </c>
      <c r="C51" s="223">
        <v>0</v>
      </c>
      <c r="D51" s="223">
        <v>7</v>
      </c>
      <c r="E51" s="222">
        <v>2</v>
      </c>
      <c r="F51" s="223">
        <v>0</v>
      </c>
      <c r="G51" s="305" t="s">
        <v>80</v>
      </c>
    </row>
    <row r="52" spans="1:18" ht="18" customHeight="1" x14ac:dyDescent="0.3">
      <c r="A52" s="306"/>
      <c r="B52" s="228">
        <v>3</v>
      </c>
      <c r="C52" s="228">
        <v>6</v>
      </c>
      <c r="D52" s="228">
        <v>13</v>
      </c>
      <c r="E52" s="228">
        <v>4</v>
      </c>
      <c r="F52" s="228">
        <v>9</v>
      </c>
    </row>
    <row r="53" spans="1:18" ht="18" customHeight="1" x14ac:dyDescent="0.3">
      <c r="C53" s="314" t="s">
        <v>52</v>
      </c>
    </row>
    <row r="54" spans="1:18" ht="18" customHeight="1" x14ac:dyDescent="0.3"/>
    <row r="55" spans="1:18" ht="18" customHeight="1" x14ac:dyDescent="0.3">
      <c r="A55" s="258" t="s">
        <v>61</v>
      </c>
      <c r="B55" s="259"/>
      <c r="C55" s="259"/>
      <c r="D55" s="259"/>
      <c r="E55" s="260"/>
      <c r="J55" s="332" t="s">
        <v>64</v>
      </c>
    </row>
    <row r="56" spans="1:18" ht="18" customHeight="1" x14ac:dyDescent="0.3">
      <c r="A56" s="215"/>
      <c r="B56" s="215"/>
      <c r="J56" s="332"/>
    </row>
    <row r="57" spans="1:18" ht="18" customHeight="1" x14ac:dyDescent="0.3">
      <c r="A57" s="221"/>
      <c r="B57" s="264">
        <v>0</v>
      </c>
      <c r="J57" s="332"/>
      <c r="M57" s="333" t="s">
        <v>63</v>
      </c>
      <c r="N57" s="333"/>
      <c r="O57" s="333"/>
    </row>
    <row r="58" spans="1:18" ht="18" customHeight="1" x14ac:dyDescent="0.3">
      <c r="A58" s="221"/>
      <c r="B58" s="264">
        <v>0</v>
      </c>
      <c r="D58" s="317"/>
      <c r="E58" s="318"/>
      <c r="G58" s="215"/>
      <c r="H58" s="215"/>
      <c r="J58" s="215" t="s">
        <v>65</v>
      </c>
      <c r="M58" s="216"/>
      <c r="N58" s="215" t="s">
        <v>66</v>
      </c>
      <c r="O58" s="215" t="s">
        <v>69</v>
      </c>
    </row>
    <row r="59" spans="1:18" ht="18" customHeight="1" x14ac:dyDescent="0.3">
      <c r="A59" s="221"/>
      <c r="B59" s="264">
        <v>0</v>
      </c>
      <c r="C59" s="315" t="s">
        <v>58</v>
      </c>
      <c r="D59" s="334"/>
      <c r="E59" s="335"/>
      <c r="F59" s="315" t="s">
        <v>58</v>
      </c>
      <c r="G59" s="221"/>
      <c r="H59" s="264">
        <v>0</v>
      </c>
      <c r="I59" s="315" t="s">
        <v>58</v>
      </c>
      <c r="J59" s="336" t="s">
        <v>62</v>
      </c>
      <c r="L59" s="337"/>
      <c r="M59" s="247">
        <v>0.23923915005200891</v>
      </c>
      <c r="N59" s="338" t="s">
        <v>67</v>
      </c>
      <c r="O59" s="336" t="s">
        <v>62</v>
      </c>
      <c r="P59" s="315" t="s">
        <v>58</v>
      </c>
      <c r="Q59" s="317"/>
      <c r="R59" s="318"/>
    </row>
    <row r="60" spans="1:18" ht="18" customHeight="1" thickBot="1" x14ac:dyDescent="0.35">
      <c r="A60" s="237"/>
      <c r="B60" s="265">
        <v>0</v>
      </c>
      <c r="C60" s="339"/>
      <c r="D60" s="340"/>
      <c r="E60" s="340"/>
      <c r="F60" s="341"/>
      <c r="G60" s="237"/>
      <c r="H60" s="265">
        <v>0</v>
      </c>
      <c r="I60" s="342"/>
      <c r="J60" s="343" t="s">
        <v>62</v>
      </c>
      <c r="K60" s="344" t="s">
        <v>70</v>
      </c>
      <c r="L60" s="345"/>
      <c r="M60" s="346">
        <v>0.23923915005200891</v>
      </c>
      <c r="N60" s="347" t="s">
        <v>67</v>
      </c>
      <c r="O60" s="343" t="s">
        <v>62</v>
      </c>
      <c r="P60" s="348"/>
      <c r="Q60" s="321"/>
      <c r="R60" s="322"/>
    </row>
    <row r="61" spans="1:18" ht="18" customHeight="1" x14ac:dyDescent="0.3">
      <c r="A61" s="242"/>
      <c r="B61" s="266">
        <v>0</v>
      </c>
      <c r="G61" s="242"/>
      <c r="H61" s="266">
        <v>0</v>
      </c>
      <c r="I61" s="349"/>
      <c r="J61" s="350" t="s">
        <v>62</v>
      </c>
      <c r="K61" s="351" t="s">
        <v>70</v>
      </c>
      <c r="L61" s="352"/>
      <c r="M61" s="353">
        <v>-0.37806568533891394</v>
      </c>
      <c r="N61" s="354" t="s">
        <v>68</v>
      </c>
      <c r="O61" s="350" t="s">
        <v>62</v>
      </c>
      <c r="Q61" s="325"/>
      <c r="R61" s="326"/>
    </row>
    <row r="62" spans="1:18" ht="18" customHeight="1" x14ac:dyDescent="0.3">
      <c r="A62" s="221"/>
      <c r="B62" s="264">
        <v>0</v>
      </c>
      <c r="C62" s="315" t="s">
        <v>58</v>
      </c>
      <c r="D62" s="355"/>
      <c r="E62" s="356"/>
      <c r="F62" s="315" t="s">
        <v>58</v>
      </c>
      <c r="G62" s="221"/>
      <c r="H62" s="264">
        <v>0</v>
      </c>
      <c r="I62" s="315" t="s">
        <v>58</v>
      </c>
      <c r="J62" s="336" t="s">
        <v>62</v>
      </c>
      <c r="L62" s="352"/>
      <c r="M62" s="247">
        <v>-0.37806568533891394</v>
      </c>
      <c r="N62" s="338" t="s">
        <v>68</v>
      </c>
      <c r="O62" s="336" t="s">
        <v>62</v>
      </c>
      <c r="P62" s="315" t="s">
        <v>58</v>
      </c>
      <c r="Q62" s="327"/>
      <c r="R62" s="328"/>
    </row>
    <row r="63" spans="1:18" ht="18" customHeight="1" x14ac:dyDescent="0.3">
      <c r="A63" s="221"/>
      <c r="B63" s="264">
        <v>1</v>
      </c>
      <c r="D63" s="330"/>
      <c r="E63" s="331"/>
      <c r="G63" s="221"/>
      <c r="H63" s="264">
        <v>0</v>
      </c>
      <c r="J63" s="336" t="s">
        <v>62</v>
      </c>
      <c r="L63" s="352"/>
      <c r="M63" s="247">
        <v>-0.37806568533891394</v>
      </c>
      <c r="N63" s="338" t="s">
        <v>68</v>
      </c>
      <c r="O63" s="336" t="s">
        <v>62</v>
      </c>
      <c r="Q63" s="327"/>
      <c r="R63" s="328"/>
    </row>
    <row r="64" spans="1:18" ht="18" customHeight="1" x14ac:dyDescent="0.3">
      <c r="A64" s="221"/>
      <c r="B64" s="264">
        <v>0</v>
      </c>
      <c r="G64" s="221"/>
      <c r="H64" s="264">
        <v>0</v>
      </c>
      <c r="J64" s="336" t="s">
        <v>62</v>
      </c>
      <c r="L64" s="357"/>
      <c r="M64" s="247">
        <v>-0.37806568533891394</v>
      </c>
      <c r="N64" s="338" t="s">
        <v>68</v>
      </c>
      <c r="O64" s="336" t="s">
        <v>62</v>
      </c>
      <c r="Q64" s="330"/>
      <c r="R64" s="331"/>
    </row>
    <row r="65" spans="1:18" ht="18" customHeight="1" x14ac:dyDescent="0.3">
      <c r="A65" s="221"/>
      <c r="B65" s="264">
        <v>0</v>
      </c>
    </row>
    <row r="66" spans="1:18" ht="18" customHeight="1" x14ac:dyDescent="0.3">
      <c r="A66" s="221"/>
      <c r="B66" s="264">
        <v>0</v>
      </c>
    </row>
    <row r="67" spans="1:18" ht="14.4" customHeight="1" x14ac:dyDescent="0.3"/>
    <row r="68" spans="1:18" ht="14.4" customHeight="1" x14ac:dyDescent="0.3"/>
    <row r="69" spans="1:18" ht="14.4" customHeight="1" x14ac:dyDescent="0.3"/>
    <row r="70" spans="1:18" ht="18" customHeight="1" x14ac:dyDescent="0.3">
      <c r="A70" s="312" t="s">
        <v>71</v>
      </c>
      <c r="B70" s="312"/>
      <c r="C70" s="312"/>
      <c r="D70" s="312"/>
      <c r="E70" s="312"/>
      <c r="F70" s="312"/>
      <c r="G70" s="312"/>
      <c r="H70" s="312"/>
      <c r="I70" s="312"/>
      <c r="J70" s="312"/>
      <c r="K70" s="312"/>
    </row>
    <row r="71" spans="1:18" ht="14.4" customHeight="1" x14ac:dyDescent="0.3"/>
    <row r="72" spans="1:18" ht="18" customHeight="1" x14ac:dyDescent="0.3">
      <c r="B72" s="258" t="s">
        <v>72</v>
      </c>
      <c r="C72" s="260"/>
    </row>
    <row r="73" spans="1:18" ht="18" customHeight="1" x14ac:dyDescent="0.3">
      <c r="B73" s="358"/>
      <c r="C73" s="359"/>
      <c r="E73" s="235"/>
      <c r="F73" s="282">
        <v>1</v>
      </c>
    </row>
    <row r="74" spans="1:18" ht="18" customHeight="1" x14ac:dyDescent="0.3">
      <c r="B74" s="360"/>
      <c r="C74" s="361"/>
      <c r="E74" s="235"/>
      <c r="F74" s="282">
        <f>Q3-1</f>
        <v>4</v>
      </c>
    </row>
    <row r="75" spans="1:18" ht="18" customHeight="1" x14ac:dyDescent="0.3">
      <c r="A75" s="267" t="b">
        <v>1</v>
      </c>
      <c r="B75" s="362" t="str">
        <f>IF(AND(F73&lt;F74), "Go back to Step 2", "Go to Step 4")</f>
        <v>Go back to Step 2</v>
      </c>
      <c r="C75" s="363"/>
    </row>
    <row r="76" spans="1:18" ht="14.4" customHeight="1" x14ac:dyDescent="0.3"/>
    <row r="77" spans="1:18" ht="14.4" customHeight="1" x14ac:dyDescent="0.3"/>
    <row r="78" spans="1:18" ht="14.4" customHeight="1" x14ac:dyDescent="0.3"/>
    <row r="79" spans="1:18" ht="18" customHeight="1" x14ac:dyDescent="0.3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</row>
    <row r="80" spans="1:18" ht="14.4" customHeight="1" x14ac:dyDescent="0.3"/>
    <row r="81" spans="1:11" ht="14.4" customHeight="1" x14ac:dyDescent="0.3"/>
    <row r="82" spans="1:11" ht="14.4" customHeight="1" x14ac:dyDescent="0.3"/>
    <row r="83" spans="1:11" ht="18" customHeight="1" x14ac:dyDescent="0.3">
      <c r="A83" s="312" t="s">
        <v>59</v>
      </c>
      <c r="B83" s="312"/>
      <c r="C83" s="312"/>
      <c r="D83" s="312"/>
      <c r="E83" s="312"/>
      <c r="F83" s="312"/>
      <c r="G83" s="312"/>
      <c r="H83" s="312"/>
      <c r="I83" s="312"/>
      <c r="J83" s="312"/>
      <c r="K83" s="312"/>
    </row>
    <row r="85" spans="1:11" ht="18" customHeight="1" x14ac:dyDescent="0.3">
      <c r="A85" s="364"/>
      <c r="B85" s="365"/>
      <c r="C85" s="365"/>
      <c r="D85" s="365"/>
      <c r="E85" s="365"/>
      <c r="F85" s="365"/>
      <c r="G85" s="365"/>
      <c r="H85" s="366"/>
      <c r="J85" s="235"/>
      <c r="K85" s="282">
        <f>Q3-1</f>
        <v>4</v>
      </c>
    </row>
    <row r="86" spans="1:11" ht="18" customHeight="1" x14ac:dyDescent="0.3">
      <c r="A86" s="367"/>
      <c r="B86" s="368"/>
      <c r="C86" s="368"/>
      <c r="D86" s="368"/>
      <c r="E86" s="368"/>
      <c r="F86" s="368"/>
      <c r="G86" s="368"/>
      <c r="H86" s="369"/>
      <c r="J86" s="235"/>
      <c r="K86" s="282">
        <v>2</v>
      </c>
    </row>
    <row r="87" spans="1:11" ht="18" customHeight="1" x14ac:dyDescent="0.3"/>
    <row r="88" spans="1:11" ht="18" customHeight="1" x14ac:dyDescent="0.3"/>
    <row r="89" spans="1:11" ht="18" customHeight="1" x14ac:dyDescent="0.3">
      <c r="A89" s="246" t="s">
        <v>51</v>
      </c>
      <c r="B89" s="246"/>
      <c r="C89" s="246"/>
      <c r="D89" s="246"/>
      <c r="E89" s="246"/>
      <c r="F89" s="246"/>
      <c r="G89" s="246"/>
    </row>
    <row r="90" spans="1:11" ht="18" customHeight="1" x14ac:dyDescent="0.3">
      <c r="A90" s="215"/>
      <c r="B90" s="216"/>
      <c r="C90" s="216"/>
      <c r="D90" s="216"/>
      <c r="E90" s="216"/>
      <c r="F90" s="216"/>
      <c r="G90" s="215" t="s">
        <v>8</v>
      </c>
    </row>
    <row r="91" spans="1:11" ht="18" customHeight="1" x14ac:dyDescent="0.3">
      <c r="A91" s="221"/>
      <c r="B91" s="223">
        <v>4</v>
      </c>
      <c r="C91" s="223">
        <v>0</v>
      </c>
      <c r="D91" s="223">
        <v>7</v>
      </c>
      <c r="E91" s="222">
        <v>2</v>
      </c>
      <c r="F91" s="223">
        <v>0</v>
      </c>
      <c r="G91" s="305" t="s">
        <v>80</v>
      </c>
    </row>
    <row r="92" spans="1:11" ht="18" customHeight="1" x14ac:dyDescent="0.3">
      <c r="A92" s="306"/>
      <c r="B92" s="228">
        <v>3</v>
      </c>
      <c r="C92" s="228">
        <v>6</v>
      </c>
      <c r="D92" s="228">
        <v>13</v>
      </c>
      <c r="E92" s="228">
        <v>4</v>
      </c>
      <c r="F92" s="228">
        <v>9</v>
      </c>
    </row>
    <row r="93" spans="1:11" ht="18" customHeight="1" x14ac:dyDescent="0.3">
      <c r="D93" s="314" t="s">
        <v>52</v>
      </c>
    </row>
    <row r="94" spans="1:11" ht="18" customHeight="1" x14ac:dyDescent="0.3"/>
    <row r="95" spans="1:11" ht="18" customHeight="1" x14ac:dyDescent="0.3">
      <c r="A95" s="258" t="s">
        <v>61</v>
      </c>
      <c r="B95" s="259"/>
      <c r="C95" s="259"/>
      <c r="D95" s="259"/>
      <c r="E95" s="260"/>
      <c r="J95" s="332" t="s">
        <v>64</v>
      </c>
    </row>
    <row r="96" spans="1:11" ht="18" customHeight="1" x14ac:dyDescent="0.3">
      <c r="A96" s="215"/>
      <c r="B96" s="215"/>
      <c r="J96" s="332"/>
    </row>
    <row r="97" spans="1:18" ht="18" customHeight="1" x14ac:dyDescent="0.3">
      <c r="A97" s="221"/>
      <c r="B97" s="264">
        <v>7</v>
      </c>
      <c r="J97" s="332"/>
      <c r="M97" s="333" t="s">
        <v>63</v>
      </c>
      <c r="N97" s="333"/>
      <c r="O97" s="333"/>
    </row>
    <row r="98" spans="1:18" ht="18" customHeight="1" x14ac:dyDescent="0.3">
      <c r="A98" s="221"/>
      <c r="B98" s="264">
        <v>7</v>
      </c>
      <c r="D98" s="317"/>
      <c r="E98" s="318"/>
      <c r="G98" s="215"/>
      <c r="H98" s="215"/>
      <c r="J98" s="215" t="s">
        <v>65</v>
      </c>
      <c r="M98" s="216"/>
      <c r="N98" s="215" t="s">
        <v>66</v>
      </c>
      <c r="O98" s="215" t="s">
        <v>69</v>
      </c>
    </row>
    <row r="99" spans="1:18" ht="18" customHeight="1" x14ac:dyDescent="0.3">
      <c r="A99" s="221"/>
      <c r="B99" s="264">
        <v>3</v>
      </c>
      <c r="C99" s="315" t="s">
        <v>58</v>
      </c>
      <c r="D99" s="334"/>
      <c r="E99" s="335"/>
      <c r="F99" s="315" t="s">
        <v>58</v>
      </c>
      <c r="G99" s="221"/>
      <c r="H99" s="264">
        <v>7</v>
      </c>
      <c r="I99" s="315" t="s">
        <v>58</v>
      </c>
      <c r="J99" s="336" t="s">
        <v>62</v>
      </c>
      <c r="L99" s="337"/>
      <c r="M99" s="247">
        <v>0.54607491198125124</v>
      </c>
      <c r="N99" s="338" t="s">
        <v>67</v>
      </c>
      <c r="O99" s="336" t="s">
        <v>62</v>
      </c>
      <c r="P99" s="315" t="s">
        <v>58</v>
      </c>
      <c r="Q99" s="317"/>
      <c r="R99" s="318"/>
    </row>
    <row r="100" spans="1:18" ht="18" customHeight="1" thickBot="1" x14ac:dyDescent="0.35">
      <c r="A100" s="237"/>
      <c r="B100" s="265">
        <v>7</v>
      </c>
      <c r="C100" s="339"/>
      <c r="D100" s="340"/>
      <c r="E100" s="340"/>
      <c r="F100" s="341"/>
      <c r="G100" s="237"/>
      <c r="H100" s="265">
        <v>7</v>
      </c>
      <c r="I100" s="342"/>
      <c r="J100" s="343" t="s">
        <v>62</v>
      </c>
      <c r="K100" s="344" t="s">
        <v>70</v>
      </c>
      <c r="L100" s="345"/>
      <c r="M100" s="346">
        <v>0.54607491198125124</v>
      </c>
      <c r="N100" s="347" t="s">
        <v>67</v>
      </c>
      <c r="O100" s="343" t="s">
        <v>62</v>
      </c>
      <c r="P100" s="348"/>
      <c r="Q100" s="321"/>
      <c r="R100" s="322"/>
    </row>
    <row r="101" spans="1:18" ht="18" customHeight="1" x14ac:dyDescent="0.3">
      <c r="A101" s="242"/>
      <c r="B101" s="266">
        <v>3</v>
      </c>
      <c r="G101" s="242"/>
      <c r="H101" s="266">
        <v>3</v>
      </c>
      <c r="I101" s="349"/>
      <c r="J101" s="370" t="s">
        <v>73</v>
      </c>
      <c r="K101" s="351" t="s">
        <v>70</v>
      </c>
      <c r="L101" s="352"/>
      <c r="M101" s="353">
        <v>-0.67699741026567173</v>
      </c>
      <c r="N101" s="354" t="s">
        <v>68</v>
      </c>
      <c r="O101" s="350" t="s">
        <v>62</v>
      </c>
      <c r="Q101" s="325"/>
      <c r="R101" s="326"/>
    </row>
    <row r="102" spans="1:18" ht="18" customHeight="1" x14ac:dyDescent="0.3">
      <c r="A102" s="221"/>
      <c r="B102" s="264">
        <v>7</v>
      </c>
      <c r="C102" s="315" t="s">
        <v>58</v>
      </c>
      <c r="D102" s="355"/>
      <c r="E102" s="356"/>
      <c r="F102" s="315" t="s">
        <v>58</v>
      </c>
      <c r="G102" s="221"/>
      <c r="H102" s="264">
        <v>7</v>
      </c>
      <c r="I102" s="315" t="s">
        <v>58</v>
      </c>
      <c r="J102" s="336" t="s">
        <v>62</v>
      </c>
      <c r="L102" s="352"/>
      <c r="M102" s="247">
        <v>-0.67699741026567195</v>
      </c>
      <c r="N102" s="338" t="s">
        <v>68</v>
      </c>
      <c r="O102" s="336" t="s">
        <v>62</v>
      </c>
      <c r="P102" s="315" t="s">
        <v>58</v>
      </c>
      <c r="Q102" s="327"/>
      <c r="R102" s="328"/>
    </row>
    <row r="103" spans="1:18" ht="18" customHeight="1" x14ac:dyDescent="0.3">
      <c r="A103" s="221"/>
      <c r="B103" s="264">
        <v>6</v>
      </c>
      <c r="D103" s="330"/>
      <c r="E103" s="331"/>
      <c r="G103" s="221"/>
      <c r="H103" s="264">
        <v>7</v>
      </c>
      <c r="J103" s="336" t="s">
        <v>62</v>
      </c>
      <c r="L103" s="352"/>
      <c r="M103" s="247">
        <v>-0.67699741026567162</v>
      </c>
      <c r="N103" s="338" t="s">
        <v>68</v>
      </c>
      <c r="O103" s="336" t="s">
        <v>62</v>
      </c>
      <c r="Q103" s="327"/>
      <c r="R103" s="328"/>
    </row>
    <row r="104" spans="1:18" ht="18" customHeight="1" x14ac:dyDescent="0.3">
      <c r="A104" s="221"/>
      <c r="B104" s="264">
        <v>7</v>
      </c>
      <c r="G104" s="221"/>
      <c r="H104" s="264">
        <v>7</v>
      </c>
      <c r="J104" s="336" t="s">
        <v>62</v>
      </c>
      <c r="L104" s="357"/>
      <c r="M104" s="247">
        <v>-0.67699741026567162</v>
      </c>
      <c r="N104" s="338" t="s">
        <v>68</v>
      </c>
      <c r="O104" s="336" t="s">
        <v>62</v>
      </c>
      <c r="Q104" s="330"/>
      <c r="R104" s="331"/>
    </row>
    <row r="105" spans="1:18" ht="18" customHeight="1" x14ac:dyDescent="0.3">
      <c r="A105" s="221"/>
      <c r="B105" s="264">
        <v>7</v>
      </c>
    </row>
    <row r="106" spans="1:18" ht="18" customHeight="1" x14ac:dyDescent="0.3">
      <c r="A106" s="221"/>
      <c r="B106" s="264">
        <v>7</v>
      </c>
    </row>
    <row r="110" spans="1:18" ht="18" x14ac:dyDescent="0.3">
      <c r="A110" s="312" t="s">
        <v>71</v>
      </c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</row>
    <row r="112" spans="1:18" ht="18" customHeight="1" x14ac:dyDescent="0.3">
      <c r="B112" s="258" t="s">
        <v>72</v>
      </c>
      <c r="C112" s="260"/>
    </row>
    <row r="113" spans="1:18" ht="18" customHeight="1" x14ac:dyDescent="0.3">
      <c r="B113" s="358"/>
      <c r="C113" s="359"/>
      <c r="E113" s="235"/>
      <c r="F113" s="282">
        <v>2</v>
      </c>
    </row>
    <row r="114" spans="1:18" ht="18" customHeight="1" x14ac:dyDescent="0.3">
      <c r="B114" s="360"/>
      <c r="C114" s="361"/>
      <c r="E114" s="235"/>
      <c r="F114" s="282">
        <f>Q3-1</f>
        <v>4</v>
      </c>
    </row>
    <row r="115" spans="1:18" ht="18" customHeight="1" x14ac:dyDescent="0.3">
      <c r="A115" s="267" t="b">
        <v>1</v>
      </c>
      <c r="B115" s="362" t="str">
        <f>IF(AND(F113&lt;F114), "Go back to Step 2", "Go to Step 4")</f>
        <v>Go back to Step 2</v>
      </c>
      <c r="C115" s="363"/>
    </row>
    <row r="119" spans="1:18" x14ac:dyDescent="0.3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</row>
    <row r="123" spans="1:18" ht="18" customHeight="1" x14ac:dyDescent="0.3">
      <c r="A123" s="312" t="s">
        <v>59</v>
      </c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</row>
    <row r="124" spans="1:18" ht="14.4" customHeight="1" x14ac:dyDescent="0.3"/>
    <row r="125" spans="1:18" ht="18" customHeight="1" x14ac:dyDescent="0.3">
      <c r="A125" s="364"/>
      <c r="B125" s="365"/>
      <c r="C125" s="365"/>
      <c r="D125" s="365"/>
      <c r="E125" s="365"/>
      <c r="F125" s="365"/>
      <c r="G125" s="365"/>
      <c r="H125" s="366"/>
      <c r="J125" s="235"/>
      <c r="K125" s="282">
        <f>Q3-1</f>
        <v>4</v>
      </c>
    </row>
    <row r="126" spans="1:18" ht="18" customHeight="1" x14ac:dyDescent="0.3">
      <c r="A126" s="367"/>
      <c r="B126" s="368"/>
      <c r="C126" s="368"/>
      <c r="D126" s="368"/>
      <c r="E126" s="368"/>
      <c r="F126" s="368"/>
      <c r="G126" s="368"/>
      <c r="H126" s="369"/>
      <c r="J126" s="235"/>
      <c r="K126" s="282">
        <v>3</v>
      </c>
    </row>
    <row r="127" spans="1:18" ht="14.4" customHeight="1" x14ac:dyDescent="0.3"/>
    <row r="128" spans="1:18" ht="14.4" customHeight="1" x14ac:dyDescent="0.3"/>
    <row r="129" spans="1:18" ht="18" customHeight="1" x14ac:dyDescent="0.3">
      <c r="A129" s="246" t="s">
        <v>51</v>
      </c>
      <c r="B129" s="246"/>
      <c r="C129" s="246"/>
      <c r="D129" s="246"/>
      <c r="E129" s="246"/>
      <c r="F129" s="246"/>
      <c r="G129" s="246"/>
    </row>
    <row r="130" spans="1:18" ht="18" customHeight="1" x14ac:dyDescent="0.3">
      <c r="A130" s="215"/>
      <c r="B130" s="216"/>
      <c r="C130" s="216"/>
      <c r="D130" s="216"/>
      <c r="E130" s="216"/>
      <c r="F130" s="216"/>
      <c r="G130" s="215" t="s">
        <v>8</v>
      </c>
    </row>
    <row r="131" spans="1:18" ht="18" customHeight="1" x14ac:dyDescent="0.3">
      <c r="A131" s="221"/>
      <c r="B131" s="223">
        <v>4</v>
      </c>
      <c r="C131" s="223">
        <v>0</v>
      </c>
      <c r="D131" s="223">
        <v>7</v>
      </c>
      <c r="E131" s="222">
        <v>2</v>
      </c>
      <c r="F131" s="223">
        <v>0</v>
      </c>
      <c r="G131" s="305" t="s">
        <v>80</v>
      </c>
    </row>
    <row r="132" spans="1:18" ht="18" customHeight="1" x14ac:dyDescent="0.3">
      <c r="A132" s="306"/>
      <c r="B132" s="228">
        <v>3</v>
      </c>
      <c r="C132" s="228">
        <v>6</v>
      </c>
      <c r="D132" s="228">
        <v>13</v>
      </c>
      <c r="E132" s="228">
        <v>4</v>
      </c>
      <c r="F132" s="228">
        <v>9</v>
      </c>
    </row>
    <row r="133" spans="1:18" ht="18" customHeight="1" x14ac:dyDescent="0.3">
      <c r="E133" s="314" t="s">
        <v>52</v>
      </c>
    </row>
    <row r="134" spans="1:18" ht="18" customHeight="1" x14ac:dyDescent="0.3"/>
    <row r="135" spans="1:18" ht="18" customHeight="1" x14ac:dyDescent="0.3">
      <c r="A135" s="258" t="s">
        <v>61</v>
      </c>
      <c r="B135" s="259"/>
      <c r="C135" s="259"/>
      <c r="D135" s="259"/>
      <c r="E135" s="260"/>
      <c r="J135" s="332" t="s">
        <v>64</v>
      </c>
    </row>
    <row r="136" spans="1:18" ht="18" customHeight="1" x14ac:dyDescent="0.3">
      <c r="A136" s="215"/>
      <c r="B136" s="215"/>
      <c r="J136" s="332"/>
    </row>
    <row r="137" spans="1:18" ht="18" customHeight="1" x14ac:dyDescent="0.3">
      <c r="A137" s="221"/>
      <c r="B137" s="222">
        <v>1</v>
      </c>
      <c r="J137" s="332"/>
      <c r="M137" s="333" t="s">
        <v>63</v>
      </c>
      <c r="N137" s="333"/>
      <c r="O137" s="333"/>
    </row>
    <row r="138" spans="1:18" ht="18" customHeight="1" x14ac:dyDescent="0.3">
      <c r="A138" s="221"/>
      <c r="B138" s="222">
        <v>2</v>
      </c>
      <c r="D138" s="317"/>
      <c r="E138" s="318"/>
      <c r="G138" s="215"/>
      <c r="H138" s="215"/>
      <c r="J138" s="215" t="s">
        <v>65</v>
      </c>
      <c r="M138" s="216"/>
      <c r="N138" s="215" t="s">
        <v>66</v>
      </c>
      <c r="O138" s="215" t="s">
        <v>69</v>
      </c>
    </row>
    <row r="139" spans="1:18" ht="18" customHeight="1" thickBot="1" x14ac:dyDescent="0.35">
      <c r="A139" s="221"/>
      <c r="B139" s="222">
        <v>1</v>
      </c>
      <c r="C139" s="315" t="s">
        <v>58</v>
      </c>
      <c r="D139" s="334"/>
      <c r="E139" s="335"/>
      <c r="F139" s="315" t="s">
        <v>58</v>
      </c>
      <c r="G139" s="221"/>
      <c r="H139" s="222">
        <v>2</v>
      </c>
      <c r="I139" s="315" t="s">
        <v>58</v>
      </c>
      <c r="J139" s="343" t="s">
        <v>62</v>
      </c>
      <c r="L139" s="337"/>
      <c r="M139" s="247">
        <v>0.55066153579842136</v>
      </c>
      <c r="N139" s="338" t="s">
        <v>67</v>
      </c>
      <c r="O139" s="336" t="s">
        <v>62</v>
      </c>
      <c r="P139" s="315" t="s">
        <v>58</v>
      </c>
      <c r="Q139" s="317"/>
      <c r="R139" s="318"/>
    </row>
    <row r="140" spans="1:18" ht="18" customHeight="1" thickBot="1" x14ac:dyDescent="0.35">
      <c r="A140" s="237"/>
      <c r="B140" s="238">
        <v>1</v>
      </c>
      <c r="C140" s="339"/>
      <c r="D140" s="340"/>
      <c r="E140" s="340"/>
      <c r="F140" s="341"/>
      <c r="G140" s="237"/>
      <c r="H140" s="238">
        <v>1</v>
      </c>
      <c r="I140" s="222"/>
      <c r="J140" s="371" t="s">
        <v>73</v>
      </c>
      <c r="K140" s="344" t="s">
        <v>70</v>
      </c>
      <c r="L140" s="345"/>
      <c r="M140" s="346">
        <v>0.96858288142615678</v>
      </c>
      <c r="N140" s="347" t="s">
        <v>67</v>
      </c>
      <c r="O140" s="343" t="s">
        <v>62</v>
      </c>
      <c r="P140" s="348"/>
      <c r="Q140" s="321"/>
      <c r="R140" s="322"/>
    </row>
    <row r="141" spans="1:18" ht="18" customHeight="1" x14ac:dyDescent="0.3">
      <c r="A141" s="242"/>
      <c r="B141" s="240">
        <v>2</v>
      </c>
      <c r="G141" s="221"/>
      <c r="H141" s="240">
        <v>1</v>
      </c>
      <c r="I141" s="222"/>
      <c r="J141" s="370" t="s">
        <v>73</v>
      </c>
      <c r="K141" s="351" t="s">
        <v>70</v>
      </c>
      <c r="L141" s="357"/>
      <c r="M141" s="353">
        <v>-0.81342787967727681</v>
      </c>
      <c r="N141" s="354" t="s">
        <v>68</v>
      </c>
      <c r="O141" s="350" t="s">
        <v>62</v>
      </c>
      <c r="Q141" s="372"/>
      <c r="R141" s="372"/>
    </row>
    <row r="142" spans="1:18" ht="18" customHeight="1" x14ac:dyDescent="0.3">
      <c r="A142" s="221"/>
      <c r="B142" s="222">
        <v>2</v>
      </c>
      <c r="C142" s="315" t="s">
        <v>58</v>
      </c>
      <c r="D142" s="355"/>
      <c r="E142" s="356"/>
      <c r="F142" s="315" t="s">
        <v>58</v>
      </c>
      <c r="G142" s="221"/>
      <c r="H142" s="222">
        <v>2</v>
      </c>
      <c r="I142" s="315" t="s">
        <v>58</v>
      </c>
      <c r="J142" s="336" t="s">
        <v>62</v>
      </c>
      <c r="L142" s="373"/>
      <c r="M142" s="247">
        <v>-1.3589807460522612</v>
      </c>
      <c r="N142" s="338" t="s">
        <v>68</v>
      </c>
      <c r="O142" s="336" t="s">
        <v>62</v>
      </c>
      <c r="P142" s="315" t="s">
        <v>58</v>
      </c>
      <c r="Q142" s="374"/>
      <c r="R142" s="374"/>
    </row>
    <row r="143" spans="1:18" ht="18" customHeight="1" x14ac:dyDescent="0.3">
      <c r="A143" s="221"/>
      <c r="B143" s="222">
        <v>2</v>
      </c>
      <c r="D143" s="330"/>
      <c r="E143" s="331"/>
      <c r="G143" s="221"/>
      <c r="H143" s="222">
        <v>2</v>
      </c>
      <c r="J143" s="336" t="s">
        <v>62</v>
      </c>
      <c r="L143" s="373"/>
      <c r="M143" s="247">
        <v>-1.3589807460522612</v>
      </c>
      <c r="N143" s="338" t="s">
        <v>68</v>
      </c>
      <c r="O143" s="336" t="s">
        <v>62</v>
      </c>
      <c r="Q143" s="374"/>
      <c r="R143" s="374"/>
    </row>
    <row r="144" spans="1:18" ht="18" customHeight="1" x14ac:dyDescent="0.3">
      <c r="A144" s="221"/>
      <c r="B144" s="222">
        <v>1</v>
      </c>
    </row>
    <row r="145" spans="1:18" ht="18" customHeight="1" x14ac:dyDescent="0.3">
      <c r="A145" s="221"/>
      <c r="B145" s="222">
        <v>2</v>
      </c>
    </row>
    <row r="146" spans="1:18" ht="18" customHeight="1" x14ac:dyDescent="0.3">
      <c r="A146" s="221"/>
      <c r="B146" s="222">
        <v>2</v>
      </c>
    </row>
    <row r="150" spans="1:18" ht="18" customHeight="1" x14ac:dyDescent="0.3">
      <c r="A150" s="312" t="s">
        <v>71</v>
      </c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</row>
    <row r="152" spans="1:18" ht="18" customHeight="1" x14ac:dyDescent="0.3">
      <c r="B152" s="258" t="s">
        <v>72</v>
      </c>
      <c r="C152" s="260"/>
    </row>
    <row r="153" spans="1:18" ht="18" customHeight="1" x14ac:dyDescent="0.3">
      <c r="B153" s="358"/>
      <c r="C153" s="359"/>
      <c r="E153" s="235"/>
      <c r="F153" s="282">
        <v>3</v>
      </c>
    </row>
    <row r="154" spans="1:18" ht="18" customHeight="1" x14ac:dyDescent="0.3">
      <c r="B154" s="360"/>
      <c r="C154" s="361"/>
      <c r="E154" s="235"/>
      <c r="F154" s="282">
        <f>Q3-1</f>
        <v>4</v>
      </c>
    </row>
    <row r="155" spans="1:18" ht="18" customHeight="1" x14ac:dyDescent="0.3">
      <c r="A155" s="267" t="b">
        <v>1</v>
      </c>
      <c r="B155" s="362" t="str">
        <f>IF(AND(F153&lt;F154), "Go back to Step 2", "Go to Step 4")</f>
        <v>Go back to Step 2</v>
      </c>
      <c r="C155" s="363"/>
    </row>
    <row r="159" spans="1:18" x14ac:dyDescent="0.3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</row>
    <row r="163" spans="1:11" ht="18" customHeight="1" x14ac:dyDescent="0.3">
      <c r="A163" s="312" t="s">
        <v>59</v>
      </c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</row>
    <row r="165" spans="1:11" ht="18" customHeight="1" x14ac:dyDescent="0.3">
      <c r="A165" s="364"/>
      <c r="B165" s="365"/>
      <c r="C165" s="365"/>
      <c r="D165" s="365"/>
      <c r="E165" s="365"/>
      <c r="F165" s="365"/>
      <c r="G165" s="365"/>
      <c r="H165" s="366"/>
      <c r="J165" s="235"/>
      <c r="K165" s="282">
        <f>Q3-1</f>
        <v>4</v>
      </c>
    </row>
    <row r="166" spans="1:11" ht="18" customHeight="1" x14ac:dyDescent="0.3">
      <c r="A166" s="367"/>
      <c r="B166" s="368"/>
      <c r="C166" s="368"/>
      <c r="D166" s="368"/>
      <c r="E166" s="368"/>
      <c r="F166" s="368"/>
      <c r="G166" s="368"/>
      <c r="H166" s="369"/>
      <c r="J166" s="235"/>
      <c r="K166" s="282">
        <v>4</v>
      </c>
    </row>
    <row r="169" spans="1:11" ht="18" customHeight="1" x14ac:dyDescent="0.3">
      <c r="A169" s="246" t="s">
        <v>51</v>
      </c>
      <c r="B169" s="246"/>
      <c r="C169" s="246"/>
      <c r="D169" s="246"/>
      <c r="E169" s="246"/>
      <c r="F169" s="246"/>
      <c r="G169" s="246"/>
    </row>
    <row r="170" spans="1:11" ht="18" customHeight="1" x14ac:dyDescent="0.3">
      <c r="A170" s="215"/>
      <c r="B170" s="216"/>
      <c r="C170" s="216"/>
      <c r="D170" s="216"/>
      <c r="E170" s="216"/>
      <c r="F170" s="216"/>
      <c r="G170" s="215" t="s">
        <v>8</v>
      </c>
    </row>
    <row r="171" spans="1:11" ht="18" customHeight="1" x14ac:dyDescent="0.3">
      <c r="A171" s="221"/>
      <c r="B171" s="223">
        <v>4</v>
      </c>
      <c r="C171" s="223">
        <v>0</v>
      </c>
      <c r="D171" s="223">
        <v>7</v>
      </c>
      <c r="E171" s="222">
        <v>2</v>
      </c>
      <c r="F171" s="223">
        <v>0</v>
      </c>
      <c r="G171" s="305" t="s">
        <v>80</v>
      </c>
    </row>
    <row r="172" spans="1:11" ht="18" customHeight="1" x14ac:dyDescent="0.3">
      <c r="A172" s="306"/>
      <c r="B172" s="228">
        <v>3</v>
      </c>
      <c r="C172" s="228">
        <v>6</v>
      </c>
      <c r="D172" s="228">
        <v>13</v>
      </c>
      <c r="E172" s="228">
        <v>4</v>
      </c>
      <c r="F172" s="228">
        <v>9</v>
      </c>
    </row>
    <row r="173" spans="1:11" ht="18" customHeight="1" x14ac:dyDescent="0.3">
      <c r="F173" s="314" t="s">
        <v>52</v>
      </c>
    </row>
    <row r="174" spans="1:11" ht="18" customHeight="1" x14ac:dyDescent="0.3"/>
    <row r="175" spans="1:11" ht="18" customHeight="1" x14ac:dyDescent="0.3">
      <c r="A175" s="258" t="s">
        <v>61</v>
      </c>
      <c r="B175" s="259"/>
      <c r="C175" s="259"/>
      <c r="D175" s="259"/>
      <c r="E175" s="260"/>
    </row>
    <row r="176" spans="1:11" ht="18" customHeight="1" x14ac:dyDescent="0.3">
      <c r="A176" s="215"/>
      <c r="B176" s="215"/>
      <c r="J176" s="375" t="s">
        <v>64</v>
      </c>
    </row>
    <row r="177" spans="1:18" ht="18" customHeight="1" x14ac:dyDescent="0.3">
      <c r="A177" s="221"/>
      <c r="B177" s="264">
        <v>0</v>
      </c>
      <c r="J177" s="376"/>
    </row>
    <row r="178" spans="1:18" ht="18" customHeight="1" x14ac:dyDescent="0.3">
      <c r="A178" s="221"/>
      <c r="B178" s="264">
        <v>1</v>
      </c>
      <c r="D178" s="317"/>
      <c r="E178" s="318"/>
      <c r="J178" s="377"/>
      <c r="M178" s="333" t="s">
        <v>63</v>
      </c>
      <c r="N178" s="333"/>
      <c r="O178" s="333"/>
    </row>
    <row r="179" spans="1:18" ht="18" customHeight="1" thickBot="1" x14ac:dyDescent="0.35">
      <c r="A179" s="221"/>
      <c r="B179" s="264">
        <v>1</v>
      </c>
      <c r="C179" s="315" t="s">
        <v>58</v>
      </c>
      <c r="D179" s="334"/>
      <c r="E179" s="335"/>
      <c r="G179" s="215"/>
      <c r="H179" s="215"/>
      <c r="I179" s="315" t="s">
        <v>58</v>
      </c>
      <c r="J179" s="215" t="s">
        <v>65</v>
      </c>
      <c r="M179" s="216"/>
      <c r="N179" s="215" t="s">
        <v>66</v>
      </c>
      <c r="O179" s="215" t="s">
        <v>69</v>
      </c>
      <c r="Q179" s="317"/>
      <c r="R179" s="318"/>
    </row>
    <row r="180" spans="1:18" ht="18" customHeight="1" thickBot="1" x14ac:dyDescent="0.35">
      <c r="A180" s="237"/>
      <c r="B180" s="265">
        <v>0</v>
      </c>
      <c r="C180" s="339"/>
      <c r="D180" s="340"/>
      <c r="E180" s="340"/>
      <c r="F180" s="320" t="s">
        <v>58</v>
      </c>
      <c r="G180" s="237"/>
      <c r="H180" s="238">
        <v>1</v>
      </c>
      <c r="I180" s="342"/>
      <c r="J180" s="371" t="s">
        <v>73</v>
      </c>
      <c r="K180" s="344" t="s">
        <v>70</v>
      </c>
      <c r="L180" s="378"/>
      <c r="M180" s="346">
        <v>1.0814390907557363</v>
      </c>
      <c r="N180" s="347" t="s">
        <v>67</v>
      </c>
      <c r="O180" s="343" t="s">
        <v>62</v>
      </c>
      <c r="P180" s="320" t="s">
        <v>58</v>
      </c>
      <c r="Q180" s="321"/>
      <c r="R180" s="322"/>
    </row>
    <row r="181" spans="1:18" ht="18" customHeight="1" x14ac:dyDescent="0.3">
      <c r="A181" s="242"/>
      <c r="B181" s="266">
        <v>0</v>
      </c>
      <c r="F181" s="324" t="s">
        <v>58</v>
      </c>
      <c r="G181" s="221"/>
      <c r="H181" s="222">
        <v>0</v>
      </c>
      <c r="I181" s="349"/>
      <c r="J181" s="336" t="s">
        <v>62</v>
      </c>
      <c r="K181" s="351" t="s">
        <v>70</v>
      </c>
      <c r="L181" s="379"/>
      <c r="M181" s="353">
        <v>-1.9056239248799161</v>
      </c>
      <c r="N181" s="354" t="s">
        <v>68</v>
      </c>
      <c r="O181" s="350" t="s">
        <v>62</v>
      </c>
      <c r="Q181" s="380"/>
      <c r="R181" s="381"/>
    </row>
    <row r="182" spans="1:18" ht="18" customHeight="1" x14ac:dyDescent="0.3">
      <c r="A182" s="221"/>
      <c r="B182" s="264">
        <v>0</v>
      </c>
      <c r="C182" s="315" t="s">
        <v>58</v>
      </c>
      <c r="D182" s="355"/>
      <c r="E182" s="356"/>
      <c r="G182" s="221"/>
      <c r="H182" s="222">
        <v>0</v>
      </c>
      <c r="I182" s="315" t="s">
        <v>58</v>
      </c>
      <c r="J182" s="336" t="s">
        <v>62</v>
      </c>
      <c r="L182" s="357"/>
      <c r="M182" s="247">
        <v>-1.9056239248799161</v>
      </c>
      <c r="N182" s="338" t="s">
        <v>68</v>
      </c>
      <c r="O182" s="336" t="s">
        <v>62</v>
      </c>
      <c r="P182" s="315" t="s">
        <v>58</v>
      </c>
      <c r="Q182" s="382"/>
      <c r="R182" s="383"/>
    </row>
    <row r="183" spans="1:18" ht="18" customHeight="1" x14ac:dyDescent="0.3">
      <c r="A183" s="221"/>
      <c r="B183" s="264">
        <v>1</v>
      </c>
      <c r="D183" s="330"/>
      <c r="E183" s="331"/>
    </row>
    <row r="184" spans="1:18" ht="18" customHeight="1" x14ac:dyDescent="0.3">
      <c r="A184" s="221"/>
      <c r="B184" s="264">
        <v>1</v>
      </c>
    </row>
    <row r="185" spans="1:18" ht="18" customHeight="1" x14ac:dyDescent="0.3">
      <c r="A185" s="221"/>
      <c r="B185" s="264">
        <v>0</v>
      </c>
    </row>
    <row r="186" spans="1:18" ht="18" customHeight="1" x14ac:dyDescent="0.3">
      <c r="A186" s="221"/>
      <c r="B186" s="264">
        <v>0</v>
      </c>
    </row>
    <row r="190" spans="1:18" ht="18" customHeight="1" x14ac:dyDescent="0.3">
      <c r="A190" s="312" t="s">
        <v>71</v>
      </c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</row>
    <row r="191" spans="1:18" ht="14.4" customHeight="1" x14ac:dyDescent="0.3"/>
    <row r="192" spans="1:18" ht="18" customHeight="1" x14ac:dyDescent="0.3">
      <c r="B192" s="258" t="s">
        <v>72</v>
      </c>
      <c r="C192" s="260"/>
    </row>
    <row r="193" spans="1:18" ht="18" customHeight="1" x14ac:dyDescent="0.3">
      <c r="B193" s="358"/>
      <c r="C193" s="359"/>
      <c r="E193" s="235"/>
      <c r="F193" s="282">
        <v>4</v>
      </c>
    </row>
    <row r="194" spans="1:18" ht="18" customHeight="1" x14ac:dyDescent="0.3">
      <c r="B194" s="360"/>
      <c r="C194" s="361"/>
      <c r="E194" s="235"/>
      <c r="F194" s="282">
        <f>Q3-1</f>
        <v>4</v>
      </c>
    </row>
    <row r="195" spans="1:18" ht="18" customHeight="1" x14ac:dyDescent="0.3">
      <c r="A195" s="224" t="b">
        <v>0</v>
      </c>
      <c r="B195" s="362" t="str">
        <f>IF(AND(F193&lt;F194), "Go back to Step 2", "Go to Step 4")</f>
        <v>Go to Step 4</v>
      </c>
      <c r="C195" s="363"/>
    </row>
    <row r="199" spans="1:18" x14ac:dyDescent="0.3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</row>
    <row r="203" spans="1:18" ht="18" customHeight="1" x14ac:dyDescent="0.3">
      <c r="A203" s="312" t="s">
        <v>74</v>
      </c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</row>
    <row r="205" spans="1:18" ht="18" customHeight="1" x14ac:dyDescent="0.3">
      <c r="B205" s="384"/>
      <c r="C205" s="384"/>
    </row>
    <row r="206" spans="1:18" ht="18" customHeight="1" x14ac:dyDescent="0.3">
      <c r="B206" s="384"/>
      <c r="C206" s="384"/>
      <c r="E206" s="385"/>
      <c r="F206" s="385"/>
      <c r="G206" s="385"/>
      <c r="I206" s="310"/>
      <c r="J206" s="311">
        <v>4</v>
      </c>
    </row>
    <row r="207" spans="1:18" ht="18" customHeight="1" x14ac:dyDescent="0.3">
      <c r="B207" s="384"/>
      <c r="C207" s="384"/>
      <c r="E207" s="385"/>
      <c r="F207" s="385"/>
      <c r="G207" s="385"/>
      <c r="I207" s="310"/>
      <c r="J207" s="311">
        <v>6</v>
      </c>
    </row>
    <row r="208" spans="1:18" ht="20.399999999999999" x14ac:dyDescent="0.3">
      <c r="D208" s="386" t="s">
        <v>58</v>
      </c>
      <c r="E208" s="385"/>
      <c r="F208" s="385"/>
      <c r="G208" s="385"/>
    </row>
    <row r="209" spans="2:10" ht="18" customHeight="1" x14ac:dyDescent="0.3">
      <c r="B209" s="384"/>
      <c r="C209" s="384"/>
      <c r="E209" s="385"/>
      <c r="F209" s="385"/>
      <c r="G209" s="385"/>
    </row>
    <row r="210" spans="2:10" ht="18" customHeight="1" x14ac:dyDescent="0.3">
      <c r="B210" s="384"/>
      <c r="C210" s="384"/>
      <c r="E210" s="385"/>
      <c r="F210" s="385"/>
      <c r="G210" s="385"/>
      <c r="I210" s="235"/>
      <c r="J210" s="282">
        <v>4</v>
      </c>
    </row>
    <row r="211" spans="2:10" ht="18" customHeight="1" x14ac:dyDescent="0.3">
      <c r="B211" s="384"/>
      <c r="C211" s="384"/>
      <c r="I211" s="235"/>
      <c r="J211" s="282">
        <f>Q3-1</f>
        <v>4</v>
      </c>
    </row>
    <row r="215" spans="2:10" ht="18" customHeight="1" x14ac:dyDescent="0.3">
      <c r="B215" s="317"/>
      <c r="C215" s="318"/>
      <c r="D215" s="387"/>
    </row>
    <row r="216" spans="2:10" ht="18" customHeight="1" thickBot="1" x14ac:dyDescent="0.35">
      <c r="B216" s="321"/>
      <c r="C216" s="322"/>
      <c r="D216" s="388" t="s">
        <v>58</v>
      </c>
      <c r="E216" s="310"/>
      <c r="F216" s="311">
        <v>0</v>
      </c>
    </row>
    <row r="217" spans="2:10" ht="18" customHeight="1" x14ac:dyDescent="0.3">
      <c r="B217" s="380"/>
      <c r="C217" s="381"/>
      <c r="D217" s="389" t="s">
        <v>58</v>
      </c>
      <c r="E217" s="310"/>
      <c r="F217" s="311">
        <v>2</v>
      </c>
    </row>
    <row r="218" spans="2:10" ht="18" customHeight="1" x14ac:dyDescent="0.3">
      <c r="B218" s="382"/>
      <c r="C218" s="383"/>
    </row>
    <row r="222" spans="2:10" ht="18" customHeight="1" x14ac:dyDescent="0.3">
      <c r="C222" s="390" t="s">
        <v>75</v>
      </c>
      <c r="D222" s="391"/>
    </row>
    <row r="223" spans="2:10" ht="18" customHeight="1" x14ac:dyDescent="0.3">
      <c r="B223" s="392"/>
      <c r="C223" s="393" t="str">
        <f>IF(F216/J206&gt;F217/J207, "Class 1", IF(F216/J206&lt;F217/J207, "Class 2", 0))</f>
        <v>Class 2</v>
      </c>
      <c r="D223" s="394"/>
    </row>
    <row r="224" spans="2:10" ht="18" customHeight="1" x14ac:dyDescent="0.3">
      <c r="B224" s="392"/>
      <c r="C224" s="394"/>
      <c r="D224" s="394"/>
    </row>
    <row r="228" spans="1:18" x14ac:dyDescent="0.3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</row>
    <row r="232" spans="1:18" ht="18" x14ac:dyDescent="0.3">
      <c r="A232" s="312" t="s">
        <v>76</v>
      </c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</row>
    <row r="235" spans="1:18" ht="14.4" customHeight="1" x14ac:dyDescent="0.3">
      <c r="E235" s="395" t="s">
        <v>77</v>
      </c>
      <c r="F235" s="395"/>
      <c r="G235" s="395"/>
    </row>
    <row r="236" spans="1:18" ht="14.4" customHeight="1" x14ac:dyDescent="0.3">
      <c r="E236" s="395"/>
      <c r="F236" s="395"/>
      <c r="G236" s="395"/>
    </row>
  </sheetData>
  <sortState xmlns:xlrd2="http://schemas.microsoft.com/office/spreadsheetml/2017/richdata2" ref="M130:O139">
    <sortCondition ref="O130:O139"/>
  </sortState>
  <mergeCells count="95">
    <mergeCell ref="A163:K163"/>
    <mergeCell ref="A150:K150"/>
    <mergeCell ref="B152:C152"/>
    <mergeCell ref="B153:C154"/>
    <mergeCell ref="B155:C155"/>
    <mergeCell ref="A159:R159"/>
    <mergeCell ref="D138:E139"/>
    <mergeCell ref="L139:L140"/>
    <mergeCell ref="Q139:R140"/>
    <mergeCell ref="I140:I141"/>
    <mergeCell ref="D142:E143"/>
    <mergeCell ref="L141:L143"/>
    <mergeCell ref="Q141:R143"/>
    <mergeCell ref="A123:K123"/>
    <mergeCell ref="A129:G129"/>
    <mergeCell ref="A135:E135"/>
    <mergeCell ref="J135:J137"/>
    <mergeCell ref="M137:O137"/>
    <mergeCell ref="A110:K110"/>
    <mergeCell ref="B112:C112"/>
    <mergeCell ref="B113:C114"/>
    <mergeCell ref="B115:C115"/>
    <mergeCell ref="A119:R119"/>
    <mergeCell ref="M57:O57"/>
    <mergeCell ref="L59:L60"/>
    <mergeCell ref="L61:L64"/>
    <mergeCell ref="D62:E63"/>
    <mergeCell ref="D58:E59"/>
    <mergeCell ref="A55:E55"/>
    <mergeCell ref="A70:K70"/>
    <mergeCell ref="A1:G1"/>
    <mergeCell ref="I1:N1"/>
    <mergeCell ref="D30:I30"/>
    <mergeCell ref="A18:H19"/>
    <mergeCell ref="A16:K16"/>
    <mergeCell ref="A43:K43"/>
    <mergeCell ref="A22:G22"/>
    <mergeCell ref="G32:G33"/>
    <mergeCell ref="G34:G37"/>
    <mergeCell ref="H32:H33"/>
    <mergeCell ref="H34:H37"/>
    <mergeCell ref="I32:J33"/>
    <mergeCell ref="I34:J37"/>
    <mergeCell ref="J55:J57"/>
    <mergeCell ref="L101:L104"/>
    <mergeCell ref="Q101:R104"/>
    <mergeCell ref="B72:C72"/>
    <mergeCell ref="B73:C74"/>
    <mergeCell ref="I60:I61"/>
    <mergeCell ref="B75:C75"/>
    <mergeCell ref="Q59:R60"/>
    <mergeCell ref="Q61:R64"/>
    <mergeCell ref="Q179:R180"/>
    <mergeCell ref="A45:H46"/>
    <mergeCell ref="A85:H86"/>
    <mergeCell ref="A125:H126"/>
    <mergeCell ref="D98:E99"/>
    <mergeCell ref="D102:E103"/>
    <mergeCell ref="A49:G49"/>
    <mergeCell ref="A79:R79"/>
    <mergeCell ref="M97:O97"/>
    <mergeCell ref="A83:K83"/>
    <mergeCell ref="A89:G89"/>
    <mergeCell ref="A95:E95"/>
    <mergeCell ref="J95:J97"/>
    <mergeCell ref="L99:L100"/>
    <mergeCell ref="Q99:R100"/>
    <mergeCell ref="I100:I101"/>
    <mergeCell ref="B192:C192"/>
    <mergeCell ref="B193:C194"/>
    <mergeCell ref="B195:C195"/>
    <mergeCell ref="A199:R199"/>
    <mergeCell ref="E206:G210"/>
    <mergeCell ref="J176:J178"/>
    <mergeCell ref="M178:O178"/>
    <mergeCell ref="A165:H166"/>
    <mergeCell ref="A169:G169"/>
    <mergeCell ref="A175:E175"/>
    <mergeCell ref="D178:E179"/>
    <mergeCell ref="Q181:R182"/>
    <mergeCell ref="A228:R228"/>
    <mergeCell ref="A232:K232"/>
    <mergeCell ref="E235:G236"/>
    <mergeCell ref="C222:D222"/>
    <mergeCell ref="C223:D224"/>
    <mergeCell ref="B223:B224"/>
    <mergeCell ref="I180:I181"/>
    <mergeCell ref="D182:E183"/>
    <mergeCell ref="L181:L182"/>
    <mergeCell ref="B215:C216"/>
    <mergeCell ref="B217:C218"/>
    <mergeCell ref="B205:C207"/>
    <mergeCell ref="B209:C211"/>
    <mergeCell ref="A203:K203"/>
    <mergeCell ref="A190:K190"/>
  </mergeCells>
  <phoneticPr fontId="9" type="noConversion"/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&amp;L&amp;"Calibri,Bold"&amp;9Meta-algorithm — Heart-Disease (10, 13, 2)&amp;R&amp;"Calibri,Regular"&amp;9&amp;A</oddHeader>
    <oddFooter>&amp;C&amp;"Calibri,Regular"&amp;9Page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45"/>
  <sheetViews>
    <sheetView showGridLines="0" tabSelected="1" zoomScale="100" zoomScaleNormal="100" workbookViewId="0">
      <selection activeCell="C7" sqref="C7"/>
    </sheetView>
  </sheetViews>
  <sheetFormatPr defaultRowHeight="14.4"/>
  <cols>
    <col min="1" max="1" width="2.77734375" customWidth="1"/>
    <col min="2" max="2" width="6.77734375" customWidth="1"/>
    <col min="3" max="3" width="40.77734375" customWidth="1"/>
    <col min="4" max="4" width="24.77734375" customWidth="1"/>
    <col min="5" max="5" width="100.77734375" customWidth="1"/>
  </cols>
  <sheetData>
    <row r="1" ht="9" customHeight="1"/>
    <row r="2" ht="40" customHeight="1">
      <c r="B2" s="396" t="inlineStr">
        <is>
          <t xml:space="preserve">Meta-algorithm</t>
        </is>
      </c>
      <c r="C2" s="396"/>
      <c r="D2" s="396"/>
      <c r="E2" s="396"/>
    </row>
    <row r="3" ht="22" customHeight="1">
      <c r="B3" s="397" t="inlineStr">
        <is>
          <t xml:space="preserve">Classification of a new object on the Heart-Disease dataset  ·  10 objects  ·  13 features  ·  2 classes</t>
        </is>
      </c>
    </row>
    <row r="4" ht="10" customHeight="1"/>
    <row r="5" ht="24" customHeight="1">
      <c r="B5" s="398" t="inlineStr">
        <is>
          <t xml:space="preserve">Workbook map</t>
        </is>
      </c>
      <c r="C5" s="398"/>
      <c r="D5" s="398"/>
      <c r="E5" s="398"/>
    </row>
    <row r="6" ht="20" customHeight="1">
      <c r="B6" s="400" t="inlineStr">
        <is>
          <t xml:space="preserve">#</t>
        </is>
      </c>
      <c r="C6" s="399" t="inlineStr">
        <is>
          <t xml:space="preserve">Sheet</t>
        </is>
      </c>
      <c r="D6" s="399" t="inlineStr">
        <is>
          <t xml:space="preserve">Stage</t>
        </is>
      </c>
      <c r="E6" s="399" t="inlineStr">
        <is>
          <t xml:space="preserve">What it contains</t>
        </is>
      </c>
    </row>
    <row r="7" ht="48" customHeight="1">
      <c r="B7" s="401">
        <v>1</v>
      </c>
      <c r="C7" s="404" t="inlineStr">
        <is>
          <t xml:space="preserve">Dataset</t>
        </is>
      </c>
      <c r="D7" s="402" t="inlineStr">
        <is>
          <t xml:space="preserve">1 · Input data</t>
        </is>
      </c>
      <c r="E7" s="402" t="inlineStr">
        <is>
          <t xml:space="preserve">Original sample: 10 objects (S₁–S₁₀) × 13 features (x₁–x₁₃) with class labels (K1 = 4, K2 = 6); feature-type flags (1 = quantitative, 0 = nominal) and the split into 6 quantitative and 7 nominal features.</t>
        </is>
      </c>
    </row>
    <row r="8" ht="48" customHeight="1">
      <c r="B8" s="401">
        <v>2</v>
      </c>
      <c r="C8" s="404" t="inlineStr">
        <is>
          <t xml:space="preserve">Quantitative</t>
        </is>
      </c>
      <c r="D8" s="402" t="inlineStr">
        <is>
          <t xml:space="preserve">2 · Feature analysis</t>
        </is>
      </c>
      <c r="E8" s="402" t="inlineStr">
        <is>
          <t xml:space="preserve">Quantitative features: Criterion 1 boundary values and weights, per-feature class-sorted tables, conversion to a nominal scale, gradations, weights and contributions of gradations, and the features expressed as contribution values.</t>
        </is>
      </c>
    </row>
    <row r="9" ht="48" customHeight="1">
      <c r="B9" s="401">
        <v>3</v>
      </c>
      <c r="C9" s="404" t="inlineStr">
        <is>
          <t xml:space="preserve">Nominal</t>
        </is>
      </c>
      <c r="D9" s="402" t="inlineStr">
        <is>
          <t xml:space="preserve">2 · Feature analysis</t>
        </is>
      </c>
      <c r="E9" s="402" t="inlineStr">
        <is>
          <t xml:space="preserve">Nominal features: class-sorted table, gradations with a helper list, gradation parameters, λ, β and weight ω of each feature, contributions of gradations, and the features expressed as contribution values.</t>
        </is>
      </c>
    </row>
    <row r="10" ht="33" customHeight="1">
      <c r="B10" s="401">
        <v>4</v>
      </c>
      <c r="C10" s="404" t="inlineStr">
        <is>
          <t xml:space="preserve">Dataset (Contribution &amp; Weight)</t>
        </is>
      </c>
      <c r="D10" s="402" t="inlineStr">
        <is>
          <t xml:space="preserve">3 · Weighted dataset</t>
        </is>
      </c>
      <c r="E10" s="402" t="inlineStr">
        <is>
          <t xml:space="preserve">All 13 features expressed as contribution values, with the weight of every feature and its rank (1 = highest weight).</t>
        </is>
      </c>
    </row>
    <row r="11" ht="48" customHeight="1">
      <c r="B11" s="401">
        <v>5</v>
      </c>
      <c r="C11" s="404" t="inlineStr">
        <is>
          <t xml:space="preserve">Brace for Meta-algorithm</t>
        </is>
      </c>
      <c r="D11" s="402" t="inlineStr">
        <is>
          <t xml:space="preserve">4 · Preparation</t>
        </is>
      </c>
      <c r="E11" s="402" t="inlineStr">
        <is>
          <t xml:space="preserve">Meta-dataset of 5 initial features y₀–y₄ (from x₃, x₆, x₁₃, x₄, x₉) and 4 latent features r₁–r₄; encoding of the new object (Criterion 1 on x₄, the only quantitative feature in the SET); training dataset — full, sorted by class, and split into its original and latent (additional) parts.</t>
        </is>
      </c>
    </row>
    <row r="12" ht="33" customHeight="1">
      <c r="B12" s="401">
        <v>6</v>
      </c>
      <c r="C12" s="404" t="inlineStr">
        <is>
          <t xml:space="preserve">Meta-algorithm</t>
        </is>
      </c>
      <c r="D12" s="402" t="inlineStr">
        <is>
          <t xml:space="preserve">5 · Classification</t>
        </is>
      </c>
      <c r="E12" s="402" t="inlineStr">
        <is>
          <t xml:space="preserve">Meta-algorithm applied to the new object: Step 1 organiser of GA, repeated Steps 2–3 (original-feature and latent-sign conditions, STEP 3 check), Step 4 class computation and Step 5 end.</t>
        </is>
      </c>
    </row>
    <row r="13" ht="10" customHeight="1"/>
    <row r="14" ht="24" customHeight="1">
      <c r="B14" s="398" t="inlineStr">
        <is>
          <t xml:space="preserve">Key figures</t>
        </is>
      </c>
      <c r="C14" s="398"/>
      <c r="D14" s="398"/>
      <c r="E14" s="398"/>
    </row>
    <row r="15" ht="20" customHeight="1">
      <c r="B15" s="400" t="inlineStr">
        <is>
          <t xml:space="preserve">#</t>
        </is>
      </c>
      <c r="C15" s="399" t="inlineStr">
        <is>
          <t xml:space="preserve">Figure</t>
        </is>
      </c>
      <c r="D15" s="400" t="inlineStr">
        <is>
          <t xml:space="preserve">Value</t>
        </is>
      </c>
      <c r="E15" s="399" t="inlineStr">
        <is>
          <t xml:space="preserve">Linked to</t>
        </is>
      </c>
    </row>
    <row r="16" ht="19" customHeight="1">
      <c r="B16" s="401">
        <v>1</v>
      </c>
      <c r="C16" s="403" t="inlineStr">
        <is>
          <t xml:space="preserve">Objects (samples)</t>
        </is>
      </c>
      <c r="D16" s="405">
        <f>COUNT(Dataset!O3:O12)</f>
        <v>10</v>
      </c>
      <c r="E16" s="407" t="inlineStr">
        <is>
          <t xml:space="preserve">Dataset · O3:O12</t>
        </is>
      </c>
    </row>
    <row r="17" ht="19" customHeight="1">
      <c r="B17" s="401">
        <v>2</v>
      </c>
      <c r="C17" s="403" t="inlineStr">
        <is>
          <t xml:space="preserve">Features in the original dataset</t>
        </is>
      </c>
      <c r="D17" s="405">
        <f>COUNT(Dataset!B3:N3)</f>
        <v>13</v>
      </c>
      <c r="E17" s="407" t="inlineStr">
        <is>
          <t xml:space="preserve">Dataset · B3:N3</t>
        </is>
      </c>
    </row>
    <row r="18" ht="19" customHeight="1">
      <c r="B18" s="401">
        <v>3</v>
      </c>
      <c r="C18" s="403" t="inlineStr">
        <is>
          <t xml:space="preserve">Classes</t>
        </is>
      </c>
      <c r="D18" s="405">
        <f>SUMPRODUCT(1/COUNTIF(Dataset!O3:O12,Dataset!O3:O12))</f>
        <v>2</v>
      </c>
      <c r="E18" s="407" t="inlineStr">
        <is>
          <t xml:space="preserve">Dataset · O3:O12</t>
        </is>
      </c>
    </row>
    <row r="19" ht="19" customHeight="1">
      <c r="B19" s="401">
        <v>4</v>
      </c>
      <c r="C19" s="403" t="inlineStr">
        <is>
          <t xml:space="preserve">Objects in class 1 (K1)</t>
        </is>
      </c>
      <c r="D19" s="405">
        <f>COUNTIF(Dataset!O3:O12,1)</f>
        <v>4</v>
      </c>
      <c r="E19" s="407" t="inlineStr">
        <is>
          <t xml:space="preserve">Dataset · O3:O12</t>
        </is>
      </c>
    </row>
    <row r="20" ht="19" customHeight="1">
      <c r="B20" s="401">
        <v>5</v>
      </c>
      <c r="C20" s="403" t="inlineStr">
        <is>
          <t xml:space="preserve">Objects in class 2 (K2)</t>
        </is>
      </c>
      <c r="D20" s="405">
        <f>COUNTIF(Dataset!O3:O12,2)</f>
        <v>6</v>
      </c>
      <c r="E20" s="407" t="inlineStr">
        <is>
          <t xml:space="preserve">Dataset · O3:O12</t>
        </is>
      </c>
    </row>
    <row r="21" ht="19" customHeight="1">
      <c r="B21" s="401">
        <v>6</v>
      </c>
      <c r="C21" s="403" t="inlineStr">
        <is>
          <t xml:space="preserve">Quantitative features</t>
        </is>
      </c>
      <c r="D21" s="405">
        <f>Dataset!F17</f>
        <v>6</v>
      </c>
      <c r="E21" s="407" t="inlineStr">
        <is>
          <t xml:space="preserve">Dataset · F17</t>
        </is>
      </c>
    </row>
    <row r="22" ht="19" customHeight="1">
      <c r="B22" s="401">
        <v>7</v>
      </c>
      <c r="C22" s="403" t="inlineStr">
        <is>
          <t xml:space="preserve">Nominal features</t>
        </is>
      </c>
      <c r="D22" s="405">
        <f>Dataset!P17</f>
        <v>7</v>
      </c>
      <c r="E22" s="407" t="inlineStr">
        <is>
          <t xml:space="preserve">Dataset · P17</t>
        </is>
      </c>
    </row>
    <row r="23" ht="19" customHeight="1">
      <c r="B23" s="401">
        <v>8</v>
      </c>
      <c r="C23" s="403" t="inlineStr">
        <is>
          <t xml:space="preserve">Initial features in the meta-dataset</t>
        </is>
      </c>
      <c r="D23" s="405">
        <f>'Brace for Meta-algorithm'!E14</f>
        <v>5</v>
      </c>
      <c r="E23" s="407" t="inlineStr">
        <is>
          <t xml:space="preserve">Brace for Meta-algorithm · E14</t>
        </is>
      </c>
    </row>
    <row r="24" ht="19" customHeight="1">
      <c r="B24" s="401">
        <v>9</v>
      </c>
      <c r="C24" s="403" t="inlineStr">
        <is>
          <t xml:space="preserve">Latent (additional) features</t>
        </is>
      </c>
      <c r="D24" s="405">
        <f>'Brace for Meta-algorithm'!M14</f>
        <v>4</v>
      </c>
      <c r="E24" s="407" t="inlineStr">
        <is>
          <t xml:space="preserve">Brace for Meta-algorithm · M14</t>
        </is>
      </c>
    </row>
    <row r="25" ht="19" customHeight="1">
      <c r="B25" s="401">
        <v>10</v>
      </c>
      <c r="C25" s="403" t="inlineStr">
        <is>
          <t xml:space="preserve">Features in the meta-dataset</t>
        </is>
      </c>
      <c r="D25" s="405">
        <f>D23+D24</f>
        <v>9</v>
      </c>
      <c r="E25" s="407" t="inlineStr">
        <is>
          <t xml:space="preserve">D23 + D24 (initial + latent)</t>
        </is>
      </c>
    </row>
    <row r="26" ht="19" customHeight="1">
      <c r="B26" s="401">
        <v>11</v>
      </c>
      <c r="C26" s="403" t="inlineStr">
        <is>
          <t xml:space="preserve">Class assigned to the new object</t>
        </is>
      </c>
      <c r="D26" s="406" t="str">
        <f>'Meta-algorithm'!C223</f>
        <v>Class 2</v>
      </c>
      <c r="E26" s="407" t="inlineStr">
        <is>
          <t xml:space="preserve">Meta-algorithm · C223 (Step 4)</t>
        </is>
      </c>
    </row>
    <row r="27" ht="10" customHeight="1"/>
    <row r="28" ht="24" customHeight="1">
      <c r="B28" s="398" t="inlineStr">
        <is>
          <t xml:space="preserve">Colour legend</t>
        </is>
      </c>
      <c r="C28" s="398"/>
      <c r="D28" s="398"/>
      <c r="E28" s="398"/>
    </row>
    <row r="29" ht="19" customHeight="1">
      <c r="B29" s="409" t="inlineStr">
        <is>
          <t xml:space="preserve">Aa</t>
        </is>
      </c>
      <c r="C29" s="402" t="inlineStr">
        <is>
          <t xml:space="preserve">Sheet title / main table title</t>
        </is>
      </c>
      <c r="D29" s="402"/>
      <c r="E29" s="402"/>
    </row>
    <row r="30" ht="19" customHeight="1">
      <c r="B30" s="400" t="inlineStr">
        <is>
          <t xml:space="preserve">Aa</t>
        </is>
      </c>
      <c r="C30" s="402" t="inlineStr">
        <is>
          <t xml:space="preserve">Section title, Step / STEP box</t>
        </is>
      </c>
      <c r="D30" s="402"/>
      <c r="E30" s="402"/>
    </row>
    <row r="31" ht="19" customHeight="1">
      <c r="B31" s="410" t="inlineStr">
        <is>
          <t xml:space="preserve">Aa</t>
        </is>
      </c>
      <c r="C31" s="402" t="inlineStr">
        <is>
          <t xml:space="preserve">Column header (feature symbols x, y, r, a, d …)</t>
        </is>
      </c>
      <c r="D31" s="402"/>
      <c r="E31" s="402"/>
    </row>
    <row r="32" ht="19" customHeight="1">
      <c r="B32" s="411" t="inlineStr">
        <is>
          <t xml:space="preserve">Aa</t>
        </is>
      </c>
      <c r="C32" s="402" t="inlineStr">
        <is>
          <t xml:space="preserve">Object label S₁…S₁₀ and row captions</t>
        </is>
      </c>
      <c r="D32" s="402"/>
      <c r="E32" s="402"/>
    </row>
    <row r="33" ht="19" customHeight="1">
      <c r="B33" s="412" t="inlineStr">
        <is>
          <t xml:space="preserve">Aa</t>
        </is>
      </c>
      <c r="C33" s="402" t="inlineStr">
        <is>
          <t xml:space="preserve">Quantitative feature values</t>
        </is>
      </c>
      <c r="D33" s="402"/>
      <c r="E33" s="402"/>
    </row>
    <row r="34" ht="19" customHeight="1">
      <c r="B34" s="413" t="inlineStr">
        <is>
          <t xml:space="preserve">Aa</t>
        </is>
      </c>
      <c r="C34" s="402" t="inlineStr">
        <is>
          <t xml:space="preserve">Nominal feature values / new-object values</t>
        </is>
      </c>
      <c r="D34" s="402"/>
      <c r="E34" s="402"/>
    </row>
    <row r="35" ht="19" customHeight="1">
      <c r="B35" s="414" t="inlineStr">
        <is>
          <t xml:space="preserve">Aa</t>
        </is>
      </c>
      <c r="C35" s="402" t="inlineStr">
        <is>
          <t xml:space="preserve">Class label (1 / 2)</t>
        </is>
      </c>
      <c r="D35" s="402"/>
      <c r="E35" s="402"/>
    </row>
    <row r="36" ht="19" customHeight="1">
      <c r="B36" s="415" t="inlineStr">
        <is>
          <t xml:space="preserve">Aa</t>
        </is>
      </c>
      <c r="C36" s="402" t="inlineStr">
        <is>
          <t xml:space="preserve">Selected feature / highlighted result</t>
        </is>
      </c>
      <c r="D36" s="402"/>
      <c r="E36" s="402"/>
    </row>
    <row r="37" ht="19" customHeight="1">
      <c r="B37" s="416" t="inlineStr">
        <is>
          <t xml:space="preserve">Aa</t>
        </is>
      </c>
      <c r="C37" s="402" t="inlineStr">
        <is>
          <t xml:space="preserve">Initial (original) features in the meta-dataset</t>
        </is>
      </c>
      <c r="D37" s="402"/>
      <c r="E37" s="402"/>
    </row>
    <row r="38" ht="19" customHeight="1">
      <c r="B38" s="417" t="inlineStr">
        <is>
          <t xml:space="preserve">Aa</t>
        </is>
      </c>
      <c r="C38" s="402" t="inlineStr">
        <is>
          <t xml:space="preserve">Additional (latent) features in the meta-dataset</t>
        </is>
      </c>
      <c r="D38" s="402"/>
      <c r="E38" s="402"/>
    </row>
    <row r="39" ht="19" customHeight="1">
      <c r="B39" s="418" t="inlineStr">
        <is>
          <t xml:space="preserve">Aa</t>
        </is>
      </c>
      <c r="C39" s="402" t="inlineStr">
        <is>
          <t xml:space="preserve">Final result — class assigned to the new object</t>
        </is>
      </c>
      <c r="D39" s="402"/>
      <c r="E39" s="402"/>
    </row>
    <row r="40" ht="19" customHeight="1">
      <c r="B40" s="419" t="inlineStr">
        <is>
          <t xml:space="preserve">Aa</t>
        </is>
      </c>
      <c r="C40" s="402" t="inlineStr">
        <is>
          <t xml:space="preserve">Key label (counts, sign / colour keys)</t>
        </is>
      </c>
      <c r="D40" s="402"/>
      <c r="E40" s="402"/>
    </row>
    <row r="41" ht="10" customHeight="1"/>
    <row r="42" ht="24" customHeight="1">
      <c r="B42" s="398" t="inlineStr">
        <is>
          <t xml:space="preserve">Notes</t>
        </is>
      </c>
      <c r="C42" s="398"/>
      <c r="D42" s="398"/>
      <c r="E42" s="398"/>
    </row>
    <row r="43" ht="20" customHeight="1">
      <c r="B43" s="408" t="inlineStr">
        <is>
          <t xml:space="preserve">•  Symbols such as x₁, S₁, ω_c, η_c, a_i and d_i in the sheets are Office-Math equation objects placed over the cells; they display fully in Excel for Windows / Mac.</t>
        </is>
      </c>
    </row>
    <row r="44" ht="20" customHeight="1">
      <c r="B44" s="408" t="inlineStr">
        <is>
          <t xml:space="preserve">•  All numbers, formulas and results are identical to the original workbook; only formatting, colours, print setup and this Overview sheet were added. Numbers keep the original General display.</t>
        </is>
      </c>
    </row>
    <row r="45" ht="20" customHeight="1">
      <c r="B45" s="408" t="inlineStr">
        <is>
          <t xml:space="preserve">•  Every sheet is set up to print landscape on A4, one page wide, with the workbook name, sheet name and page numbers in the header / footer.</t>
        </is>
      </c>
    </row>
  </sheetData>
  <mergeCells count="17">
    <mergeCell ref="B2:E2"/>
    <mergeCell ref="B3:E3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B43:E43"/>
    <mergeCell ref="B44:E44"/>
    <mergeCell ref="B45:E45"/>
  </mergeCells>
  <hyperlinks>
    <hyperlink ref="C7" location="'Dataset'!A1" display="Dataset" tooltip="Go to Dataset"/>
    <hyperlink ref="C8" location="'Quantitative'!A1" display="Quantitative" tooltip="Go to Quantitative"/>
    <hyperlink ref="C9" location="'Nominal'!A1" display="Nominal" tooltip="Go to Nominal"/>
    <hyperlink ref="C10" location="'Dataset (Contribution &amp; Weight)'!A1" display="Dataset (Contribution &amp; Weight)" tooltip="Go to Dataset (Contribution &amp; Weight)"/>
    <hyperlink ref="C11" location="'Brace for Meta-algorithm'!A1" display="Brace for Meta-algorithm" tooltip="Go to Brace for Meta-algorithm"/>
    <hyperlink ref="C12" location="'Meta-algorithm'!A1" display="Meta-algorithm" tooltip="Go to Meta-algorithm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&amp;L&amp;"Calibri,Bold"&amp;9Meta-algorithm —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Dataset</vt:lpstr>
      <vt:lpstr>Quantitative</vt:lpstr>
      <vt:lpstr>Nominal</vt:lpstr>
      <vt:lpstr>Dataset (Contribution &amp; Weight)</vt:lpstr>
      <vt:lpstr>Brace for Meta-algorithm</vt:lpstr>
      <vt:lpstr>Meta-algorithm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Meta-algorithm — Heart-Disease (10, 13, 2)</dc:title>
  <dc:subject>Classification of a new object with the meta-algorithm on the HAG meta-dataset</dc:subject>
  <dc:creator/>
  <cp:lastModifiedBy/>
  <dcterms:created xsi:type="dcterms:W3CDTF">2015-06-05T18:19:34Z</dcterms:created>
  <dcterms:modified xsi:type="dcterms:W3CDTF">2026-03-04T13:46:36Z</dcterms:modified>
</cp:coreProperties>
</file>